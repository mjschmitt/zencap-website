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maxim\OneDrive\Desktop\Models\OGM Holdings\"/>
    </mc:Choice>
  </mc:AlternateContent>
  <xr:revisionPtr revIDLastSave="0" documentId="13_ncr:1_{966F4E56-AA33-4813-8E25-4BFA155E45AE}" xr6:coauthVersionLast="47" xr6:coauthVersionMax="47" xr10:uidLastSave="{00000000-0000-0000-0000-000000000000}"/>
  <bookViews>
    <workbookView xWindow="-120" yWindow="-120" windowWidth="51840" windowHeight="21120" firstSheet="1" activeTab="1" xr2:uid="{00000000-000D-0000-FFFF-FFFF00000000}"/>
  </bookViews>
  <sheets>
    <sheet name="Version" sheetId="10" state="hidden" r:id="rId1"/>
    <sheet name="Summary" sheetId="1" r:id="rId2"/>
    <sheet name="Underwriting" sheetId="4" r:id="rId3"/>
    <sheet name="Annual Cash Flow" sheetId="9" r:id="rId4"/>
    <sheet name="Investment Summary" sheetId="11" r:id="rId5"/>
    <sheet name="Project Cost Basis" sheetId="12" r:id="rId6"/>
    <sheet name="Unit Mix - Rent Roll" sheetId="13" r:id="rId7"/>
    <sheet name="Retail Income" sheetId="7" state="hidden" r:id="rId8"/>
    <sheet name="Detail Expenses" sheetId="6" state="hidden" r:id="rId9"/>
    <sheet name="Data" sheetId="3" state="hidden" r:id="rId10"/>
  </sheets>
  <definedNames>
    <definedName name="Calc_Dev_Fee?">Underwriting!$G$295</definedName>
    <definedName name="Calc_Loan?">Underwriting!$C$295</definedName>
    <definedName name="Calc_Loan_2?">Underwriting!$D$299</definedName>
    <definedName name="CapEx_1">Underwriting!$I$136</definedName>
    <definedName name="CapEx_2">Underwriting!$I$138</definedName>
    <definedName name="CF_Report?">Summary!$A$38</definedName>
    <definedName name="ConstDebt_Payoff">Underwriting!$E$77</definedName>
    <definedName name="CU?">Underwriting!$EV$211</definedName>
    <definedName name="Dbl_Promote?">Underwriting!$A$224</definedName>
    <definedName name="Debt_LTC_Actual">Underwriting!$F$63</definedName>
    <definedName name="Debt_LTC_Target">Underwriting!$C$63</definedName>
    <definedName name="Debt_Total">Underwriting!$I$63</definedName>
    <definedName name="Dev_Fee_Actual">Underwriting!$G$294</definedName>
    <definedName name="Dev_Fee_Target">Underwriting!$C$48</definedName>
    <definedName name="Dev_Fee_Total">Underwriting!$I$48</definedName>
    <definedName name="Dev_Spread">Underwriting!$I$5</definedName>
    <definedName name="Equity_Total">Underwriting!$I$62</definedName>
    <definedName name="Fixed_Variable">Underwriting!$A$69</definedName>
    <definedName name="Interest_Const_Loan">Underwriting!$E$67</definedName>
    <definedName name="Interest_Mezz_Loan">Underwriting!$E$68</definedName>
    <definedName name="Investment_Name">Underwriting!$E$9</definedName>
    <definedName name="Items_Hard_Costs">Underwriting!$EW$38</definedName>
    <definedName name="Items_Land_Costs">Underwriting!$EW$31</definedName>
    <definedName name="Items_Other_Income">Underwriting!$EV$108</definedName>
    <definedName name="Items_Retail_Tenants">'Retail Income'!$I$10</definedName>
    <definedName name="Items_Soft_Costs">Underwriting!$EW$49</definedName>
    <definedName name="Items_Unit_Types">Underwriting!$EW$94</definedName>
    <definedName name="Land_Value">Underwriting!$I$26</definedName>
    <definedName name="LeaseUp_Formula">Underwriting!$Q$90</definedName>
    <definedName name="LeaseUp_Method">Underwriting!$A$90</definedName>
    <definedName name="Nav_Controllable_Expenses">'Detail Expenses'!$B$9:$G$104</definedName>
    <definedName name="Nav_Development_CF">Underwriting!$B$22:$I$87</definedName>
    <definedName name="Nav_Fixed_Expenses">'Detail Expenses'!$B$105:$G$136</definedName>
    <definedName name="Nav_Investment_Description">Underwriting!$B$8:$I$20</definedName>
    <definedName name="Nav_Operating_CF">Underwriting!$B$88:$I$144</definedName>
    <definedName name="Nav_Operating_Expenses_Summary">Underwriting!$B$116:$I$141</definedName>
    <definedName name="Nav_Residual_CF">Underwriting!$B$145:$I$197</definedName>
    <definedName name="Nav_Retail_Expenses">'Retail Income'!$B$27:$I$36</definedName>
    <definedName name="Nav_Retail_Income">'Retail Income'!$B$9:$I$26</definedName>
    <definedName name="Nav_Retail_Reserves">'Retail Income'!$B$37:$I$45</definedName>
    <definedName name="Nav_Sensitivity">Underwriting!$B$273:$I$290</definedName>
    <definedName name="Nav_Waterfall_CF">Underwriting!$B$198:$I$250</definedName>
    <definedName name="OpEx_1">Underwriting!$I$121</definedName>
    <definedName name="OpEx_1_Det">'Detail Expenses'!$E$33</definedName>
    <definedName name="OpEx_2">Underwriting!$I$122</definedName>
    <definedName name="OpEx_2_Det">'Detail Expenses'!$E$50</definedName>
    <definedName name="OpEx_3">Underwriting!$I$123</definedName>
    <definedName name="OpEx_3_Det">'Detail Expenses'!$E$64</definedName>
    <definedName name="OpEx_4">Underwriting!$I$124</definedName>
    <definedName name="OpEx_4_Det">'Detail Expenses'!$E$73</definedName>
    <definedName name="OpEx_5">Underwriting!$I$125</definedName>
    <definedName name="OpEx_5_Det">'Detail Expenses'!$E$88</definedName>
    <definedName name="OpEx_6">Underwriting!$I$126</definedName>
    <definedName name="OpEx_6_Det">'Detail Expenses'!$E$96</definedName>
    <definedName name="OpEx_7">Underwriting!$I$127</definedName>
    <definedName name="OpEx_7_Det">'Detail Expenses'!$E$101</definedName>
    <definedName name="OpEx_Ins">Underwriting!$I$129</definedName>
    <definedName name="OpEx_Ins_Det">'Detail Expenses'!$E$116</definedName>
    <definedName name="OpEx_MgtFee">Underwriting!$I$128</definedName>
    <definedName name="OpEx_MgtFee_Det">'Detail Expenses'!$E$108</definedName>
    <definedName name="OpEx_Tax">Underwriting!$I$130</definedName>
    <definedName name="OpEx_Tax_Det">'Detail Expenses'!$E$131</definedName>
    <definedName name="OpEx_Underwriting_Type">Underwriting!$A$119</definedName>
    <definedName name="Parking_Structured">Underwriting!$I$19</definedName>
    <definedName name="Parking_Total">Underwriting!$E$19</definedName>
    <definedName name="Perm_Debt?">Underwriting!$A$81</definedName>
    <definedName name="PermDebt_Fund">Underwriting!$C$84</definedName>
    <definedName name="PermDebt_Payoff">Underwriting!$C$85</definedName>
    <definedName name="_xlnm.Print_Area" localSheetId="3">'Annual Cash Flow'!$B$2:$R$51</definedName>
    <definedName name="_xlnm.Print_Area" localSheetId="1">Summary!$B$2:$P$84</definedName>
    <definedName name="Project_Cost_Total">Underwriting!$I$59</definedName>
    <definedName name="Range_Carry_Costs">OFFSET(Underwriting!$Q$57,0,0,1,Timing_Reversion_Month+1)</definedName>
    <definedName name="Range_Debt">OFFSET(Underwriting!$Q$77,0,0,1,Timing_Reversion_Month+1)</definedName>
    <definedName name="Range_Equity">OFFSET(Underwriting!$Q$71,0,0,1,Timing_Reversion_Month+1)</definedName>
    <definedName name="Range_Hard_Costs">OFFSET(Underwriting!$Q$38,0,0,1,Timing_Reversion_Month+1)</definedName>
    <definedName name="Range_Land_Costs">OFFSET(Underwriting!$Q$31,0,0,1,Timing_Reversion_Month+1)</definedName>
    <definedName name="Range_LeaseUp">Underwriting!$R$90:$ES$90</definedName>
    <definedName name="Range_Levered_CF">OFFSET(Underwriting!$Q$216,0,0,1,Timing_Reversion_Month+1)</definedName>
    <definedName name="Range_Months">OFFSET(Underwriting!$Q$88,0,0,1,Timing_Reversion_Month+1)</definedName>
    <definedName name="Range_NOI">OFFSET(Underwriting!$Q$133,0,0,1,Timing_Reversion_Month+1)</definedName>
    <definedName name="Range_PermDebt">Underwriting!$A$82:$A$86</definedName>
    <definedName name="Range_PermDS">Underwriting!$A$142:$A$143</definedName>
    <definedName name="Range_Soft_Costs">OFFSET(Underwriting!$Q$49,0,0,1,Timing_Reversion_Month+1)</definedName>
    <definedName name="Range_Total_Cost">OFFSET(Underwriting!$Q$59,0,0,1,Timing_Reversion_Month+1)</definedName>
    <definedName name="Recalc?">Underwriting!$D$300</definedName>
    <definedName name="Rel_2nd_Promote">Underwriting!$A$251:$A$271</definedName>
    <definedName name="Rel_Calc">Underwriting!$EU$1:$KC$1</definedName>
    <definedName name="Rel_End">Underwriting!$A$291</definedName>
    <definedName name="Rel_Hard_Costs">Underwriting!$A$38</definedName>
    <definedName name="Rel_Land_Costs">Underwriting!$A$31</definedName>
    <definedName name="Rel_Other_Income">Underwriting!$A$108</definedName>
    <definedName name="Rel_PermDebtPayoff">Underwriting!$A$211</definedName>
    <definedName name="Rel_PermDS">Underwriting!$A$207</definedName>
    <definedName name="Rel_PermFunding">Underwriting!$A$204</definedName>
    <definedName name="Rel_Retail_Base">'Retail Income'!$A$15</definedName>
    <definedName name="Rel_Retail_Income_ProForma">Underwriting!$A$162</definedName>
    <definedName name="Rel_Retail_Recovery_Income">'Retail Income'!$A$21</definedName>
    <definedName name="Rel_Retail_Reserves">Underwriting!$A$138</definedName>
    <definedName name="Rel_Retail_Reserves_ProForma">Underwriting!$A$186</definedName>
    <definedName name="Rel_Reversion_Other_Income">Underwriting!$A$161</definedName>
    <definedName name="Rel_Sensitivity">Underwriting!$A$273</definedName>
    <definedName name="Rel_Soft_Costs">Underwriting!$A$49</definedName>
    <definedName name="Rel_Unit_Types">Underwriting!$A$99</definedName>
    <definedName name="Retail_Income_Include?">Underwriting!$A$110</definedName>
    <definedName name="Scurve_Dist">Data!$E$4</definedName>
    <definedName name="Show_Calc?">Underwriting!$ET$5</definedName>
    <definedName name="Stabilization_1st_Month">Underwriting!$D$92</definedName>
    <definedName name="Timing_Analysis_End_Month">Underwriting!$H$13</definedName>
    <definedName name="Timing_Construction_End">Underwriting!$E$59</definedName>
    <definedName name="Timing_Growth_Begin_Expenses">Underwriting!$E$117</definedName>
    <definedName name="Timing_Growth_Begin_Income">Underwriting!$E$91</definedName>
    <definedName name="Timing_Operation_Begin_Month">Underwriting!$D$90</definedName>
    <definedName name="Timing_Reversion_Month">Underwriting!$D$150</definedName>
    <definedName name="Unit_Type">Underwriting!$I$8</definedName>
    <definedName name="Units">Underwriting!$I$17</definedName>
    <definedName name="Units_Retail">'Retail Income'!$E$15</definedName>
    <definedName name="Units_SF_M2">Underwriting!$I$18</definedName>
    <definedName name="Valuation_Reversion">Underwriting!$I$194</definedName>
    <definedName name="Valuation_Trended">Underwriting!$H$194</definedName>
    <definedName name="Valuation_Untrended">Underwriting!$G$194</definedName>
    <definedName name="Version" localSheetId="3">'Annual Cash Flow'!#REF!</definedName>
  </definedNames>
  <calcPr calcId="191029" iterateCount="250"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5" i="4" l="1"/>
  <c r="C25" i="12"/>
  <c r="F25" i="12" s="1"/>
  <c r="F5" i="13"/>
  <c r="G5" i="13" s="1"/>
  <c r="F4" i="13"/>
  <c r="F6" i="13" s="1"/>
  <c r="G6" i="13" s="1"/>
  <c r="D5" i="13"/>
  <c r="D4" i="13"/>
  <c r="D6" i="13" s="1"/>
  <c r="C5" i="13"/>
  <c r="C4" i="13"/>
  <c r="C6" i="13" s="1"/>
  <c r="B5" i="13"/>
  <c r="B4" i="13"/>
  <c r="B25" i="12"/>
  <c r="B24" i="12"/>
  <c r="C20" i="12"/>
  <c r="E20" i="12" s="1"/>
  <c r="C19" i="12"/>
  <c r="F19" i="12" s="1"/>
  <c r="C18" i="12"/>
  <c r="F18" i="12" s="1"/>
  <c r="C17" i="12"/>
  <c r="F17" i="12" s="1"/>
  <c r="C16" i="12"/>
  <c r="F16" i="12" s="1"/>
  <c r="C15" i="12"/>
  <c r="F15" i="12" s="1"/>
  <c r="B20" i="12"/>
  <c r="B19" i="12"/>
  <c r="B18" i="12"/>
  <c r="B17" i="12"/>
  <c r="B16" i="12"/>
  <c r="B15" i="12"/>
  <c r="C11" i="12"/>
  <c r="F11" i="12" s="1"/>
  <c r="C10" i="12"/>
  <c r="F10" i="12" s="1"/>
  <c r="C9" i="12"/>
  <c r="F9" i="12" s="1"/>
  <c r="B11" i="12"/>
  <c r="B10" i="12"/>
  <c r="B9" i="12"/>
  <c r="C4" i="12"/>
  <c r="E4" i="12" s="1"/>
  <c r="C5" i="12"/>
  <c r="F5" i="12" s="1"/>
  <c r="EY29" i="4"/>
  <c r="EX29" i="4"/>
  <c r="ED29" i="4" s="1"/>
  <c r="EW29" i="4"/>
  <c r="EV29" i="4"/>
  <c r="EU29" i="4"/>
  <c r="ES29" i="4"/>
  <c r="ER29" i="4"/>
  <c r="EQ29" i="4"/>
  <c r="EP29" i="4"/>
  <c r="EO29" i="4"/>
  <c r="EN29" i="4"/>
  <c r="EM29" i="4"/>
  <c r="EL29" i="4"/>
  <c r="EK29" i="4"/>
  <c r="EJ29" i="4"/>
  <c r="EI29" i="4"/>
  <c r="EH29" i="4"/>
  <c r="EG29" i="4"/>
  <c r="EF29" i="4"/>
  <c r="EE29" i="4"/>
  <c r="EB29" i="4"/>
  <c r="EA29" i="4"/>
  <c r="DZ29" i="4"/>
  <c r="DY29" i="4"/>
  <c r="DX29" i="4"/>
  <c r="DW29" i="4"/>
  <c r="DV29" i="4"/>
  <c r="DU29" i="4"/>
  <c r="DT29" i="4"/>
  <c r="DS29" i="4"/>
  <c r="DR29" i="4"/>
  <c r="DQ29" i="4"/>
  <c r="DP29" i="4"/>
  <c r="DO29" i="4"/>
  <c r="DN29" i="4"/>
  <c r="DM29" i="4"/>
  <c r="DL29" i="4"/>
  <c r="DK29" i="4"/>
  <c r="DJ29" i="4"/>
  <c r="DI29" i="4"/>
  <c r="DF29" i="4"/>
  <c r="DE29" i="4"/>
  <c r="DD29" i="4"/>
  <c r="DC29" i="4"/>
  <c r="DB29" i="4"/>
  <c r="DA29" i="4"/>
  <c r="CZ29" i="4"/>
  <c r="CY29" i="4"/>
  <c r="CX29" i="4"/>
  <c r="CW29" i="4"/>
  <c r="CV29" i="4"/>
  <c r="CU29" i="4"/>
  <c r="CT29" i="4"/>
  <c r="CS29" i="4"/>
  <c r="CR29" i="4"/>
  <c r="CQ29" i="4"/>
  <c r="CP29" i="4"/>
  <c r="CO29" i="4"/>
  <c r="CN29" i="4"/>
  <c r="CM29" i="4"/>
  <c r="CK29" i="4"/>
  <c r="CJ29" i="4"/>
  <c r="CI29" i="4"/>
  <c r="CH29" i="4"/>
  <c r="CG29" i="4"/>
  <c r="CF29" i="4"/>
  <c r="CE29" i="4"/>
  <c r="CD29" i="4"/>
  <c r="CC29" i="4"/>
  <c r="CB29" i="4"/>
  <c r="CA29" i="4"/>
  <c r="BZ29" i="4"/>
  <c r="BY29" i="4"/>
  <c r="BX29" i="4"/>
  <c r="BW29" i="4"/>
  <c r="BV29" i="4"/>
  <c r="BU29" i="4"/>
  <c r="BT29" i="4"/>
  <c r="BS29" i="4"/>
  <c r="BR29" i="4"/>
  <c r="BQ29" i="4"/>
  <c r="BO29" i="4"/>
  <c r="BN29" i="4"/>
  <c r="BM29" i="4"/>
  <c r="BL29" i="4"/>
  <c r="BK29" i="4"/>
  <c r="BJ29" i="4"/>
  <c r="BI29" i="4"/>
  <c r="BH29" i="4"/>
  <c r="BG29" i="4"/>
  <c r="BF29" i="4"/>
  <c r="BE29" i="4"/>
  <c r="BD29" i="4"/>
  <c r="BC29" i="4"/>
  <c r="BB29" i="4"/>
  <c r="BA29" i="4"/>
  <c r="AZ29" i="4"/>
  <c r="AY29" i="4"/>
  <c r="AX29" i="4"/>
  <c r="AW29" i="4"/>
  <c r="AV29" i="4"/>
  <c r="AU29" i="4"/>
  <c r="AS29" i="4"/>
  <c r="AR29" i="4"/>
  <c r="AQ29" i="4"/>
  <c r="AP29" i="4"/>
  <c r="AO29" i="4"/>
  <c r="AN29" i="4"/>
  <c r="AM29" i="4"/>
  <c r="AL29" i="4"/>
  <c r="AK29" i="4"/>
  <c r="AJ29" i="4"/>
  <c r="AI29" i="4"/>
  <c r="AH29" i="4"/>
  <c r="AG29" i="4"/>
  <c r="AF29" i="4"/>
  <c r="AE29" i="4"/>
  <c r="AD29" i="4"/>
  <c r="AC29" i="4"/>
  <c r="AB29" i="4"/>
  <c r="AA29" i="4"/>
  <c r="Z29" i="4"/>
  <c r="Y29" i="4"/>
  <c r="W29" i="4"/>
  <c r="V29" i="4"/>
  <c r="U29" i="4"/>
  <c r="T29" i="4"/>
  <c r="S29" i="4"/>
  <c r="R29" i="4"/>
  <c r="Q29" i="4"/>
  <c r="H29" i="4"/>
  <c r="G29" i="4"/>
  <c r="I4" i="13" l="1"/>
  <c r="G4" i="13"/>
  <c r="H5" i="13"/>
  <c r="I5" i="13"/>
  <c r="H4" i="13"/>
  <c r="H6" i="13" s="1"/>
  <c r="E5" i="13"/>
  <c r="E4" i="13"/>
  <c r="E6" i="13" s="1"/>
  <c r="E10" i="12"/>
  <c r="E11" i="12"/>
  <c r="E15" i="12"/>
  <c r="F12" i="12"/>
  <c r="E16" i="12"/>
  <c r="E18" i="12"/>
  <c r="E17" i="12"/>
  <c r="E19" i="12"/>
  <c r="E5" i="12"/>
  <c r="E6" i="12" s="1"/>
  <c r="F20" i="12"/>
  <c r="F21" i="12" s="1"/>
  <c r="E9" i="12"/>
  <c r="E12" i="12" s="1"/>
  <c r="E25" i="12"/>
  <c r="C21" i="12"/>
  <c r="C12" i="12"/>
  <c r="C6" i="12"/>
  <c r="F4" i="12"/>
  <c r="F6" i="12" s="1"/>
  <c r="DG29" i="4"/>
  <c r="EC29" i="4"/>
  <c r="EZ29" i="4"/>
  <c r="JT29" i="4" s="1"/>
  <c r="X29" i="4"/>
  <c r="AT29" i="4"/>
  <c r="BP29" i="4"/>
  <c r="CL29" i="4"/>
  <c r="DH29" i="4"/>
  <c r="I6" i="13" l="1"/>
  <c r="E21" i="12"/>
  <c r="GO29" i="4"/>
  <c r="HO29" i="4"/>
  <c r="JA29" i="4"/>
  <c r="GR29" i="4"/>
  <c r="GS29" i="4"/>
  <c r="GN29" i="4"/>
  <c r="FW29" i="4"/>
  <c r="FT29" i="4"/>
  <c r="JY29" i="4"/>
  <c r="HJ29" i="4"/>
  <c r="JG29" i="4"/>
  <c r="IE29" i="4"/>
  <c r="GM29" i="4"/>
  <c r="ID29" i="4"/>
  <c r="HH29" i="4"/>
  <c r="JU29" i="4"/>
  <c r="IJ29" i="4"/>
  <c r="JX29" i="4"/>
  <c r="JW29" i="4"/>
  <c r="IK29" i="4"/>
  <c r="JE29" i="4"/>
  <c r="FA29" i="4"/>
  <c r="IZ29" i="4"/>
  <c r="P29" i="4"/>
  <c r="IH29" i="4"/>
  <c r="FO29" i="4"/>
  <c r="IW29" i="4"/>
  <c r="GI29" i="4"/>
  <c r="IV29" i="4"/>
  <c r="FL29" i="4"/>
  <c r="HY29" i="4"/>
  <c r="IT29" i="4"/>
  <c r="HW29" i="4"/>
  <c r="HR29" i="4"/>
  <c r="IM29" i="4"/>
  <c r="JH29" i="4"/>
  <c r="FM29" i="4"/>
  <c r="HZ29" i="4"/>
  <c r="HC29" i="4"/>
  <c r="HX29" i="4"/>
  <c r="IS29" i="4"/>
  <c r="IN29" i="4"/>
  <c r="HQ29" i="4"/>
  <c r="FX29" i="4"/>
  <c r="IA29" i="4"/>
  <c r="GG29" i="4"/>
  <c r="HB29" i="4"/>
  <c r="HA29" i="4"/>
  <c r="JJ29" i="4"/>
  <c r="GU29" i="4"/>
  <c r="HE29" i="4"/>
  <c r="FJ29" i="4"/>
  <c r="GE29" i="4"/>
  <c r="FC29" i="4"/>
  <c r="FB29" i="4"/>
  <c r="JR29" i="4"/>
  <c r="JI29" i="4"/>
  <c r="JQ29" i="4"/>
  <c r="IY29" i="4"/>
  <c r="IC29" i="4"/>
  <c r="HG29" i="4"/>
  <c r="GK29" i="4"/>
  <c r="GH29" i="4"/>
  <c r="JO29" i="4"/>
  <c r="IX29" i="4"/>
  <c r="IB29" i="4"/>
  <c r="HF29" i="4"/>
  <c r="GJ29" i="4"/>
  <c r="FN29" i="4"/>
  <c r="HD29" i="4"/>
  <c r="FK29" i="4"/>
  <c r="GF29" i="4"/>
  <c r="FI29" i="4"/>
  <c r="FD29" i="4"/>
  <c r="JS29" i="4"/>
  <c r="IU29" i="4"/>
  <c r="IL29" i="4"/>
  <c r="JP29" i="4"/>
  <c r="JN29" i="4"/>
  <c r="IR29" i="4"/>
  <c r="HV29" i="4"/>
  <c r="GZ29" i="4"/>
  <c r="GD29" i="4"/>
  <c r="FH29" i="4"/>
  <c r="JK29" i="4"/>
  <c r="GW29" i="4"/>
  <c r="FZ29" i="4"/>
  <c r="GT29" i="4"/>
  <c r="JM29" i="4"/>
  <c r="IQ29" i="4"/>
  <c r="HU29" i="4"/>
  <c r="GY29" i="4"/>
  <c r="GC29" i="4"/>
  <c r="FG29" i="4"/>
  <c r="JL29" i="4"/>
  <c r="IP29" i="4"/>
  <c r="HT29" i="4"/>
  <c r="GX29" i="4"/>
  <c r="GB29" i="4"/>
  <c r="FF29" i="4"/>
  <c r="IO29" i="4"/>
  <c r="HS29" i="4"/>
  <c r="GA29" i="4"/>
  <c r="FE29" i="4"/>
  <c r="GV29" i="4"/>
  <c r="FY29" i="4"/>
  <c r="HP29" i="4"/>
  <c r="HI29" i="4"/>
  <c r="II29" i="4"/>
  <c r="HM29" i="4"/>
  <c r="GQ29" i="4"/>
  <c r="FU29" i="4"/>
  <c r="GL29" i="4"/>
  <c r="JZ29" i="4"/>
  <c r="FS29" i="4"/>
  <c r="FR29" i="4"/>
  <c r="HL29" i="4"/>
  <c r="KC29" i="4"/>
  <c r="JF29" i="4"/>
  <c r="HN29" i="4"/>
  <c r="FV29" i="4"/>
  <c r="IG29" i="4"/>
  <c r="KA29" i="4"/>
  <c r="FQ29" i="4"/>
  <c r="JV29" i="4"/>
  <c r="HK29" i="4"/>
  <c r="IF29" i="4"/>
  <c r="FP29" i="4"/>
  <c r="JD29" i="4"/>
  <c r="JB29" i="4"/>
  <c r="KB29" i="4"/>
  <c r="GP29" i="4"/>
  <c r="JC29" i="4"/>
  <c r="C29" i="11" l="1"/>
  <c r="C24" i="11"/>
  <c r="E15" i="4"/>
  <c r="I36" i="4"/>
  <c r="D122" i="4" l="1"/>
  <c r="D123" i="4"/>
  <c r="D124" i="4"/>
  <c r="D125" i="4"/>
  <c r="D126" i="4"/>
  <c r="D127" i="4"/>
  <c r="EY46" i="4"/>
  <c r="EX46" i="4"/>
  <c r="EY36" i="4"/>
  <c r="EX36" i="4"/>
  <c r="EZ36" i="4" s="1"/>
  <c r="EU36" i="4"/>
  <c r="EX97" i="4"/>
  <c r="EW97" i="4"/>
  <c r="EU97" i="4"/>
  <c r="I97" i="4"/>
  <c r="G97" i="4"/>
  <c r="C15" i="4"/>
  <c r="G160" i="4"/>
  <c r="B160" i="4"/>
  <c r="EY45" i="4"/>
  <c r="EX45" i="4"/>
  <c r="EZ45" i="4" s="1"/>
  <c r="EY35" i="4"/>
  <c r="EX35" i="4"/>
  <c r="C232" i="4"/>
  <c r="C243" i="4" s="1"/>
  <c r="C248" i="4" s="1"/>
  <c r="F29" i="7"/>
  <c r="F30" i="7"/>
  <c r="F31" i="7"/>
  <c r="F32" i="7"/>
  <c r="I96" i="4"/>
  <c r="C99" i="4"/>
  <c r="EU27" i="4"/>
  <c r="EY28" i="4"/>
  <c r="Q23" i="4"/>
  <c r="EV47" i="4" s="1"/>
  <c r="E28" i="4"/>
  <c r="EX28" i="4" s="1"/>
  <c r="EZ28" i="4" s="1"/>
  <c r="R22" i="4"/>
  <c r="R88" i="4" s="1"/>
  <c r="R95" i="4" s="1"/>
  <c r="EY44" i="4"/>
  <c r="EX44" i="4"/>
  <c r="EZ44" i="4" s="1"/>
  <c r="EU44" i="4"/>
  <c r="R3" i="4"/>
  <c r="S3" i="4" s="1"/>
  <c r="S70" i="4" s="1"/>
  <c r="E55" i="4"/>
  <c r="E49" i="4"/>
  <c r="E38" i="4"/>
  <c r="E26" i="4"/>
  <c r="EX26" i="4" s="1"/>
  <c r="E27" i="4"/>
  <c r="EX27" i="4" s="1"/>
  <c r="C276" i="4"/>
  <c r="H237" i="4"/>
  <c r="I237" i="4" s="1"/>
  <c r="M3" i="10"/>
  <c r="F22" i="1"/>
  <c r="E113" i="4"/>
  <c r="B112" i="4"/>
  <c r="B164" i="4" s="1"/>
  <c r="B113" i="4"/>
  <c r="B165" i="4" s="1"/>
  <c r="D138" i="4"/>
  <c r="D137" i="4"/>
  <c r="D130" i="4"/>
  <c r="D129" i="4"/>
  <c r="C107" i="4"/>
  <c r="C106" i="4"/>
  <c r="EV108" i="4"/>
  <c r="D297" i="4"/>
  <c r="EU63" i="4"/>
  <c r="EU64" i="4" s="1"/>
  <c r="B136" i="4"/>
  <c r="B184" i="4" s="1"/>
  <c r="B127" i="4"/>
  <c r="B98" i="6" s="1"/>
  <c r="B101" i="6" s="1"/>
  <c r="R3" i="9"/>
  <c r="P64" i="4"/>
  <c r="P63" i="4"/>
  <c r="B33" i="1"/>
  <c r="B32" i="1"/>
  <c r="B37" i="1"/>
  <c r="F35" i="1" s="1"/>
  <c r="Q83" i="4"/>
  <c r="S68" i="4"/>
  <c r="FC70" i="4"/>
  <c r="R68" i="4"/>
  <c r="FB70" i="4"/>
  <c r="Q68" i="4"/>
  <c r="FA70" i="4"/>
  <c r="S67" i="4"/>
  <c r="FC69" i="4"/>
  <c r="R67" i="4"/>
  <c r="FB69" i="4"/>
  <c r="Q67" i="4"/>
  <c r="FA69" i="4"/>
  <c r="ES68" i="4"/>
  <c r="KC70" i="4"/>
  <c r="ER68" i="4"/>
  <c r="KB70" i="4"/>
  <c r="EQ68" i="4"/>
  <c r="KA70" i="4"/>
  <c r="EP68" i="4"/>
  <c r="JZ70" i="4"/>
  <c r="EO68" i="4"/>
  <c r="JY70" i="4"/>
  <c r="EN68" i="4"/>
  <c r="JX70" i="4"/>
  <c r="EM68" i="4"/>
  <c r="JW70" i="4"/>
  <c r="EL68" i="4"/>
  <c r="JV70" i="4"/>
  <c r="EK68" i="4"/>
  <c r="JU70" i="4"/>
  <c r="EJ68" i="4"/>
  <c r="JT70" i="4"/>
  <c r="EI68" i="4"/>
  <c r="JS70" i="4"/>
  <c r="EH68" i="4"/>
  <c r="JR70" i="4"/>
  <c r="EG68" i="4"/>
  <c r="JQ70" i="4"/>
  <c r="EF68" i="4"/>
  <c r="JP70" i="4"/>
  <c r="EE68" i="4"/>
  <c r="JO70" i="4"/>
  <c r="ED68" i="4"/>
  <c r="JN70" i="4"/>
  <c r="EC68" i="4"/>
  <c r="JM70" i="4"/>
  <c r="EB68" i="4"/>
  <c r="JL70" i="4"/>
  <c r="EA68" i="4"/>
  <c r="JK70" i="4"/>
  <c r="DZ68" i="4"/>
  <c r="JJ70" i="4"/>
  <c r="DY68" i="4"/>
  <c r="JI70" i="4"/>
  <c r="DX68" i="4"/>
  <c r="JH70" i="4"/>
  <c r="DW68" i="4"/>
  <c r="JG70" i="4"/>
  <c r="DV68" i="4"/>
  <c r="JF70" i="4"/>
  <c r="DU68" i="4"/>
  <c r="JE70" i="4"/>
  <c r="DT68" i="4"/>
  <c r="JD70" i="4"/>
  <c r="DS68" i="4"/>
  <c r="JC70" i="4"/>
  <c r="DR68" i="4"/>
  <c r="JB70" i="4"/>
  <c r="DQ68" i="4"/>
  <c r="JA70" i="4"/>
  <c r="DP68" i="4"/>
  <c r="IZ70" i="4"/>
  <c r="DO68" i="4"/>
  <c r="IY70" i="4"/>
  <c r="DN68" i="4"/>
  <c r="IX70" i="4"/>
  <c r="DM68" i="4"/>
  <c r="IW70" i="4"/>
  <c r="DL68" i="4"/>
  <c r="IV70" i="4"/>
  <c r="DK68" i="4"/>
  <c r="IU70" i="4"/>
  <c r="DJ68" i="4"/>
  <c r="IT70" i="4"/>
  <c r="DI68" i="4"/>
  <c r="IS70" i="4"/>
  <c r="DH68" i="4"/>
  <c r="IR70" i="4"/>
  <c r="DG68" i="4"/>
  <c r="IQ70" i="4"/>
  <c r="DF68" i="4"/>
  <c r="IP70" i="4"/>
  <c r="DE68" i="4"/>
  <c r="IO70" i="4"/>
  <c r="DD68" i="4"/>
  <c r="IN70" i="4"/>
  <c r="DC68" i="4"/>
  <c r="IM70" i="4"/>
  <c r="DB68" i="4"/>
  <c r="IL70" i="4"/>
  <c r="DA68" i="4"/>
  <c r="IK70" i="4"/>
  <c r="CZ68" i="4"/>
  <c r="IJ70" i="4"/>
  <c r="CY68" i="4"/>
  <c r="II70" i="4"/>
  <c r="CX68" i="4"/>
  <c r="IH70" i="4"/>
  <c r="CW68" i="4"/>
  <c r="IG70" i="4"/>
  <c r="CV68" i="4"/>
  <c r="IF70" i="4"/>
  <c r="CU68" i="4"/>
  <c r="IE70" i="4"/>
  <c r="CT68" i="4"/>
  <c r="ID70" i="4"/>
  <c r="CS68" i="4"/>
  <c r="IC70" i="4"/>
  <c r="CR68" i="4"/>
  <c r="IB70" i="4"/>
  <c r="CQ68" i="4"/>
  <c r="IA70" i="4"/>
  <c r="CP68" i="4"/>
  <c r="HZ70" i="4"/>
  <c r="CO68" i="4"/>
  <c r="HY70" i="4"/>
  <c r="CN68" i="4"/>
  <c r="HX70" i="4"/>
  <c r="CM68" i="4"/>
  <c r="HW70" i="4"/>
  <c r="CL68" i="4"/>
  <c r="HV70" i="4"/>
  <c r="CK68" i="4"/>
  <c r="HU70" i="4"/>
  <c r="CJ68" i="4"/>
  <c r="HT70" i="4"/>
  <c r="CI68" i="4"/>
  <c r="HS70" i="4"/>
  <c r="CH68" i="4"/>
  <c r="HR70" i="4"/>
  <c r="CG68" i="4"/>
  <c r="HQ70" i="4"/>
  <c r="CF68" i="4"/>
  <c r="HP70" i="4"/>
  <c r="CE68" i="4"/>
  <c r="HO70" i="4"/>
  <c r="CD68" i="4"/>
  <c r="HN70" i="4"/>
  <c r="CC68" i="4"/>
  <c r="HM70" i="4"/>
  <c r="CB68" i="4"/>
  <c r="HL70" i="4"/>
  <c r="CA68" i="4"/>
  <c r="HK70" i="4"/>
  <c r="BZ68" i="4"/>
  <c r="HJ70" i="4"/>
  <c r="BY68" i="4"/>
  <c r="HI70" i="4"/>
  <c r="BX68" i="4"/>
  <c r="HH70" i="4"/>
  <c r="BW68" i="4"/>
  <c r="HG70" i="4"/>
  <c r="BV68" i="4"/>
  <c r="HF70" i="4"/>
  <c r="BU68" i="4"/>
  <c r="HE70" i="4"/>
  <c r="BT68" i="4"/>
  <c r="HD70" i="4"/>
  <c r="BS68" i="4"/>
  <c r="HC70" i="4"/>
  <c r="BR68" i="4"/>
  <c r="HB70" i="4"/>
  <c r="BQ68" i="4"/>
  <c r="HA70" i="4"/>
  <c r="BP68" i="4"/>
  <c r="GZ70" i="4"/>
  <c r="BO68" i="4"/>
  <c r="GY70" i="4"/>
  <c r="BN68" i="4"/>
  <c r="GX70" i="4"/>
  <c r="BM68" i="4"/>
  <c r="GW70" i="4"/>
  <c r="BL68" i="4"/>
  <c r="GV70" i="4"/>
  <c r="BK68" i="4"/>
  <c r="GU70" i="4"/>
  <c r="BJ68" i="4"/>
  <c r="GT70" i="4"/>
  <c r="BI68" i="4"/>
  <c r="GS70" i="4"/>
  <c r="BH68" i="4"/>
  <c r="GR70" i="4"/>
  <c r="BG68" i="4"/>
  <c r="GQ70" i="4"/>
  <c r="BF68" i="4"/>
  <c r="GP70" i="4"/>
  <c r="BE68" i="4"/>
  <c r="GO70" i="4"/>
  <c r="BD68" i="4"/>
  <c r="GN70" i="4"/>
  <c r="BC68" i="4"/>
  <c r="GM70" i="4"/>
  <c r="BB68" i="4"/>
  <c r="GL70" i="4"/>
  <c r="BA68" i="4"/>
  <c r="GK70" i="4"/>
  <c r="AZ68" i="4"/>
  <c r="GJ70" i="4"/>
  <c r="AY68" i="4"/>
  <c r="GI70" i="4"/>
  <c r="AX68" i="4"/>
  <c r="GH70" i="4"/>
  <c r="AW68" i="4"/>
  <c r="GG70" i="4"/>
  <c r="AV68" i="4"/>
  <c r="GF70" i="4"/>
  <c r="AU68" i="4"/>
  <c r="GE70" i="4"/>
  <c r="AT68" i="4"/>
  <c r="GD70" i="4"/>
  <c r="AS68" i="4"/>
  <c r="GC70" i="4"/>
  <c r="AR68" i="4"/>
  <c r="GB70" i="4"/>
  <c r="AQ68" i="4"/>
  <c r="GA70" i="4"/>
  <c r="AP68" i="4"/>
  <c r="FZ70" i="4"/>
  <c r="AO68" i="4"/>
  <c r="FY70" i="4"/>
  <c r="AN68" i="4"/>
  <c r="FX70" i="4"/>
  <c r="AM68" i="4"/>
  <c r="FW70" i="4"/>
  <c r="AL68" i="4"/>
  <c r="FV70" i="4"/>
  <c r="AK68" i="4"/>
  <c r="FU70" i="4"/>
  <c r="AJ68" i="4"/>
  <c r="FT70" i="4"/>
  <c r="AI68" i="4"/>
  <c r="FS70" i="4"/>
  <c r="AH68" i="4"/>
  <c r="FR70" i="4"/>
  <c r="AG68" i="4"/>
  <c r="FQ70" i="4"/>
  <c r="AF68" i="4"/>
  <c r="FP70" i="4"/>
  <c r="AE68" i="4"/>
  <c r="FO70" i="4"/>
  <c r="AD68" i="4"/>
  <c r="FN70" i="4"/>
  <c r="AC68" i="4"/>
  <c r="FM70" i="4"/>
  <c r="AB68" i="4"/>
  <c r="FL70" i="4"/>
  <c r="AA68" i="4"/>
  <c r="FK70" i="4"/>
  <c r="Z68" i="4"/>
  <c r="FJ70" i="4"/>
  <c r="Y68" i="4"/>
  <c r="FI70" i="4"/>
  <c r="X68" i="4"/>
  <c r="FH70" i="4"/>
  <c r="W68" i="4"/>
  <c r="FG70" i="4"/>
  <c r="V68" i="4"/>
  <c r="FF70" i="4"/>
  <c r="U68" i="4"/>
  <c r="FE70" i="4"/>
  <c r="T68" i="4"/>
  <c r="FD70" i="4"/>
  <c r="G239" i="4"/>
  <c r="H239" i="4" s="1"/>
  <c r="I239" i="4" s="1"/>
  <c r="B26" i="1"/>
  <c r="B194" i="4" s="1"/>
  <c r="B80" i="4"/>
  <c r="G257" i="4"/>
  <c r="P3" i="1"/>
  <c r="B7" i="1"/>
  <c r="B21" i="3"/>
  <c r="B20" i="3"/>
  <c r="B19" i="3"/>
  <c r="B18" i="3"/>
  <c r="H261" i="4"/>
  <c r="I261" i="4" s="1"/>
  <c r="H260" i="4"/>
  <c r="I260" i="4" s="1"/>
  <c r="H259" i="4"/>
  <c r="I259" i="4" s="1"/>
  <c r="H258" i="4"/>
  <c r="I258" i="4" s="1"/>
  <c r="I257" i="4"/>
  <c r="H257" i="4"/>
  <c r="H238" i="4"/>
  <c r="I238" i="4" s="1"/>
  <c r="H240" i="4"/>
  <c r="I240" i="4" s="1"/>
  <c r="G10" i="6"/>
  <c r="G35" i="6" s="1"/>
  <c r="G52" i="6" s="1"/>
  <c r="G66" i="6" s="1"/>
  <c r="G75" i="6" s="1"/>
  <c r="G90" i="6" s="1"/>
  <c r="G98" i="6" s="1"/>
  <c r="G106" i="6" s="1"/>
  <c r="G110" i="6" s="1"/>
  <c r="G125" i="6" s="1"/>
  <c r="F177" i="4"/>
  <c r="E177" i="4"/>
  <c r="D177" i="4"/>
  <c r="H5" i="7"/>
  <c r="E20" i="7"/>
  <c r="B20" i="7"/>
  <c r="E11" i="7"/>
  <c r="F41" i="7"/>
  <c r="F40" i="7"/>
  <c r="H24" i="7"/>
  <c r="H28" i="7" s="1"/>
  <c r="F110" i="4" s="1"/>
  <c r="F138" i="4" s="1"/>
  <c r="H17" i="7"/>
  <c r="H11" i="7"/>
  <c r="G95" i="4"/>
  <c r="F196" i="4"/>
  <c r="G104" i="4"/>
  <c r="D95" i="4"/>
  <c r="G24" i="4"/>
  <c r="G61" i="4" s="1"/>
  <c r="G70" i="4" s="1"/>
  <c r="F18" i="4"/>
  <c r="B18" i="4"/>
  <c r="D15" i="4"/>
  <c r="E10" i="1"/>
  <c r="E9" i="1"/>
  <c r="G6" i="9"/>
  <c r="B3" i="9"/>
  <c r="R2" i="9"/>
  <c r="ES67" i="4"/>
  <c r="KC69" i="4"/>
  <c r="ER67" i="4"/>
  <c r="KB69" i="4"/>
  <c r="EQ67" i="4"/>
  <c r="KA69" i="4"/>
  <c r="EP67" i="4"/>
  <c r="JZ69" i="4"/>
  <c r="EO67" i="4"/>
  <c r="JY69" i="4"/>
  <c r="EN67" i="4"/>
  <c r="JX69" i="4"/>
  <c r="EM67" i="4"/>
  <c r="JW69" i="4"/>
  <c r="EL67" i="4"/>
  <c r="JV69" i="4"/>
  <c r="EK67" i="4"/>
  <c r="JU69" i="4"/>
  <c r="EJ67" i="4"/>
  <c r="JT69" i="4"/>
  <c r="EI67" i="4"/>
  <c r="JS69" i="4"/>
  <c r="EH67" i="4"/>
  <c r="JR69" i="4"/>
  <c r="EG67" i="4"/>
  <c r="JQ69" i="4"/>
  <c r="EF67" i="4"/>
  <c r="JP69" i="4"/>
  <c r="EE67" i="4"/>
  <c r="JO69" i="4"/>
  <c r="ED67" i="4"/>
  <c r="JN69" i="4"/>
  <c r="EC67" i="4"/>
  <c r="JM69" i="4"/>
  <c r="EB67" i="4"/>
  <c r="JL69" i="4"/>
  <c r="EA67" i="4"/>
  <c r="JK69" i="4"/>
  <c r="DZ67" i="4"/>
  <c r="JJ69" i="4"/>
  <c r="DY67" i="4"/>
  <c r="JI69" i="4"/>
  <c r="DX67" i="4"/>
  <c r="JH69" i="4"/>
  <c r="DW67" i="4"/>
  <c r="JG69" i="4"/>
  <c r="DV67" i="4"/>
  <c r="JF69" i="4"/>
  <c r="DU67" i="4"/>
  <c r="JE69" i="4"/>
  <c r="DT67" i="4"/>
  <c r="JD69" i="4"/>
  <c r="DS67" i="4"/>
  <c r="JC69" i="4"/>
  <c r="DR67" i="4"/>
  <c r="JB69" i="4"/>
  <c r="DQ67" i="4"/>
  <c r="JA69" i="4"/>
  <c r="DP67" i="4"/>
  <c r="IZ69" i="4"/>
  <c r="DO67" i="4"/>
  <c r="IY69" i="4"/>
  <c r="DN67" i="4"/>
  <c r="IX69" i="4"/>
  <c r="DM67" i="4"/>
  <c r="IW69" i="4"/>
  <c r="DL67" i="4"/>
  <c r="IV69" i="4"/>
  <c r="DK67" i="4"/>
  <c r="IU69" i="4"/>
  <c r="DJ67" i="4"/>
  <c r="IT69" i="4"/>
  <c r="DI67" i="4"/>
  <c r="IS69" i="4"/>
  <c r="DH67" i="4"/>
  <c r="IR69" i="4"/>
  <c r="DG67" i="4"/>
  <c r="IQ69" i="4"/>
  <c r="DF67" i="4"/>
  <c r="IP69" i="4"/>
  <c r="DE67" i="4"/>
  <c r="IO69" i="4"/>
  <c r="DD67" i="4"/>
  <c r="IN69" i="4"/>
  <c r="DC67" i="4"/>
  <c r="IM69" i="4"/>
  <c r="DB67" i="4"/>
  <c r="IL69" i="4"/>
  <c r="DA67" i="4"/>
  <c r="IK69" i="4"/>
  <c r="CZ67" i="4"/>
  <c r="IJ69" i="4"/>
  <c r="CY67" i="4"/>
  <c r="II69" i="4"/>
  <c r="CX67" i="4"/>
  <c r="IH69" i="4"/>
  <c r="CW67" i="4"/>
  <c r="IG69" i="4"/>
  <c r="CV67" i="4"/>
  <c r="IF69" i="4"/>
  <c r="CU67" i="4"/>
  <c r="IE69" i="4"/>
  <c r="CT67" i="4"/>
  <c r="ID69" i="4"/>
  <c r="CS67" i="4"/>
  <c r="IC69" i="4"/>
  <c r="CR67" i="4"/>
  <c r="IB69" i="4"/>
  <c r="CQ67" i="4"/>
  <c r="IA69" i="4"/>
  <c r="CP67" i="4"/>
  <c r="HZ69" i="4"/>
  <c r="CO67" i="4"/>
  <c r="HY69" i="4"/>
  <c r="CN67" i="4"/>
  <c r="HX69" i="4"/>
  <c r="CM67" i="4"/>
  <c r="HW69" i="4"/>
  <c r="CL67" i="4"/>
  <c r="HV69" i="4"/>
  <c r="CK67" i="4"/>
  <c r="HU69" i="4"/>
  <c r="CJ67" i="4"/>
  <c r="HT69" i="4"/>
  <c r="CI67" i="4"/>
  <c r="HS69" i="4"/>
  <c r="CH67" i="4"/>
  <c r="HR69" i="4"/>
  <c r="CG67" i="4"/>
  <c r="HQ69" i="4"/>
  <c r="CF67" i="4"/>
  <c r="HP69" i="4"/>
  <c r="CE67" i="4"/>
  <c r="HO69" i="4"/>
  <c r="CD67" i="4"/>
  <c r="HN69" i="4"/>
  <c r="CC67" i="4"/>
  <c r="HM69" i="4"/>
  <c r="CB67" i="4"/>
  <c r="HL69" i="4"/>
  <c r="CA67" i="4"/>
  <c r="HK69" i="4"/>
  <c r="BZ67" i="4"/>
  <c r="HJ69" i="4"/>
  <c r="BY67" i="4"/>
  <c r="HI69" i="4"/>
  <c r="BX67" i="4"/>
  <c r="HH69" i="4"/>
  <c r="BW67" i="4"/>
  <c r="HG69" i="4"/>
  <c r="BV67" i="4"/>
  <c r="HF69" i="4"/>
  <c r="BU67" i="4"/>
  <c r="HE69" i="4"/>
  <c r="BT67" i="4"/>
  <c r="HD69" i="4"/>
  <c r="BS67" i="4"/>
  <c r="HC69" i="4"/>
  <c r="BR67" i="4"/>
  <c r="HB69" i="4"/>
  <c r="BQ67" i="4"/>
  <c r="HA69" i="4"/>
  <c r="BP67" i="4"/>
  <c r="GZ69" i="4"/>
  <c r="BO67" i="4"/>
  <c r="GY69" i="4"/>
  <c r="BN67" i="4"/>
  <c r="GX69" i="4"/>
  <c r="BM67" i="4"/>
  <c r="GW69" i="4"/>
  <c r="BL67" i="4"/>
  <c r="GV69" i="4"/>
  <c r="BK67" i="4"/>
  <c r="GU69" i="4"/>
  <c r="BJ67" i="4"/>
  <c r="GT69" i="4"/>
  <c r="BI67" i="4"/>
  <c r="GS69" i="4"/>
  <c r="BH67" i="4"/>
  <c r="GR69" i="4"/>
  <c r="BG67" i="4"/>
  <c r="GQ69" i="4"/>
  <c r="BF67" i="4"/>
  <c r="GP69" i="4"/>
  <c r="BE67" i="4"/>
  <c r="GO69" i="4"/>
  <c r="BD67" i="4"/>
  <c r="GN69" i="4"/>
  <c r="BC67" i="4"/>
  <c r="GM69" i="4"/>
  <c r="BB67" i="4"/>
  <c r="GL69" i="4"/>
  <c r="BA67" i="4"/>
  <c r="GK69" i="4"/>
  <c r="AZ67" i="4"/>
  <c r="GJ69" i="4"/>
  <c r="AY67" i="4"/>
  <c r="GI69" i="4"/>
  <c r="AX67" i="4"/>
  <c r="GH69" i="4"/>
  <c r="AW67" i="4"/>
  <c r="GG69" i="4"/>
  <c r="AV67" i="4"/>
  <c r="GF69" i="4"/>
  <c r="AU67" i="4"/>
  <c r="GE69" i="4"/>
  <c r="AT67" i="4"/>
  <c r="GD69" i="4"/>
  <c r="AS67" i="4"/>
  <c r="GC69" i="4"/>
  <c r="AR67" i="4"/>
  <c r="GB69" i="4"/>
  <c r="AQ67" i="4"/>
  <c r="GA69" i="4"/>
  <c r="AP67" i="4"/>
  <c r="FZ69" i="4"/>
  <c r="AO67" i="4"/>
  <c r="FY69" i="4"/>
  <c r="AN67" i="4"/>
  <c r="FX69" i="4"/>
  <c r="AM67" i="4"/>
  <c r="FW69" i="4"/>
  <c r="AL67" i="4"/>
  <c r="FV69" i="4"/>
  <c r="AK67" i="4"/>
  <c r="FU69" i="4"/>
  <c r="AJ67" i="4"/>
  <c r="FT69" i="4"/>
  <c r="AI67" i="4"/>
  <c r="FS69" i="4"/>
  <c r="AH67" i="4"/>
  <c r="FR69" i="4"/>
  <c r="AG67" i="4"/>
  <c r="FQ69" i="4"/>
  <c r="AF67" i="4"/>
  <c r="FP69" i="4"/>
  <c r="AE67" i="4"/>
  <c r="FO69" i="4"/>
  <c r="AD67" i="4"/>
  <c r="FN69" i="4"/>
  <c r="AC67" i="4"/>
  <c r="FM69" i="4"/>
  <c r="AB67" i="4"/>
  <c r="FL69" i="4"/>
  <c r="AA67" i="4"/>
  <c r="FK69" i="4"/>
  <c r="Z67" i="4"/>
  <c r="FJ69" i="4"/>
  <c r="Y67" i="4"/>
  <c r="FI69" i="4"/>
  <c r="X67" i="4"/>
  <c r="FH69" i="4"/>
  <c r="W67" i="4"/>
  <c r="FG69" i="4"/>
  <c r="V67" i="4"/>
  <c r="FF69" i="4"/>
  <c r="U67" i="4"/>
  <c r="FE69" i="4"/>
  <c r="T67" i="4"/>
  <c r="FD69" i="4"/>
  <c r="G89" i="4"/>
  <c r="EY47" i="4"/>
  <c r="EX47" i="4"/>
  <c r="EZ47" i="4" s="1"/>
  <c r="E5" i="1"/>
  <c r="B3" i="1"/>
  <c r="I14" i="7"/>
  <c r="I13" i="7"/>
  <c r="G98" i="4"/>
  <c r="G96" i="4"/>
  <c r="EU98" i="4"/>
  <c r="I98" i="4"/>
  <c r="M37" i="1"/>
  <c r="M36" i="1"/>
  <c r="M35" i="1"/>
  <c r="M34" i="1"/>
  <c r="P33" i="1"/>
  <c r="O33" i="1"/>
  <c r="P37" i="1"/>
  <c r="O37" i="1"/>
  <c r="P36" i="1"/>
  <c r="O36" i="1"/>
  <c r="P35" i="1"/>
  <c r="O35" i="1"/>
  <c r="C285" i="4"/>
  <c r="G276" i="4"/>
  <c r="N34" i="1" s="1"/>
  <c r="G32" i="1"/>
  <c r="G33" i="1"/>
  <c r="G34" i="1"/>
  <c r="G35" i="1"/>
  <c r="L31" i="1"/>
  <c r="L30" i="1"/>
  <c r="L29" i="1"/>
  <c r="E14" i="1"/>
  <c r="E13" i="1"/>
  <c r="P2" i="1"/>
  <c r="B230" i="4"/>
  <c r="B229" i="4"/>
  <c r="L23" i="1" s="1"/>
  <c r="B227" i="4"/>
  <c r="B34" i="1" s="1"/>
  <c r="E253" i="4"/>
  <c r="E254" i="4" s="1"/>
  <c r="E255" i="4" s="1"/>
  <c r="C270" i="4"/>
  <c r="B270" i="4"/>
  <c r="C269" i="4"/>
  <c r="B269" i="4"/>
  <c r="C265" i="4"/>
  <c r="B265" i="4"/>
  <c r="C264" i="4"/>
  <c r="B264" i="4"/>
  <c r="EU262" i="4"/>
  <c r="F261" i="4"/>
  <c r="EU253" i="4"/>
  <c r="H254" i="4"/>
  <c r="H255" i="4" s="1"/>
  <c r="EU244" i="4"/>
  <c r="EU230" i="4"/>
  <c r="EU220" i="4"/>
  <c r="H224" i="4"/>
  <c r="B36" i="1"/>
  <c r="EU206" i="4"/>
  <c r="F240" i="4"/>
  <c r="C244" i="4"/>
  <c r="C249" i="4" s="1"/>
  <c r="D39" i="7"/>
  <c r="EQ14" i="7"/>
  <c r="EQ13" i="7"/>
  <c r="EQ12" i="7"/>
  <c r="B19" i="7"/>
  <c r="B18" i="7"/>
  <c r="K3" i="7"/>
  <c r="E15" i="7"/>
  <c r="G20" i="7"/>
  <c r="B10" i="6"/>
  <c r="B33" i="6" s="1"/>
  <c r="B17" i="6"/>
  <c r="E17" i="6"/>
  <c r="B24" i="6"/>
  <c r="E24" i="6"/>
  <c r="B31" i="6"/>
  <c r="E31" i="6"/>
  <c r="B35" i="6"/>
  <c r="B50" i="6" s="1"/>
  <c r="E36" i="6"/>
  <c r="E37" i="6"/>
  <c r="E38" i="6"/>
  <c r="E39" i="6"/>
  <c r="E40" i="6"/>
  <c r="E41" i="6"/>
  <c r="E42" i="6"/>
  <c r="E43" i="6"/>
  <c r="E44" i="6"/>
  <c r="E45" i="6"/>
  <c r="E46" i="6"/>
  <c r="C47" i="6"/>
  <c r="D47" i="6"/>
  <c r="B52" i="6"/>
  <c r="B64" i="6" s="1"/>
  <c r="E64" i="6"/>
  <c r="B66" i="6"/>
  <c r="B73" i="6" s="1"/>
  <c r="E73" i="6"/>
  <c r="B75" i="6"/>
  <c r="B88" i="6" s="1"/>
  <c r="E88" i="6"/>
  <c r="B90" i="6"/>
  <c r="B96" i="6" s="1"/>
  <c r="E96" i="6"/>
  <c r="F101" i="6"/>
  <c r="B106" i="6"/>
  <c r="B108" i="6" s="1"/>
  <c r="F107" i="6"/>
  <c r="B110" i="6"/>
  <c r="B116" i="6" s="1"/>
  <c r="E116" i="6"/>
  <c r="B118" i="6"/>
  <c r="B125" i="6" s="1"/>
  <c r="G120" i="6"/>
  <c r="E127" i="6"/>
  <c r="G121" i="6"/>
  <c r="E128" i="6"/>
  <c r="G122" i="6"/>
  <c r="E129" i="6"/>
  <c r="B126" i="6"/>
  <c r="E126" i="6"/>
  <c r="B127" i="6"/>
  <c r="B128" i="6"/>
  <c r="B129" i="6"/>
  <c r="B130" i="6"/>
  <c r="B2" i="7"/>
  <c r="B186" i="4"/>
  <c r="B185" i="4"/>
  <c r="I31" i="7"/>
  <c r="I30" i="7"/>
  <c r="I29" i="7"/>
  <c r="I32" i="7"/>
  <c r="E33" i="6"/>
  <c r="H39" i="7"/>
  <c r="I39" i="7"/>
  <c r="G18" i="7"/>
  <c r="G19" i="7"/>
  <c r="E47" i="6"/>
  <c r="I33" i="7"/>
  <c r="E48" i="6"/>
  <c r="I19" i="7"/>
  <c r="H19" i="7"/>
  <c r="I20" i="7"/>
  <c r="H20" i="7"/>
  <c r="H33" i="7"/>
  <c r="I18" i="7"/>
  <c r="H18" i="7"/>
  <c r="I116" i="4"/>
  <c r="B2" i="6"/>
  <c r="I21" i="7"/>
  <c r="H21" i="7"/>
  <c r="EW94" i="4"/>
  <c r="EW49" i="4"/>
  <c r="EW38" i="4"/>
  <c r="EW31" i="4"/>
  <c r="H233" i="4"/>
  <c r="H234" i="4" s="1"/>
  <c r="EZ71" i="4"/>
  <c r="B192" i="4"/>
  <c r="I192" i="4"/>
  <c r="G192" i="4"/>
  <c r="I26" i="1" s="1"/>
  <c r="I191" i="4"/>
  <c r="I218" i="4" s="1"/>
  <c r="P28" i="1" s="1"/>
  <c r="H191" i="4"/>
  <c r="G191" i="4"/>
  <c r="I188" i="4"/>
  <c r="H188" i="4"/>
  <c r="G188" i="4"/>
  <c r="G154" i="4"/>
  <c r="B189" i="4"/>
  <c r="B187" i="4"/>
  <c r="B183" i="4"/>
  <c r="B181" i="4"/>
  <c r="B179" i="4"/>
  <c r="B178" i="4"/>
  <c r="B38" i="9" s="1"/>
  <c r="B177" i="4"/>
  <c r="B37" i="9" s="1"/>
  <c r="B176" i="4"/>
  <c r="B36" i="9" s="1"/>
  <c r="B174" i="4"/>
  <c r="B34" i="9" s="1"/>
  <c r="B173" i="4"/>
  <c r="B33" i="9" s="1"/>
  <c r="B172" i="4"/>
  <c r="B32" i="9" s="1"/>
  <c r="B171" i="4"/>
  <c r="B31" i="9" s="1"/>
  <c r="B170" i="4"/>
  <c r="B30" i="9" s="1"/>
  <c r="B169" i="4"/>
  <c r="B29" i="9" s="1"/>
  <c r="B168" i="4"/>
  <c r="B166" i="4"/>
  <c r="B163" i="4"/>
  <c r="B161" i="4"/>
  <c r="B159" i="4"/>
  <c r="B158" i="4"/>
  <c r="B157" i="4"/>
  <c r="B156" i="4"/>
  <c r="B155" i="4"/>
  <c r="B154" i="4"/>
  <c r="B153" i="4"/>
  <c r="B152" i="4"/>
  <c r="EZ130" i="4"/>
  <c r="EY130" i="4"/>
  <c r="EX130" i="4"/>
  <c r="EW129" i="4"/>
  <c r="EW127" i="4"/>
  <c r="EW126" i="4"/>
  <c r="EW125" i="4"/>
  <c r="EW124" i="4"/>
  <c r="EW123" i="4"/>
  <c r="EW122" i="4"/>
  <c r="EW121" i="4"/>
  <c r="EZ118" i="4"/>
  <c r="EU96" i="4"/>
  <c r="Q88" i="4"/>
  <c r="Q70" i="4"/>
  <c r="EW98" i="4"/>
  <c r="EX98" i="4"/>
  <c r="EX96" i="4"/>
  <c r="EW96" i="4"/>
  <c r="EU56" i="4"/>
  <c r="G185" i="4"/>
  <c r="G169" i="4"/>
  <c r="G171" i="4"/>
  <c r="G174" i="4"/>
  <c r="G173" i="4"/>
  <c r="G175" i="4"/>
  <c r="EY48" i="4"/>
  <c r="EY43" i="4"/>
  <c r="EY42" i="4"/>
  <c r="EY41" i="4"/>
  <c r="EY37" i="4"/>
  <c r="EY34" i="4"/>
  <c r="EY30" i="4"/>
  <c r="EY27" i="4"/>
  <c r="EY26" i="4"/>
  <c r="EX48" i="4"/>
  <c r="EZ48" i="4" s="1"/>
  <c r="EX43" i="4"/>
  <c r="EX42" i="4"/>
  <c r="EZ42" i="4" s="1"/>
  <c r="EX41" i="4"/>
  <c r="EZ41" i="4" s="1"/>
  <c r="EX37" i="4"/>
  <c r="EZ37" i="4" s="1"/>
  <c r="EX34" i="4"/>
  <c r="EZ34" i="4" s="1"/>
  <c r="EX30" i="4"/>
  <c r="EZ30" i="4" s="1"/>
  <c r="FA22" i="4"/>
  <c r="FA3" i="4"/>
  <c r="M4" i="3"/>
  <c r="N4" i="3"/>
  <c r="O4" i="3"/>
  <c r="P4" i="3"/>
  <c r="Q4" i="3"/>
  <c r="N5" i="3"/>
  <c r="O5" i="3"/>
  <c r="P5" i="3"/>
  <c r="Q5" i="3"/>
  <c r="R5" i="3"/>
  <c r="S5" i="3"/>
  <c r="T5" i="3"/>
  <c r="U5" i="3"/>
  <c r="V5" i="3"/>
  <c r="W5" i="3"/>
  <c r="X5" i="3"/>
  <c r="Y5" i="3"/>
  <c r="Z5" i="3"/>
  <c r="AA5" i="3"/>
  <c r="AB5" i="3"/>
  <c r="AC5" i="3"/>
  <c r="AD5" i="3"/>
  <c r="AE5" i="3"/>
  <c r="AF5" i="3"/>
  <c r="AG5" i="3"/>
  <c r="AH5" i="3"/>
  <c r="AI5" i="3"/>
  <c r="AJ5" i="3"/>
  <c r="AK5" i="3"/>
  <c r="L6" i="3"/>
  <c r="R4" i="3"/>
  <c r="B3" i="3"/>
  <c r="G170" i="4"/>
  <c r="S4" i="3"/>
  <c r="D49" i="4"/>
  <c r="D38" i="4"/>
  <c r="D31" i="4"/>
  <c r="T4" i="3"/>
  <c r="Q2" i="4"/>
  <c r="E19" i="4"/>
  <c r="E11" i="1" s="1"/>
  <c r="U4" i="3"/>
  <c r="EU37" i="4"/>
  <c r="V4" i="3"/>
  <c r="B2" i="4"/>
  <c r="ER14" i="7"/>
  <c r="W4" i="3"/>
  <c r="EU26" i="4"/>
  <c r="X4" i="3"/>
  <c r="Y4" i="3"/>
  <c r="Z4" i="3"/>
  <c r="AA4" i="3"/>
  <c r="AB4" i="3"/>
  <c r="AC4" i="3"/>
  <c r="AD4" i="3"/>
  <c r="AE4" i="3"/>
  <c r="AF4" i="3"/>
  <c r="AG4" i="3"/>
  <c r="AH4" i="3"/>
  <c r="AI4" i="3"/>
  <c r="AJ4" i="3"/>
  <c r="AK4" i="3"/>
  <c r="I6" i="3"/>
  <c r="AK6" i="3"/>
  <c r="O6" i="3"/>
  <c r="N6" i="3"/>
  <c r="M6" i="3"/>
  <c r="P6" i="3"/>
  <c r="R6" i="3"/>
  <c r="Q6" i="3"/>
  <c r="S6" i="3"/>
  <c r="T6" i="3"/>
  <c r="U6" i="3"/>
  <c r="V6" i="3"/>
  <c r="W6" i="3"/>
  <c r="X6" i="3"/>
  <c r="Y6" i="3"/>
  <c r="Z6" i="3"/>
  <c r="AA6" i="3"/>
  <c r="AB6" i="3"/>
  <c r="AC6" i="3"/>
  <c r="AD6" i="3"/>
  <c r="AE6" i="3"/>
  <c r="AF6" i="3"/>
  <c r="AG6" i="3"/>
  <c r="AH6" i="3"/>
  <c r="AI6" i="3"/>
  <c r="AJ6" i="3"/>
  <c r="C85" i="4"/>
  <c r="D18" i="1"/>
  <c r="I150" i="4"/>
  <c r="H13" i="4"/>
  <c r="FA60" i="4"/>
  <c r="I12" i="7"/>
  <c r="I10" i="7"/>
  <c r="I15" i="7"/>
  <c r="H15" i="7"/>
  <c r="I23" i="7"/>
  <c r="G15" i="7"/>
  <c r="E40" i="7"/>
  <c r="I24" i="7"/>
  <c r="I25" i="7"/>
  <c r="I40" i="7"/>
  <c r="I41" i="7"/>
  <c r="I42" i="7"/>
  <c r="D40" i="7"/>
  <c r="H40" i="7"/>
  <c r="H41" i="7"/>
  <c r="H42" i="7"/>
  <c r="H25" i="7"/>
  <c r="I35" i="7"/>
  <c r="I45" i="7"/>
  <c r="I138" i="4"/>
  <c r="G186" i="4" s="1"/>
  <c r="H35" i="7"/>
  <c r="I110" i="4"/>
  <c r="G162" i="4" s="1"/>
  <c r="E138" i="4"/>
  <c r="E110" i="4"/>
  <c r="H45" i="7"/>
  <c r="I5" i="7"/>
  <c r="EU30" i="4"/>
  <c r="EU47" i="4"/>
  <c r="D37" i="1"/>
  <c r="E229" i="4"/>
  <c r="G229" i="4"/>
  <c r="N23" i="1" s="1"/>
  <c r="I229" i="4"/>
  <c r="P23" i="1" s="1"/>
  <c r="H229" i="4"/>
  <c r="O23" i="1" s="1"/>
  <c r="D229" i="4"/>
  <c r="C62" i="4"/>
  <c r="G218" i="4" l="1"/>
  <c r="N28" i="1" s="1"/>
  <c r="F15" i="11"/>
  <c r="E16" i="11" s="1"/>
  <c r="H218" i="4"/>
  <c r="I220" i="4"/>
  <c r="P30" i="1" s="1"/>
  <c r="F18" i="11"/>
  <c r="EV46" i="4"/>
  <c r="E99" i="4"/>
  <c r="EZ46" i="4"/>
  <c r="E8" i="1"/>
  <c r="S2" i="4"/>
  <c r="B131" i="6"/>
  <c r="M3" i="7"/>
  <c r="L3" i="7"/>
  <c r="EZ35" i="4"/>
  <c r="EY81" i="4"/>
  <c r="EY82" i="4" s="1"/>
  <c r="C68" i="4"/>
  <c r="C293" i="4"/>
  <c r="B99" i="6"/>
  <c r="B228" i="4"/>
  <c r="B35" i="1" s="1"/>
  <c r="Q89" i="4"/>
  <c r="D59" i="4"/>
  <c r="EW47" i="4"/>
  <c r="EZ43" i="4"/>
  <c r="F37" i="1"/>
  <c r="E37" i="1" s="1"/>
  <c r="EV27" i="4"/>
  <c r="FB22" i="4"/>
  <c r="G220" i="4"/>
  <c r="N30" i="1" s="1"/>
  <c r="B175" i="4"/>
  <c r="B35" i="9" s="1"/>
  <c r="Q47" i="4"/>
  <c r="R70" i="4"/>
  <c r="R28" i="4"/>
  <c r="E31" i="4"/>
  <c r="E59" i="4" s="1"/>
  <c r="D147" i="4" s="1"/>
  <c r="R83" i="4"/>
  <c r="R47" i="4"/>
  <c r="Q44" i="4"/>
  <c r="Q30" i="4"/>
  <c r="R30" i="4"/>
  <c r="EU28" i="4"/>
  <c r="Q28" i="4"/>
  <c r="I17" i="4"/>
  <c r="F41" i="6"/>
  <c r="F20" i="6"/>
  <c r="D99" i="4"/>
  <c r="F99" i="4"/>
  <c r="F22" i="6"/>
  <c r="Q75" i="4"/>
  <c r="Q54" i="4"/>
  <c r="FA76" i="4"/>
  <c r="S198" i="4"/>
  <c r="R198" i="4"/>
  <c r="I13" i="4"/>
  <c r="Q198" i="4"/>
  <c r="FC2" i="4"/>
  <c r="M2" i="7"/>
  <c r="FC3" i="4"/>
  <c r="T3" i="4"/>
  <c r="S83" i="4"/>
  <c r="EZ27" i="4"/>
  <c r="R27" i="4"/>
  <c r="Q27" i="4"/>
  <c r="EV28" i="4"/>
  <c r="EW28" i="4"/>
  <c r="EW27" i="4"/>
  <c r="K5" i="7"/>
  <c r="FA23" i="4"/>
  <c r="B2" i="1"/>
  <c r="B2" i="9"/>
  <c r="FA53" i="4"/>
  <c r="FA57" i="4"/>
  <c r="R26" i="4"/>
  <c r="EZ26" i="4"/>
  <c r="FA201" i="4"/>
  <c r="FA2" i="4"/>
  <c r="K2" i="7"/>
  <c r="FA198" i="4"/>
  <c r="EV30" i="4"/>
  <c r="EW30" i="4"/>
  <c r="EV26" i="4"/>
  <c r="FB3" i="4"/>
  <c r="R2" i="4"/>
  <c r="Q26" i="4"/>
  <c r="EW26" i="4"/>
  <c r="R23" i="4"/>
  <c r="EV36" i="4" s="1"/>
  <c r="S22" i="4"/>
  <c r="R44" i="4"/>
  <c r="I31" i="4"/>
  <c r="C4" i="11" s="1"/>
  <c r="I99" i="4"/>
  <c r="G152" i="4" s="1"/>
  <c r="EV211" i="4"/>
  <c r="L21" i="1"/>
  <c r="G277" i="4"/>
  <c r="K26" i="1"/>
  <c r="O28" i="1" l="1"/>
  <c r="F21" i="6"/>
  <c r="C10" i="11"/>
  <c r="C12" i="11" s="1"/>
  <c r="E24" i="11"/>
  <c r="E29" i="11"/>
  <c r="F81" i="6"/>
  <c r="E4" i="11"/>
  <c r="G31" i="7"/>
  <c r="H36" i="4"/>
  <c r="H62" i="4"/>
  <c r="I129" i="4"/>
  <c r="G177" i="4" s="1"/>
  <c r="F94" i="6"/>
  <c r="G30" i="7"/>
  <c r="F13" i="6"/>
  <c r="F58" i="6"/>
  <c r="F57" i="6"/>
  <c r="EV35" i="4"/>
  <c r="EV45" i="4"/>
  <c r="H137" i="4"/>
  <c r="G158" i="4"/>
  <c r="F44" i="6"/>
  <c r="F78" i="6"/>
  <c r="F68" i="6"/>
  <c r="H27" i="4"/>
  <c r="H101" i="4"/>
  <c r="H26" i="4"/>
  <c r="E16" i="4"/>
  <c r="F83" i="6"/>
  <c r="F72" i="6"/>
  <c r="H127" i="4"/>
  <c r="H107" i="4"/>
  <c r="F114" i="6"/>
  <c r="F80" i="6"/>
  <c r="F82" i="6"/>
  <c r="H30" i="4"/>
  <c r="E35" i="1"/>
  <c r="H125" i="4"/>
  <c r="I136" i="4"/>
  <c r="G184" i="4" s="1"/>
  <c r="G187" i="4" s="1"/>
  <c r="I24" i="1" s="1"/>
  <c r="F19" i="6"/>
  <c r="F126" i="6"/>
  <c r="F61" i="6"/>
  <c r="L22" i="1"/>
  <c r="H110" i="4"/>
  <c r="F95" i="6"/>
  <c r="F40" i="6"/>
  <c r="F46" i="6"/>
  <c r="F91" i="6"/>
  <c r="H47" i="4"/>
  <c r="F48" i="6"/>
  <c r="H44" i="4"/>
  <c r="D15" i="1"/>
  <c r="Q90" i="4"/>
  <c r="H123" i="4"/>
  <c r="H37" i="4"/>
  <c r="H122" i="4"/>
  <c r="F86" i="6"/>
  <c r="H23" i="4"/>
  <c r="F55" i="6"/>
  <c r="F27" i="6"/>
  <c r="F28" i="6"/>
  <c r="H121" i="4"/>
  <c r="F79" i="6"/>
  <c r="F37" i="6"/>
  <c r="E6" i="1"/>
  <c r="F92" i="6"/>
  <c r="F42" i="6"/>
  <c r="F113" i="6"/>
  <c r="F54" i="6"/>
  <c r="F85" i="6"/>
  <c r="F59" i="6"/>
  <c r="F129" i="6"/>
  <c r="F62" i="6"/>
  <c r="H138" i="4"/>
  <c r="H28" i="4"/>
  <c r="F70" i="6"/>
  <c r="F14" i="6"/>
  <c r="F77" i="6"/>
  <c r="H126" i="4"/>
  <c r="F53" i="6"/>
  <c r="F71" i="6"/>
  <c r="F45" i="6"/>
  <c r="E20" i="4"/>
  <c r="E12" i="1" s="1"/>
  <c r="F56" i="6"/>
  <c r="F23" i="6"/>
  <c r="F39" i="6"/>
  <c r="R31" i="4"/>
  <c r="F111" i="6"/>
  <c r="E102" i="4"/>
  <c r="I102" i="4" s="1"/>
  <c r="I100" i="4"/>
  <c r="H100" i="4" s="1"/>
  <c r="F128" i="6"/>
  <c r="F15" i="6"/>
  <c r="G32" i="7"/>
  <c r="F12" i="6"/>
  <c r="G29" i="7"/>
  <c r="F36" i="6"/>
  <c r="F84" i="6"/>
  <c r="F16" i="6"/>
  <c r="E101" i="6"/>
  <c r="F26" i="6"/>
  <c r="F30" i="6"/>
  <c r="F69" i="6"/>
  <c r="F67" i="6"/>
  <c r="F63" i="6"/>
  <c r="F115" i="6"/>
  <c r="F43" i="6"/>
  <c r="E49" i="6"/>
  <c r="F76" i="6"/>
  <c r="F60" i="6"/>
  <c r="F112" i="6"/>
  <c r="F29" i="6"/>
  <c r="F38" i="6"/>
  <c r="F127" i="6"/>
  <c r="F87" i="6"/>
  <c r="F93" i="6"/>
  <c r="I18" i="4"/>
  <c r="G101" i="6"/>
  <c r="H99" i="4"/>
  <c r="FA28" i="4"/>
  <c r="FA27" i="4"/>
  <c r="FA26" i="4"/>
  <c r="FA30" i="4"/>
  <c r="FA47" i="4"/>
  <c r="FA228" i="4"/>
  <c r="FA229" i="4" s="1"/>
  <c r="FA260" i="4"/>
  <c r="FA261" i="4" s="1"/>
  <c r="FA251" i="4"/>
  <c r="FA252" i="4" s="1"/>
  <c r="FA208" i="4"/>
  <c r="FA209" i="4" s="1"/>
  <c r="FA202" i="4"/>
  <c r="FA203" i="4" s="1"/>
  <c r="FA218" i="4"/>
  <c r="FA219" i="4" s="1"/>
  <c r="FA242" i="4"/>
  <c r="FA243" i="4" s="1"/>
  <c r="Q206" i="4"/>
  <c r="Q199" i="4"/>
  <c r="G54" i="9"/>
  <c r="Q207" i="4"/>
  <c r="Q231" i="4"/>
  <c r="Q252" i="4" s="1"/>
  <c r="Q31" i="4"/>
  <c r="FB2" i="4"/>
  <c r="L2" i="7"/>
  <c r="FB57" i="4"/>
  <c r="FB53" i="4"/>
  <c r="FB198" i="4"/>
  <c r="EV3" i="7"/>
  <c r="FB201" i="4"/>
  <c r="R231" i="4"/>
  <c r="R252" i="4" s="1"/>
  <c r="R199" i="4"/>
  <c r="H54" i="9"/>
  <c r="S231" i="4"/>
  <c r="S252" i="4" s="1"/>
  <c r="I54" i="9"/>
  <c r="U3" i="4"/>
  <c r="N3" i="7"/>
  <c r="FD3" i="4"/>
  <c r="T70" i="4"/>
  <c r="T2" i="4"/>
  <c r="T83" i="4"/>
  <c r="T198" i="4"/>
  <c r="K32" i="1"/>
  <c r="FC201" i="4"/>
  <c r="FC198" i="4"/>
  <c r="FC53" i="4"/>
  <c r="FC57" i="4"/>
  <c r="EW3" i="7"/>
  <c r="T22" i="4"/>
  <c r="S44" i="4"/>
  <c r="S88" i="4"/>
  <c r="S28" i="4"/>
  <c r="S27" i="4"/>
  <c r="FC22" i="4"/>
  <c r="S26" i="4"/>
  <c r="S30" i="4"/>
  <c r="S47" i="4"/>
  <c r="EV42" i="4"/>
  <c r="FB23" i="4"/>
  <c r="S23" i="4"/>
  <c r="L5" i="7"/>
  <c r="EV41" i="4"/>
  <c r="EV34" i="4"/>
  <c r="EV37" i="4"/>
  <c r="R89" i="4"/>
  <c r="EV48" i="4"/>
  <c r="N35" i="1"/>
  <c r="G278" i="4"/>
  <c r="I43" i="4" l="1"/>
  <c r="S43" i="4" s="1"/>
  <c r="E10" i="11"/>
  <c r="E12" i="11" s="1"/>
  <c r="I46" i="4"/>
  <c r="EU43" i="4"/>
  <c r="H43" i="4"/>
  <c r="Q43" i="4"/>
  <c r="R43" i="4"/>
  <c r="G36" i="4"/>
  <c r="D10" i="11"/>
  <c r="D12" i="11" s="1"/>
  <c r="FB122" i="4"/>
  <c r="FC124" i="4"/>
  <c r="H129" i="4"/>
  <c r="H105" i="4"/>
  <c r="F24" i="6"/>
  <c r="FB130" i="4"/>
  <c r="FC123" i="4"/>
  <c r="FC121" i="4"/>
  <c r="FB125" i="4"/>
  <c r="FC129" i="4"/>
  <c r="I139" i="4"/>
  <c r="H139" i="4" s="1"/>
  <c r="H31" i="4"/>
  <c r="G153" i="4"/>
  <c r="FB124" i="4"/>
  <c r="FB127" i="4"/>
  <c r="FC122" i="4"/>
  <c r="FB123" i="4"/>
  <c r="R90" i="4"/>
  <c r="F14" i="7"/>
  <c r="M14" i="7" s="1"/>
  <c r="FB126" i="4"/>
  <c r="FB89" i="4"/>
  <c r="FB152" i="4" s="1"/>
  <c r="FB129" i="4"/>
  <c r="D12" i="7"/>
  <c r="E18" i="7" s="1"/>
  <c r="D16" i="1"/>
  <c r="FC130" i="4"/>
  <c r="FB121" i="4"/>
  <c r="F96" i="6"/>
  <c r="D148" i="4"/>
  <c r="E91" i="4"/>
  <c r="FB94" i="4" s="1"/>
  <c r="FB93" i="4" s="1"/>
  <c r="FC127" i="4"/>
  <c r="FC89" i="4"/>
  <c r="FC152" i="4" s="1"/>
  <c r="FC125" i="4"/>
  <c r="FC126" i="4"/>
  <c r="I103" i="4"/>
  <c r="F107" i="4" s="1"/>
  <c r="F64" i="6"/>
  <c r="G100" i="4"/>
  <c r="E18" i="4"/>
  <c r="F88" i="6"/>
  <c r="F73" i="6"/>
  <c r="F31" i="6"/>
  <c r="F47" i="6"/>
  <c r="F116" i="6"/>
  <c r="G99" i="4"/>
  <c r="F10" i="11" s="1"/>
  <c r="F12" i="11" s="1"/>
  <c r="F17" i="6"/>
  <c r="E50" i="6"/>
  <c r="E103" i="6" s="1"/>
  <c r="F49" i="6"/>
  <c r="G61" i="6"/>
  <c r="G77" i="6"/>
  <c r="G12" i="6"/>
  <c r="G46" i="6"/>
  <c r="G110" i="4"/>
  <c r="G30" i="4"/>
  <c r="G22" i="6"/>
  <c r="G78" i="6"/>
  <c r="G126" i="6"/>
  <c r="G70" i="6"/>
  <c r="G38" i="6"/>
  <c r="G81" i="6"/>
  <c r="G76" i="6"/>
  <c r="G63" i="6"/>
  <c r="G21" i="6"/>
  <c r="G48" i="6"/>
  <c r="G26" i="4"/>
  <c r="G44" i="6"/>
  <c r="G105" i="4"/>
  <c r="G83" i="6"/>
  <c r="G80" i="6"/>
  <c r="G82" i="6"/>
  <c r="G55" i="6"/>
  <c r="G23" i="4"/>
  <c r="G113" i="6"/>
  <c r="G53" i="6"/>
  <c r="G84" i="6"/>
  <c r="G87" i="6"/>
  <c r="G60" i="6"/>
  <c r="G37" i="4"/>
  <c r="G54" i="6"/>
  <c r="G13" i="6"/>
  <c r="G93" i="6"/>
  <c r="G67" i="6"/>
  <c r="G79" i="6"/>
  <c r="G59" i="6"/>
  <c r="G57" i="6"/>
  <c r="G28" i="4"/>
  <c r="G107" i="4"/>
  <c r="G27" i="6"/>
  <c r="G26" i="6"/>
  <c r="G111" i="6"/>
  <c r="G27" i="4"/>
  <c r="G43" i="4"/>
  <c r="G92" i="6"/>
  <c r="G69" i="6"/>
  <c r="G129" i="6"/>
  <c r="G68" i="6"/>
  <c r="G40" i="6"/>
  <c r="G115" i="6"/>
  <c r="G72" i="6"/>
  <c r="G58" i="6"/>
  <c r="G14" i="6"/>
  <c r="G94" i="4"/>
  <c r="G91" i="6"/>
  <c r="G94" i="6"/>
  <c r="G29" i="6"/>
  <c r="G15" i="6"/>
  <c r="G41" i="6"/>
  <c r="G30" i="6"/>
  <c r="G37" i="6"/>
  <c r="G45" i="6"/>
  <c r="G101" i="4"/>
  <c r="G95" i="6"/>
  <c r="G19" i="6"/>
  <c r="G85" i="6"/>
  <c r="G47" i="4"/>
  <c r="G44" i="4"/>
  <c r="G56" i="6"/>
  <c r="G42" i="6"/>
  <c r="G127" i="6"/>
  <c r="G62" i="4"/>
  <c r="G23" i="6"/>
  <c r="G71" i="6"/>
  <c r="G36" i="6"/>
  <c r="G112" i="6"/>
  <c r="E7" i="1"/>
  <c r="G86" i="6"/>
  <c r="G114" i="6"/>
  <c r="G43" i="6"/>
  <c r="G16" i="6"/>
  <c r="G20" i="6"/>
  <c r="G128" i="6"/>
  <c r="G62" i="6"/>
  <c r="G28" i="6"/>
  <c r="G39" i="6"/>
  <c r="G49" i="6"/>
  <c r="J32" i="1"/>
  <c r="T23" i="4"/>
  <c r="T199" i="4" s="1"/>
  <c r="FC23" i="4"/>
  <c r="S89" i="4"/>
  <c r="M5" i="7"/>
  <c r="J54" i="9"/>
  <c r="T231" i="4"/>
  <c r="T252" i="4" s="1"/>
  <c r="FB28" i="4"/>
  <c r="FB27" i="4"/>
  <c r="FB30" i="4"/>
  <c r="FB47" i="4"/>
  <c r="FB26" i="4"/>
  <c r="N2" i="7"/>
  <c r="FD2" i="4"/>
  <c r="FD57" i="4"/>
  <c r="FD123" i="4"/>
  <c r="FD122" i="4"/>
  <c r="FD125" i="4"/>
  <c r="FD130" i="4"/>
  <c r="FD126" i="4"/>
  <c r="FD89" i="4"/>
  <c r="FD198" i="4"/>
  <c r="FD201" i="4"/>
  <c r="FD127" i="4"/>
  <c r="FD121" i="4"/>
  <c r="FD129" i="4"/>
  <c r="EX3" i="7"/>
  <c r="FD53" i="4"/>
  <c r="FD124" i="4"/>
  <c r="V3" i="4"/>
  <c r="FE3" i="4"/>
  <c r="O3" i="7"/>
  <c r="U70" i="4"/>
  <c r="U83" i="4"/>
  <c r="U2" i="4"/>
  <c r="U198" i="4"/>
  <c r="EW14" i="7"/>
  <c r="I67" i="9"/>
  <c r="I53" i="9"/>
  <c r="H67" i="9"/>
  <c r="H53" i="9"/>
  <c r="H55" i="9"/>
  <c r="S31" i="4"/>
  <c r="S95" i="4"/>
  <c r="S90" i="4"/>
  <c r="G67" i="9"/>
  <c r="G53" i="9"/>
  <c r="G55" i="9"/>
  <c r="EV14" i="7"/>
  <c r="S199" i="4"/>
  <c r="U22" i="4"/>
  <c r="FD22" i="4"/>
  <c r="T44" i="4"/>
  <c r="T28" i="4"/>
  <c r="T88" i="4"/>
  <c r="T27" i="4"/>
  <c r="T43" i="4"/>
  <c r="T26" i="4"/>
  <c r="T47" i="4"/>
  <c r="T30" i="4"/>
  <c r="H102" i="4"/>
  <c r="H103" i="4" s="1"/>
  <c r="G155" i="4"/>
  <c r="G102" i="4"/>
  <c r="G279" i="4"/>
  <c r="N36" i="1"/>
  <c r="F4" i="11" l="1"/>
  <c r="F29" i="11"/>
  <c r="F24" i="11"/>
  <c r="U46" i="4"/>
  <c r="G156" i="4"/>
  <c r="H46" i="4"/>
  <c r="G46" i="4"/>
  <c r="EU46" i="4"/>
  <c r="R46" i="4"/>
  <c r="Q46" i="4"/>
  <c r="S46" i="4"/>
  <c r="T46" i="4"/>
  <c r="R102" i="4"/>
  <c r="R97" i="4"/>
  <c r="I32" i="1"/>
  <c r="FB92" i="4"/>
  <c r="FB146" i="4" s="1"/>
  <c r="FB147" i="4" s="1"/>
  <c r="FB148" i="4" s="1"/>
  <c r="FB149" i="4" s="1"/>
  <c r="FB118" i="4"/>
  <c r="FB131" i="4"/>
  <c r="FB91" i="4"/>
  <c r="FB90" i="4" s="1"/>
  <c r="FC91" i="4" s="1"/>
  <c r="FC90" i="4" s="1"/>
  <c r="FD91" i="4" s="1"/>
  <c r="FD90" i="4" s="1"/>
  <c r="FB95" i="4"/>
  <c r="FB120" i="4" s="1"/>
  <c r="R138" i="4" s="1"/>
  <c r="FB154" i="4"/>
  <c r="FB119" i="4"/>
  <c r="FC119" i="4"/>
  <c r="FC154" i="4"/>
  <c r="N14" i="7"/>
  <c r="O14" i="7"/>
  <c r="FC94" i="4"/>
  <c r="FC93" i="4" s="1"/>
  <c r="S107" i="4" s="1"/>
  <c r="L14" i="7"/>
  <c r="FC95" i="4"/>
  <c r="FC120" i="4" s="1"/>
  <c r="S138" i="4" s="1"/>
  <c r="D13" i="7"/>
  <c r="E19" i="7" s="1"/>
  <c r="E21" i="7" s="1"/>
  <c r="FB151" i="4"/>
  <c r="R107" i="4"/>
  <c r="G285" i="4"/>
  <c r="E117" i="4"/>
  <c r="FD117" i="4" s="1"/>
  <c r="FD116" i="4" s="1"/>
  <c r="R130" i="4"/>
  <c r="H85" i="9" s="1"/>
  <c r="ER12" i="7"/>
  <c r="EW12" i="7" s="1"/>
  <c r="FC131" i="4"/>
  <c r="R96" i="4"/>
  <c r="R98" i="4"/>
  <c r="R105" i="4"/>
  <c r="F50" i="6"/>
  <c r="FD94" i="4"/>
  <c r="FD93" i="4" s="1"/>
  <c r="FD151" i="4" s="1"/>
  <c r="H18" i="4"/>
  <c r="F105" i="4"/>
  <c r="I108" i="4"/>
  <c r="F108" i="4" s="1"/>
  <c r="I94" i="4"/>
  <c r="H94" i="4" s="1"/>
  <c r="E17" i="4"/>
  <c r="F33" i="6"/>
  <c r="G31" i="6"/>
  <c r="G103" i="4"/>
  <c r="F21" i="1" s="1"/>
  <c r="F103" i="6"/>
  <c r="G103" i="6"/>
  <c r="G116" i="6"/>
  <c r="G31" i="4"/>
  <c r="G96" i="6"/>
  <c r="G88" i="6"/>
  <c r="G73" i="6"/>
  <c r="G47" i="6"/>
  <c r="G50" i="6" s="1"/>
  <c r="G64" i="6"/>
  <c r="G17" i="6"/>
  <c r="G24" i="6"/>
  <c r="EX14" i="7"/>
  <c r="U231" i="4"/>
  <c r="U252" i="4" s="1"/>
  <c r="K54" i="9"/>
  <c r="O2" i="7"/>
  <c r="FE2" i="4"/>
  <c r="G72" i="9"/>
  <c r="G79" i="9"/>
  <c r="G78" i="9"/>
  <c r="G90" i="9"/>
  <c r="G70" i="9"/>
  <c r="G85" i="9"/>
  <c r="G69" i="9"/>
  <c r="G84" i="9"/>
  <c r="G82" i="9"/>
  <c r="G83" i="9"/>
  <c r="G94" i="9"/>
  <c r="G80" i="9"/>
  <c r="G68" i="9"/>
  <c r="G76" i="9"/>
  <c r="G81" i="9"/>
  <c r="G77" i="9"/>
  <c r="FE124" i="4"/>
  <c r="FE129" i="4"/>
  <c r="FE94" i="4"/>
  <c r="FE93" i="4" s="1"/>
  <c r="FE201" i="4"/>
  <c r="FE57" i="4"/>
  <c r="FE121" i="4"/>
  <c r="FE123" i="4"/>
  <c r="FE127" i="4"/>
  <c r="FE89" i="4"/>
  <c r="FE126" i="4"/>
  <c r="FE130" i="4"/>
  <c r="FE53" i="4"/>
  <c r="FE125" i="4"/>
  <c r="FE122" i="4"/>
  <c r="FE198" i="4"/>
  <c r="EY3" i="7"/>
  <c r="FD95" i="4"/>
  <c r="FD120" i="4" s="1"/>
  <c r="FD119" i="4"/>
  <c r="FD154" i="4"/>
  <c r="FD152" i="4"/>
  <c r="I55" i="9"/>
  <c r="W3" i="4"/>
  <c r="FF3" i="4"/>
  <c r="P3" i="7"/>
  <c r="V83" i="4"/>
  <c r="V2" i="4"/>
  <c r="V70" i="4"/>
  <c r="V198" i="4"/>
  <c r="F12" i="7"/>
  <c r="FD131" i="4"/>
  <c r="T31" i="4"/>
  <c r="J55" i="9" s="1"/>
  <c r="J53" i="9"/>
  <c r="J67" i="9"/>
  <c r="I94" i="9"/>
  <c r="T95" i="4"/>
  <c r="T90" i="4"/>
  <c r="FC28" i="4"/>
  <c r="FC26" i="4"/>
  <c r="FC27" i="4"/>
  <c r="FC30" i="4"/>
  <c r="FC47" i="4"/>
  <c r="U23" i="4"/>
  <c r="FD23" i="4"/>
  <c r="T89" i="4"/>
  <c r="N5" i="7"/>
  <c r="V22" i="4"/>
  <c r="V46" i="4" s="1"/>
  <c r="U44" i="4"/>
  <c r="U28" i="4"/>
  <c r="U43" i="4"/>
  <c r="U88" i="4"/>
  <c r="U27" i="4"/>
  <c r="FE22" i="4"/>
  <c r="U26" i="4"/>
  <c r="U30" i="4"/>
  <c r="U47" i="4"/>
  <c r="FC92" i="4"/>
  <c r="FC118" i="4"/>
  <c r="S102" i="4"/>
  <c r="H94" i="9"/>
  <c r="G280" i="4"/>
  <c r="G281" i="4" s="1"/>
  <c r="N37" i="1"/>
  <c r="T97" i="4" l="1"/>
  <c r="R106" i="4"/>
  <c r="S97" i="4"/>
  <c r="FC97" i="4" s="1"/>
  <c r="FB97" i="4"/>
  <c r="FB98" i="4"/>
  <c r="C108" i="4"/>
  <c r="FB96" i="4"/>
  <c r="S130" i="4"/>
  <c r="I85" i="9" s="1"/>
  <c r="ER13" i="7"/>
  <c r="EX13" i="7" s="1"/>
  <c r="FB155" i="4"/>
  <c r="S96" i="4"/>
  <c r="FC96" i="4" s="1"/>
  <c r="FC151" i="4"/>
  <c r="FC155" i="4" s="1"/>
  <c r="EU35" i="4"/>
  <c r="H35" i="4"/>
  <c r="G35" i="4"/>
  <c r="FB117" i="4"/>
  <c r="FB116" i="4" s="1"/>
  <c r="R123" i="4" s="1"/>
  <c r="H78" i="9" s="1"/>
  <c r="S106" i="4"/>
  <c r="R108" i="4"/>
  <c r="H69" i="9" s="1"/>
  <c r="S98" i="4"/>
  <c r="FC98" i="4" s="1"/>
  <c r="FE117" i="4"/>
  <c r="FE116" i="4" s="1"/>
  <c r="S105" i="4"/>
  <c r="FB153" i="4"/>
  <c r="FC117" i="4"/>
  <c r="FC116" i="4" s="1"/>
  <c r="S125" i="4" s="1"/>
  <c r="I80" i="9" s="1"/>
  <c r="EV12" i="7"/>
  <c r="T130" i="4"/>
  <c r="J85" i="9" s="1"/>
  <c r="R99" i="4"/>
  <c r="FB150" i="4" s="1"/>
  <c r="G159" i="4"/>
  <c r="G161" i="4" s="1"/>
  <c r="G163" i="4" s="1"/>
  <c r="F106" i="4"/>
  <c r="EX12" i="7"/>
  <c r="I111" i="4"/>
  <c r="I113" i="4" s="1"/>
  <c r="G106" i="4"/>
  <c r="G108" i="4" s="1"/>
  <c r="G111" i="4" s="1"/>
  <c r="H106" i="4"/>
  <c r="H108" i="4" s="1"/>
  <c r="G86" i="9"/>
  <c r="G71" i="9"/>
  <c r="G73" i="9" s="1"/>
  <c r="U130" i="4"/>
  <c r="G34" i="4"/>
  <c r="H34" i="4"/>
  <c r="EU34" i="4"/>
  <c r="G33" i="6"/>
  <c r="T127" i="4"/>
  <c r="J82" i="9" s="1"/>
  <c r="T123" i="4"/>
  <c r="J78" i="9" s="1"/>
  <c r="T125" i="4"/>
  <c r="J80" i="9" s="1"/>
  <c r="P2" i="7"/>
  <c r="FF2" i="4"/>
  <c r="FF127" i="4"/>
  <c r="FF57" i="4"/>
  <c r="FF94" i="4"/>
  <c r="FF93" i="4" s="1"/>
  <c r="FF117" i="4"/>
  <c r="FF116" i="4" s="1"/>
  <c r="FF122" i="4"/>
  <c r="FF123" i="4"/>
  <c r="FF125" i="4"/>
  <c r="FF129" i="4"/>
  <c r="FF53" i="4"/>
  <c r="FF201" i="4"/>
  <c r="FF130" i="4"/>
  <c r="FF198" i="4"/>
  <c r="FF124" i="4"/>
  <c r="FF121" i="4"/>
  <c r="FF126" i="4"/>
  <c r="FF89" i="4"/>
  <c r="EZ3" i="7"/>
  <c r="U95" i="4"/>
  <c r="U90" i="4"/>
  <c r="U97" i="4" s="1"/>
  <c r="FE95" i="4"/>
  <c r="FE120" i="4" s="1"/>
  <c r="FE119" i="4"/>
  <c r="FE152" i="4"/>
  <c r="FE154" i="4"/>
  <c r="FE91" i="4"/>
  <c r="FE90" i="4" s="1"/>
  <c r="FE151" i="4"/>
  <c r="FD28" i="4"/>
  <c r="FD47" i="4"/>
  <c r="FD30" i="4"/>
  <c r="FD27" i="4"/>
  <c r="FD26" i="4"/>
  <c r="N12" i="7"/>
  <c r="L12" i="7"/>
  <c r="M12" i="7"/>
  <c r="O12" i="7"/>
  <c r="P12" i="7"/>
  <c r="U31" i="4"/>
  <c r="K55" i="9" s="1"/>
  <c r="V23" i="4"/>
  <c r="FE23" i="4"/>
  <c r="U89" i="4"/>
  <c r="O5" i="7"/>
  <c r="FE131" i="4"/>
  <c r="X3" i="4"/>
  <c r="FG3" i="4"/>
  <c r="Q3" i="7"/>
  <c r="W2" i="4"/>
  <c r="W70" i="4"/>
  <c r="W83" i="4"/>
  <c r="W198" i="4"/>
  <c r="P14" i="7"/>
  <c r="T107" i="4"/>
  <c r="T105" i="4"/>
  <c r="T137" i="4"/>
  <c r="T136" i="4"/>
  <c r="FD92" i="4"/>
  <c r="FD118" i="4"/>
  <c r="T96" i="4"/>
  <c r="T98" i="4"/>
  <c r="T102" i="4"/>
  <c r="T138" i="4"/>
  <c r="T106" i="4"/>
  <c r="W22" i="4"/>
  <c r="W46" i="4" s="1"/>
  <c r="V28" i="4"/>
  <c r="FF22" i="4"/>
  <c r="V43" i="4"/>
  <c r="V44" i="4"/>
  <c r="V27" i="4"/>
  <c r="V26" i="4"/>
  <c r="V88" i="4"/>
  <c r="V30" i="4"/>
  <c r="V47" i="4"/>
  <c r="F13" i="7"/>
  <c r="FD153" i="4"/>
  <c r="T121" i="4"/>
  <c r="J76" i="9" s="1"/>
  <c r="FC146" i="4"/>
  <c r="FC147" i="4" s="1"/>
  <c r="FC148" i="4" s="1"/>
  <c r="FC149" i="4" s="1"/>
  <c r="L54" i="9"/>
  <c r="V231" i="4"/>
  <c r="V252" i="4" s="1"/>
  <c r="J94" i="9"/>
  <c r="FD155" i="4"/>
  <c r="T129" i="4"/>
  <c r="J84" i="9" s="1"/>
  <c r="T122" i="4"/>
  <c r="J77" i="9" s="1"/>
  <c r="U199" i="4"/>
  <c r="T126" i="4"/>
  <c r="J81" i="9" s="1"/>
  <c r="EY12" i="7"/>
  <c r="EY14" i="7"/>
  <c r="K67" i="9"/>
  <c r="K53" i="9"/>
  <c r="FD97" i="4" l="1"/>
  <c r="EY13" i="7"/>
  <c r="I112" i="4"/>
  <c r="EV13" i="7"/>
  <c r="EV15" i="7" s="1"/>
  <c r="L9" i="7" s="1"/>
  <c r="EW13" i="7"/>
  <c r="EW15" i="7" s="1"/>
  <c r="M9" i="7" s="1"/>
  <c r="EX15" i="7"/>
  <c r="N9" i="7" s="1"/>
  <c r="FB99" i="4"/>
  <c r="R100" i="4" s="1"/>
  <c r="H111" i="4"/>
  <c r="FC153" i="4"/>
  <c r="FC156" i="4" s="1"/>
  <c r="S108" i="4"/>
  <c r="I69" i="9" s="1"/>
  <c r="R125" i="4"/>
  <c r="H80" i="9" s="1"/>
  <c r="R122" i="4"/>
  <c r="H77" i="9" s="1"/>
  <c r="R126" i="4"/>
  <c r="H81" i="9" s="1"/>
  <c r="FB156" i="4"/>
  <c r="FB158" i="4" s="1"/>
  <c r="FB159" i="4" s="1"/>
  <c r="R129" i="4"/>
  <c r="H84" i="9" s="1"/>
  <c r="R136" i="4"/>
  <c r="R127" i="4"/>
  <c r="H82" i="9" s="1"/>
  <c r="S99" i="4"/>
  <c r="FC150" i="4" s="1"/>
  <c r="S137" i="4"/>
  <c r="S121" i="4"/>
  <c r="I76" i="9" s="1"/>
  <c r="R121" i="4"/>
  <c r="H76" i="9" s="1"/>
  <c r="R137" i="4"/>
  <c r="S122" i="4"/>
  <c r="I77" i="9" s="1"/>
  <c r="S123" i="4"/>
  <c r="I78" i="9" s="1"/>
  <c r="S127" i="4"/>
  <c r="I82" i="9" s="1"/>
  <c r="S136" i="4"/>
  <c r="S129" i="4"/>
  <c r="I84" i="9" s="1"/>
  <c r="S126" i="4"/>
  <c r="I81" i="9" s="1"/>
  <c r="FC99" i="4"/>
  <c r="S100" i="4" s="1"/>
  <c r="I38" i="4"/>
  <c r="G38" i="4"/>
  <c r="H38" i="4"/>
  <c r="V31" i="4"/>
  <c r="L55" i="9" s="1"/>
  <c r="FD156" i="4"/>
  <c r="T139" i="4"/>
  <c r="J90" i="9" s="1"/>
  <c r="U121" i="4"/>
  <c r="K76" i="9" s="1"/>
  <c r="U122" i="4"/>
  <c r="K77" i="9" s="1"/>
  <c r="FE155" i="4"/>
  <c r="U105" i="4"/>
  <c r="U107" i="4"/>
  <c r="U98" i="4"/>
  <c r="FE118" i="4"/>
  <c r="FE92" i="4"/>
  <c r="FE97" i="4" s="1"/>
  <c r="U137" i="4"/>
  <c r="U136" i="4"/>
  <c r="U102" i="4"/>
  <c r="U96" i="4"/>
  <c r="U138" i="4"/>
  <c r="U106" i="4"/>
  <c r="FG2" i="4"/>
  <c r="Q2" i="7"/>
  <c r="FD98" i="4"/>
  <c r="Q14" i="7"/>
  <c r="T99" i="4"/>
  <c r="FD150" i="4" s="1"/>
  <c r="FG53" i="4"/>
  <c r="FG94" i="4"/>
  <c r="FG93" i="4" s="1"/>
  <c r="FG130" i="4"/>
  <c r="FG117" i="4"/>
  <c r="FG116" i="4" s="1"/>
  <c r="FG198" i="4"/>
  <c r="FG201" i="4"/>
  <c r="FG126" i="4"/>
  <c r="FG89" i="4"/>
  <c r="FG127" i="4"/>
  <c r="FG124" i="4"/>
  <c r="FG122" i="4"/>
  <c r="FG121" i="4"/>
  <c r="FG125" i="4"/>
  <c r="FG129" i="4"/>
  <c r="FG123" i="4"/>
  <c r="FA3" i="7"/>
  <c r="FG57" i="4"/>
  <c r="FH3" i="4"/>
  <c r="Y3" i="4"/>
  <c r="X2" i="4"/>
  <c r="X70" i="4"/>
  <c r="R3" i="7"/>
  <c r="X83" i="4"/>
  <c r="X198" i="4"/>
  <c r="FE28" i="4"/>
  <c r="FE26" i="4"/>
  <c r="FE30" i="4"/>
  <c r="FE47" i="4"/>
  <c r="FE27" i="4"/>
  <c r="O13" i="7"/>
  <c r="O15" i="7" s="1"/>
  <c r="N13" i="7"/>
  <c r="N15" i="7" s="1"/>
  <c r="M13" i="7"/>
  <c r="M15" i="7" s="1"/>
  <c r="L13" i="7"/>
  <c r="L15" i="7" s="1"/>
  <c r="P13" i="7"/>
  <c r="P15" i="7" s="1"/>
  <c r="Q13" i="7"/>
  <c r="V95" i="4"/>
  <c r="V90" i="4"/>
  <c r="V97" i="4" s="1"/>
  <c r="FF152" i="4"/>
  <c r="FF154" i="4"/>
  <c r="FF119" i="4"/>
  <c r="FF95" i="4"/>
  <c r="FF120" i="4" s="1"/>
  <c r="FF91" i="4"/>
  <c r="FF90" i="4" s="1"/>
  <c r="FF151" i="4"/>
  <c r="W23" i="4"/>
  <c r="FF23" i="4"/>
  <c r="P5" i="7"/>
  <c r="V89" i="4"/>
  <c r="K94" i="9"/>
  <c r="G88" i="9"/>
  <c r="EY15" i="7"/>
  <c r="O9" i="7" s="1"/>
  <c r="V199" i="4"/>
  <c r="FF131" i="4"/>
  <c r="V130" i="4"/>
  <c r="EZ14" i="7"/>
  <c r="EZ13" i="7"/>
  <c r="EZ12" i="7"/>
  <c r="L53" i="9"/>
  <c r="L67" i="9"/>
  <c r="X22" i="4"/>
  <c r="X46" i="4" s="1"/>
  <c r="W27" i="4"/>
  <c r="W28" i="4"/>
  <c r="W88" i="4"/>
  <c r="W44" i="4"/>
  <c r="FG22" i="4"/>
  <c r="W43" i="4"/>
  <c r="W26" i="4"/>
  <c r="W30" i="4"/>
  <c r="W47" i="4"/>
  <c r="U127" i="4"/>
  <c r="K82" i="9" s="1"/>
  <c r="FD146" i="4"/>
  <c r="FD147" i="4" s="1"/>
  <c r="FD148" i="4" s="1"/>
  <c r="FD149" i="4" s="1"/>
  <c r="FD96" i="4"/>
  <c r="U126" i="4"/>
  <c r="K81" i="9" s="1"/>
  <c r="K85" i="9"/>
  <c r="M54" i="9"/>
  <c r="W231" i="4"/>
  <c r="W252" i="4" s="1"/>
  <c r="U123" i="4"/>
  <c r="K78" i="9" s="1"/>
  <c r="U125" i="4"/>
  <c r="K80" i="9" s="1"/>
  <c r="T108" i="4"/>
  <c r="U129" i="4"/>
  <c r="K84" i="9" s="1"/>
  <c r="Q12" i="7"/>
  <c r="F15" i="7"/>
  <c r="Q10" i="7" s="1"/>
  <c r="FE153" i="4"/>
  <c r="G112" i="4"/>
  <c r="H112" i="4"/>
  <c r="G164" i="4"/>
  <c r="I114" i="4"/>
  <c r="H113" i="4"/>
  <c r="G113" i="4"/>
  <c r="G165" i="4"/>
  <c r="I130" i="4" l="1"/>
  <c r="C30" i="11"/>
  <c r="W199" i="4"/>
  <c r="EW46" i="4"/>
  <c r="FF46" i="4" s="1"/>
  <c r="C5" i="11"/>
  <c r="S139" i="4"/>
  <c r="I90" i="9" s="1"/>
  <c r="R101" i="4"/>
  <c r="R103" i="4" s="1"/>
  <c r="H68" i="9" s="1"/>
  <c r="FB160" i="4"/>
  <c r="R139" i="4"/>
  <c r="H90" i="9" s="1"/>
  <c r="FC158" i="4"/>
  <c r="FC159" i="4" s="1"/>
  <c r="L85" i="9"/>
  <c r="U99" i="4"/>
  <c r="FE150" i="4" s="1"/>
  <c r="X41" i="4"/>
  <c r="K33" i="1"/>
  <c r="FE156" i="4"/>
  <c r="U108" i="4"/>
  <c r="K69" i="9" s="1"/>
  <c r="V122" i="4"/>
  <c r="L77" i="9" s="1"/>
  <c r="FD99" i="4"/>
  <c r="T100" i="4" s="1"/>
  <c r="FF153" i="4"/>
  <c r="R10" i="7"/>
  <c r="R14" i="7"/>
  <c r="R12" i="7"/>
  <c r="R2" i="7"/>
  <c r="FH2" i="4"/>
  <c r="FH94" i="4"/>
  <c r="FH93" i="4" s="1"/>
  <c r="FH117" i="4"/>
  <c r="FH116" i="4" s="1"/>
  <c r="FH198" i="4"/>
  <c r="FH125" i="4"/>
  <c r="FH122" i="4"/>
  <c r="FH53" i="4"/>
  <c r="FH130" i="4"/>
  <c r="FH57" i="4"/>
  <c r="FH201" i="4"/>
  <c r="FH89" i="4"/>
  <c r="FH124" i="4"/>
  <c r="FH129" i="4"/>
  <c r="FB3" i="7"/>
  <c r="FH127" i="4"/>
  <c r="FH126" i="4"/>
  <c r="FH121" i="4"/>
  <c r="FH123" i="4"/>
  <c r="L10" i="7"/>
  <c r="M10" i="7"/>
  <c r="N10" i="7"/>
  <c r="O10" i="7"/>
  <c r="O32" i="7" s="1"/>
  <c r="P10" i="7"/>
  <c r="FF92" i="4"/>
  <c r="FF97" i="4" s="1"/>
  <c r="V107" i="4"/>
  <c r="V105" i="4"/>
  <c r="FF118" i="4"/>
  <c r="V96" i="4"/>
  <c r="V98" i="4"/>
  <c r="V137" i="4"/>
  <c r="V136" i="4"/>
  <c r="V102" i="4"/>
  <c r="V138" i="4"/>
  <c r="V106" i="4"/>
  <c r="FA12" i="7"/>
  <c r="FA13" i="7"/>
  <c r="FA14" i="7"/>
  <c r="Q15" i="7"/>
  <c r="V129" i="4"/>
  <c r="L84" i="9" s="1"/>
  <c r="M53" i="9"/>
  <c r="M67" i="9"/>
  <c r="J69" i="9"/>
  <c r="U139" i="4"/>
  <c r="K90" i="9" s="1"/>
  <c r="FF28" i="4"/>
  <c r="FF27" i="4"/>
  <c r="FF26" i="4"/>
  <c r="FF30" i="4"/>
  <c r="FF47" i="4"/>
  <c r="V123" i="4"/>
  <c r="L78" i="9" s="1"/>
  <c r="X23" i="4"/>
  <c r="X199" i="4" s="1"/>
  <c r="FG23" i="4"/>
  <c r="Q5" i="7"/>
  <c r="W89" i="4"/>
  <c r="EW41" i="4"/>
  <c r="FG152" i="4"/>
  <c r="FG154" i="4"/>
  <c r="FG119" i="4"/>
  <c r="FG95" i="4"/>
  <c r="FG120" i="4" s="1"/>
  <c r="FG91" i="4"/>
  <c r="FG90" i="4" s="1"/>
  <c r="FG151" i="4"/>
  <c r="FE146" i="4"/>
  <c r="FE147" i="4" s="1"/>
  <c r="FE148" i="4" s="1"/>
  <c r="FE149" i="4" s="1"/>
  <c r="FE96" i="4"/>
  <c r="G92" i="9"/>
  <c r="W31" i="4"/>
  <c r="M55" i="9" s="1"/>
  <c r="L94" i="9"/>
  <c r="V126" i="4"/>
  <c r="L81" i="9" s="1"/>
  <c r="FE98" i="4"/>
  <c r="V125" i="4"/>
  <c r="L80" i="9" s="1"/>
  <c r="FF155" i="4"/>
  <c r="R13" i="7"/>
  <c r="X44" i="4"/>
  <c r="Y22" i="4"/>
  <c r="Y46" i="4" s="1"/>
  <c r="X28" i="4"/>
  <c r="X88" i="4"/>
  <c r="FH22" i="4"/>
  <c r="X43" i="4"/>
  <c r="X27" i="4"/>
  <c r="X26" i="4"/>
  <c r="X30" i="4"/>
  <c r="X47" i="4"/>
  <c r="Z3" i="4"/>
  <c r="FI3" i="4"/>
  <c r="S3" i="7"/>
  <c r="Y83" i="4"/>
  <c r="Y70" i="4"/>
  <c r="Y2" i="4"/>
  <c r="Y198" i="4"/>
  <c r="EZ15" i="7"/>
  <c r="P9" i="7" s="1"/>
  <c r="V127" i="4"/>
  <c r="L82" i="9" s="1"/>
  <c r="FG131" i="4"/>
  <c r="W130" i="4"/>
  <c r="W95" i="4"/>
  <c r="W90" i="4"/>
  <c r="X231" i="4"/>
  <c r="X252" i="4" s="1"/>
  <c r="N54" i="9"/>
  <c r="V121" i="4"/>
  <c r="L76" i="9" s="1"/>
  <c r="G114" i="4"/>
  <c r="G166" i="4"/>
  <c r="H114" i="4"/>
  <c r="G136" i="4"/>
  <c r="I128" i="4"/>
  <c r="G139" i="4"/>
  <c r="G138" i="4"/>
  <c r="G127" i="4"/>
  <c r="G121" i="4"/>
  <c r="G137" i="4"/>
  <c r="G129" i="4"/>
  <c r="G122" i="4"/>
  <c r="G126" i="4"/>
  <c r="G125" i="4"/>
  <c r="F123" i="6"/>
  <c r="E130" i="6" s="1"/>
  <c r="G123" i="4"/>
  <c r="FG46" i="4" l="1"/>
  <c r="E30" i="11"/>
  <c r="F30" i="11"/>
  <c r="FA46" i="4"/>
  <c r="FB46" i="4"/>
  <c r="FC46" i="4"/>
  <c r="FD46" i="4"/>
  <c r="FE46" i="4"/>
  <c r="F5" i="11"/>
  <c r="E5" i="11"/>
  <c r="W121" i="4"/>
  <c r="M76" i="9" s="1"/>
  <c r="W97" i="4"/>
  <c r="S101" i="4"/>
  <c r="S103" i="4" s="1"/>
  <c r="I68" i="9" s="1"/>
  <c r="FC160" i="4"/>
  <c r="FD158" i="4"/>
  <c r="FD159" i="4" s="1"/>
  <c r="FF98" i="4"/>
  <c r="X130" i="4"/>
  <c r="M85" i="9"/>
  <c r="O29" i="7"/>
  <c r="O30" i="7"/>
  <c r="O31" i="7"/>
  <c r="X42" i="4"/>
  <c r="W42" i="4"/>
  <c r="Q42" i="4"/>
  <c r="S42" i="4"/>
  <c r="G42" i="4"/>
  <c r="EU42" i="4"/>
  <c r="U42" i="4"/>
  <c r="R42" i="4"/>
  <c r="H42" i="4"/>
  <c r="T42" i="4"/>
  <c r="V42" i="4"/>
  <c r="J33" i="1"/>
  <c r="I33" i="1"/>
  <c r="Q41" i="4"/>
  <c r="W41" i="4"/>
  <c r="G41" i="4"/>
  <c r="EU41" i="4"/>
  <c r="FF41" i="4" s="1"/>
  <c r="S41" i="4"/>
  <c r="U41" i="4"/>
  <c r="H41" i="4"/>
  <c r="R41" i="4"/>
  <c r="V41" i="4"/>
  <c r="T41" i="4"/>
  <c r="W127" i="4"/>
  <c r="M82" i="9" s="1"/>
  <c r="FF156" i="4"/>
  <c r="V108" i="4"/>
  <c r="L69" i="9" s="1"/>
  <c r="W126" i="4"/>
  <c r="M81" i="9" s="1"/>
  <c r="W122" i="4"/>
  <c r="M77" i="9" s="1"/>
  <c r="W129" i="4"/>
  <c r="M84" i="9" s="1"/>
  <c r="W123" i="4"/>
  <c r="M78" i="9" s="1"/>
  <c r="FG153" i="4"/>
  <c r="V139" i="4"/>
  <c r="L90" i="9" s="1"/>
  <c r="FE99" i="4"/>
  <c r="U100" i="4" s="1"/>
  <c r="V99" i="4"/>
  <c r="FF150" i="4" s="1"/>
  <c r="FB12" i="7"/>
  <c r="FB13" i="7"/>
  <c r="FB14" i="7"/>
  <c r="S10" i="7"/>
  <c r="S14" i="7"/>
  <c r="S12" i="7"/>
  <c r="S13" i="7"/>
  <c r="FI94" i="4"/>
  <c r="FI93" i="4" s="1"/>
  <c r="FI117" i="4"/>
  <c r="FI116" i="4" s="1"/>
  <c r="FI89" i="4"/>
  <c r="FI125" i="4"/>
  <c r="FI124" i="4"/>
  <c r="FI129" i="4"/>
  <c r="FI126" i="4"/>
  <c r="FI123" i="4"/>
  <c r="FI121" i="4"/>
  <c r="FI53" i="4"/>
  <c r="FI127" i="4"/>
  <c r="FI57" i="4"/>
  <c r="FI198" i="4"/>
  <c r="FC3" i="7"/>
  <c r="FI201" i="4"/>
  <c r="FI130" i="4"/>
  <c r="FI122" i="4"/>
  <c r="FG155" i="4"/>
  <c r="FA15" i="7"/>
  <c r="Q9" i="7" s="1"/>
  <c r="P31" i="7"/>
  <c r="P32" i="7"/>
  <c r="P29" i="7"/>
  <c r="P30" i="7"/>
  <c r="Z83" i="4"/>
  <c r="AA3" i="4"/>
  <c r="FJ3" i="4"/>
  <c r="T3" i="7"/>
  <c r="Z70" i="4"/>
  <c r="Z2" i="4"/>
  <c r="Z198" i="4"/>
  <c r="W125" i="4"/>
  <c r="M80" i="9" s="1"/>
  <c r="L30" i="7"/>
  <c r="L31" i="7"/>
  <c r="L32" i="7"/>
  <c r="L29" i="7"/>
  <c r="S2" i="7"/>
  <c r="FI2" i="4"/>
  <c r="FF146" i="4"/>
  <c r="FF147" i="4" s="1"/>
  <c r="FF148" i="4" s="1"/>
  <c r="FF149" i="4" s="1"/>
  <c r="FF96" i="4"/>
  <c r="X95" i="4"/>
  <c r="X90" i="4"/>
  <c r="X97" i="4" s="1"/>
  <c r="FH152" i="4"/>
  <c r="FH95" i="4"/>
  <c r="FH120" i="4" s="1"/>
  <c r="FH154" i="4"/>
  <c r="FH119" i="4"/>
  <c r="FH91" i="4"/>
  <c r="FH90" i="4" s="1"/>
  <c r="FH151" i="4"/>
  <c r="M94" i="9"/>
  <c r="O54" i="9"/>
  <c r="Y231" i="4"/>
  <c r="Y252" i="4" s="1"/>
  <c r="N67" i="9"/>
  <c r="N53" i="9"/>
  <c r="Z22" i="4"/>
  <c r="Y88" i="4"/>
  <c r="Y43" i="4"/>
  <c r="Y44" i="4"/>
  <c r="Y27" i="4"/>
  <c r="Y28" i="4"/>
  <c r="FI22" i="4"/>
  <c r="Y26" i="4"/>
  <c r="Y30" i="4"/>
  <c r="Y47" i="4"/>
  <c r="Y42" i="4"/>
  <c r="Y41" i="4"/>
  <c r="N30" i="7"/>
  <c r="N31" i="7"/>
  <c r="N29" i="7"/>
  <c r="N32" i="7"/>
  <c r="R15" i="7"/>
  <c r="X31" i="4"/>
  <c r="N55" i="9" s="1"/>
  <c r="M32" i="7"/>
  <c r="M30" i="7"/>
  <c r="M29" i="7"/>
  <c r="M31" i="7"/>
  <c r="W96" i="4"/>
  <c r="W137" i="4"/>
  <c r="W136" i="4"/>
  <c r="W107" i="4"/>
  <c r="FG118" i="4"/>
  <c r="W105" i="4"/>
  <c r="W102" i="4"/>
  <c r="W98" i="4"/>
  <c r="FG92" i="4"/>
  <c r="W138" i="4"/>
  <c r="W106" i="4"/>
  <c r="FH23" i="4"/>
  <c r="FH46" i="4" s="1"/>
  <c r="R5" i="7"/>
  <c r="Y23" i="4"/>
  <c r="X89" i="4"/>
  <c r="FH131" i="4"/>
  <c r="FG28" i="4"/>
  <c r="FG26" i="4"/>
  <c r="FG27" i="4"/>
  <c r="FG47" i="4"/>
  <c r="FG30" i="4"/>
  <c r="E131" i="6"/>
  <c r="G130" i="6"/>
  <c r="G131" i="6" s="1"/>
  <c r="F130" i="6"/>
  <c r="F131" i="6" s="1"/>
  <c r="H128" i="4"/>
  <c r="G176" i="4"/>
  <c r="E108" i="6"/>
  <c r="I21" i="1"/>
  <c r="Z45" i="4" l="1"/>
  <c r="Z46" i="4"/>
  <c r="FG97" i="4"/>
  <c r="N85" i="9"/>
  <c r="Y45" i="4"/>
  <c r="T101" i="4"/>
  <c r="T103" i="4" s="1"/>
  <c r="J68" i="9" s="1"/>
  <c r="FD160" i="4"/>
  <c r="G45" i="4"/>
  <c r="R45" i="4"/>
  <c r="S45" i="4"/>
  <c r="Q45" i="4"/>
  <c r="H45" i="4"/>
  <c r="EU45" i="4"/>
  <c r="T45" i="4"/>
  <c r="U45" i="4"/>
  <c r="V45" i="4"/>
  <c r="W45" i="4"/>
  <c r="X45" i="4"/>
  <c r="FE158" i="4"/>
  <c r="FE159" i="4" s="1"/>
  <c r="FF99" i="4"/>
  <c r="V100" i="4" s="1"/>
  <c r="O33" i="7"/>
  <c r="O20" i="7" s="1"/>
  <c r="FA41" i="4"/>
  <c r="FE41" i="4"/>
  <c r="FC41" i="4"/>
  <c r="T48" i="4"/>
  <c r="X48" i="4"/>
  <c r="V48" i="4"/>
  <c r="H48" i="4"/>
  <c r="U48" i="4"/>
  <c r="G48" i="4"/>
  <c r="I224" i="4"/>
  <c r="C48" i="4"/>
  <c r="Q48" i="4"/>
  <c r="S48" i="4"/>
  <c r="R48" i="4"/>
  <c r="W48" i="4"/>
  <c r="EU48" i="4"/>
  <c r="W108" i="4"/>
  <c r="M69" i="9" s="1"/>
  <c r="FB41" i="4"/>
  <c r="FD41" i="4"/>
  <c r="Y48" i="4"/>
  <c r="Y49" i="4" s="1"/>
  <c r="O57" i="9" s="1"/>
  <c r="FG41" i="4"/>
  <c r="I49" i="4"/>
  <c r="Y31" i="4"/>
  <c r="O55" i="9" s="1"/>
  <c r="FG156" i="4"/>
  <c r="FH153" i="4"/>
  <c r="P33" i="7"/>
  <c r="P20" i="7" s="1"/>
  <c r="X125" i="4"/>
  <c r="N80" i="9" s="1"/>
  <c r="X126" i="4"/>
  <c r="N81" i="9" s="1"/>
  <c r="L33" i="7"/>
  <c r="L20" i="7" s="1"/>
  <c r="FG146" i="4"/>
  <c r="FG147" i="4" s="1"/>
  <c r="FG148" i="4" s="1"/>
  <c r="FG149" i="4" s="1"/>
  <c r="FG96" i="4"/>
  <c r="X129" i="4"/>
  <c r="N84" i="9" s="1"/>
  <c r="Y95" i="4"/>
  <c r="Y90" i="4"/>
  <c r="Y97" i="4" s="1"/>
  <c r="FG98" i="4"/>
  <c r="Q29" i="7"/>
  <c r="Q30" i="7"/>
  <c r="Q32" i="7"/>
  <c r="Q31" i="7"/>
  <c r="S15" i="7"/>
  <c r="X137" i="4"/>
  <c r="X136" i="4"/>
  <c r="X105" i="4"/>
  <c r="X96" i="4"/>
  <c r="FH118" i="4"/>
  <c r="FH92" i="4"/>
  <c r="FH97" i="4" s="1"/>
  <c r="X98" i="4"/>
  <c r="X107" i="4"/>
  <c r="X102" i="4"/>
  <c r="X138" i="4"/>
  <c r="X106" i="4"/>
  <c r="X123" i="4"/>
  <c r="N78" i="9" s="1"/>
  <c r="X122" i="4"/>
  <c r="N77" i="9" s="1"/>
  <c r="Z44" i="4"/>
  <c r="FJ22" i="4"/>
  <c r="Z88" i="4"/>
  <c r="Z43" i="4"/>
  <c r="Z28" i="4"/>
  <c r="AA22" i="4"/>
  <c r="Z27" i="4"/>
  <c r="Z26" i="4"/>
  <c r="Z47" i="4"/>
  <c r="Z30" i="4"/>
  <c r="Z42" i="4"/>
  <c r="Z41" i="4"/>
  <c r="Z48" i="4"/>
  <c r="X127" i="4"/>
  <c r="N82" i="9" s="1"/>
  <c r="FI131" i="4"/>
  <c r="Y130" i="4"/>
  <c r="W139" i="4"/>
  <c r="M90" i="9" s="1"/>
  <c r="FC13" i="7"/>
  <c r="FC14" i="7"/>
  <c r="FC12" i="7"/>
  <c r="FH26" i="4"/>
  <c r="FH27" i="4"/>
  <c r="FH30" i="4"/>
  <c r="FH47" i="4"/>
  <c r="FH28" i="4"/>
  <c r="FH41" i="4"/>
  <c r="FI152" i="4"/>
  <c r="FI154" i="4"/>
  <c r="FI95" i="4"/>
  <c r="FI120" i="4" s="1"/>
  <c r="FI91" i="4"/>
  <c r="FI90" i="4" s="1"/>
  <c r="FI119" i="4"/>
  <c r="FI151" i="4"/>
  <c r="W99" i="4"/>
  <c r="FG150" i="4" s="1"/>
  <c r="FB15" i="7"/>
  <c r="R9" i="7" s="1"/>
  <c r="M33" i="7"/>
  <c r="Z231" i="4"/>
  <c r="Z252" i="4" s="1"/>
  <c r="P54" i="9"/>
  <c r="FJ2" i="4"/>
  <c r="T2" i="7"/>
  <c r="T10" i="7"/>
  <c r="T14" i="7"/>
  <c r="T12" i="7"/>
  <c r="T13" i="7"/>
  <c r="N94" i="9"/>
  <c r="FH155" i="4"/>
  <c r="FD3" i="7"/>
  <c r="FJ89" i="4"/>
  <c r="FJ127" i="4"/>
  <c r="FJ126" i="4"/>
  <c r="FJ117" i="4"/>
  <c r="FJ116" i="4" s="1"/>
  <c r="FJ198" i="4"/>
  <c r="FJ53" i="4"/>
  <c r="FJ57" i="4"/>
  <c r="FJ94" i="4"/>
  <c r="FJ93" i="4" s="1"/>
  <c r="FJ125" i="4"/>
  <c r="FJ124" i="4"/>
  <c r="FJ122" i="4"/>
  <c r="FJ121" i="4"/>
  <c r="FJ129" i="4"/>
  <c r="FJ201" i="4"/>
  <c r="FJ123" i="4"/>
  <c r="FJ130" i="4"/>
  <c r="O53" i="9"/>
  <c r="O67" i="9"/>
  <c r="AB3" i="4"/>
  <c r="U3" i="7"/>
  <c r="FK3" i="4"/>
  <c r="AA2" i="4"/>
  <c r="AA83" i="4"/>
  <c r="AA70" i="4"/>
  <c r="AA198" i="4"/>
  <c r="X121" i="4"/>
  <c r="N76" i="9" s="1"/>
  <c r="FI23" i="4"/>
  <c r="FI46" i="4" s="1"/>
  <c r="Z23" i="4"/>
  <c r="Z199" i="4" s="1"/>
  <c r="Y89" i="4"/>
  <c r="S5" i="7"/>
  <c r="Y199" i="4"/>
  <c r="N33" i="7"/>
  <c r="G108" i="6"/>
  <c r="F108" i="6"/>
  <c r="E133" i="6"/>
  <c r="C6" i="11" l="1"/>
  <c r="C31" i="11"/>
  <c r="AA45" i="4"/>
  <c r="AA46" i="4"/>
  <c r="F6" i="11"/>
  <c r="F7" i="11" s="1"/>
  <c r="E6" i="11"/>
  <c r="E7" i="11" s="1"/>
  <c r="R49" i="4"/>
  <c r="H57" i="9" s="1"/>
  <c r="S49" i="4"/>
  <c r="I57" i="9" s="1"/>
  <c r="G49" i="4"/>
  <c r="G51" i="4" s="1"/>
  <c r="X49" i="4"/>
  <c r="N57" i="9" s="1"/>
  <c r="Q49" i="4"/>
  <c r="G57" i="9" s="1"/>
  <c r="T49" i="4"/>
  <c r="J57" i="9" s="1"/>
  <c r="V49" i="4"/>
  <c r="L57" i="9" s="1"/>
  <c r="H49" i="4"/>
  <c r="H51" i="4" s="1"/>
  <c r="U101" i="4"/>
  <c r="U103" i="4" s="1"/>
  <c r="K68" i="9" s="1"/>
  <c r="FE160" i="4"/>
  <c r="W49" i="4"/>
  <c r="M57" i="9" s="1"/>
  <c r="U49" i="4"/>
  <c r="K57" i="9" s="1"/>
  <c r="O19" i="7"/>
  <c r="O18" i="7"/>
  <c r="FF158" i="4"/>
  <c r="FG158" i="4" s="1"/>
  <c r="FG159" i="4" s="1"/>
  <c r="FG160" i="4" s="1"/>
  <c r="P18" i="7"/>
  <c r="P19" i="7"/>
  <c r="FC15" i="7"/>
  <c r="S9" i="7" s="1"/>
  <c r="S31" i="7" s="1"/>
  <c r="I51" i="4"/>
  <c r="K34" i="1"/>
  <c r="Z31" i="4"/>
  <c r="P55" i="9" s="1"/>
  <c r="L19" i="7"/>
  <c r="L18" i="7"/>
  <c r="FH156" i="4"/>
  <c r="Y123" i="4"/>
  <c r="O78" i="9" s="1"/>
  <c r="Y129" i="4"/>
  <c r="O84" i="9" s="1"/>
  <c r="Y122" i="4"/>
  <c r="O77" i="9" s="1"/>
  <c r="Y121" i="4"/>
  <c r="O76" i="9" s="1"/>
  <c r="Y125" i="4"/>
  <c r="O80" i="9" s="1"/>
  <c r="Y126" i="4"/>
  <c r="O81" i="9" s="1"/>
  <c r="X139" i="4"/>
  <c r="N90" i="9" s="1"/>
  <c r="FJ131" i="4"/>
  <c r="M18" i="7"/>
  <c r="M20" i="7"/>
  <c r="M19" i="7"/>
  <c r="R31" i="7"/>
  <c r="R32" i="7"/>
  <c r="R29" i="7"/>
  <c r="R30" i="7"/>
  <c r="AA28" i="4"/>
  <c r="FK22" i="4"/>
  <c r="AA44" i="4"/>
  <c r="AB22" i="4"/>
  <c r="AA88" i="4"/>
  <c r="AA26" i="4"/>
  <c r="AA43" i="4"/>
  <c r="AA27" i="4"/>
  <c r="AA30" i="4"/>
  <c r="AA47" i="4"/>
  <c r="AA41" i="4"/>
  <c r="AA42" i="4"/>
  <c r="AA48" i="4"/>
  <c r="P67" i="9"/>
  <c r="P53" i="9"/>
  <c r="T15" i="7"/>
  <c r="FI27" i="4"/>
  <c r="FI28" i="4"/>
  <c r="FI26" i="4"/>
  <c r="FI47" i="4"/>
  <c r="FI30" i="4"/>
  <c r="FI41" i="4"/>
  <c r="AA231" i="4"/>
  <c r="AA252" i="4" s="1"/>
  <c r="Q54" i="9"/>
  <c r="Z95" i="4"/>
  <c r="Z90" i="4"/>
  <c r="Q33" i="7"/>
  <c r="FK2" i="4"/>
  <c r="U2" i="7"/>
  <c r="FK129" i="4"/>
  <c r="FE3" i="7"/>
  <c r="FK130" i="4"/>
  <c r="FK94" i="4"/>
  <c r="FK93" i="4" s="1"/>
  <c r="FK117" i="4"/>
  <c r="FK116" i="4" s="1"/>
  <c r="FK126" i="4"/>
  <c r="FK127" i="4"/>
  <c r="FK121" i="4"/>
  <c r="FK122" i="4"/>
  <c r="FK125" i="4"/>
  <c r="FK53" i="4"/>
  <c r="FK57" i="4"/>
  <c r="FK198" i="4"/>
  <c r="FK201" i="4"/>
  <c r="FK89" i="4"/>
  <c r="FK123" i="4"/>
  <c r="FK124" i="4"/>
  <c r="FI92" i="4"/>
  <c r="FI97" i="4" s="1"/>
  <c r="Y137" i="4"/>
  <c r="Y136" i="4"/>
  <c r="FI118" i="4"/>
  <c r="Y96" i="4"/>
  <c r="Y102" i="4"/>
  <c r="Y98" i="4"/>
  <c r="Y107" i="4"/>
  <c r="Y105" i="4"/>
  <c r="Y138" i="4"/>
  <c r="Y106" i="4"/>
  <c r="U10" i="7"/>
  <c r="U14" i="7"/>
  <c r="U12" i="7"/>
  <c r="U13" i="7"/>
  <c r="X108" i="4"/>
  <c r="N69" i="9" s="1"/>
  <c r="FI155" i="4"/>
  <c r="O85" i="9"/>
  <c r="FI153" i="4"/>
  <c r="FG99" i="4"/>
  <c r="W100" i="4" s="1"/>
  <c r="FD12" i="7"/>
  <c r="FD14" i="7"/>
  <c r="FD13" i="7"/>
  <c r="O94" i="9"/>
  <c r="Z49" i="4"/>
  <c r="FJ152" i="4"/>
  <c r="FJ95" i="4"/>
  <c r="FJ120" i="4" s="1"/>
  <c r="FJ154" i="4"/>
  <c r="FJ119" i="4"/>
  <c r="FJ91" i="4"/>
  <c r="FJ90" i="4" s="1"/>
  <c r="FJ151" i="4"/>
  <c r="FH146" i="4"/>
  <c r="FH147" i="4" s="1"/>
  <c r="FH148" i="4" s="1"/>
  <c r="FH149" i="4" s="1"/>
  <c r="FH98" i="4"/>
  <c r="FH96" i="4"/>
  <c r="Z130" i="4"/>
  <c r="Y127" i="4"/>
  <c r="O82" i="9" s="1"/>
  <c r="N20" i="7"/>
  <c r="N18" i="7"/>
  <c r="N19" i="7"/>
  <c r="FL3" i="4"/>
  <c r="AC3" i="4"/>
  <c r="AB2" i="4"/>
  <c r="V3" i="7"/>
  <c r="AB83" i="4"/>
  <c r="AB70" i="4"/>
  <c r="AB198" i="4"/>
  <c r="FJ23" i="4"/>
  <c r="FJ46" i="4" s="1"/>
  <c r="AA23" i="4"/>
  <c r="Z89" i="4"/>
  <c r="T5" i="7"/>
  <c r="X99" i="4"/>
  <c r="FH150" i="4" s="1"/>
  <c r="G133" i="6"/>
  <c r="F133" i="6"/>
  <c r="E135" i="6"/>
  <c r="E31" i="11" l="1"/>
  <c r="E32" i="11" s="1"/>
  <c r="F31" i="11"/>
  <c r="F32" i="11" s="1"/>
  <c r="C32" i="11"/>
  <c r="AB45" i="4"/>
  <c r="AB46" i="4"/>
  <c r="Z123" i="4"/>
  <c r="P78" i="9" s="1"/>
  <c r="Z97" i="4"/>
  <c r="S29" i="7"/>
  <c r="S32" i="7"/>
  <c r="S30" i="7"/>
  <c r="O21" i="7"/>
  <c r="O23" i="7" s="1"/>
  <c r="O24" i="7" s="1"/>
  <c r="O25" i="7" s="1"/>
  <c r="O35" i="7" s="1"/>
  <c r="U110" i="4" s="1"/>
  <c r="K70" i="9" s="1"/>
  <c r="K71" i="9" s="1"/>
  <c r="FF159" i="4"/>
  <c r="L21" i="7"/>
  <c r="L23" i="7" s="1"/>
  <c r="L24" i="7" s="1"/>
  <c r="L25" i="7" s="1"/>
  <c r="L35" i="7" s="1"/>
  <c r="R110" i="4" s="1"/>
  <c r="H70" i="9" s="1"/>
  <c r="H71" i="9" s="1"/>
  <c r="P21" i="7"/>
  <c r="P23" i="7" s="1"/>
  <c r="P24" i="7" s="1"/>
  <c r="P25" i="7" s="1"/>
  <c r="P35" i="7" s="1"/>
  <c r="V110" i="4" s="1"/>
  <c r="L70" i="9" s="1"/>
  <c r="P85" i="9"/>
  <c r="FH158" i="4"/>
  <c r="FH159" i="4" s="1"/>
  <c r="FH160" i="4" s="1"/>
  <c r="FD15" i="7"/>
  <c r="T9" i="7" s="1"/>
  <c r="T30" i="7" s="1"/>
  <c r="J34" i="1"/>
  <c r="I34" i="1"/>
  <c r="H130" i="4"/>
  <c r="G130" i="4"/>
  <c r="G178" i="4"/>
  <c r="AA31" i="4"/>
  <c r="Q55" i="9" s="1"/>
  <c r="Z127" i="4"/>
  <c r="P82" i="9" s="1"/>
  <c r="R33" i="7"/>
  <c r="R20" i="7" s="1"/>
  <c r="FJ155" i="4"/>
  <c r="W101" i="4"/>
  <c r="W103" i="4" s="1"/>
  <c r="M68" i="9" s="1"/>
  <c r="Y99" i="4"/>
  <c r="FI150" i="4" s="1"/>
  <c r="Y139" i="4"/>
  <c r="O90" i="9" s="1"/>
  <c r="Z126" i="4"/>
  <c r="P81" i="9" s="1"/>
  <c r="AA130" i="4"/>
  <c r="AA95" i="4"/>
  <c r="AA90" i="4"/>
  <c r="AA97" i="4" s="1"/>
  <c r="FE14" i="7"/>
  <c r="FE13" i="7"/>
  <c r="FE12" i="7"/>
  <c r="AB44" i="4"/>
  <c r="AC22" i="4"/>
  <c r="AB28" i="4"/>
  <c r="AB88" i="4"/>
  <c r="AB26" i="4"/>
  <c r="AB43" i="4"/>
  <c r="FL22" i="4"/>
  <c r="AB27" i="4"/>
  <c r="AB30" i="4"/>
  <c r="AB47" i="4"/>
  <c r="AB42" i="4"/>
  <c r="AB41" i="4"/>
  <c r="AB48" i="4"/>
  <c r="FL122" i="4"/>
  <c r="FL130" i="4"/>
  <c r="FF3" i="7"/>
  <c r="FL89" i="4"/>
  <c r="FL129" i="4"/>
  <c r="FL127" i="4"/>
  <c r="FL94" i="4"/>
  <c r="FL93" i="4" s="1"/>
  <c r="FL117" i="4"/>
  <c r="FL116" i="4" s="1"/>
  <c r="FL198" i="4"/>
  <c r="FL201" i="4"/>
  <c r="FL126" i="4"/>
  <c r="FL125" i="4"/>
  <c r="FL124" i="4"/>
  <c r="FL123" i="4"/>
  <c r="FL121" i="4"/>
  <c r="FL53" i="4"/>
  <c r="FL57" i="4"/>
  <c r="P57" i="9"/>
  <c r="AB231" i="4"/>
  <c r="AB252" i="4" s="1"/>
  <c r="R54" i="9"/>
  <c r="V10" i="7"/>
  <c r="V14" i="7"/>
  <c r="V12" i="7"/>
  <c r="V13" i="7"/>
  <c r="FM3" i="4"/>
  <c r="AD3" i="4"/>
  <c r="AC2" i="4"/>
  <c r="W3" i="7"/>
  <c r="AC83" i="4"/>
  <c r="AC70" i="4"/>
  <c r="AC198" i="4"/>
  <c r="N21" i="7"/>
  <c r="N23" i="7" s="1"/>
  <c r="N24" i="7" s="1"/>
  <c r="N25" i="7" s="1"/>
  <c r="N35" i="7" s="1"/>
  <c r="T110" i="4" s="1"/>
  <c r="Z98" i="4"/>
  <c r="Z107" i="4"/>
  <c r="Z136" i="4"/>
  <c r="Z105" i="4"/>
  <c r="Z137" i="4"/>
  <c r="FJ118" i="4"/>
  <c r="FJ92" i="4"/>
  <c r="Z102" i="4"/>
  <c r="Z96" i="4"/>
  <c r="Z138" i="4"/>
  <c r="Z106" i="4"/>
  <c r="FI146" i="4"/>
  <c r="FI147" i="4" s="1"/>
  <c r="FI148" i="4" s="1"/>
  <c r="FI149" i="4" s="1"/>
  <c r="FI98" i="4"/>
  <c r="FI96" i="4"/>
  <c r="AB23" i="4"/>
  <c r="AA89" i="4"/>
  <c r="FK23" i="4"/>
  <c r="FK46" i="4" s="1"/>
  <c r="U5" i="7"/>
  <c r="P94" i="9"/>
  <c r="FK152" i="4"/>
  <c r="FK95" i="4"/>
  <c r="FK120" i="4" s="1"/>
  <c r="FK154" i="4"/>
  <c r="FK119" i="4"/>
  <c r="FK91" i="4"/>
  <c r="FK90" i="4" s="1"/>
  <c r="FK151" i="4"/>
  <c r="Q53" i="9"/>
  <c r="Q67" i="9"/>
  <c r="Z125" i="4"/>
  <c r="P80" i="9" s="1"/>
  <c r="FJ27" i="4"/>
  <c r="FJ26" i="4"/>
  <c r="FJ30" i="4"/>
  <c r="FJ47" i="4"/>
  <c r="FJ28" i="4"/>
  <c r="FJ41" i="4"/>
  <c r="AA199" i="4"/>
  <c r="M21" i="7"/>
  <c r="M23" i="7" s="1"/>
  <c r="M24" i="7" s="1"/>
  <c r="M25" i="7" s="1"/>
  <c r="M35" i="7" s="1"/>
  <c r="S110" i="4" s="1"/>
  <c r="FH99" i="4"/>
  <c r="X100" i="4" s="1"/>
  <c r="U15" i="7"/>
  <c r="AA49" i="4"/>
  <c r="Z122" i="4"/>
  <c r="P77" i="9" s="1"/>
  <c r="Z121" i="4"/>
  <c r="P76" i="9" s="1"/>
  <c r="Q19" i="7"/>
  <c r="Q18" i="7"/>
  <c r="Q20" i="7"/>
  <c r="FI156" i="4"/>
  <c r="Z129" i="4"/>
  <c r="P84" i="9" s="1"/>
  <c r="V2" i="7"/>
  <c r="FL2" i="4"/>
  <c r="Y108" i="4"/>
  <c r="O69" i="9" s="1"/>
  <c r="FK131" i="4"/>
  <c r="FJ153" i="4"/>
  <c r="F135" i="6"/>
  <c r="G135" i="6"/>
  <c r="D29" i="11" l="1"/>
  <c r="D30" i="11"/>
  <c r="D31" i="11"/>
  <c r="FJ97" i="4"/>
  <c r="AC45" i="4"/>
  <c r="AC46" i="4"/>
  <c r="S33" i="7"/>
  <c r="S18" i="7" s="1"/>
  <c r="V101" i="4"/>
  <c r="V103" i="4" s="1"/>
  <c r="L68" i="9" s="1"/>
  <c r="L71" i="9" s="1"/>
  <c r="FF160" i="4"/>
  <c r="R111" i="4"/>
  <c r="R113" i="4" s="1"/>
  <c r="U111" i="4"/>
  <c r="U113" i="4" s="1"/>
  <c r="T32" i="7"/>
  <c r="T31" i="7"/>
  <c r="T29" i="7"/>
  <c r="FI158" i="4"/>
  <c r="FI159" i="4" s="1"/>
  <c r="FI160" i="4" s="1"/>
  <c r="R19" i="7"/>
  <c r="R18" i="7"/>
  <c r="X101" i="4"/>
  <c r="X103" i="4" s="1"/>
  <c r="N68" i="9" s="1"/>
  <c r="V15" i="7"/>
  <c r="Z108" i="4"/>
  <c r="P69" i="9" s="1"/>
  <c r="FJ156" i="4"/>
  <c r="FI99" i="4"/>
  <c r="Y100" i="4" s="1"/>
  <c r="AA126" i="4"/>
  <c r="Q81" i="9" s="1"/>
  <c r="AA127" i="4"/>
  <c r="Q82" i="9" s="1"/>
  <c r="Q21" i="7"/>
  <c r="Q23" i="7" s="1"/>
  <c r="Q24" i="7" s="1"/>
  <c r="Q25" i="7" s="1"/>
  <c r="Q35" i="7" s="1"/>
  <c r="W110" i="4" s="1"/>
  <c r="M70" i="9" s="1"/>
  <c r="M71" i="9" s="1"/>
  <c r="FK153" i="4"/>
  <c r="Z139" i="4"/>
  <c r="P90" i="9" s="1"/>
  <c r="AA122" i="4"/>
  <c r="Q77" i="9" s="1"/>
  <c r="AA125" i="4"/>
  <c r="Q80" i="9" s="1"/>
  <c r="Z99" i="4"/>
  <c r="FJ150" i="4" s="1"/>
  <c r="Q94" i="9"/>
  <c r="AB31" i="4"/>
  <c r="R55" i="9" s="1"/>
  <c r="W10" i="7"/>
  <c r="W14" i="7"/>
  <c r="W12" i="7"/>
  <c r="W13" i="7"/>
  <c r="FM2" i="4"/>
  <c r="W2" i="7"/>
  <c r="AC44" i="4"/>
  <c r="AD22" i="4"/>
  <c r="AC27" i="4"/>
  <c r="AC28" i="4"/>
  <c r="AC88" i="4"/>
  <c r="AC26" i="4"/>
  <c r="FM22" i="4"/>
  <c r="AC43" i="4"/>
  <c r="AC47" i="4"/>
  <c r="AC30" i="4"/>
  <c r="AC41" i="4"/>
  <c r="AC42" i="4"/>
  <c r="AC48" i="4"/>
  <c r="FM127" i="4"/>
  <c r="FM201" i="4"/>
  <c r="FM117" i="4"/>
  <c r="FM116" i="4" s="1"/>
  <c r="FM94" i="4"/>
  <c r="FM93" i="4" s="1"/>
  <c r="FM129" i="4"/>
  <c r="FM126" i="4"/>
  <c r="FM198" i="4"/>
  <c r="FM123" i="4"/>
  <c r="FM122" i="4"/>
  <c r="FM121" i="4"/>
  <c r="FM57" i="4"/>
  <c r="FG3" i="7"/>
  <c r="FM89" i="4"/>
  <c r="FM125" i="4"/>
  <c r="FM53" i="4"/>
  <c r="FE15" i="7"/>
  <c r="U9" i="7" s="1"/>
  <c r="AB89" i="4"/>
  <c r="AC23" i="4"/>
  <c r="EV44" i="4" s="1"/>
  <c r="FL23" i="4"/>
  <c r="FL46" i="4" s="1"/>
  <c r="V5" i="7"/>
  <c r="FJ146" i="4"/>
  <c r="FJ147" i="4" s="1"/>
  <c r="FJ148" i="4" s="1"/>
  <c r="FJ149" i="4" s="1"/>
  <c r="FJ96" i="4"/>
  <c r="FF13" i="7"/>
  <c r="FF14" i="7"/>
  <c r="FF12" i="7"/>
  <c r="I70" i="9"/>
  <c r="I71" i="9" s="1"/>
  <c r="S111" i="4"/>
  <c r="AB130" i="4"/>
  <c r="AA98" i="4"/>
  <c r="AA137" i="4"/>
  <c r="AA105" i="4"/>
  <c r="AA107" i="4"/>
  <c r="AA136" i="4"/>
  <c r="FK118" i="4"/>
  <c r="AA102" i="4"/>
  <c r="AA96" i="4"/>
  <c r="FK92" i="4"/>
  <c r="FK97" i="4" s="1"/>
  <c r="AA138" i="4"/>
  <c r="AA106" i="4"/>
  <c r="AA129" i="4"/>
  <c r="Q84" i="9" s="1"/>
  <c r="FL95" i="4"/>
  <c r="FL120" i="4" s="1"/>
  <c r="FL119" i="4"/>
  <c r="FL152" i="4"/>
  <c r="FL154" i="4"/>
  <c r="FL91" i="4"/>
  <c r="FL90" i="4" s="1"/>
  <c r="FL151" i="4"/>
  <c r="R67" i="9"/>
  <c r="R53" i="9"/>
  <c r="AB49" i="4"/>
  <c r="R57" i="9" s="1"/>
  <c r="Q85" i="9"/>
  <c r="AB199" i="4"/>
  <c r="FK155" i="4"/>
  <c r="AC231" i="4"/>
  <c r="AC252" i="4" s="1"/>
  <c r="S54" i="9"/>
  <c r="FN3" i="4"/>
  <c r="AE3" i="4"/>
  <c r="AD70" i="4"/>
  <c r="AD83" i="4"/>
  <c r="X3" i="7"/>
  <c r="AD2" i="4"/>
  <c r="AD198" i="4"/>
  <c r="AA121" i="4"/>
  <c r="Q76" i="9" s="1"/>
  <c r="Q57" i="9"/>
  <c r="AA123" i="4"/>
  <c r="Q78" i="9" s="1"/>
  <c r="J70" i="9"/>
  <c r="J71" i="9" s="1"/>
  <c r="T111" i="4"/>
  <c r="AB95" i="4"/>
  <c r="AB90" i="4"/>
  <c r="AB97" i="4" s="1"/>
  <c r="FJ98" i="4"/>
  <c r="FK26" i="4"/>
  <c r="FK47" i="4"/>
  <c r="FK30" i="4"/>
  <c r="FK27" i="4"/>
  <c r="FK28" i="4"/>
  <c r="FK41" i="4"/>
  <c r="FL131" i="4"/>
  <c r="D32" i="11" l="1"/>
  <c r="AD45" i="4"/>
  <c r="AD46" i="4"/>
  <c r="S19" i="7"/>
  <c r="S20" i="7"/>
  <c r="V111" i="4"/>
  <c r="V113" i="4" s="1"/>
  <c r="R112" i="4"/>
  <c r="R114" i="4" s="1"/>
  <c r="R128" i="4" s="1"/>
  <c r="U112" i="4"/>
  <c r="U114" i="4" s="1"/>
  <c r="U128" i="4" s="1"/>
  <c r="T33" i="7"/>
  <c r="T19" i="7" s="1"/>
  <c r="FJ158" i="4"/>
  <c r="FJ159" i="4" s="1"/>
  <c r="FJ160" i="4" s="1"/>
  <c r="R21" i="7"/>
  <c r="R23" i="7" s="1"/>
  <c r="R24" i="7" s="1"/>
  <c r="R25" i="7" s="1"/>
  <c r="R35" i="7" s="1"/>
  <c r="X110" i="4" s="1"/>
  <c r="N70" i="9" s="1"/>
  <c r="N71" i="9" s="1"/>
  <c r="AB127" i="4"/>
  <c r="R82" i="9" s="1"/>
  <c r="W15" i="7"/>
  <c r="AA99" i="4"/>
  <c r="FK150" i="4" s="1"/>
  <c r="Y101" i="4"/>
  <c r="Y103" i="4" s="1"/>
  <c r="O68" i="9" s="1"/>
  <c r="W111" i="4"/>
  <c r="AA139" i="4"/>
  <c r="Q90" i="9" s="1"/>
  <c r="AC49" i="4"/>
  <c r="S57" i="9" s="1"/>
  <c r="FK156" i="4"/>
  <c r="AB126" i="4"/>
  <c r="R81" i="9" s="1"/>
  <c r="X2" i="7"/>
  <c r="FN2" i="4"/>
  <c r="X10" i="7"/>
  <c r="X14" i="7"/>
  <c r="X12" i="7"/>
  <c r="X13" i="7"/>
  <c r="FM119" i="4"/>
  <c r="FM95" i="4"/>
  <c r="FM120" i="4" s="1"/>
  <c r="FM130" i="4" s="1"/>
  <c r="AC130" i="4" s="1"/>
  <c r="FM91" i="4"/>
  <c r="FM90" i="4" s="1"/>
  <c r="AC90" i="4" s="1"/>
  <c r="FM154" i="4"/>
  <c r="FM151" i="4"/>
  <c r="FK146" i="4"/>
  <c r="FK147" i="4" s="1"/>
  <c r="FK148" i="4" s="1"/>
  <c r="FK149" i="4" s="1"/>
  <c r="FK96" i="4"/>
  <c r="AF3" i="4"/>
  <c r="FO3" i="4"/>
  <c r="Y3" i="7"/>
  <c r="AE83" i="4"/>
  <c r="AE2" i="4"/>
  <c r="AE70" i="4"/>
  <c r="AE198" i="4"/>
  <c r="FL155" i="4"/>
  <c r="R85" i="9"/>
  <c r="AC95" i="4"/>
  <c r="FM23" i="4"/>
  <c r="FM46" i="4" s="1"/>
  <c r="AD23" i="4"/>
  <c r="AC89" i="4"/>
  <c r="W5" i="7"/>
  <c r="AB137" i="4"/>
  <c r="AB136" i="4"/>
  <c r="AB105" i="4"/>
  <c r="AB98" i="4"/>
  <c r="AB102" i="4"/>
  <c r="FL92" i="4"/>
  <c r="FL97" i="4" s="1"/>
  <c r="FL118" i="4"/>
  <c r="AB96" i="4"/>
  <c r="AB107" i="4"/>
  <c r="AB138" i="4"/>
  <c r="AB106" i="4"/>
  <c r="FN89" i="4"/>
  <c r="FN117" i="4"/>
  <c r="FN116" i="4" s="1"/>
  <c r="FN127" i="4"/>
  <c r="FN126" i="4"/>
  <c r="FN122" i="4"/>
  <c r="FN198" i="4"/>
  <c r="FN121" i="4"/>
  <c r="FN57" i="4"/>
  <c r="FN94" i="4"/>
  <c r="FN93" i="4" s="1"/>
  <c r="FN123" i="4"/>
  <c r="FN53" i="4"/>
  <c r="FN129" i="4"/>
  <c r="FH3" i="7"/>
  <c r="FN201" i="4"/>
  <c r="FN125" i="4"/>
  <c r="S113" i="4"/>
  <c r="S112" i="4"/>
  <c r="T54" i="9"/>
  <c r="AD231" i="4"/>
  <c r="AD252" i="4" s="1"/>
  <c r="FK98" i="4"/>
  <c r="AC199" i="4"/>
  <c r="AD44" i="4"/>
  <c r="AE22" i="4"/>
  <c r="AD88" i="4"/>
  <c r="AD28" i="4"/>
  <c r="AD27" i="4"/>
  <c r="AD26" i="4"/>
  <c r="FN22" i="4"/>
  <c r="AD43" i="4"/>
  <c r="AD47" i="4"/>
  <c r="AD30" i="4"/>
  <c r="AD41" i="4"/>
  <c r="AD42" i="4"/>
  <c r="AD48" i="4"/>
  <c r="S53" i="9"/>
  <c r="S67" i="9"/>
  <c r="FL153" i="4"/>
  <c r="FF15" i="7"/>
  <c r="V9" i="7" s="1"/>
  <c r="AB125" i="4"/>
  <c r="R80" i="9" s="1"/>
  <c r="AB121" i="4"/>
  <c r="R76" i="9" s="1"/>
  <c r="U30" i="7"/>
  <c r="U32" i="7"/>
  <c r="U29" i="7"/>
  <c r="U31" i="7"/>
  <c r="FG12" i="7"/>
  <c r="FG14" i="7"/>
  <c r="FG13" i="7"/>
  <c r="AB123" i="4"/>
  <c r="R78" i="9" s="1"/>
  <c r="R94" i="9"/>
  <c r="AB129" i="4"/>
  <c r="R84" i="9" s="1"/>
  <c r="FJ99" i="4"/>
  <c r="Z100" i="4" s="1"/>
  <c r="AB122" i="4"/>
  <c r="R77" i="9" s="1"/>
  <c r="T113" i="4"/>
  <c r="T112" i="4"/>
  <c r="AC31" i="4"/>
  <c r="S55" i="9" s="1"/>
  <c r="AA108" i="4"/>
  <c r="Q69" i="9" s="1"/>
  <c r="FL28" i="4"/>
  <c r="FL26" i="4"/>
  <c r="FL27" i="4"/>
  <c r="FL47" i="4"/>
  <c r="FL30" i="4"/>
  <c r="FL41" i="4"/>
  <c r="AE45" i="4" l="1"/>
  <c r="AE46" i="4"/>
  <c r="AC97" i="4"/>
  <c r="FM152" i="4"/>
  <c r="FM153" i="4" s="1"/>
  <c r="S21" i="7"/>
  <c r="S23" i="7" s="1"/>
  <c r="S24" i="7" s="1"/>
  <c r="S25" i="7" s="1"/>
  <c r="S35" i="7" s="1"/>
  <c r="Y110" i="4" s="1"/>
  <c r="O70" i="9" s="1"/>
  <c r="O71" i="9" s="1"/>
  <c r="V112" i="4"/>
  <c r="V114" i="4" s="1"/>
  <c r="K72" i="9"/>
  <c r="K73" i="9" s="1"/>
  <c r="H72" i="9"/>
  <c r="H73" i="9" s="1"/>
  <c r="T20" i="7"/>
  <c r="T18" i="7"/>
  <c r="X111" i="4"/>
  <c r="X113" i="4" s="1"/>
  <c r="FK158" i="4"/>
  <c r="FK159" i="4" s="1"/>
  <c r="FK160" i="4" s="1"/>
  <c r="X15" i="7"/>
  <c r="R91" i="4"/>
  <c r="W112" i="4"/>
  <c r="W113" i="4"/>
  <c r="FL98" i="4"/>
  <c r="AB139" i="4"/>
  <c r="R90" i="9" s="1"/>
  <c r="U91" i="4"/>
  <c r="U33" i="7"/>
  <c r="U20" i="7" s="1"/>
  <c r="FL156" i="4"/>
  <c r="AC121" i="4"/>
  <c r="S76" i="9" s="1"/>
  <c r="AC126" i="4"/>
  <c r="S81" i="9" s="1"/>
  <c r="AC129" i="4"/>
  <c r="S84" i="9" s="1"/>
  <c r="AC122" i="4"/>
  <c r="S77" i="9" s="1"/>
  <c r="AC123" i="4"/>
  <c r="S78" i="9" s="1"/>
  <c r="FK99" i="4"/>
  <c r="AA100" i="4" s="1"/>
  <c r="Z101" i="4"/>
  <c r="Z103" i="4" s="1"/>
  <c r="J72" i="9"/>
  <c r="J73" i="9" s="1"/>
  <c r="T114" i="4"/>
  <c r="T128" i="4" s="1"/>
  <c r="I72" i="9"/>
  <c r="I73" i="9" s="1"/>
  <c r="T53" i="9"/>
  <c r="T67" i="9"/>
  <c r="FN154" i="4"/>
  <c r="FN95" i="4"/>
  <c r="FN120" i="4" s="1"/>
  <c r="FN130" i="4" s="1"/>
  <c r="AD130" i="4" s="1"/>
  <c r="FN91" i="4"/>
  <c r="FN90" i="4" s="1"/>
  <c r="AD90" i="4" s="1"/>
  <c r="FN119" i="4"/>
  <c r="FN151" i="4"/>
  <c r="AC137" i="4"/>
  <c r="AC105" i="4"/>
  <c r="FM92" i="4"/>
  <c r="AC98" i="4"/>
  <c r="AC102" i="4"/>
  <c r="AC96" i="4"/>
  <c r="FM118" i="4"/>
  <c r="AC107" i="4"/>
  <c r="AC136" i="4"/>
  <c r="AC138" i="4"/>
  <c r="AC106" i="4"/>
  <c r="AE23" i="4"/>
  <c r="FN23" i="4"/>
  <c r="FN46" i="4" s="1"/>
  <c r="AD89" i="4"/>
  <c r="X5" i="7"/>
  <c r="S85" i="9"/>
  <c r="S114" i="4"/>
  <c r="AD95" i="4"/>
  <c r="AE28" i="4"/>
  <c r="AE44" i="4"/>
  <c r="AF22" i="4"/>
  <c r="AE27" i="4"/>
  <c r="AE26" i="4"/>
  <c r="AE88" i="4"/>
  <c r="FO22" i="4"/>
  <c r="AE43" i="4"/>
  <c r="AE30" i="4"/>
  <c r="AE47" i="4"/>
  <c r="AE42" i="4"/>
  <c r="AE41" i="4"/>
  <c r="AE48" i="4"/>
  <c r="AG3" i="4"/>
  <c r="FP3" i="4"/>
  <c r="Z3" i="7"/>
  <c r="AF70" i="4"/>
  <c r="AF83" i="4"/>
  <c r="AF2" i="4"/>
  <c r="AF198" i="4"/>
  <c r="V32" i="7"/>
  <c r="V29" i="7"/>
  <c r="V30" i="7"/>
  <c r="V31" i="7"/>
  <c r="FM155" i="4"/>
  <c r="S94" i="9"/>
  <c r="AD49" i="4"/>
  <c r="T57" i="9" s="1"/>
  <c r="FG15" i="7"/>
  <c r="W9" i="7" s="1"/>
  <c r="AB108" i="4"/>
  <c r="R69" i="9" s="1"/>
  <c r="FM28" i="4"/>
  <c r="FM27" i="4"/>
  <c r="FM26" i="4"/>
  <c r="FM30" i="4"/>
  <c r="FM47" i="4"/>
  <c r="FM41" i="4"/>
  <c r="FO117" i="4"/>
  <c r="FO116" i="4" s="1"/>
  <c r="FO129" i="4"/>
  <c r="FO94" i="4"/>
  <c r="FO93" i="4" s="1"/>
  <c r="FO127" i="4"/>
  <c r="FO126" i="4"/>
  <c r="FO125" i="4"/>
  <c r="FO121" i="4"/>
  <c r="FO53" i="4"/>
  <c r="FO198" i="4"/>
  <c r="FI3" i="7"/>
  <c r="FO89" i="4"/>
  <c r="FO122" i="4"/>
  <c r="FO123" i="4"/>
  <c r="FO57" i="4"/>
  <c r="FO201" i="4"/>
  <c r="U54" i="9"/>
  <c r="AE231" i="4"/>
  <c r="AE252" i="4" s="1"/>
  <c r="AC125" i="4"/>
  <c r="S80" i="9" s="1"/>
  <c r="AD31" i="4"/>
  <c r="T55" i="9" s="1"/>
  <c r="AB99" i="4"/>
  <c r="FL150" i="4" s="1"/>
  <c r="K83" i="9"/>
  <c r="FO2" i="4"/>
  <c r="Y2" i="7"/>
  <c r="H83" i="9"/>
  <c r="FL146" i="4"/>
  <c r="FL147" i="4" s="1"/>
  <c r="FL148" i="4" s="1"/>
  <c r="FL149" i="4" s="1"/>
  <c r="FL96" i="4"/>
  <c r="AC127" i="4"/>
  <c r="S82" i="9" s="1"/>
  <c r="AD199" i="4"/>
  <c r="FH13" i="7"/>
  <c r="FH14" i="7"/>
  <c r="FH12" i="7"/>
  <c r="Y10" i="7"/>
  <c r="Y14" i="7"/>
  <c r="Y12" i="7"/>
  <c r="Y13" i="7"/>
  <c r="AF45" i="4" l="1"/>
  <c r="AF46" i="4"/>
  <c r="FM97" i="4"/>
  <c r="Y111" i="4"/>
  <c r="Y112" i="4" s="1"/>
  <c r="AD97" i="4"/>
  <c r="FN152" i="4"/>
  <c r="FN153" i="4" s="1"/>
  <c r="AE199" i="4"/>
  <c r="EW36" i="4"/>
  <c r="L72" i="9"/>
  <c r="L73" i="9" s="1"/>
  <c r="V128" i="4"/>
  <c r="V91" i="4"/>
  <c r="T21" i="7"/>
  <c r="T23" i="7" s="1"/>
  <c r="T24" i="7" s="1"/>
  <c r="T25" i="7" s="1"/>
  <c r="T35" i="7" s="1"/>
  <c r="Z110" i="4" s="1"/>
  <c r="P70" i="9" s="1"/>
  <c r="EW35" i="4"/>
  <c r="FN35" i="4" s="1"/>
  <c r="AD35" i="4" s="1"/>
  <c r="EW45" i="4"/>
  <c r="EW44" i="4"/>
  <c r="FN44" i="4" s="1"/>
  <c r="X112" i="4"/>
  <c r="N72" i="9" s="1"/>
  <c r="N73" i="9" s="1"/>
  <c r="FL158" i="4"/>
  <c r="FL159" i="4" s="1"/>
  <c r="FL160" i="4" s="1"/>
  <c r="FH15" i="7"/>
  <c r="X9" i="7" s="1"/>
  <c r="X31" i="7" s="1"/>
  <c r="FM98" i="4"/>
  <c r="U19" i="7"/>
  <c r="T85" i="9"/>
  <c r="U18" i="7"/>
  <c r="FL99" i="4"/>
  <c r="AB100" i="4" s="1"/>
  <c r="M72" i="9"/>
  <c r="M73" i="9" s="1"/>
  <c r="W114" i="4"/>
  <c r="FM156" i="4"/>
  <c r="P68" i="9"/>
  <c r="FM146" i="4"/>
  <c r="FM147" i="4" s="1"/>
  <c r="FM148" i="4" s="1"/>
  <c r="FM149" i="4" s="1"/>
  <c r="AD129" i="4"/>
  <c r="T84" i="9" s="1"/>
  <c r="T91" i="4"/>
  <c r="AA101" i="4"/>
  <c r="AA103" i="4" s="1"/>
  <c r="Q68" i="9" s="1"/>
  <c r="AF231" i="4"/>
  <c r="AF252" i="4" s="1"/>
  <c r="V54" i="9"/>
  <c r="Z10" i="7"/>
  <c r="Z14" i="7"/>
  <c r="Z12" i="7"/>
  <c r="Z13" i="7"/>
  <c r="AD123" i="4"/>
  <c r="T78" i="9" s="1"/>
  <c r="FN28" i="4"/>
  <c r="FN27" i="4"/>
  <c r="FN26" i="4"/>
  <c r="FN30" i="4"/>
  <c r="FN47" i="4"/>
  <c r="FN41" i="4"/>
  <c r="FN155" i="4"/>
  <c r="AD125" i="4"/>
  <c r="T80" i="9" s="1"/>
  <c r="AE49" i="4"/>
  <c r="U57" i="9" s="1"/>
  <c r="AF23" i="4"/>
  <c r="AF199" i="4" s="1"/>
  <c r="FO23" i="4"/>
  <c r="FO46" i="4" s="1"/>
  <c r="AE89" i="4"/>
  <c r="Y5" i="7"/>
  <c r="FP2" i="4"/>
  <c r="Z2" i="7"/>
  <c r="AD122" i="4"/>
  <c r="T77" i="9" s="1"/>
  <c r="AH3" i="4"/>
  <c r="FQ3" i="4"/>
  <c r="AA3" i="7"/>
  <c r="AG70" i="4"/>
  <c r="AG83" i="4"/>
  <c r="AG2" i="4"/>
  <c r="AG198" i="4"/>
  <c r="U67" i="9"/>
  <c r="U53" i="9"/>
  <c r="AD137" i="4"/>
  <c r="AD136" i="4"/>
  <c r="AD107" i="4"/>
  <c r="AD96" i="4"/>
  <c r="FN118" i="4"/>
  <c r="AD98" i="4"/>
  <c r="FN92" i="4"/>
  <c r="AD105" i="4"/>
  <c r="AD102" i="4"/>
  <c r="AD138" i="4"/>
  <c r="AD106" i="4"/>
  <c r="AC108" i="4"/>
  <c r="T94" i="9"/>
  <c r="W30" i="7"/>
  <c r="W32" i="7"/>
  <c r="W31" i="7"/>
  <c r="W29" i="7"/>
  <c r="S91" i="4"/>
  <c r="S128" i="4"/>
  <c r="AC139" i="4"/>
  <c r="S90" i="9" s="1"/>
  <c r="AF28" i="4"/>
  <c r="AG22" i="4"/>
  <c r="AF44" i="4"/>
  <c r="AF43" i="4"/>
  <c r="AF27" i="4"/>
  <c r="FP22" i="4"/>
  <c r="AF26" i="4"/>
  <c r="AF88" i="4"/>
  <c r="AF47" i="4"/>
  <c r="AF30" i="4"/>
  <c r="AF42" i="4"/>
  <c r="AF41" i="4"/>
  <c r="AF48" i="4"/>
  <c r="J83" i="9"/>
  <c r="Y15" i="7"/>
  <c r="V33" i="7"/>
  <c r="AE95" i="4"/>
  <c r="AD127" i="4"/>
  <c r="T82" i="9" s="1"/>
  <c r="FP117" i="4"/>
  <c r="FP116" i="4" s="1"/>
  <c r="FP94" i="4"/>
  <c r="FP93" i="4" s="1"/>
  <c r="FP89" i="4"/>
  <c r="FP127" i="4"/>
  <c r="FP125" i="4"/>
  <c r="FP123" i="4"/>
  <c r="FP122" i="4"/>
  <c r="FP121" i="4"/>
  <c r="FP126" i="4"/>
  <c r="FP57" i="4"/>
  <c r="FP198" i="4"/>
  <c r="FJ3" i="7"/>
  <c r="FP201" i="4"/>
  <c r="FP53" i="4"/>
  <c r="FP129" i="4"/>
  <c r="AE31" i="4"/>
  <c r="U55" i="9" s="1"/>
  <c r="AD121" i="4"/>
  <c r="T76" i="9" s="1"/>
  <c r="FO154" i="4"/>
  <c r="FO95" i="4"/>
  <c r="FO120" i="4" s="1"/>
  <c r="FO130" i="4" s="1"/>
  <c r="AE130" i="4" s="1"/>
  <c r="FO91" i="4"/>
  <c r="FO90" i="4" s="1"/>
  <c r="AE90" i="4" s="1"/>
  <c r="FO152" i="4" s="1"/>
  <c r="FO119" i="4"/>
  <c r="FO151" i="4"/>
  <c r="FI14" i="7"/>
  <c r="FI12" i="7"/>
  <c r="FI13" i="7"/>
  <c r="AD126" i="4"/>
  <c r="T81" i="9" s="1"/>
  <c r="FM96" i="4"/>
  <c r="AC99" i="4"/>
  <c r="FM150" i="4" s="1"/>
  <c r="FG35" i="4" l="1"/>
  <c r="W35" i="4" s="1"/>
  <c r="AG45" i="4"/>
  <c r="AG46" i="4"/>
  <c r="FN97" i="4"/>
  <c r="FO36" i="4"/>
  <c r="AE36" i="4" s="1"/>
  <c r="FC35" i="4"/>
  <c r="S35" i="4" s="1"/>
  <c r="FK35" i="4"/>
  <c r="AA35" i="4" s="1"/>
  <c r="FA35" i="4"/>
  <c r="Q35" i="4" s="1"/>
  <c r="FJ35" i="4"/>
  <c r="Z35" i="4" s="1"/>
  <c r="FF35" i="4"/>
  <c r="V35" i="4" s="1"/>
  <c r="FI35" i="4"/>
  <c r="Y35" i="4" s="1"/>
  <c r="FH35" i="4"/>
  <c r="X35" i="4" s="1"/>
  <c r="Y113" i="4"/>
  <c r="Y114" i="4" s="1"/>
  <c r="Y128" i="4" s="1"/>
  <c r="O83" i="9" s="1"/>
  <c r="FA36" i="4"/>
  <c r="Q36" i="4" s="1"/>
  <c r="FB36" i="4"/>
  <c r="R36" i="4" s="1"/>
  <c r="FC36" i="4"/>
  <c r="S36" i="4" s="1"/>
  <c r="FD36" i="4"/>
  <c r="T36" i="4" s="1"/>
  <c r="FE36" i="4"/>
  <c r="U36" i="4" s="1"/>
  <c r="FF36" i="4"/>
  <c r="V36" i="4" s="1"/>
  <c r="FG36" i="4"/>
  <c r="W36" i="4" s="1"/>
  <c r="FH36" i="4"/>
  <c r="X36" i="4" s="1"/>
  <c r="FI36" i="4"/>
  <c r="Y36" i="4" s="1"/>
  <c r="FJ36" i="4"/>
  <c r="Z36" i="4" s="1"/>
  <c r="FK36" i="4"/>
  <c r="AA36" i="4" s="1"/>
  <c r="FL36" i="4"/>
  <c r="AB36" i="4" s="1"/>
  <c r="FM36" i="4"/>
  <c r="AC36" i="4" s="1"/>
  <c r="FL35" i="4"/>
  <c r="AB35" i="4" s="1"/>
  <c r="FN36" i="4"/>
  <c r="AD36" i="4" s="1"/>
  <c r="AE97" i="4"/>
  <c r="FE35" i="4"/>
  <c r="U35" i="4" s="1"/>
  <c r="FD35" i="4"/>
  <c r="T35" i="4" s="1"/>
  <c r="FM35" i="4"/>
  <c r="AC35" i="4" s="1"/>
  <c r="P71" i="9"/>
  <c r="Z111" i="4"/>
  <c r="Z112" i="4" s="1"/>
  <c r="L83" i="9"/>
  <c r="X114" i="4"/>
  <c r="X91" i="4" s="1"/>
  <c r="FB35" i="4"/>
  <c r="R35" i="4" s="1"/>
  <c r="FO35" i="4"/>
  <c r="AE35" i="4" s="1"/>
  <c r="FO45" i="4"/>
  <c r="FJ44" i="4"/>
  <c r="FA44" i="4"/>
  <c r="FI44" i="4"/>
  <c r="FB44" i="4"/>
  <c r="FC44" i="4"/>
  <c r="FD44" i="4"/>
  <c r="FE44" i="4"/>
  <c r="FF44" i="4"/>
  <c r="FG44" i="4"/>
  <c r="FK44" i="4"/>
  <c r="FH44" i="4"/>
  <c r="FL44" i="4"/>
  <c r="FM44" i="4"/>
  <c r="FA45" i="4"/>
  <c r="FB45" i="4"/>
  <c r="FC45" i="4"/>
  <c r="FD45" i="4"/>
  <c r="FE45" i="4"/>
  <c r="FF45" i="4"/>
  <c r="FG45" i="4"/>
  <c r="FH45" i="4"/>
  <c r="FI45" i="4"/>
  <c r="FJ45" i="4"/>
  <c r="FK45" i="4"/>
  <c r="FL45" i="4"/>
  <c r="FM45" i="4"/>
  <c r="FN45" i="4"/>
  <c r="X32" i="7"/>
  <c r="X30" i="7"/>
  <c r="X29" i="7"/>
  <c r="FM158" i="4"/>
  <c r="FM159" i="4" s="1"/>
  <c r="FM160" i="4" s="1"/>
  <c r="U21" i="7"/>
  <c r="U23" i="7" s="1"/>
  <c r="U24" i="7" s="1"/>
  <c r="U25" i="7" s="1"/>
  <c r="U35" i="7" s="1"/>
  <c r="AA110" i="4" s="1"/>
  <c r="Q70" i="9" s="1"/>
  <c r="Q71" i="9" s="1"/>
  <c r="AB101" i="4"/>
  <c r="AB103" i="4" s="1"/>
  <c r="R68" i="9" s="1"/>
  <c r="W128" i="4"/>
  <c r="W91" i="4"/>
  <c r="FN156" i="4"/>
  <c r="FN158" i="4" s="1"/>
  <c r="FN159" i="4" s="1"/>
  <c r="FN160" i="4" s="1"/>
  <c r="AF49" i="4"/>
  <c r="V57" i="9" s="1"/>
  <c r="AE126" i="4"/>
  <c r="U81" i="9" s="1"/>
  <c r="FM99" i="4"/>
  <c r="AC100" i="4" s="1"/>
  <c r="AE129" i="4"/>
  <c r="U84" i="9" s="1"/>
  <c r="AE123" i="4"/>
  <c r="U78" i="9" s="1"/>
  <c r="AE121" i="4"/>
  <c r="U76" i="9" s="1"/>
  <c r="AE125" i="4"/>
  <c r="U80" i="9" s="1"/>
  <c r="AE127" i="4"/>
  <c r="U82" i="9" s="1"/>
  <c r="AE122" i="4"/>
  <c r="U77" i="9" s="1"/>
  <c r="AD108" i="4"/>
  <c r="T69" i="9" s="1"/>
  <c r="FO153" i="4"/>
  <c r="AD99" i="4"/>
  <c r="FN150" i="4" s="1"/>
  <c r="V20" i="7"/>
  <c r="V18" i="7"/>
  <c r="V19" i="7"/>
  <c r="FN146" i="4"/>
  <c r="FN147" i="4" s="1"/>
  <c r="FN148" i="4" s="1"/>
  <c r="FN149" i="4" s="1"/>
  <c r="FN96" i="4"/>
  <c r="U85" i="9"/>
  <c r="I83" i="9"/>
  <c r="FQ2" i="4"/>
  <c r="AA2" i="7"/>
  <c r="FI15" i="7"/>
  <c r="Y9" i="7" s="1"/>
  <c r="FN98" i="4"/>
  <c r="AA10" i="7"/>
  <c r="AA14" i="7"/>
  <c r="AA12" i="7"/>
  <c r="AA13" i="7"/>
  <c r="FQ94" i="4"/>
  <c r="FQ93" i="4" s="1"/>
  <c r="FQ129" i="4"/>
  <c r="FQ89" i="4"/>
  <c r="FQ198" i="4"/>
  <c r="FQ122" i="4"/>
  <c r="FQ127" i="4"/>
  <c r="FQ123" i="4"/>
  <c r="FQ117" i="4"/>
  <c r="FQ116" i="4" s="1"/>
  <c r="FK3" i="7"/>
  <c r="FQ201" i="4"/>
  <c r="FQ125" i="4"/>
  <c r="FQ121" i="4"/>
  <c r="FQ53" i="4"/>
  <c r="FQ126" i="4"/>
  <c r="FQ57" i="4"/>
  <c r="FO28" i="4"/>
  <c r="FO44" i="4"/>
  <c r="FO26" i="4"/>
  <c r="FO27" i="4"/>
  <c r="FO47" i="4"/>
  <c r="FO30" i="4"/>
  <c r="FO41" i="4"/>
  <c r="AF95" i="4"/>
  <c r="FR3" i="4"/>
  <c r="AI3" i="4"/>
  <c r="AH83" i="4"/>
  <c r="AB3" i="7"/>
  <c r="AH70" i="4"/>
  <c r="AH2" i="4"/>
  <c r="AH198" i="4"/>
  <c r="AG231" i="4"/>
  <c r="AG252" i="4" s="1"/>
  <c r="W54" i="9"/>
  <c r="Z15" i="7"/>
  <c r="W33" i="7"/>
  <c r="FP23" i="4"/>
  <c r="AG23" i="4"/>
  <c r="AG199" i="4" s="1"/>
  <c r="AF89" i="4"/>
  <c r="Z5" i="7"/>
  <c r="S69" i="9"/>
  <c r="V67" i="9"/>
  <c r="V53" i="9"/>
  <c r="AF31" i="4"/>
  <c r="AD139" i="4"/>
  <c r="T90" i="9" s="1"/>
  <c r="FO155" i="4"/>
  <c r="FJ12" i="7"/>
  <c r="FJ14" i="7"/>
  <c r="FJ13" i="7"/>
  <c r="U94" i="9"/>
  <c r="FP154" i="4"/>
  <c r="FP95" i="4"/>
  <c r="FP120" i="4" s="1"/>
  <c r="FP130" i="4" s="1"/>
  <c r="AF130" i="4" s="1"/>
  <c r="FP119" i="4"/>
  <c r="FP91" i="4"/>
  <c r="FP90" i="4" s="1"/>
  <c r="AF90" i="4" s="1"/>
  <c r="FP151" i="4"/>
  <c r="AE107" i="4"/>
  <c r="AE136" i="4"/>
  <c r="AE137" i="4"/>
  <c r="AE105" i="4"/>
  <c r="AE96" i="4"/>
  <c r="FO118" i="4"/>
  <c r="AE98" i="4"/>
  <c r="FO92" i="4"/>
  <c r="AE102" i="4"/>
  <c r="AE138" i="4"/>
  <c r="AE106" i="4"/>
  <c r="AG28" i="4"/>
  <c r="AG44" i="4"/>
  <c r="AH22" i="4"/>
  <c r="AG43" i="4"/>
  <c r="AG88" i="4"/>
  <c r="AG27" i="4"/>
  <c r="FQ22" i="4"/>
  <c r="AG26" i="4"/>
  <c r="AG30" i="4"/>
  <c r="AG47" i="4"/>
  <c r="AG42" i="4"/>
  <c r="AG41" i="4"/>
  <c r="AG48" i="4"/>
  <c r="FP36" i="4" l="1"/>
  <c r="AF36" i="4" s="1"/>
  <c r="FP46" i="4"/>
  <c r="AH45" i="4"/>
  <c r="AH46" i="4"/>
  <c r="O72" i="9"/>
  <c r="O73" i="9" s="1"/>
  <c r="Y91" i="4"/>
  <c r="X128" i="4"/>
  <c r="N83" i="9" s="1"/>
  <c r="FO97" i="4"/>
  <c r="FP152" i="4"/>
  <c r="FP153" i="4" s="1"/>
  <c r="AF97" i="4"/>
  <c r="Z113" i="4"/>
  <c r="P72" i="9" s="1"/>
  <c r="P73" i="9" s="1"/>
  <c r="X33" i="7"/>
  <c r="X19" i="7" s="1"/>
  <c r="FP35" i="4"/>
  <c r="AF35" i="4" s="1"/>
  <c r="FP45" i="4"/>
  <c r="AC101" i="4"/>
  <c r="AC103" i="4" s="1"/>
  <c r="S68" i="9" s="1"/>
  <c r="AA111" i="4"/>
  <c r="AA112" i="4" s="1"/>
  <c r="M83" i="9"/>
  <c r="AF125" i="4"/>
  <c r="V80" i="9" s="1"/>
  <c r="AF121" i="4"/>
  <c r="V76" i="9" s="1"/>
  <c r="FP155" i="4"/>
  <c r="FS3" i="4"/>
  <c r="AJ3" i="4"/>
  <c r="AI2" i="4"/>
  <c r="AC3" i="7"/>
  <c r="AI83" i="4"/>
  <c r="AI70" i="4"/>
  <c r="AI198" i="4"/>
  <c r="FR117" i="4"/>
  <c r="FR116" i="4" s="1"/>
  <c r="FR94" i="4"/>
  <c r="FR93" i="4" s="1"/>
  <c r="FR89" i="4"/>
  <c r="FR126" i="4"/>
  <c r="FR123" i="4"/>
  <c r="FR122" i="4"/>
  <c r="FR53" i="4"/>
  <c r="FR57" i="4"/>
  <c r="FR198" i="4"/>
  <c r="FL3" i="7"/>
  <c r="FR201" i="4"/>
  <c r="FR127" i="4"/>
  <c r="FR125" i="4"/>
  <c r="FR121" i="4"/>
  <c r="FR129" i="4"/>
  <c r="FP44" i="4"/>
  <c r="FP28" i="4"/>
  <c r="FP26" i="4"/>
  <c r="FP27" i="4"/>
  <c r="FP30" i="4"/>
  <c r="FP47" i="4"/>
  <c r="FP41" i="4"/>
  <c r="AH44" i="4"/>
  <c r="AH28" i="4"/>
  <c r="AI22" i="4"/>
  <c r="AH88" i="4"/>
  <c r="AH26" i="4"/>
  <c r="AH43" i="4"/>
  <c r="AH27" i="4"/>
  <c r="FR22" i="4"/>
  <c r="AH30" i="4"/>
  <c r="AH47" i="4"/>
  <c r="AH42" i="4"/>
  <c r="AH41" i="4"/>
  <c r="AH48" i="4"/>
  <c r="W18" i="7"/>
  <c r="W20" i="7"/>
  <c r="W19" i="7"/>
  <c r="FK14" i="7"/>
  <c r="FK13" i="7"/>
  <c r="FK12" i="7"/>
  <c r="FJ15" i="7"/>
  <c r="Z9" i="7" s="1"/>
  <c r="AE108" i="4"/>
  <c r="AF122" i="4"/>
  <c r="V77" i="9" s="1"/>
  <c r="FO156" i="4"/>
  <c r="FO158" i="4" s="1"/>
  <c r="FO159" i="4" s="1"/>
  <c r="FO160" i="4" s="1"/>
  <c r="W53" i="9"/>
  <c r="W67" i="9"/>
  <c r="V94" i="9"/>
  <c r="AF126" i="4"/>
  <c r="V81" i="9" s="1"/>
  <c r="AG31" i="4"/>
  <c r="W55" i="9" s="1"/>
  <c r="AH23" i="4"/>
  <c r="FQ23" i="4"/>
  <c r="AG89" i="4"/>
  <c r="EV43" i="4"/>
  <c r="AA5" i="7"/>
  <c r="AF127" i="4"/>
  <c r="V82" i="9" s="1"/>
  <c r="FN99" i="4"/>
  <c r="AD100" i="4" s="1"/>
  <c r="AD101" i="4" s="1"/>
  <c r="AD103" i="4" s="1"/>
  <c r="FQ154" i="4"/>
  <c r="FQ95" i="4"/>
  <c r="FQ120" i="4" s="1"/>
  <c r="FQ130" i="4" s="1"/>
  <c r="AG130" i="4" s="1"/>
  <c r="FQ119" i="4"/>
  <c r="FQ91" i="4"/>
  <c r="FQ90" i="4" s="1"/>
  <c r="AG90" i="4" s="1"/>
  <c r="FQ151" i="4"/>
  <c r="AF137" i="4"/>
  <c r="AF136" i="4"/>
  <c r="AF107" i="4"/>
  <c r="AF105" i="4"/>
  <c r="FP118" i="4"/>
  <c r="FP92" i="4"/>
  <c r="AF102" i="4"/>
  <c r="AF96" i="4"/>
  <c r="AF98" i="4"/>
  <c r="AF138" i="4"/>
  <c r="AF106" i="4"/>
  <c r="AF129" i="4"/>
  <c r="V84" i="9" s="1"/>
  <c r="Y29" i="7"/>
  <c r="Y30" i="7"/>
  <c r="Y31" i="7"/>
  <c r="Y32" i="7"/>
  <c r="AG49" i="4"/>
  <c r="W57" i="9" s="1"/>
  <c r="AH231" i="4"/>
  <c r="AH252" i="4" s="1"/>
  <c r="X54" i="9"/>
  <c r="V21" i="7"/>
  <c r="V23" i="7" s="1"/>
  <c r="V24" i="7" s="1"/>
  <c r="V25" i="7" s="1"/>
  <c r="V35" i="7" s="1"/>
  <c r="AB110" i="4" s="1"/>
  <c r="AA15" i="7"/>
  <c r="AG95" i="4"/>
  <c r="AF123" i="4"/>
  <c r="V78" i="9" s="1"/>
  <c r="V85" i="9"/>
  <c r="FO146" i="4"/>
  <c r="FO147" i="4" s="1"/>
  <c r="FO148" i="4" s="1"/>
  <c r="FO149" i="4" s="1"/>
  <c r="FO96" i="4"/>
  <c r="FO98" i="4"/>
  <c r="AE99" i="4"/>
  <c r="FO150" i="4" s="1"/>
  <c r="FR2" i="4"/>
  <c r="AB2" i="7"/>
  <c r="V55" i="9"/>
  <c r="AE139" i="4"/>
  <c r="U90" i="9" s="1"/>
  <c r="AB10" i="7"/>
  <c r="AB14" i="7"/>
  <c r="AB12" i="7"/>
  <c r="AB13" i="7"/>
  <c r="AI45" i="4" l="1"/>
  <c r="AI46" i="4"/>
  <c r="FQ36" i="4"/>
  <c r="AG36" i="4" s="1"/>
  <c r="FQ46" i="4"/>
  <c r="X20" i="7"/>
  <c r="FP97" i="4"/>
  <c r="X18" i="7"/>
  <c r="AG121" i="4"/>
  <c r="W76" i="9" s="1"/>
  <c r="AG97" i="4"/>
  <c r="W85" i="9"/>
  <c r="Z114" i="4"/>
  <c r="Z91" i="4" s="1"/>
  <c r="FQ35" i="4"/>
  <c r="AG35" i="4" s="1"/>
  <c r="FQ45" i="4"/>
  <c r="FQ152" i="4"/>
  <c r="AA113" i="4"/>
  <c r="AA114" i="4" s="1"/>
  <c r="AA91" i="4" s="1"/>
  <c r="FK15" i="7"/>
  <c r="AA9" i="7" s="1"/>
  <c r="AA32" i="7" s="1"/>
  <c r="FP156" i="4"/>
  <c r="FP158" i="4" s="1"/>
  <c r="FP159" i="4" s="1"/>
  <c r="FP160" i="4" s="1"/>
  <c r="AG122" i="4"/>
  <c r="W77" i="9" s="1"/>
  <c r="FQ155" i="4"/>
  <c r="AG125" i="4"/>
  <c r="W80" i="9" s="1"/>
  <c r="AF108" i="4"/>
  <c r="V69" i="9" s="1"/>
  <c r="AG129" i="4"/>
  <c r="W84" i="9" s="1"/>
  <c r="W21" i="7"/>
  <c r="W23" i="7" s="1"/>
  <c r="W24" i="7" s="1"/>
  <c r="W25" i="7" s="1"/>
  <c r="W35" i="7" s="1"/>
  <c r="AC110" i="4" s="1"/>
  <c r="S70" i="9" s="1"/>
  <c r="S71" i="9" s="1"/>
  <c r="AF99" i="4"/>
  <c r="FP150" i="4" s="1"/>
  <c r="FP98" i="4"/>
  <c r="AG127" i="4"/>
  <c r="W82" i="9" s="1"/>
  <c r="FR154" i="4"/>
  <c r="FR119" i="4"/>
  <c r="FR91" i="4"/>
  <c r="FR90" i="4" s="1"/>
  <c r="AH90" i="4" s="1"/>
  <c r="AH97" i="4" s="1"/>
  <c r="FR95" i="4"/>
  <c r="FR120" i="4" s="1"/>
  <c r="FR130" i="4" s="1"/>
  <c r="AH130" i="4" s="1"/>
  <c r="FR151" i="4"/>
  <c r="Y33" i="7"/>
  <c r="FQ28" i="4"/>
  <c r="FQ27" i="4"/>
  <c r="FQ26" i="4"/>
  <c r="FQ44" i="4"/>
  <c r="FQ30" i="4"/>
  <c r="FQ47" i="4"/>
  <c r="FQ41" i="4"/>
  <c r="FP146" i="4"/>
  <c r="FP147" i="4" s="1"/>
  <c r="FP148" i="4" s="1"/>
  <c r="FP149" i="4" s="1"/>
  <c r="FP96" i="4"/>
  <c r="AG126" i="4"/>
  <c r="W81" i="9" s="1"/>
  <c r="AB15" i="7"/>
  <c r="R70" i="9"/>
  <c r="R71" i="9" s="1"/>
  <c r="AB111" i="4"/>
  <c r="FO99" i="4"/>
  <c r="AE100" i="4" s="1"/>
  <c r="AE101" i="4" s="1"/>
  <c r="AE103" i="4" s="1"/>
  <c r="Y54" i="9"/>
  <c r="AI231" i="4"/>
  <c r="AI252" i="4" s="1"/>
  <c r="AF139" i="4"/>
  <c r="V90" i="9" s="1"/>
  <c r="AG102" i="4"/>
  <c r="AG137" i="4"/>
  <c r="AG105" i="4"/>
  <c r="FQ92" i="4"/>
  <c r="AG98" i="4"/>
  <c r="AG96" i="4"/>
  <c r="FQ118" i="4"/>
  <c r="AG136" i="4"/>
  <c r="AG107" i="4"/>
  <c r="AG138" i="4"/>
  <c r="AG106" i="4"/>
  <c r="FL12" i="7"/>
  <c r="FL14" i="7"/>
  <c r="FL13" i="7"/>
  <c r="FR23" i="4"/>
  <c r="AI23" i="4"/>
  <c r="AI199" i="4" s="1"/>
  <c r="AH89" i="4"/>
  <c r="AB5" i="7"/>
  <c r="AC10" i="7"/>
  <c r="AC14" i="7"/>
  <c r="AC12" i="7"/>
  <c r="AC13" i="7"/>
  <c r="W94" i="9"/>
  <c r="X53" i="9"/>
  <c r="X67" i="9"/>
  <c r="AC2" i="7"/>
  <c r="FS2" i="4"/>
  <c r="AI28" i="4"/>
  <c r="AI44" i="4"/>
  <c r="FS22" i="4"/>
  <c r="AI26" i="4"/>
  <c r="AI88" i="4"/>
  <c r="AJ22" i="4"/>
  <c r="AI43" i="4"/>
  <c r="AI27" i="4"/>
  <c r="AI47" i="4"/>
  <c r="AI30" i="4"/>
  <c r="AI42" i="4"/>
  <c r="AI41" i="4"/>
  <c r="AI48" i="4"/>
  <c r="T68" i="9"/>
  <c r="AH49" i="4"/>
  <c r="X57" i="9" s="1"/>
  <c r="AH199" i="4"/>
  <c r="U69" i="9"/>
  <c r="AG123" i="4"/>
  <c r="W78" i="9" s="1"/>
  <c r="AH31" i="4"/>
  <c r="X55" i="9" s="1"/>
  <c r="FT3" i="4"/>
  <c r="AK3" i="4"/>
  <c r="AD3" i="7"/>
  <c r="AJ70" i="4"/>
  <c r="AJ2" i="4"/>
  <c r="AJ83" i="4"/>
  <c r="AJ198" i="4"/>
  <c r="Z32" i="7"/>
  <c r="Z29" i="7"/>
  <c r="Z31" i="7"/>
  <c r="Z30" i="7"/>
  <c r="AH95" i="4"/>
  <c r="FS117" i="4"/>
  <c r="FS116" i="4" s="1"/>
  <c r="FM3" i="7"/>
  <c r="FS129" i="4"/>
  <c r="FS94" i="4"/>
  <c r="FS93" i="4" s="1"/>
  <c r="FS89" i="4"/>
  <c r="FS126" i="4"/>
  <c r="FS122" i="4"/>
  <c r="FS121" i="4"/>
  <c r="FS123" i="4"/>
  <c r="FS198" i="4"/>
  <c r="FS57" i="4"/>
  <c r="FS53" i="4"/>
  <c r="FS201" i="4"/>
  <c r="FS127" i="4"/>
  <c r="FS125" i="4"/>
  <c r="X21" i="7" l="1"/>
  <c r="X23" i="7" s="1"/>
  <c r="X24" i="7" s="1"/>
  <c r="X25" i="7" s="1"/>
  <c r="X35" i="7" s="1"/>
  <c r="AD110" i="4" s="1"/>
  <c r="T70" i="9" s="1"/>
  <c r="T71" i="9" s="1"/>
  <c r="FR36" i="4"/>
  <c r="AH36" i="4" s="1"/>
  <c r="FR46" i="4"/>
  <c r="AJ45" i="4"/>
  <c r="AJ46" i="4"/>
  <c r="U68" i="9"/>
  <c r="FQ97" i="4"/>
  <c r="X85" i="9"/>
  <c r="Z128" i="4"/>
  <c r="P83" i="9" s="1"/>
  <c r="FQ153" i="4"/>
  <c r="FQ156" i="4" s="1"/>
  <c r="FQ158" i="4" s="1"/>
  <c r="FQ159" i="4" s="1"/>
  <c r="FQ160" i="4" s="1"/>
  <c r="AA31" i="7"/>
  <c r="AA29" i="7"/>
  <c r="FR35" i="4"/>
  <c r="AH35" i="4" s="1"/>
  <c r="FR45" i="4"/>
  <c r="FR152" i="4"/>
  <c r="AA30" i="7"/>
  <c r="AA128" i="4"/>
  <c r="Q72" i="9"/>
  <c r="Q73" i="9" s="1"/>
  <c r="AC15" i="7"/>
  <c r="AH125" i="4"/>
  <c r="X80" i="9" s="1"/>
  <c r="FL15" i="7"/>
  <c r="AB9" i="7" s="1"/>
  <c r="AB32" i="7" s="1"/>
  <c r="FQ98" i="4"/>
  <c r="AI49" i="4"/>
  <c r="Y57" i="9" s="1"/>
  <c r="AH122" i="4"/>
  <c r="X77" i="9" s="1"/>
  <c r="AH123" i="4"/>
  <c r="X78" i="9" s="1"/>
  <c r="AH127" i="4"/>
  <c r="X82" i="9" s="1"/>
  <c r="AH121" i="4"/>
  <c r="X76" i="9" s="1"/>
  <c r="AH126" i="4"/>
  <c r="X81" i="9" s="1"/>
  <c r="AH129" i="4"/>
  <c r="X84" i="9" s="1"/>
  <c r="AC111" i="4"/>
  <c r="AC113" i="4" s="1"/>
  <c r="FR155" i="4"/>
  <c r="FP99" i="4"/>
  <c r="AF100" i="4" s="1"/>
  <c r="AF101" i="4" s="1"/>
  <c r="AF103" i="4" s="1"/>
  <c r="V68" i="9" s="1"/>
  <c r="FQ146" i="4"/>
  <c r="FQ147" i="4" s="1"/>
  <c r="FQ148" i="4" s="1"/>
  <c r="FQ149" i="4" s="1"/>
  <c r="FQ96" i="4"/>
  <c r="AD10" i="7"/>
  <c r="AD14" i="7"/>
  <c r="AD12" i="7"/>
  <c r="AD13" i="7"/>
  <c r="X94" i="9"/>
  <c r="FU3" i="4"/>
  <c r="AL3" i="4"/>
  <c r="AE3" i="7"/>
  <c r="AK83" i="4"/>
  <c r="AK2" i="4"/>
  <c r="AK70" i="4"/>
  <c r="AK198" i="4"/>
  <c r="Y67" i="9"/>
  <c r="Y53" i="9"/>
  <c r="FS23" i="4"/>
  <c r="AJ23" i="4"/>
  <c r="AJ199" i="4" s="1"/>
  <c r="EW42" i="4"/>
  <c r="FR42" i="4" s="1"/>
  <c r="AI89" i="4"/>
  <c r="EW37" i="4"/>
  <c r="FR37" i="4" s="1"/>
  <c r="AH37" i="4" s="1"/>
  <c r="EW48" i="4"/>
  <c r="FR48" i="4" s="1"/>
  <c r="EW43" i="4"/>
  <c r="FR43" i="4" s="1"/>
  <c r="AC5" i="7"/>
  <c r="EW34" i="4"/>
  <c r="FR34" i="4" s="1"/>
  <c r="AH34" i="4" s="1"/>
  <c r="AJ231" i="4"/>
  <c r="AJ252" i="4" s="1"/>
  <c r="Z54" i="9"/>
  <c r="Y18" i="7"/>
  <c r="Y20" i="7"/>
  <c r="Y19" i="7"/>
  <c r="FT2" i="4"/>
  <c r="AD2" i="7"/>
  <c r="FR28" i="4"/>
  <c r="FR27" i="4"/>
  <c r="FR44" i="4"/>
  <c r="FR26" i="4"/>
  <c r="FR30" i="4"/>
  <c r="FR47" i="4"/>
  <c r="FR41" i="4"/>
  <c r="FT117" i="4"/>
  <c r="FT116" i="4" s="1"/>
  <c r="FT123" i="4"/>
  <c r="FN3" i="7"/>
  <c r="FT94" i="4"/>
  <c r="FT93" i="4" s="1"/>
  <c r="FT127" i="4"/>
  <c r="FT125" i="4"/>
  <c r="FT122" i="4"/>
  <c r="FT198" i="4"/>
  <c r="FT57" i="4"/>
  <c r="FT89" i="4"/>
  <c r="FT201" i="4"/>
  <c r="FT129" i="4"/>
  <c r="FT53" i="4"/>
  <c r="FT126" i="4"/>
  <c r="FT121" i="4"/>
  <c r="AB112" i="4"/>
  <c r="AB113" i="4"/>
  <c r="FS154" i="4"/>
  <c r="FS119" i="4"/>
  <c r="FS91" i="4"/>
  <c r="FS90" i="4" s="1"/>
  <c r="AI90" i="4" s="1"/>
  <c r="AI97" i="4" s="1"/>
  <c r="FS95" i="4"/>
  <c r="FS120" i="4" s="1"/>
  <c r="FS130" i="4" s="1"/>
  <c r="AI130" i="4" s="1"/>
  <c r="FS151" i="4"/>
  <c r="AJ28" i="4"/>
  <c r="AJ44" i="4"/>
  <c r="AK22" i="4"/>
  <c r="FT22" i="4"/>
  <c r="AJ26" i="4"/>
  <c r="AJ43" i="4"/>
  <c r="AJ88" i="4"/>
  <c r="AJ27" i="4"/>
  <c r="AJ30" i="4"/>
  <c r="AJ47" i="4"/>
  <c r="AJ41" i="4"/>
  <c r="AJ42" i="4"/>
  <c r="AJ48" i="4"/>
  <c r="AG108" i="4"/>
  <c r="AH137" i="4"/>
  <c r="AH105" i="4"/>
  <c r="AH102" i="4"/>
  <c r="AH96" i="4"/>
  <c r="FR118" i="4"/>
  <c r="AH98" i="4"/>
  <c r="FR92" i="4"/>
  <c r="FR97" i="4" s="1"/>
  <c r="AH107" i="4"/>
  <c r="AH136" i="4"/>
  <c r="AH138" i="4"/>
  <c r="AH106" i="4"/>
  <c r="AG139" i="4"/>
  <c r="W90" i="9" s="1"/>
  <c r="Z33" i="7"/>
  <c r="FM14" i="7"/>
  <c r="FM12" i="7"/>
  <c r="FM13" i="7"/>
  <c r="AI95" i="4"/>
  <c r="AI31" i="4"/>
  <c r="Y55" i="9" s="1"/>
  <c r="AG99" i="4"/>
  <c r="FQ150" i="4" s="1"/>
  <c r="AD111" i="4" l="1"/>
  <c r="AD112" i="4" s="1"/>
  <c r="FS36" i="4"/>
  <c r="AI36" i="4" s="1"/>
  <c r="FS46" i="4"/>
  <c r="AK45" i="4"/>
  <c r="AK46" i="4"/>
  <c r="AB29" i="7"/>
  <c r="AB30" i="7"/>
  <c r="AA33" i="7"/>
  <c r="AA19" i="7" s="1"/>
  <c r="FR153" i="4"/>
  <c r="FR156" i="4" s="1"/>
  <c r="FR158" i="4" s="1"/>
  <c r="FR159" i="4" s="1"/>
  <c r="FR160" i="4" s="1"/>
  <c r="AB31" i="7"/>
  <c r="FS35" i="4"/>
  <c r="AI35" i="4" s="1"/>
  <c r="FS45" i="4"/>
  <c r="AI122" i="4"/>
  <c r="Y77" i="9" s="1"/>
  <c r="FS152" i="4"/>
  <c r="Q83" i="9"/>
  <c r="FQ99" i="4"/>
  <c r="AG100" i="4" s="1"/>
  <c r="AG101" i="4" s="1"/>
  <c r="AG103" i="4" s="1"/>
  <c r="W68" i="9" s="1"/>
  <c r="FS155" i="4"/>
  <c r="AC112" i="4"/>
  <c r="S72" i="9" s="1"/>
  <c r="S73" i="9" s="1"/>
  <c r="AI127" i="4"/>
  <c r="Y82" i="9" s="1"/>
  <c r="AI123" i="4"/>
  <c r="Y78" i="9" s="1"/>
  <c r="AI125" i="4"/>
  <c r="Y80" i="9" s="1"/>
  <c r="AI129" i="4"/>
  <c r="Y84" i="9" s="1"/>
  <c r="AH108" i="4"/>
  <c r="X69" i="9" s="1"/>
  <c r="AB114" i="4"/>
  <c r="AB91" i="4" s="1"/>
  <c r="AJ95" i="4"/>
  <c r="AA54" i="9"/>
  <c r="AK231" i="4"/>
  <c r="AK252" i="4" s="1"/>
  <c r="Z53" i="9"/>
  <c r="Z67" i="9"/>
  <c r="FR146" i="4"/>
  <c r="FR147" i="4" s="1"/>
  <c r="FR148" i="4" s="1"/>
  <c r="FR149" i="4" s="1"/>
  <c r="FR96" i="4"/>
  <c r="FF48" i="4"/>
  <c r="FD48" i="4"/>
  <c r="FC48" i="4"/>
  <c r="FE48" i="4"/>
  <c r="FA48" i="4"/>
  <c r="FB48" i="4"/>
  <c r="FG48" i="4"/>
  <c r="FH48" i="4"/>
  <c r="FI48" i="4"/>
  <c r="FJ48" i="4"/>
  <c r="FK48" i="4"/>
  <c r="FL48" i="4"/>
  <c r="FM48" i="4"/>
  <c r="FN48" i="4"/>
  <c r="FO48" i="4"/>
  <c r="FP48" i="4"/>
  <c r="FQ48" i="4"/>
  <c r="AD15" i="7"/>
  <c r="FU2" i="4"/>
  <c r="AE2" i="7"/>
  <c r="FA37" i="4"/>
  <c r="Q37" i="4" s="1"/>
  <c r="FB37" i="4"/>
  <c r="R37" i="4" s="1"/>
  <c r="FC37" i="4"/>
  <c r="S37" i="4" s="1"/>
  <c r="FD37" i="4"/>
  <c r="T37" i="4" s="1"/>
  <c r="FE37" i="4"/>
  <c r="U37" i="4" s="1"/>
  <c r="FF37" i="4"/>
  <c r="V37" i="4" s="1"/>
  <c r="FG37" i="4"/>
  <c r="W37" i="4" s="1"/>
  <c r="FH37" i="4"/>
  <c r="X37" i="4" s="1"/>
  <c r="FI37" i="4"/>
  <c r="Y37" i="4" s="1"/>
  <c r="FJ37" i="4"/>
  <c r="Z37" i="4" s="1"/>
  <c r="FK37" i="4"/>
  <c r="AA37" i="4" s="1"/>
  <c r="FL37" i="4"/>
  <c r="AB37" i="4" s="1"/>
  <c r="FM37" i="4"/>
  <c r="AC37" i="4" s="1"/>
  <c r="FN37" i="4"/>
  <c r="AD37" i="4" s="1"/>
  <c r="FO37" i="4"/>
  <c r="AE37" i="4" s="1"/>
  <c r="FP37" i="4"/>
  <c r="AF37" i="4" s="1"/>
  <c r="FQ37" i="4"/>
  <c r="AG37" i="4" s="1"/>
  <c r="AE10" i="7"/>
  <c r="AE14" i="7"/>
  <c r="AE12" i="7"/>
  <c r="AE13" i="7"/>
  <c r="Y94" i="9"/>
  <c r="FT95" i="4"/>
  <c r="FT120" i="4" s="1"/>
  <c r="FT130" i="4" s="1"/>
  <c r="AJ130" i="4" s="1"/>
  <c r="FT91" i="4"/>
  <c r="FT90" i="4" s="1"/>
  <c r="AJ90" i="4" s="1"/>
  <c r="AJ97" i="4" s="1"/>
  <c r="FT119" i="4"/>
  <c r="FT151" i="4"/>
  <c r="FT154" i="4"/>
  <c r="FR98" i="4"/>
  <c r="FT23" i="4"/>
  <c r="AK23" i="4"/>
  <c r="AK199" i="4" s="1"/>
  <c r="AJ89" i="4"/>
  <c r="AD5" i="7"/>
  <c r="AK28" i="4"/>
  <c r="AK44" i="4"/>
  <c r="AK26" i="4"/>
  <c r="AL22" i="4"/>
  <c r="AK43" i="4"/>
  <c r="AK27" i="4"/>
  <c r="AK88" i="4"/>
  <c r="FU22" i="4"/>
  <c r="AK30" i="4"/>
  <c r="AK47" i="4"/>
  <c r="AK42" i="4"/>
  <c r="AK41" i="4"/>
  <c r="AK48" i="4"/>
  <c r="AI105" i="4"/>
  <c r="AI136" i="4"/>
  <c r="AI137" i="4"/>
  <c r="AI107" i="4"/>
  <c r="AI98" i="4"/>
  <c r="FS118" i="4"/>
  <c r="AI96" i="4"/>
  <c r="FS92" i="4"/>
  <c r="FS97" i="4" s="1"/>
  <c r="AI102" i="4"/>
  <c r="AI138" i="4"/>
  <c r="AI106" i="4"/>
  <c r="FS44" i="4"/>
  <c r="FS27" i="4"/>
  <c r="FS26" i="4"/>
  <c r="FS43" i="4"/>
  <c r="FS30" i="4"/>
  <c r="FS47" i="4"/>
  <c r="FS34" i="4"/>
  <c r="AI34" i="4" s="1"/>
  <c r="FS28" i="4"/>
  <c r="FS37" i="4"/>
  <c r="AI37" i="4" s="1"/>
  <c r="FS41" i="4"/>
  <c r="FS42" i="4"/>
  <c r="FS48" i="4"/>
  <c r="AH139" i="4"/>
  <c r="X90" i="9" s="1"/>
  <c r="FN13" i="7"/>
  <c r="FN12" i="7"/>
  <c r="FN14" i="7"/>
  <c r="AI121" i="4"/>
  <c r="Y76" i="9" s="1"/>
  <c r="Z18" i="7"/>
  <c r="Z20" i="7"/>
  <c r="Z19" i="7"/>
  <c r="AJ31" i="4"/>
  <c r="FM15" i="7"/>
  <c r="AC9" i="7" s="1"/>
  <c r="FD42" i="4"/>
  <c r="FA42" i="4"/>
  <c r="FC42" i="4"/>
  <c r="FB42" i="4"/>
  <c r="FE42" i="4"/>
  <c r="FF42" i="4"/>
  <c r="FG42" i="4"/>
  <c r="FH42" i="4"/>
  <c r="FI42" i="4"/>
  <c r="FJ42" i="4"/>
  <c r="FK42" i="4"/>
  <c r="FL42" i="4"/>
  <c r="FM42" i="4"/>
  <c r="FN42" i="4"/>
  <c r="FO42" i="4"/>
  <c r="FP42" i="4"/>
  <c r="FQ42" i="4"/>
  <c r="FV3" i="4"/>
  <c r="AM3" i="4"/>
  <c r="AL83" i="4"/>
  <c r="AL70" i="4"/>
  <c r="AL2" i="4"/>
  <c r="AF3" i="7"/>
  <c r="AL198" i="4"/>
  <c r="W69" i="9"/>
  <c r="R72" i="9"/>
  <c r="R73" i="9" s="1"/>
  <c r="Y21" i="7"/>
  <c r="Y23" i="7" s="1"/>
  <c r="Y24" i="7" s="1"/>
  <c r="Y25" i="7" s="1"/>
  <c r="Y35" i="7" s="1"/>
  <c r="AE110" i="4" s="1"/>
  <c r="AH38" i="4"/>
  <c r="FA34" i="4"/>
  <c r="Q34" i="4" s="1"/>
  <c r="FB34" i="4"/>
  <c r="R34" i="4" s="1"/>
  <c r="FC34" i="4"/>
  <c r="S34" i="4" s="1"/>
  <c r="FD34" i="4"/>
  <c r="T34" i="4" s="1"/>
  <c r="FE34" i="4"/>
  <c r="U34" i="4" s="1"/>
  <c r="FF34" i="4"/>
  <c r="V34" i="4" s="1"/>
  <c r="FG34" i="4"/>
  <c r="W34" i="4" s="1"/>
  <c r="FH34" i="4"/>
  <c r="X34" i="4" s="1"/>
  <c r="FI34" i="4"/>
  <c r="Y34" i="4" s="1"/>
  <c r="FJ34" i="4"/>
  <c r="Z34" i="4" s="1"/>
  <c r="FK34" i="4"/>
  <c r="AA34" i="4" s="1"/>
  <c r="FL34" i="4"/>
  <c r="AB34" i="4" s="1"/>
  <c r="FM34" i="4"/>
  <c r="AC34" i="4" s="1"/>
  <c r="FN34" i="4"/>
  <c r="AD34" i="4" s="1"/>
  <c r="FO34" i="4"/>
  <c r="AE34" i="4" s="1"/>
  <c r="FP34" i="4"/>
  <c r="AF34" i="4" s="1"/>
  <c r="FQ34" i="4"/>
  <c r="AG34" i="4" s="1"/>
  <c r="FP43" i="4"/>
  <c r="FL43" i="4"/>
  <c r="FA43" i="4"/>
  <c r="FB43" i="4"/>
  <c r="FC43" i="4"/>
  <c r="FD43" i="4"/>
  <c r="FE43" i="4"/>
  <c r="FF43" i="4"/>
  <c r="FG43" i="4"/>
  <c r="FK43" i="4"/>
  <c r="FH43" i="4"/>
  <c r="FI43" i="4"/>
  <c r="FJ43" i="4"/>
  <c r="FQ43" i="4"/>
  <c r="FM43" i="4"/>
  <c r="FN43" i="4"/>
  <c r="FO43" i="4"/>
  <c r="AH99" i="4"/>
  <c r="FR150" i="4" s="1"/>
  <c r="FU117" i="4"/>
  <c r="FU116" i="4" s="1"/>
  <c r="FU94" i="4"/>
  <c r="FU93" i="4" s="1"/>
  <c r="FU129" i="4"/>
  <c r="FU127" i="4"/>
  <c r="FU126" i="4"/>
  <c r="FU122" i="4"/>
  <c r="FU121" i="4"/>
  <c r="FU53" i="4"/>
  <c r="FU57" i="4"/>
  <c r="FO3" i="7"/>
  <c r="FU89" i="4"/>
  <c r="FU201" i="4"/>
  <c r="FU198" i="4"/>
  <c r="FU125" i="4"/>
  <c r="FU123" i="4"/>
  <c r="AJ49" i="4"/>
  <c r="AI126" i="4"/>
  <c r="Y81" i="9" s="1"/>
  <c r="Y85" i="9"/>
  <c r="AD113" i="4" l="1"/>
  <c r="T72" i="9" s="1"/>
  <c r="T73" i="9" s="1"/>
  <c r="FT36" i="4"/>
  <c r="AJ36" i="4" s="1"/>
  <c r="FT46" i="4"/>
  <c r="AL45" i="4"/>
  <c r="AL46" i="4"/>
  <c r="AB33" i="7"/>
  <c r="AB20" i="7" s="1"/>
  <c r="AA20" i="7"/>
  <c r="AA18" i="7"/>
  <c r="FS153" i="4"/>
  <c r="FS156" i="4" s="1"/>
  <c r="FS158" i="4" s="1"/>
  <c r="FS159" i="4" s="1"/>
  <c r="FS160" i="4" s="1"/>
  <c r="FT35" i="4"/>
  <c r="AJ35" i="4" s="1"/>
  <c r="FT45" i="4"/>
  <c r="FN15" i="7"/>
  <c r="AD9" i="7" s="1"/>
  <c r="AD32" i="7" s="1"/>
  <c r="AC114" i="4"/>
  <c r="AC128" i="4" s="1"/>
  <c r="AB128" i="4"/>
  <c r="R83" i="9" s="1"/>
  <c r="U38" i="4"/>
  <c r="U51" i="4" s="1"/>
  <c r="AK49" i="4"/>
  <c r="AA57" i="9" s="1"/>
  <c r="R38" i="4"/>
  <c r="R200" i="4" s="1"/>
  <c r="AI99" i="4"/>
  <c r="FS150" i="4" s="1"/>
  <c r="AG38" i="4"/>
  <c r="W56" i="9" s="1"/>
  <c r="W58" i="9" s="1"/>
  <c r="AI108" i="4"/>
  <c r="Y69" i="9" s="1"/>
  <c r="T38" i="4"/>
  <c r="T200" i="4" s="1"/>
  <c r="FS98" i="4"/>
  <c r="AD38" i="4"/>
  <c r="AD51" i="4" s="1"/>
  <c r="X38" i="4"/>
  <c r="X51" i="4" s="1"/>
  <c r="Z38" i="4"/>
  <c r="Z200" i="4" s="1"/>
  <c r="W38" i="4"/>
  <c r="FG54" i="4" s="1"/>
  <c r="AC38" i="4"/>
  <c r="S56" i="9" s="1"/>
  <c r="S58" i="9" s="1"/>
  <c r="Y38" i="4"/>
  <c r="Y51" i="4" s="1"/>
  <c r="V38" i="4"/>
  <c r="FF54" i="4" s="1"/>
  <c r="AJ136" i="4"/>
  <c r="AJ107" i="4"/>
  <c r="AJ137" i="4"/>
  <c r="AJ105" i="4"/>
  <c r="AJ98" i="4"/>
  <c r="FT118" i="4"/>
  <c r="AJ96" i="4"/>
  <c r="FT92" i="4"/>
  <c r="FT97" i="4" s="1"/>
  <c r="AJ138" i="4"/>
  <c r="AJ102" i="4"/>
  <c r="AJ106" i="4"/>
  <c r="AJ129" i="4"/>
  <c r="Z84" i="9" s="1"/>
  <c r="FT152" i="4"/>
  <c r="AJ121" i="4"/>
  <c r="Z76" i="9" s="1"/>
  <c r="AJ127" i="4"/>
  <c r="Z82" i="9" s="1"/>
  <c r="AJ125" i="4"/>
  <c r="Z80" i="9" s="1"/>
  <c r="AJ123" i="4"/>
  <c r="Z78" i="9" s="1"/>
  <c r="AJ126" i="4"/>
  <c r="Z81" i="9" s="1"/>
  <c r="AJ122" i="4"/>
  <c r="Z77" i="9" s="1"/>
  <c r="AB38" i="4"/>
  <c r="AL231" i="4"/>
  <c r="AL252" i="4" s="1"/>
  <c r="AB54" i="9"/>
  <c r="AA38" i="4"/>
  <c r="Z85" i="9"/>
  <c r="AK31" i="4"/>
  <c r="AA67" i="9"/>
  <c r="AA53" i="9"/>
  <c r="FV2" i="4"/>
  <c r="AF2" i="7"/>
  <c r="FW3" i="4"/>
  <c r="AN3" i="4"/>
  <c r="AG3" i="7"/>
  <c r="AM2" i="4"/>
  <c r="AM83" i="4"/>
  <c r="AM70" i="4"/>
  <c r="AM198" i="4"/>
  <c r="FS146" i="4"/>
  <c r="FS147" i="4" s="1"/>
  <c r="FS148" i="4" s="1"/>
  <c r="FS149" i="4" s="1"/>
  <c r="FS96" i="4"/>
  <c r="S38" i="4"/>
  <c r="AF10" i="7"/>
  <c r="AF14" i="7"/>
  <c r="AF12" i="7"/>
  <c r="AF13" i="7"/>
  <c r="AC31" i="7"/>
  <c r="AC29" i="7"/>
  <c r="AC32" i="7"/>
  <c r="AC30" i="7"/>
  <c r="AL28" i="4"/>
  <c r="AL44" i="4"/>
  <c r="AL26" i="4"/>
  <c r="AM22" i="4"/>
  <c r="FV22" i="4"/>
  <c r="AL43" i="4"/>
  <c r="AL88" i="4"/>
  <c r="AL27" i="4"/>
  <c r="AL30" i="4"/>
  <c r="AL47" i="4"/>
  <c r="AL42" i="4"/>
  <c r="AL41" i="4"/>
  <c r="AL48" i="4"/>
  <c r="AK95" i="4"/>
  <c r="X56" i="9"/>
  <c r="X58" i="9" s="1"/>
  <c r="AH200" i="4"/>
  <c r="FR54" i="4"/>
  <c r="AH51" i="4"/>
  <c r="FR99" i="4"/>
  <c r="AH100" i="4" s="1"/>
  <c r="AH101" i="4" s="1"/>
  <c r="AH103" i="4" s="1"/>
  <c r="X68" i="9" s="1"/>
  <c r="Z94" i="9"/>
  <c r="FV117" i="4"/>
  <c r="FV116" i="4" s="1"/>
  <c r="FV94" i="4"/>
  <c r="FV93" i="4" s="1"/>
  <c r="FV198" i="4"/>
  <c r="FV122" i="4"/>
  <c r="FV121" i="4"/>
  <c r="FV53" i="4"/>
  <c r="FV89" i="4"/>
  <c r="FV125" i="4"/>
  <c r="FV126" i="4"/>
  <c r="FV127" i="4"/>
  <c r="FV129" i="4"/>
  <c r="FV57" i="4"/>
  <c r="FP3" i="7"/>
  <c r="FV201" i="4"/>
  <c r="FV123" i="4"/>
  <c r="FU119" i="4"/>
  <c r="FU95" i="4"/>
  <c r="FU120" i="4" s="1"/>
  <c r="FU130" i="4" s="1"/>
  <c r="AK130" i="4" s="1"/>
  <c r="FU91" i="4"/>
  <c r="FU90" i="4" s="1"/>
  <c r="AK90" i="4" s="1"/>
  <c r="AK97" i="4" s="1"/>
  <c r="FU154" i="4"/>
  <c r="FU151" i="4"/>
  <c r="U70" i="9"/>
  <c r="U71" i="9" s="1"/>
  <c r="AE111" i="4"/>
  <c r="FU23" i="4"/>
  <c r="AL23" i="4"/>
  <c r="AL199" i="4" s="1"/>
  <c r="AK89" i="4"/>
  <c r="AE5" i="7"/>
  <c r="AI38" i="4"/>
  <c r="AF38" i="4"/>
  <c r="Z57" i="9"/>
  <c r="Z21" i="7"/>
  <c r="Z23" i="7" s="1"/>
  <c r="Z24" i="7" s="1"/>
  <c r="Z25" i="7" s="1"/>
  <c r="Z35" i="7" s="1"/>
  <c r="AF110" i="4" s="1"/>
  <c r="FO13" i="7"/>
  <c r="FO12" i="7"/>
  <c r="FO14" i="7"/>
  <c r="Q38" i="4"/>
  <c r="AI139" i="4"/>
  <c r="Y90" i="9" s="1"/>
  <c r="FT28" i="4"/>
  <c r="FT44" i="4"/>
  <c r="FT27" i="4"/>
  <c r="FT26" i="4"/>
  <c r="FT37" i="4"/>
  <c r="AJ37" i="4" s="1"/>
  <c r="FT30" i="4"/>
  <c r="FT43" i="4"/>
  <c r="FT47" i="4"/>
  <c r="FT34" i="4"/>
  <c r="AJ34" i="4" s="1"/>
  <c r="FT42" i="4"/>
  <c r="FT41" i="4"/>
  <c r="FT48" i="4"/>
  <c r="AE15" i="7"/>
  <c r="AE38" i="4"/>
  <c r="FT155" i="4"/>
  <c r="Z55" i="9"/>
  <c r="AD114" i="4" l="1"/>
  <c r="AD91" i="4" s="1"/>
  <c r="AM45" i="4"/>
  <c r="AM46" i="4"/>
  <c r="FU36" i="4"/>
  <c r="AK36" i="4" s="1"/>
  <c r="FU46" i="4"/>
  <c r="AB19" i="7"/>
  <c r="AB18" i="7"/>
  <c r="AA21" i="7"/>
  <c r="AA23" i="7" s="1"/>
  <c r="AA24" i="7" s="1"/>
  <c r="AA25" i="7" s="1"/>
  <c r="AA35" i="7" s="1"/>
  <c r="AG110" i="4" s="1"/>
  <c r="W70" i="9" s="1"/>
  <c r="W71" i="9" s="1"/>
  <c r="AD30" i="7"/>
  <c r="AD31" i="7"/>
  <c r="FU35" i="4"/>
  <c r="AK35" i="4" s="1"/>
  <c r="FU45" i="4"/>
  <c r="AD29" i="7"/>
  <c r="K56" i="9"/>
  <c r="K58" i="9" s="1"/>
  <c r="FB54" i="4"/>
  <c r="AF15" i="7"/>
  <c r="R51" i="4"/>
  <c r="FO15" i="7"/>
  <c r="AE9" i="7" s="1"/>
  <c r="AE30" i="7" s="1"/>
  <c r="H56" i="9"/>
  <c r="H58" i="9" s="1"/>
  <c r="FE54" i="4"/>
  <c r="J56" i="9"/>
  <c r="J58" i="9" s="1"/>
  <c r="FD54" i="4"/>
  <c r="AG51" i="4"/>
  <c r="T51" i="4"/>
  <c r="FQ54" i="4"/>
  <c r="AG200" i="4"/>
  <c r="X200" i="4"/>
  <c r="N56" i="9"/>
  <c r="N58" i="9" s="1"/>
  <c r="U200" i="4"/>
  <c r="AC91" i="4"/>
  <c r="W51" i="4"/>
  <c r="M56" i="9"/>
  <c r="M58" i="9" s="1"/>
  <c r="W200" i="4"/>
  <c r="Z51" i="4"/>
  <c r="Y200" i="4"/>
  <c r="AC200" i="4"/>
  <c r="AC51" i="4"/>
  <c r="FM54" i="4"/>
  <c r="FI54" i="4"/>
  <c r="O56" i="9"/>
  <c r="O58" i="9" s="1"/>
  <c r="P56" i="9"/>
  <c r="P58" i="9" s="1"/>
  <c r="FJ54" i="4"/>
  <c r="T56" i="9"/>
  <c r="T58" i="9" s="1"/>
  <c r="AJ108" i="4"/>
  <c r="Z69" i="9" s="1"/>
  <c r="FS99" i="4"/>
  <c r="AI100" i="4" s="1"/>
  <c r="AI101" i="4" s="1"/>
  <c r="AI103" i="4" s="1"/>
  <c r="Y68" i="9" s="1"/>
  <c r="AJ99" i="4"/>
  <c r="FT150" i="4" s="1"/>
  <c r="AJ38" i="4"/>
  <c r="Z56" i="9" s="1"/>
  <c r="Z58" i="9" s="1"/>
  <c r="AL49" i="4"/>
  <c r="AB57" i="9" s="1"/>
  <c r="V51" i="4"/>
  <c r="L56" i="9"/>
  <c r="L58" i="9" s="1"/>
  <c r="FN54" i="4"/>
  <c r="FH54" i="4"/>
  <c r="AD200" i="4"/>
  <c r="V200" i="4"/>
  <c r="FU155" i="4"/>
  <c r="AK105" i="4"/>
  <c r="AK107" i="4"/>
  <c r="AK137" i="4"/>
  <c r="AK136" i="4"/>
  <c r="AK98" i="4"/>
  <c r="FU118" i="4"/>
  <c r="AK96" i="4"/>
  <c r="FU92" i="4"/>
  <c r="FU97" i="4" s="1"/>
  <c r="AK138" i="4"/>
  <c r="AK102" i="4"/>
  <c r="AK106" i="4"/>
  <c r="FU152" i="4"/>
  <c r="AK125" i="4"/>
  <c r="AA80" i="9" s="1"/>
  <c r="AK121" i="4"/>
  <c r="AK123" i="4"/>
  <c r="AA78" i="9" s="1"/>
  <c r="AK129" i="4"/>
  <c r="AA84" i="9" s="1"/>
  <c r="AK122" i="4"/>
  <c r="AA77" i="9" s="1"/>
  <c r="AK126" i="4"/>
  <c r="AA81" i="9" s="1"/>
  <c r="AK127" i="4"/>
  <c r="AA82" i="9" s="1"/>
  <c r="V56" i="9"/>
  <c r="V58" i="9" s="1"/>
  <c r="AF51" i="4"/>
  <c r="FP54" i="4"/>
  <c r="AF200" i="4"/>
  <c r="AA200" i="4"/>
  <c r="Q56" i="9"/>
  <c r="Q58" i="9" s="1"/>
  <c r="FK54" i="4"/>
  <c r="AA51" i="4"/>
  <c r="I56" i="9"/>
  <c r="I58" i="9" s="1"/>
  <c r="S200" i="4"/>
  <c r="S51" i="4"/>
  <c r="FC54" i="4"/>
  <c r="AM231" i="4"/>
  <c r="AM252" i="4" s="1"/>
  <c r="AC54" i="9"/>
  <c r="S83" i="9"/>
  <c r="Y56" i="9"/>
  <c r="Y58" i="9" s="1"/>
  <c r="FS54" i="4"/>
  <c r="AI51" i="4"/>
  <c r="AI200" i="4"/>
  <c r="AM23" i="4"/>
  <c r="AM199" i="4" s="1"/>
  <c r="FV23" i="4"/>
  <c r="AF5" i="7"/>
  <c r="AL89" i="4"/>
  <c r="AG10" i="7"/>
  <c r="AG14" i="7"/>
  <c r="AG12" i="7"/>
  <c r="AG13" i="7"/>
  <c r="AB67" i="9"/>
  <c r="AB53" i="9"/>
  <c r="FU44" i="4"/>
  <c r="FU26" i="4"/>
  <c r="FU27" i="4"/>
  <c r="FU43" i="4"/>
  <c r="FU30" i="4"/>
  <c r="FU47" i="4"/>
  <c r="FU37" i="4"/>
  <c r="AK37" i="4" s="1"/>
  <c r="FU28" i="4"/>
  <c r="FU34" i="4"/>
  <c r="AK34" i="4" s="1"/>
  <c r="FU42" i="4"/>
  <c r="FU41" i="4"/>
  <c r="FU48" i="4"/>
  <c r="AM28" i="4"/>
  <c r="AM43" i="4"/>
  <c r="AN22" i="4"/>
  <c r="AM44" i="4"/>
  <c r="AM88" i="4"/>
  <c r="AM26" i="4"/>
  <c r="FW22" i="4"/>
  <c r="AM27" i="4"/>
  <c r="AM47" i="4"/>
  <c r="AM30" i="4"/>
  <c r="AM42" i="4"/>
  <c r="AM41" i="4"/>
  <c r="AM48" i="4"/>
  <c r="FX3" i="4"/>
  <c r="AO3" i="4"/>
  <c r="AN2" i="4"/>
  <c r="AN83" i="4"/>
  <c r="AN70" i="4"/>
  <c r="AH3" i="7"/>
  <c r="AN198" i="4"/>
  <c r="AA85" i="9"/>
  <c r="FP14" i="7"/>
  <c r="FP12" i="7"/>
  <c r="FP13" i="7"/>
  <c r="AL95" i="4"/>
  <c r="FW2" i="4"/>
  <c r="AG2" i="7"/>
  <c r="FT146" i="4"/>
  <c r="FT147" i="4" s="1"/>
  <c r="FT148" i="4" s="1"/>
  <c r="FT149" i="4" s="1"/>
  <c r="FT96" i="4"/>
  <c r="G56" i="9"/>
  <c r="Q51" i="4"/>
  <c r="Q200" i="4"/>
  <c r="FA54" i="4"/>
  <c r="AE112" i="4"/>
  <c r="AE113" i="4"/>
  <c r="FV119" i="4"/>
  <c r="FV95" i="4"/>
  <c r="FV120" i="4" s="1"/>
  <c r="FV130" i="4" s="1"/>
  <c r="AL130" i="4" s="1"/>
  <c r="FV91" i="4"/>
  <c r="FV90" i="4" s="1"/>
  <c r="AL90" i="4" s="1"/>
  <c r="AL97" i="4" s="1"/>
  <c r="FV151" i="4"/>
  <c r="FV154" i="4"/>
  <c r="AL31" i="4"/>
  <c r="FW94" i="4"/>
  <c r="FW93" i="4" s="1"/>
  <c r="FW127" i="4"/>
  <c r="FW198" i="4"/>
  <c r="FW123" i="4"/>
  <c r="FW122" i="4"/>
  <c r="FW117" i="4"/>
  <c r="FW116" i="4" s="1"/>
  <c r="FW53" i="4"/>
  <c r="FW201" i="4"/>
  <c r="FW126" i="4"/>
  <c r="FW125" i="4"/>
  <c r="FW89" i="4"/>
  <c r="FW57" i="4"/>
  <c r="FW129" i="4"/>
  <c r="FW121" i="4"/>
  <c r="FQ3" i="7"/>
  <c r="R56" i="9"/>
  <c r="R58" i="9" s="1"/>
  <c r="AB200" i="4"/>
  <c r="FL54" i="4"/>
  <c r="AB51" i="4"/>
  <c r="FT98" i="4"/>
  <c r="FT153" i="4"/>
  <c r="FT156" i="4" s="1"/>
  <c r="FT158" i="4" s="1"/>
  <c r="FT159" i="4" s="1"/>
  <c r="FT160" i="4" s="1"/>
  <c r="U56" i="9"/>
  <c r="U58" i="9" s="1"/>
  <c r="AE51" i="4"/>
  <c r="AE200" i="4"/>
  <c r="FO54" i="4"/>
  <c r="AJ139" i="4"/>
  <c r="Z90" i="9" s="1"/>
  <c r="AA94" i="9"/>
  <c r="AF111" i="4"/>
  <c r="V70" i="9"/>
  <c r="V71" i="9" s="1"/>
  <c r="AC33" i="7"/>
  <c r="AA55" i="9"/>
  <c r="AD128" i="4" l="1"/>
  <c r="T83" i="9" s="1"/>
  <c r="AN45" i="4"/>
  <c r="AN46" i="4"/>
  <c r="FV36" i="4"/>
  <c r="AL36" i="4" s="1"/>
  <c r="FV46" i="4"/>
  <c r="AB21" i="7"/>
  <c r="AB23" i="7" s="1"/>
  <c r="AB24" i="7" s="1"/>
  <c r="AB25" i="7" s="1"/>
  <c r="AB35" i="7" s="1"/>
  <c r="AH110" i="4" s="1"/>
  <c r="AH111" i="4" s="1"/>
  <c r="AG111" i="4"/>
  <c r="AG112" i="4" s="1"/>
  <c r="AB85" i="9"/>
  <c r="AD33" i="7"/>
  <c r="AD18" i="7" s="1"/>
  <c r="AE32" i="7"/>
  <c r="AE31" i="7"/>
  <c r="FU153" i="4"/>
  <c r="FU156" i="4" s="1"/>
  <c r="FU158" i="4" s="1"/>
  <c r="FU159" i="4" s="1"/>
  <c r="FU160" i="4" s="1"/>
  <c r="FV35" i="4"/>
  <c r="AL35" i="4" s="1"/>
  <c r="FV45" i="4"/>
  <c r="AE29" i="7"/>
  <c r="AM49" i="4"/>
  <c r="AC57" i="9" s="1"/>
  <c r="AG15" i="7"/>
  <c r="FP15" i="7"/>
  <c r="AF9" i="7" s="1"/>
  <c r="AF31" i="7" s="1"/>
  <c r="AJ51" i="4"/>
  <c r="AK99" i="4"/>
  <c r="FU150" i="4" s="1"/>
  <c r="AJ200" i="4"/>
  <c r="AK108" i="4"/>
  <c r="AA69" i="9" s="1"/>
  <c r="FT54" i="4"/>
  <c r="AE114" i="4"/>
  <c r="AE128" i="4" s="1"/>
  <c r="FT99" i="4"/>
  <c r="AJ100" i="4" s="1"/>
  <c r="AJ101" i="4" s="1"/>
  <c r="AJ103" i="4" s="1"/>
  <c r="Z68" i="9" s="1"/>
  <c r="AL137" i="4"/>
  <c r="FV118" i="4"/>
  <c r="AL105" i="4"/>
  <c r="AL136" i="4"/>
  <c r="AL98" i="4"/>
  <c r="AL96" i="4"/>
  <c r="AL107" i="4"/>
  <c r="FV92" i="4"/>
  <c r="FV97" i="4" s="1"/>
  <c r="AL138" i="4"/>
  <c r="AL102" i="4"/>
  <c r="AL106" i="4"/>
  <c r="AL126" i="4"/>
  <c r="AB81" i="9" s="1"/>
  <c r="AL129" i="4"/>
  <c r="AB84" i="9" s="1"/>
  <c r="AL121" i="4"/>
  <c r="AB76" i="9" s="1"/>
  <c r="AL123" i="4"/>
  <c r="AB78" i="9" s="1"/>
  <c r="AL125" i="4"/>
  <c r="AB80" i="9" s="1"/>
  <c r="AL122" i="4"/>
  <c r="AB77" i="9" s="1"/>
  <c r="AL127" i="4"/>
  <c r="AB82" i="9" s="1"/>
  <c r="FV152" i="4"/>
  <c r="AK38" i="4"/>
  <c r="AN23" i="4"/>
  <c r="AN199" i="4" s="1"/>
  <c r="FW23" i="4"/>
  <c r="AM89" i="4"/>
  <c r="AG5" i="7"/>
  <c r="AD54" i="9"/>
  <c r="AN231" i="4"/>
  <c r="AN252" i="4" s="1"/>
  <c r="AH10" i="7"/>
  <c r="AH14" i="7"/>
  <c r="AH12" i="7"/>
  <c r="AH13" i="7"/>
  <c r="FV155" i="4"/>
  <c r="FU146" i="4"/>
  <c r="FU147" i="4" s="1"/>
  <c r="FU148" i="4" s="1"/>
  <c r="FU149" i="4" s="1"/>
  <c r="FU96" i="4"/>
  <c r="FV44" i="4"/>
  <c r="FV37" i="4"/>
  <c r="AL37" i="4" s="1"/>
  <c r="FV26" i="4"/>
  <c r="FV27" i="4"/>
  <c r="FV43" i="4"/>
  <c r="FV30" i="4"/>
  <c r="FV47" i="4"/>
  <c r="FV28" i="4"/>
  <c r="FV34" i="4"/>
  <c r="AL34" i="4" s="1"/>
  <c r="FV41" i="4"/>
  <c r="FV42" i="4"/>
  <c r="FV48" i="4"/>
  <c r="FU98" i="4"/>
  <c r="AK139" i="4"/>
  <c r="AA90" i="9" s="1"/>
  <c r="AC53" i="9"/>
  <c r="AC67" i="9"/>
  <c r="AF112" i="4"/>
  <c r="AF113" i="4"/>
  <c r="AA76" i="9"/>
  <c r="FX2" i="4"/>
  <c r="AH2" i="7"/>
  <c r="G58" i="9"/>
  <c r="FY3" i="4"/>
  <c r="AP3" i="4"/>
  <c r="AO83" i="4"/>
  <c r="AO70" i="4"/>
  <c r="AO2" i="4"/>
  <c r="AI3" i="7"/>
  <c r="AO198" i="4"/>
  <c r="FX94" i="4"/>
  <c r="FX93" i="4" s="1"/>
  <c r="FX198" i="4"/>
  <c r="FX127" i="4"/>
  <c r="FX125" i="4"/>
  <c r="FX122" i="4"/>
  <c r="FX121" i="4"/>
  <c r="FX117" i="4"/>
  <c r="FX116" i="4" s="1"/>
  <c r="FR3" i="7"/>
  <c r="FX123" i="4"/>
  <c r="FX129" i="4"/>
  <c r="FX53" i="4"/>
  <c r="FX57" i="4"/>
  <c r="FX89" i="4"/>
  <c r="FX126" i="4"/>
  <c r="FX201" i="4"/>
  <c r="AM95" i="4"/>
  <c r="FW119" i="4"/>
  <c r="FW95" i="4"/>
  <c r="FW120" i="4" s="1"/>
  <c r="FW130" i="4" s="1"/>
  <c r="AM130" i="4" s="1"/>
  <c r="FW91" i="4"/>
  <c r="FW90" i="4" s="1"/>
  <c r="AM90" i="4" s="1"/>
  <c r="AM97" i="4" s="1"/>
  <c r="FW151" i="4"/>
  <c r="FW154" i="4"/>
  <c r="AO22" i="4"/>
  <c r="AN44" i="4"/>
  <c r="AN28" i="4"/>
  <c r="AN43" i="4"/>
  <c r="AN27" i="4"/>
  <c r="AN88" i="4"/>
  <c r="AN26" i="4"/>
  <c r="FX22" i="4"/>
  <c r="AN47" i="4"/>
  <c r="AN30" i="4"/>
  <c r="AN42" i="4"/>
  <c r="AN41" i="4"/>
  <c r="AN48" i="4"/>
  <c r="AC20" i="7"/>
  <c r="AC19" i="7"/>
  <c r="AC18" i="7"/>
  <c r="FQ13" i="7"/>
  <c r="FQ14" i="7"/>
  <c r="FQ12" i="7"/>
  <c r="AM31" i="4"/>
  <c r="AC55" i="9" s="1"/>
  <c r="U72" i="9"/>
  <c r="U73" i="9" s="1"/>
  <c r="AB55" i="9"/>
  <c r="AB94" i="9"/>
  <c r="X70" i="9" l="1"/>
  <c r="X71" i="9" s="1"/>
  <c r="FW36" i="4"/>
  <c r="AM36" i="4" s="1"/>
  <c r="FW46" i="4"/>
  <c r="AO45" i="4"/>
  <c r="AO46" i="4"/>
  <c r="AE33" i="7"/>
  <c r="AE20" i="7" s="1"/>
  <c r="AD19" i="7"/>
  <c r="AD20" i="7"/>
  <c r="AG113" i="4"/>
  <c r="W72" i="9" s="1"/>
  <c r="W73" i="9" s="1"/>
  <c r="AF32" i="7"/>
  <c r="FV153" i="4"/>
  <c r="FV156" i="4" s="1"/>
  <c r="FV158" i="4" s="1"/>
  <c r="FV159" i="4" s="1"/>
  <c r="FV160" i="4" s="1"/>
  <c r="FW35" i="4"/>
  <c r="AM35" i="4" s="1"/>
  <c r="FW45" i="4"/>
  <c r="FW155" i="4"/>
  <c r="AF30" i="7"/>
  <c r="AE91" i="4"/>
  <c r="AF29" i="7"/>
  <c r="AL38" i="4"/>
  <c r="AL51" i="4" s="1"/>
  <c r="AC21" i="7"/>
  <c r="AC23" i="7" s="1"/>
  <c r="AC24" i="7" s="1"/>
  <c r="AC25" i="7" s="1"/>
  <c r="AC35" i="7" s="1"/>
  <c r="AI110" i="4" s="1"/>
  <c r="AL99" i="4"/>
  <c r="FV150" i="4" s="1"/>
  <c r="FU99" i="4"/>
  <c r="AK100" i="4" s="1"/>
  <c r="AK101" i="4" s="1"/>
  <c r="AK103" i="4" s="1"/>
  <c r="AA68" i="9" s="1"/>
  <c r="AF114" i="4"/>
  <c r="AF91" i="4" s="1"/>
  <c r="AM96" i="4"/>
  <c r="AM137" i="4"/>
  <c r="AM105" i="4"/>
  <c r="FW92" i="4"/>
  <c r="FW97" i="4" s="1"/>
  <c r="AM98" i="4"/>
  <c r="AM107" i="4"/>
  <c r="AM136" i="4"/>
  <c r="FW118" i="4"/>
  <c r="AM138" i="4"/>
  <c r="AM102" i="4"/>
  <c r="AM106" i="4"/>
  <c r="AM129" i="4"/>
  <c r="AC84" i="9" s="1"/>
  <c r="AM122" i="4"/>
  <c r="AC77" i="9" s="1"/>
  <c r="AM123" i="4"/>
  <c r="AC78" i="9" s="1"/>
  <c r="AM126" i="4"/>
  <c r="AC81" i="9" s="1"/>
  <c r="AM127" i="4"/>
  <c r="AC82" i="9" s="1"/>
  <c r="FW152" i="4"/>
  <c r="AM121" i="4"/>
  <c r="AC76" i="9" s="1"/>
  <c r="AM125" i="4"/>
  <c r="AC80" i="9" s="1"/>
  <c r="AO231" i="4"/>
  <c r="AO252" i="4" s="1"/>
  <c r="AE54" i="9"/>
  <c r="AI10" i="7"/>
  <c r="AI14" i="7"/>
  <c r="AI12" i="7"/>
  <c r="AI13" i="7"/>
  <c r="AC94" i="9"/>
  <c r="AH15" i="7"/>
  <c r="AI2" i="7"/>
  <c r="FY2" i="4"/>
  <c r="FY129" i="4"/>
  <c r="FY125" i="4"/>
  <c r="FY121" i="4"/>
  <c r="FY126" i="4"/>
  <c r="FY127" i="4"/>
  <c r="FY123" i="4"/>
  <c r="FY94" i="4"/>
  <c r="FY93" i="4" s="1"/>
  <c r="FY198" i="4"/>
  <c r="FY89" i="4"/>
  <c r="FY57" i="4"/>
  <c r="FY122" i="4"/>
  <c r="FY117" i="4"/>
  <c r="FY116" i="4" s="1"/>
  <c r="FY53" i="4"/>
  <c r="FS3" i="7"/>
  <c r="FY201" i="4"/>
  <c r="FX119" i="4"/>
  <c r="FX95" i="4"/>
  <c r="FX120" i="4" s="1"/>
  <c r="FX130" i="4" s="1"/>
  <c r="AN130" i="4" s="1"/>
  <c r="FX91" i="4"/>
  <c r="FX90" i="4" s="1"/>
  <c r="AN90" i="4" s="1"/>
  <c r="AN97" i="4" s="1"/>
  <c r="FX151" i="4"/>
  <c r="FX154" i="4"/>
  <c r="AL108" i="4"/>
  <c r="AP22" i="4"/>
  <c r="AO44" i="4"/>
  <c r="AO28" i="4"/>
  <c r="AO27" i="4"/>
  <c r="FY22" i="4"/>
  <c r="AO43" i="4"/>
  <c r="AO88" i="4"/>
  <c r="AO26" i="4"/>
  <c r="AO30" i="4"/>
  <c r="AO47" i="4"/>
  <c r="AO42" i="4"/>
  <c r="AO41" i="4"/>
  <c r="AO48" i="4"/>
  <c r="AC85" i="9"/>
  <c r="AD67" i="9"/>
  <c r="AD53" i="9"/>
  <c r="AN49" i="4"/>
  <c r="AD57" i="9" s="1"/>
  <c r="FW44" i="4"/>
  <c r="FW28" i="4"/>
  <c r="FW27" i="4"/>
  <c r="FW26" i="4"/>
  <c r="FW37" i="4"/>
  <c r="AM37" i="4" s="1"/>
  <c r="FW43" i="4"/>
  <c r="FW30" i="4"/>
  <c r="FW47" i="4"/>
  <c r="FW34" i="4"/>
  <c r="AM34" i="4" s="1"/>
  <c r="FW41" i="4"/>
  <c r="FW42" i="4"/>
  <c r="FW48" i="4"/>
  <c r="FV146" i="4"/>
  <c r="FV147" i="4" s="1"/>
  <c r="FV148" i="4" s="1"/>
  <c r="FV149" i="4" s="1"/>
  <c r="FV96" i="4"/>
  <c r="FZ3" i="4"/>
  <c r="AQ3" i="4"/>
  <c r="AJ3" i="7"/>
  <c r="AP70" i="4"/>
  <c r="AP2" i="4"/>
  <c r="AP83" i="4"/>
  <c r="AP198" i="4"/>
  <c r="FX23" i="4"/>
  <c r="AO23" i="4"/>
  <c r="AN89" i="4"/>
  <c r="AH5" i="7"/>
  <c r="AH112" i="4"/>
  <c r="AH113" i="4"/>
  <c r="FV98" i="4"/>
  <c r="FQ15" i="7"/>
  <c r="AG9" i="7" s="1"/>
  <c r="AL139" i="4"/>
  <c r="AB90" i="9" s="1"/>
  <c r="AA56" i="9"/>
  <c r="AA58" i="9" s="1"/>
  <c r="FU54" i="4"/>
  <c r="AK51" i="4"/>
  <c r="AK200" i="4"/>
  <c r="AB56" i="9"/>
  <c r="AB58" i="9" s="1"/>
  <c r="AN31" i="4"/>
  <c r="AD55" i="9" s="1"/>
  <c r="V72" i="9"/>
  <c r="V73" i="9" s="1"/>
  <c r="AL200" i="4"/>
  <c r="FR12" i="7"/>
  <c r="FR14" i="7"/>
  <c r="FR13" i="7"/>
  <c r="U83" i="9"/>
  <c r="AN95" i="4"/>
  <c r="AD21" i="7" l="1"/>
  <c r="AD23" i="7" s="1"/>
  <c r="AD24" i="7" s="1"/>
  <c r="AD25" i="7" s="1"/>
  <c r="AD35" i="7" s="1"/>
  <c r="AJ110" i="4" s="1"/>
  <c r="Z70" i="9" s="1"/>
  <c r="Z71" i="9" s="1"/>
  <c r="FV54" i="4"/>
  <c r="AP45" i="4"/>
  <c r="AP46" i="4"/>
  <c r="FX36" i="4"/>
  <c r="AN36" i="4" s="1"/>
  <c r="FX46" i="4"/>
  <c r="AE19" i="7"/>
  <c r="AE18" i="7"/>
  <c r="AG114" i="4"/>
  <c r="AG91" i="4" s="1"/>
  <c r="FW153" i="4"/>
  <c r="FW156" i="4" s="1"/>
  <c r="FW158" i="4" s="1"/>
  <c r="FW159" i="4" s="1"/>
  <c r="FW160" i="4" s="1"/>
  <c r="FX35" i="4"/>
  <c r="AN35" i="4" s="1"/>
  <c r="FX45" i="4"/>
  <c r="AF33" i="7"/>
  <c r="AF20" i="7" s="1"/>
  <c r="AO49" i="4"/>
  <c r="AE57" i="9" s="1"/>
  <c r="FV99" i="4"/>
  <c r="AL100" i="4" s="1"/>
  <c r="AL101" i="4" s="1"/>
  <c r="AL103" i="4" s="1"/>
  <c r="AB68" i="9" s="1"/>
  <c r="AM108" i="4"/>
  <c r="AC69" i="9" s="1"/>
  <c r="AF128" i="4"/>
  <c r="V83" i="9" s="1"/>
  <c r="FW98" i="4"/>
  <c r="AH114" i="4"/>
  <c r="AH128" i="4" s="1"/>
  <c r="AN96" i="4"/>
  <c r="FX118" i="4"/>
  <c r="AN98" i="4"/>
  <c r="FX92" i="4"/>
  <c r="FX97" i="4" s="1"/>
  <c r="AN107" i="4"/>
  <c r="AN137" i="4"/>
  <c r="AN136" i="4"/>
  <c r="AN105" i="4"/>
  <c r="AN138" i="4"/>
  <c r="AN102" i="4"/>
  <c r="AN106" i="4"/>
  <c r="AN122" i="4"/>
  <c r="AD77" i="9" s="1"/>
  <c r="AN121" i="4"/>
  <c r="AN123" i="4"/>
  <c r="AD78" i="9" s="1"/>
  <c r="AN127" i="4"/>
  <c r="AD82" i="9" s="1"/>
  <c r="AN125" i="4"/>
  <c r="AD80" i="9" s="1"/>
  <c r="FX152" i="4"/>
  <c r="AN126" i="4"/>
  <c r="AD81" i="9" s="1"/>
  <c r="AN129" i="4"/>
  <c r="AD84" i="9" s="1"/>
  <c r="AJ10" i="7"/>
  <c r="AJ14" i="7"/>
  <c r="AJ12" i="7"/>
  <c r="AJ13" i="7"/>
  <c r="AB69" i="9"/>
  <c r="AQ22" i="4"/>
  <c r="AP28" i="4"/>
  <c r="AP44" i="4"/>
  <c r="AP88" i="4"/>
  <c r="AP27" i="4"/>
  <c r="AP26" i="4"/>
  <c r="AP43" i="4"/>
  <c r="FZ22" i="4"/>
  <c r="AP47" i="4"/>
  <c r="AP30" i="4"/>
  <c r="AP42" i="4"/>
  <c r="AP41" i="4"/>
  <c r="AP48" i="4"/>
  <c r="GA3" i="4"/>
  <c r="AR3" i="4"/>
  <c r="AQ70" i="4"/>
  <c r="AQ83" i="4"/>
  <c r="AK3" i="7"/>
  <c r="AQ2" i="4"/>
  <c r="AQ198" i="4"/>
  <c r="FR15" i="7"/>
  <c r="AH9" i="7" s="1"/>
  <c r="FY95" i="4"/>
  <c r="FY120" i="4" s="1"/>
  <c r="FY130" i="4" s="1"/>
  <c r="AO130" i="4" s="1"/>
  <c r="FY119" i="4"/>
  <c r="FY91" i="4"/>
  <c r="FY90" i="4" s="1"/>
  <c r="AO90" i="4" s="1"/>
  <c r="AO97" i="4" s="1"/>
  <c r="FY151" i="4"/>
  <c r="FY154" i="4"/>
  <c r="AM38" i="4"/>
  <c r="AM139" i="4"/>
  <c r="AC90" i="9" s="1"/>
  <c r="AG30" i="7"/>
  <c r="AG31" i="7"/>
  <c r="AG32" i="7"/>
  <c r="AG29" i="7"/>
  <c r="AD94" i="9"/>
  <c r="AI15" i="7"/>
  <c r="AO31" i="4"/>
  <c r="AO95" i="4"/>
  <c r="Y70" i="9"/>
  <c r="Y71" i="9" s="1"/>
  <c r="AI111" i="4"/>
  <c r="FX155" i="4"/>
  <c r="AP23" i="4"/>
  <c r="AP199" i="4" s="1"/>
  <c r="FY23" i="4"/>
  <c r="AO89" i="4"/>
  <c r="AI5" i="7"/>
  <c r="X72" i="9"/>
  <c r="X73" i="9" s="1"/>
  <c r="FX44" i="4"/>
  <c r="FX28" i="4"/>
  <c r="FX27" i="4"/>
  <c r="FX26" i="4"/>
  <c r="FX37" i="4"/>
  <c r="AN37" i="4" s="1"/>
  <c r="FX43" i="4"/>
  <c r="FX47" i="4"/>
  <c r="FX30" i="4"/>
  <c r="FX34" i="4"/>
  <c r="AN34" i="4" s="1"/>
  <c r="FX41" i="4"/>
  <c r="FX42" i="4"/>
  <c r="FX48" i="4"/>
  <c r="FW146" i="4"/>
  <c r="FW147" i="4" s="1"/>
  <c r="FW148" i="4" s="1"/>
  <c r="FW149" i="4" s="1"/>
  <c r="FW96" i="4"/>
  <c r="FS14" i="7"/>
  <c r="FS12" i="7"/>
  <c r="FS13" i="7"/>
  <c r="AE67" i="9"/>
  <c r="AE53" i="9"/>
  <c r="AM99" i="4"/>
  <c r="FW150" i="4" s="1"/>
  <c r="FZ117" i="4"/>
  <c r="FZ116" i="4" s="1"/>
  <c r="FZ129" i="4"/>
  <c r="FZ125" i="4"/>
  <c r="FZ121" i="4"/>
  <c r="FZ122" i="4"/>
  <c r="FZ127" i="4"/>
  <c r="FZ123" i="4"/>
  <c r="FZ126" i="4"/>
  <c r="FZ94" i="4"/>
  <c r="FZ93" i="4" s="1"/>
  <c r="FT3" i="7"/>
  <c r="FZ198" i="4"/>
  <c r="FZ53" i="4"/>
  <c r="FZ57" i="4"/>
  <c r="FZ201" i="4"/>
  <c r="FZ89" i="4"/>
  <c r="AD85" i="9"/>
  <c r="AF54" i="9"/>
  <c r="AP231" i="4"/>
  <c r="AP252" i="4" s="1"/>
  <c r="FZ2" i="4"/>
  <c r="AJ2" i="7"/>
  <c r="AO199" i="4"/>
  <c r="AJ111" i="4" l="1"/>
  <c r="AJ112" i="4" s="1"/>
  <c r="AQ45" i="4"/>
  <c r="AQ46" i="4"/>
  <c r="FY36" i="4"/>
  <c r="AO36" i="4" s="1"/>
  <c r="FY46" i="4"/>
  <c r="AE21" i="7"/>
  <c r="AE23" i="7" s="1"/>
  <c r="AE24" i="7" s="1"/>
  <c r="AE25" i="7" s="1"/>
  <c r="AE35" i="7" s="1"/>
  <c r="AK110" i="4" s="1"/>
  <c r="AA70" i="9" s="1"/>
  <c r="AA71" i="9" s="1"/>
  <c r="AF18" i="7"/>
  <c r="AF19" i="7"/>
  <c r="AG128" i="4"/>
  <c r="FX153" i="4"/>
  <c r="FX156" i="4" s="1"/>
  <c r="FX158" i="4" s="1"/>
  <c r="FX159" i="4" s="1"/>
  <c r="FX160" i="4" s="1"/>
  <c r="FY35" i="4"/>
  <c r="AO35" i="4" s="1"/>
  <c r="FY45" i="4"/>
  <c r="FW99" i="4"/>
  <c r="AM100" i="4" s="1"/>
  <c r="AM101" i="4" s="1"/>
  <c r="AM103" i="4" s="1"/>
  <c r="AP31" i="4"/>
  <c r="AF55" i="9" s="1"/>
  <c r="AH91" i="4"/>
  <c r="AO127" i="4"/>
  <c r="AE82" i="9" s="1"/>
  <c r="AO122" i="4"/>
  <c r="AE77" i="9" s="1"/>
  <c r="AO121" i="4"/>
  <c r="AE76" i="9" s="1"/>
  <c r="AG33" i="7"/>
  <c r="AG19" i="7" s="1"/>
  <c r="AK10" i="7"/>
  <c r="AK14" i="7"/>
  <c r="AK12" i="7"/>
  <c r="AK13" i="7"/>
  <c r="AN108" i="4"/>
  <c r="AO126" i="4"/>
  <c r="AE81" i="9" s="1"/>
  <c r="AK2" i="7"/>
  <c r="GA2" i="4"/>
  <c r="AN139" i="4"/>
  <c r="AD90" i="9" s="1"/>
  <c r="AC56" i="9"/>
  <c r="AC58" i="9" s="1"/>
  <c r="AM51" i="4"/>
  <c r="FW54" i="4"/>
  <c r="AM200" i="4"/>
  <c r="FY155" i="4"/>
  <c r="FZ95" i="4"/>
  <c r="FZ120" i="4" s="1"/>
  <c r="FZ130" i="4" s="1"/>
  <c r="AP130" i="4" s="1"/>
  <c r="FZ119" i="4"/>
  <c r="FZ91" i="4"/>
  <c r="FZ90" i="4" s="1"/>
  <c r="AP90" i="4" s="1"/>
  <c r="AP97" i="4" s="1"/>
  <c r="FZ154" i="4"/>
  <c r="FZ151" i="4"/>
  <c r="AO123" i="4"/>
  <c r="AE78" i="9" s="1"/>
  <c r="FX146" i="4"/>
  <c r="FX147" i="4" s="1"/>
  <c r="FX148" i="4" s="1"/>
  <c r="FX149" i="4" s="1"/>
  <c r="FX96" i="4"/>
  <c r="AQ231" i="4"/>
  <c r="AQ252" i="4" s="1"/>
  <c r="AG54" i="9"/>
  <c r="FY152" i="4"/>
  <c r="AP49" i="4"/>
  <c r="AF57" i="9" s="1"/>
  <c r="FX98" i="4"/>
  <c r="AF67" i="9"/>
  <c r="AF53" i="9"/>
  <c r="AS3" i="4"/>
  <c r="GB3" i="4"/>
  <c r="AL3" i="7"/>
  <c r="AR2" i="4"/>
  <c r="AR70" i="4"/>
  <c r="AR83" i="4"/>
  <c r="AR198" i="4"/>
  <c r="FT13" i="7"/>
  <c r="FT14" i="7"/>
  <c r="FT12" i="7"/>
  <c r="AE85" i="9"/>
  <c r="AN99" i="4"/>
  <c r="FX150" i="4" s="1"/>
  <c r="GA125" i="4"/>
  <c r="GA121" i="4"/>
  <c r="GA126" i="4"/>
  <c r="GA127" i="4"/>
  <c r="GA122" i="4"/>
  <c r="GA94" i="4"/>
  <c r="GA93" i="4" s="1"/>
  <c r="GA129" i="4"/>
  <c r="GA123" i="4"/>
  <c r="GA117" i="4"/>
  <c r="GA116" i="4" s="1"/>
  <c r="GA198" i="4"/>
  <c r="GA201" i="4"/>
  <c r="GA53" i="4"/>
  <c r="FU3" i="7"/>
  <c r="GA89" i="4"/>
  <c r="GA57" i="4"/>
  <c r="AO96" i="4"/>
  <c r="AO98" i="4"/>
  <c r="AO137" i="4"/>
  <c r="AO107" i="4"/>
  <c r="FY118" i="4"/>
  <c r="FY92" i="4"/>
  <c r="FY97" i="4" s="1"/>
  <c r="AO136" i="4"/>
  <c r="AO105" i="4"/>
  <c r="AO138" i="4"/>
  <c r="AO102" i="4"/>
  <c r="AO106" i="4"/>
  <c r="AE94" i="9"/>
  <c r="AH31" i="7"/>
  <c r="AH29" i="7"/>
  <c r="AH32" i="7"/>
  <c r="AH30" i="7"/>
  <c r="X83" i="9"/>
  <c r="AO129" i="4"/>
  <c r="AE84" i="9" s="1"/>
  <c r="AP95" i="4"/>
  <c r="AI112" i="4"/>
  <c r="AI113" i="4"/>
  <c r="AR22" i="4"/>
  <c r="AQ28" i="4"/>
  <c r="AQ44" i="4"/>
  <c r="AQ43" i="4"/>
  <c r="AQ27" i="4"/>
  <c r="AQ88" i="4"/>
  <c r="GA22" i="4"/>
  <c r="AQ26" i="4"/>
  <c r="AQ30" i="4"/>
  <c r="AQ47" i="4"/>
  <c r="AQ41" i="4"/>
  <c r="AQ42" i="4"/>
  <c r="AQ48" i="4"/>
  <c r="AE55" i="9"/>
  <c r="AJ15" i="7"/>
  <c r="FS15" i="7"/>
  <c r="AI9" i="7" s="1"/>
  <c r="AO125" i="4"/>
  <c r="AE80" i="9" s="1"/>
  <c r="FY28" i="4"/>
  <c r="FY44" i="4"/>
  <c r="FY26" i="4"/>
  <c r="FY37" i="4"/>
  <c r="AO37" i="4" s="1"/>
  <c r="FY27" i="4"/>
  <c r="FY43" i="4"/>
  <c r="FY30" i="4"/>
  <c r="FY47" i="4"/>
  <c r="FY34" i="4"/>
  <c r="AO34" i="4" s="1"/>
  <c r="FY42" i="4"/>
  <c r="FY41" i="4"/>
  <c r="FY48" i="4"/>
  <c r="AQ23" i="4"/>
  <c r="AQ199" i="4" s="1"/>
  <c r="FZ23" i="4"/>
  <c r="AJ5" i="7"/>
  <c r="AP89" i="4"/>
  <c r="AN38" i="4"/>
  <c r="AD76" i="9"/>
  <c r="AJ113" i="4" l="1"/>
  <c r="Z72" i="9" s="1"/>
  <c r="Z73" i="9" s="1"/>
  <c r="FZ36" i="4"/>
  <c r="AP36" i="4" s="1"/>
  <c r="FZ46" i="4"/>
  <c r="AR45" i="4"/>
  <c r="AR46" i="4"/>
  <c r="AK111" i="4"/>
  <c r="AK112" i="4" s="1"/>
  <c r="AF21" i="7"/>
  <c r="AF23" i="7" s="1"/>
  <c r="AF24" i="7" s="1"/>
  <c r="AF25" i="7" s="1"/>
  <c r="AF35" i="7" s="1"/>
  <c r="AL110" i="4" s="1"/>
  <c r="AB70" i="9" s="1"/>
  <c r="AB71" i="9" s="1"/>
  <c r="W83" i="9"/>
  <c r="FY153" i="4"/>
  <c r="FY156" i="4" s="1"/>
  <c r="FY158" i="4" s="1"/>
  <c r="FY159" i="4" s="1"/>
  <c r="FY160" i="4" s="1"/>
  <c r="FZ35" i="4"/>
  <c r="AP35" i="4" s="1"/>
  <c r="FZ45" i="4"/>
  <c r="FT15" i="7"/>
  <c r="AJ9" i="7" s="1"/>
  <c r="AG18" i="7"/>
  <c r="AG20" i="7"/>
  <c r="AO108" i="4"/>
  <c r="AE69" i="9" s="1"/>
  <c r="AI114" i="4"/>
  <c r="AI91" i="4" s="1"/>
  <c r="AO139" i="4"/>
  <c r="AE90" i="9" s="1"/>
  <c r="Y72" i="9"/>
  <c r="Y73" i="9" s="1"/>
  <c r="AO99" i="4"/>
  <c r="FY150" i="4" s="1"/>
  <c r="FX99" i="4"/>
  <c r="AN100" i="4" s="1"/>
  <c r="AN101" i="4" s="1"/>
  <c r="AN103" i="4" s="1"/>
  <c r="AD68" i="9" s="1"/>
  <c r="AP98" i="4"/>
  <c r="AP96" i="4"/>
  <c r="AP137" i="4"/>
  <c r="FZ92" i="4"/>
  <c r="FZ97" i="4" s="1"/>
  <c r="AP105" i="4"/>
  <c r="FZ118" i="4"/>
  <c r="AP107" i="4"/>
  <c r="AP136" i="4"/>
  <c r="AP138" i="4"/>
  <c r="AP102" i="4"/>
  <c r="AP106" i="4"/>
  <c r="AP123" i="4"/>
  <c r="AF78" i="9" s="1"/>
  <c r="AP122" i="4"/>
  <c r="AF77" i="9" s="1"/>
  <c r="AP129" i="4"/>
  <c r="AF84" i="9" s="1"/>
  <c r="AP121" i="4"/>
  <c r="AF76" i="9" s="1"/>
  <c r="FZ152" i="4"/>
  <c r="AP125" i="4"/>
  <c r="AF80" i="9" s="1"/>
  <c r="AP126" i="4"/>
  <c r="AF81" i="9" s="1"/>
  <c r="AP127" i="4"/>
  <c r="AF82" i="9" s="1"/>
  <c r="AH54" i="9"/>
  <c r="AR231" i="4"/>
  <c r="AR252" i="4" s="1"/>
  <c r="FU13" i="7"/>
  <c r="FU12" i="7"/>
  <c r="FU14" i="7"/>
  <c r="GB2" i="4"/>
  <c r="AL2" i="7"/>
  <c r="AI30" i="7"/>
  <c r="AI32" i="7"/>
  <c r="AI31" i="7"/>
  <c r="AI29" i="7"/>
  <c r="FZ28" i="4"/>
  <c r="FZ44" i="4"/>
  <c r="FZ27" i="4"/>
  <c r="FZ26" i="4"/>
  <c r="FZ43" i="4"/>
  <c r="FZ30" i="4"/>
  <c r="FZ47" i="4"/>
  <c r="FZ37" i="4"/>
  <c r="AP37" i="4" s="1"/>
  <c r="FZ34" i="4"/>
  <c r="AP34" i="4" s="1"/>
  <c r="FZ41" i="4"/>
  <c r="FZ42" i="4"/>
  <c r="FZ48" i="4"/>
  <c r="AQ49" i="4"/>
  <c r="AG57" i="9" s="1"/>
  <c r="AC68" i="9"/>
  <c r="AL10" i="7"/>
  <c r="AL14" i="7"/>
  <c r="AL12" i="7"/>
  <c r="AL13" i="7"/>
  <c r="AS22" i="4"/>
  <c r="AR28" i="4"/>
  <c r="AR44" i="4"/>
  <c r="AR27" i="4"/>
  <c r="AR88" i="4"/>
  <c r="AR26" i="4"/>
  <c r="GB22" i="4"/>
  <c r="AR43" i="4"/>
  <c r="AR47" i="4"/>
  <c r="AR30" i="4"/>
  <c r="AR41" i="4"/>
  <c r="AR42" i="4"/>
  <c r="AR48" i="4"/>
  <c r="AR23" i="4"/>
  <c r="AR199" i="4" s="1"/>
  <c r="GA23" i="4"/>
  <c r="AQ89" i="4"/>
  <c r="AK5" i="7"/>
  <c r="GB129" i="4"/>
  <c r="GB125" i="4"/>
  <c r="GB122" i="4"/>
  <c r="GB127" i="4"/>
  <c r="GB94" i="4"/>
  <c r="GB93" i="4" s="1"/>
  <c r="GB121" i="4"/>
  <c r="GB126" i="4"/>
  <c r="GB117" i="4"/>
  <c r="GB116" i="4" s="1"/>
  <c r="GB57" i="4"/>
  <c r="GB123" i="4"/>
  <c r="GB198" i="4"/>
  <c r="FV3" i="7"/>
  <c r="GB201" i="4"/>
  <c r="GB53" i="4"/>
  <c r="GB89" i="4"/>
  <c r="AT3" i="4"/>
  <c r="AS70" i="4"/>
  <c r="GC3" i="4"/>
  <c r="AS2" i="4"/>
  <c r="AM3" i="7"/>
  <c r="AS83" i="4"/>
  <c r="AS198" i="4"/>
  <c r="FZ155" i="4"/>
  <c r="AD69" i="9"/>
  <c r="GA119" i="4"/>
  <c r="GA95" i="4"/>
  <c r="GA120" i="4" s="1"/>
  <c r="GA130" i="4" s="1"/>
  <c r="AQ130" i="4" s="1"/>
  <c r="GA91" i="4"/>
  <c r="GA90" i="4" s="1"/>
  <c r="AQ90" i="4" s="1"/>
  <c r="AQ97" i="4" s="1"/>
  <c r="GA151" i="4"/>
  <c r="GA154" i="4"/>
  <c r="AD56" i="9"/>
  <c r="AD58" i="9" s="1"/>
  <c r="AN200" i="4"/>
  <c r="FX54" i="4"/>
  <c r="AN51" i="4"/>
  <c r="AG53" i="9"/>
  <c r="AG67" i="9"/>
  <c r="AO38" i="4"/>
  <c r="AH33" i="7"/>
  <c r="FY146" i="4"/>
  <c r="FY147" i="4" s="1"/>
  <c r="FY148" i="4" s="1"/>
  <c r="FY149" i="4" s="1"/>
  <c r="FY96" i="4"/>
  <c r="AK15" i="7"/>
  <c r="AF94" i="9"/>
  <c r="AF85" i="9"/>
  <c r="AJ29" i="7"/>
  <c r="AJ31" i="7"/>
  <c r="AJ30" i="7"/>
  <c r="AJ32" i="7"/>
  <c r="AQ95" i="4"/>
  <c r="FY98" i="4"/>
  <c r="AQ31" i="4"/>
  <c r="AJ114" i="4" l="1"/>
  <c r="AJ128" i="4" s="1"/>
  <c r="Z83" i="9" s="1"/>
  <c r="AS45" i="4"/>
  <c r="AS46" i="4"/>
  <c r="GA36" i="4"/>
  <c r="AQ36" i="4" s="1"/>
  <c r="GA46" i="4"/>
  <c r="AG85" i="9"/>
  <c r="AK113" i="4"/>
  <c r="AK114" i="4" s="1"/>
  <c r="AL111" i="4"/>
  <c r="AL112" i="4" s="1"/>
  <c r="GA35" i="4"/>
  <c r="AQ35" i="4" s="1"/>
  <c r="GA45" i="4"/>
  <c r="FU15" i="7"/>
  <c r="AK9" i="7" s="1"/>
  <c r="AP108" i="4"/>
  <c r="AF69" i="9" s="1"/>
  <c r="AG21" i="7"/>
  <c r="AG23" i="7" s="1"/>
  <c r="AG24" i="7" s="1"/>
  <c r="AG25" i="7" s="1"/>
  <c r="AG35" i="7" s="1"/>
  <c r="AM110" i="4" s="1"/>
  <c r="AC70" i="9" s="1"/>
  <c r="AC71" i="9" s="1"/>
  <c r="FY99" i="4"/>
  <c r="AO100" i="4" s="1"/>
  <c r="AO101" i="4" s="1"/>
  <c r="AO103" i="4" s="1"/>
  <c r="AE68" i="9" s="1"/>
  <c r="AR49" i="4"/>
  <c r="AH57" i="9" s="1"/>
  <c r="AI128" i="4"/>
  <c r="Y83" i="9" s="1"/>
  <c r="AP99" i="4"/>
  <c r="FZ150" i="4" s="1"/>
  <c r="GA155" i="4"/>
  <c r="AQ96" i="4"/>
  <c r="AQ98" i="4"/>
  <c r="GA118" i="4"/>
  <c r="AQ107" i="4"/>
  <c r="AQ137" i="4"/>
  <c r="AQ136" i="4"/>
  <c r="AQ105" i="4"/>
  <c r="GA92" i="4"/>
  <c r="GA97" i="4" s="1"/>
  <c r="AQ138" i="4"/>
  <c r="AQ102" i="4"/>
  <c r="AQ106" i="4"/>
  <c r="AQ123" i="4"/>
  <c r="AG78" i="9" s="1"/>
  <c r="AQ122" i="4"/>
  <c r="AG77" i="9" s="1"/>
  <c r="AQ126" i="4"/>
  <c r="AG81" i="9" s="1"/>
  <c r="AQ121" i="4"/>
  <c r="AG76" i="9" s="1"/>
  <c r="AQ125" i="4"/>
  <c r="AG80" i="9" s="1"/>
  <c r="AQ127" i="4"/>
  <c r="AG82" i="9" s="1"/>
  <c r="GA152" i="4"/>
  <c r="AQ129" i="4"/>
  <c r="AG84" i="9" s="1"/>
  <c r="GA28" i="4"/>
  <c r="GA44" i="4"/>
  <c r="GA27" i="4"/>
  <c r="GA37" i="4"/>
  <c r="AQ37" i="4" s="1"/>
  <c r="GA26" i="4"/>
  <c r="GA43" i="4"/>
  <c r="GA47" i="4"/>
  <c r="GA30" i="4"/>
  <c r="GA34" i="4"/>
  <c r="AQ34" i="4" s="1"/>
  <c r="GA41" i="4"/>
  <c r="GA42" i="4"/>
  <c r="GA48" i="4"/>
  <c r="GB119" i="4"/>
  <c r="GB95" i="4"/>
  <c r="GB120" i="4" s="1"/>
  <c r="GB130" i="4" s="1"/>
  <c r="AR130" i="4" s="1"/>
  <c r="GB91" i="4"/>
  <c r="GB90" i="4" s="1"/>
  <c r="AR90" i="4" s="1"/>
  <c r="AR97" i="4" s="1"/>
  <c r="GB151" i="4"/>
  <c r="GB154" i="4"/>
  <c r="AJ33" i="7"/>
  <c r="FV13" i="7"/>
  <c r="FV14" i="7"/>
  <c r="FV12" i="7"/>
  <c r="AP38" i="4"/>
  <c r="AK30" i="7"/>
  <c r="AK29" i="7"/>
  <c r="AK31" i="7"/>
  <c r="AK32" i="7"/>
  <c r="AR31" i="4"/>
  <c r="AH55" i="9" s="1"/>
  <c r="AP139" i="4"/>
  <c r="AF90" i="9" s="1"/>
  <c r="FZ153" i="4"/>
  <c r="FZ156" i="4" s="1"/>
  <c r="AE56" i="9"/>
  <c r="AE58" i="9" s="1"/>
  <c r="FY54" i="4"/>
  <c r="AO51" i="4"/>
  <c r="AO200" i="4"/>
  <c r="AH19" i="7"/>
  <c r="AH18" i="7"/>
  <c r="AH20" i="7"/>
  <c r="AI54" i="9"/>
  <c r="AS231" i="4"/>
  <c r="AS252" i="4" s="1"/>
  <c r="AR95" i="4"/>
  <c r="AG55" i="9"/>
  <c r="AG94" i="9"/>
  <c r="AM10" i="7"/>
  <c r="AM14" i="7"/>
  <c r="AM12" i="7"/>
  <c r="AM13" i="7"/>
  <c r="FZ146" i="4"/>
  <c r="FZ147" i="4" s="1"/>
  <c r="FZ148" i="4" s="1"/>
  <c r="FZ149" i="4" s="1"/>
  <c r="FZ96" i="4"/>
  <c r="AT22" i="4"/>
  <c r="AS28" i="4"/>
  <c r="AS44" i="4"/>
  <c r="AS43" i="4"/>
  <c r="AS26" i="4"/>
  <c r="GC22" i="4"/>
  <c r="AS27" i="4"/>
  <c r="AS88" i="4"/>
  <c r="AS30" i="4"/>
  <c r="AS47" i="4"/>
  <c r="AS42" i="4"/>
  <c r="AS41" i="4"/>
  <c r="AS48" i="4"/>
  <c r="AH53" i="9"/>
  <c r="AH67" i="9"/>
  <c r="GC2" i="4"/>
  <c r="AM2" i="7"/>
  <c r="GC123" i="4"/>
  <c r="GC121" i="4"/>
  <c r="GC126" i="4"/>
  <c r="GC122" i="4"/>
  <c r="GC94" i="4"/>
  <c r="GC93" i="4" s="1"/>
  <c r="GC127" i="4"/>
  <c r="GC117" i="4"/>
  <c r="GC116" i="4" s="1"/>
  <c r="GC129" i="4"/>
  <c r="GC198" i="4"/>
  <c r="GC125" i="4"/>
  <c r="FW3" i="7"/>
  <c r="GC201" i="4"/>
  <c r="GC53" i="4"/>
  <c r="GC57" i="4"/>
  <c r="GC89" i="4"/>
  <c r="AL15" i="7"/>
  <c r="AI33" i="7"/>
  <c r="FZ98" i="4"/>
  <c r="AS23" i="4"/>
  <c r="GB23" i="4"/>
  <c r="AR89" i="4"/>
  <c r="AL5" i="7"/>
  <c r="GD3" i="4"/>
  <c r="AU3" i="4"/>
  <c r="AT2" i="4"/>
  <c r="AN3" i="7"/>
  <c r="AT83" i="4"/>
  <c r="AT70" i="4"/>
  <c r="AT198" i="4"/>
  <c r="AJ91" i="4" l="1"/>
  <c r="AT45" i="4"/>
  <c r="AT46" i="4"/>
  <c r="GB36" i="4"/>
  <c r="AR36" i="4" s="1"/>
  <c r="GB46" i="4"/>
  <c r="AA72" i="9"/>
  <c r="AA73" i="9" s="1"/>
  <c r="AL113" i="4"/>
  <c r="AB72" i="9" s="1"/>
  <c r="AB73" i="9" s="1"/>
  <c r="GA153" i="4"/>
  <c r="GA156" i="4" s="1"/>
  <c r="GA158" i="4" s="1"/>
  <c r="GA159" i="4" s="1"/>
  <c r="GA160" i="4" s="1"/>
  <c r="GB35" i="4"/>
  <c r="AR35" i="4" s="1"/>
  <c r="GB45" i="4"/>
  <c r="AK128" i="4"/>
  <c r="AK91" i="4"/>
  <c r="AM111" i="4"/>
  <c r="AM112" i="4" s="1"/>
  <c r="AM15" i="7"/>
  <c r="GB155" i="4"/>
  <c r="AQ139" i="4"/>
  <c r="AG90" i="9" s="1"/>
  <c r="AQ99" i="4"/>
  <c r="GA150" i="4" s="1"/>
  <c r="AR96" i="4"/>
  <c r="AR98" i="4"/>
  <c r="AR107" i="4"/>
  <c r="GB118" i="4"/>
  <c r="GB92" i="4"/>
  <c r="GB97" i="4" s="1"/>
  <c r="AR137" i="4"/>
  <c r="AR105" i="4"/>
  <c r="AR136" i="4"/>
  <c r="AR138" i="4"/>
  <c r="AR102" i="4"/>
  <c r="AR106" i="4"/>
  <c r="GB152" i="4"/>
  <c r="AR123" i="4"/>
  <c r="AH78" i="9" s="1"/>
  <c r="AR127" i="4"/>
  <c r="AH82" i="9" s="1"/>
  <c r="AR121" i="4"/>
  <c r="AH76" i="9" s="1"/>
  <c r="AR126" i="4"/>
  <c r="AH81" i="9" s="1"/>
  <c r="AR122" i="4"/>
  <c r="AH77" i="9" s="1"/>
  <c r="AR125" i="4"/>
  <c r="AH80" i="9" s="1"/>
  <c r="AR129" i="4"/>
  <c r="AH84" i="9" s="1"/>
  <c r="FZ158" i="4"/>
  <c r="FZ159" i="4" s="1"/>
  <c r="FZ160" i="4" s="1"/>
  <c r="AS31" i="4"/>
  <c r="AI55" i="9" s="1"/>
  <c r="AT44" i="4"/>
  <c r="AU22" i="4"/>
  <c r="AT28" i="4"/>
  <c r="AT88" i="4"/>
  <c r="GD22" i="4"/>
  <c r="AT43" i="4"/>
  <c r="AT27" i="4"/>
  <c r="AT26" i="4"/>
  <c r="AT30" i="4"/>
  <c r="AT47" i="4"/>
  <c r="AT41" i="4"/>
  <c r="AT42" i="4"/>
  <c r="AT48" i="4"/>
  <c r="AT23" i="4"/>
  <c r="AT199" i="4" s="1"/>
  <c r="GC23" i="4"/>
  <c r="AS89" i="4"/>
  <c r="AM5" i="7"/>
  <c r="AI19" i="7"/>
  <c r="AI18" i="7"/>
  <c r="AI20" i="7"/>
  <c r="FZ99" i="4"/>
  <c r="AP100" i="4" s="1"/>
  <c r="AH21" i="7"/>
  <c r="AH23" i="7" s="1"/>
  <c r="AH24" i="7" s="1"/>
  <c r="AH25" i="7" s="1"/>
  <c r="AH35" i="7" s="1"/>
  <c r="AN110" i="4" s="1"/>
  <c r="AK33" i="7"/>
  <c r="AQ38" i="4"/>
  <c r="AQ108" i="4"/>
  <c r="AG69" i="9" s="1"/>
  <c r="GC119" i="4"/>
  <c r="GC95" i="4"/>
  <c r="GC120" i="4" s="1"/>
  <c r="GC130" i="4" s="1"/>
  <c r="AS130" i="4" s="1"/>
  <c r="GC91" i="4"/>
  <c r="GC90" i="4" s="1"/>
  <c r="AS90" i="4" s="1"/>
  <c r="AS97" i="4" s="1"/>
  <c r="GC151" i="4"/>
  <c r="GC154" i="4"/>
  <c r="AH94" i="9"/>
  <c r="AH85" i="9"/>
  <c r="AF56" i="9"/>
  <c r="AF58" i="9" s="1"/>
  <c r="AP200" i="4"/>
  <c r="FZ54" i="4"/>
  <c r="AP51" i="4"/>
  <c r="AS49" i="4"/>
  <c r="AI57" i="9" s="1"/>
  <c r="FV15" i="7"/>
  <c r="AL9" i="7" s="1"/>
  <c r="AS199" i="4"/>
  <c r="AJ54" i="9"/>
  <c r="AT231" i="4"/>
  <c r="AT252" i="4" s="1"/>
  <c r="GA146" i="4"/>
  <c r="GA147" i="4" s="1"/>
  <c r="GA148" i="4" s="1"/>
  <c r="GA149" i="4" s="1"/>
  <c r="GA96" i="4"/>
  <c r="AJ20" i="7"/>
  <c r="AJ18" i="7"/>
  <c r="AJ19" i="7"/>
  <c r="GB28" i="4"/>
  <c r="GB44" i="4"/>
  <c r="GB27" i="4"/>
  <c r="GB37" i="4"/>
  <c r="AR37" i="4" s="1"/>
  <c r="GB26" i="4"/>
  <c r="GB30" i="4"/>
  <c r="GB43" i="4"/>
  <c r="GB47" i="4"/>
  <c r="GB34" i="4"/>
  <c r="AR34" i="4" s="1"/>
  <c r="GB42" i="4"/>
  <c r="GB41" i="4"/>
  <c r="GB48" i="4"/>
  <c r="FW14" i="7"/>
  <c r="FW13" i="7"/>
  <c r="FW12" i="7"/>
  <c r="GD2" i="4"/>
  <c r="AN2" i="7"/>
  <c r="AI53" i="9"/>
  <c r="AI67" i="9"/>
  <c r="AV3" i="4"/>
  <c r="GE3" i="4"/>
  <c r="AO3" i="7"/>
  <c r="AU70" i="4"/>
  <c r="AU2" i="4"/>
  <c r="AU83" i="4"/>
  <c r="AU198" i="4"/>
  <c r="GA98" i="4"/>
  <c r="AN10" i="7"/>
  <c r="AN14" i="7"/>
  <c r="AN12" i="7"/>
  <c r="AN13" i="7"/>
  <c r="AS95" i="4"/>
  <c r="GD127" i="4"/>
  <c r="GD123" i="4"/>
  <c r="GD129" i="4"/>
  <c r="GD125" i="4"/>
  <c r="GD121" i="4"/>
  <c r="GD126" i="4"/>
  <c r="GD94" i="4"/>
  <c r="GD93" i="4" s="1"/>
  <c r="GD122" i="4"/>
  <c r="GD53" i="4"/>
  <c r="FX3" i="7"/>
  <c r="GD117" i="4"/>
  <c r="GD116" i="4" s="1"/>
  <c r="GD89" i="4"/>
  <c r="GD201" i="4"/>
  <c r="GD198" i="4"/>
  <c r="GD57" i="4"/>
  <c r="AU45" i="4" l="1"/>
  <c r="AU46" i="4"/>
  <c r="GC36" i="4"/>
  <c r="AS36" i="4" s="1"/>
  <c r="GC46" i="4"/>
  <c r="AL114" i="4"/>
  <c r="AL91" i="4" s="1"/>
  <c r="GB153" i="4"/>
  <c r="GB156" i="4" s="1"/>
  <c r="GB158" i="4" s="1"/>
  <c r="GB159" i="4" s="1"/>
  <c r="GB160" i="4" s="1"/>
  <c r="GC35" i="4"/>
  <c r="AS35" i="4" s="1"/>
  <c r="GC45" i="4"/>
  <c r="AM113" i="4"/>
  <c r="AM114" i="4" s="1"/>
  <c r="AA83" i="9"/>
  <c r="AR108" i="4"/>
  <c r="AH69" i="9" s="1"/>
  <c r="GC155" i="4"/>
  <c r="AR38" i="4"/>
  <c r="AR51" i="4" s="1"/>
  <c r="AR139" i="4"/>
  <c r="AH90" i="9" s="1"/>
  <c r="AS98" i="4"/>
  <c r="AS96" i="4"/>
  <c r="AS105" i="4"/>
  <c r="GC118" i="4"/>
  <c r="GC92" i="4"/>
  <c r="GC97" i="4" s="1"/>
  <c r="AS107" i="4"/>
  <c r="AS137" i="4"/>
  <c r="AS136" i="4"/>
  <c r="AS138" i="4"/>
  <c r="AS102" i="4"/>
  <c r="AS106" i="4"/>
  <c r="AS125" i="4"/>
  <c r="AI80" i="9" s="1"/>
  <c r="GC152" i="4"/>
  <c r="AS122" i="4"/>
  <c r="AI77" i="9" s="1"/>
  <c r="AS121" i="4"/>
  <c r="AS126" i="4"/>
  <c r="AI81" i="9" s="1"/>
  <c r="AS129" i="4"/>
  <c r="AI84" i="9" s="1"/>
  <c r="AS127" i="4"/>
  <c r="AI82" i="9" s="1"/>
  <c r="AS123" i="4"/>
  <c r="AI78" i="9" s="1"/>
  <c r="AN15" i="7"/>
  <c r="AI94" i="9"/>
  <c r="AI85" i="9"/>
  <c r="GD119" i="4"/>
  <c r="GD95" i="4"/>
  <c r="GD120" i="4" s="1"/>
  <c r="GD130" i="4" s="1"/>
  <c r="AT130" i="4" s="1"/>
  <c r="GD91" i="4"/>
  <c r="GD90" i="4" s="1"/>
  <c r="AT90" i="4" s="1"/>
  <c r="AT97" i="4" s="1"/>
  <c r="GD154" i="4"/>
  <c r="GD151" i="4"/>
  <c r="AK19" i="7"/>
  <c r="AK18" i="7"/>
  <c r="AK20" i="7"/>
  <c r="AT95" i="4"/>
  <c r="AJ21" i="7"/>
  <c r="AJ23" i="7" s="1"/>
  <c r="AJ24" i="7" s="1"/>
  <c r="AJ25" i="7" s="1"/>
  <c r="AJ35" i="7" s="1"/>
  <c r="AP110" i="4" s="1"/>
  <c r="AF70" i="9" s="1"/>
  <c r="AD70" i="9"/>
  <c r="AD71" i="9" s="1"/>
  <c r="AN111" i="4"/>
  <c r="AV22" i="4"/>
  <c r="AU28" i="4"/>
  <c r="AU44" i="4"/>
  <c r="AU43" i="4"/>
  <c r="GE22" i="4"/>
  <c r="AU27" i="4"/>
  <c r="AU26" i="4"/>
  <c r="AU88" i="4"/>
  <c r="AU30" i="4"/>
  <c r="AU47" i="4"/>
  <c r="AU42" i="4"/>
  <c r="AU41" i="4"/>
  <c r="AU48" i="4"/>
  <c r="FW15" i="7"/>
  <c r="AM9" i="7" s="1"/>
  <c r="AH56" i="9"/>
  <c r="AH58" i="9" s="1"/>
  <c r="GB54" i="4"/>
  <c r="AJ53" i="9"/>
  <c r="AJ67" i="9"/>
  <c r="AU231" i="4"/>
  <c r="AU252" i="4" s="1"/>
  <c r="AK54" i="9"/>
  <c r="AI21" i="7"/>
  <c r="AI23" i="7" s="1"/>
  <c r="AI24" i="7" s="1"/>
  <c r="AI25" i="7" s="1"/>
  <c r="AI35" i="7" s="1"/>
  <c r="AO110" i="4" s="1"/>
  <c r="AT31" i="4"/>
  <c r="AJ55" i="9" s="1"/>
  <c r="GE2" i="4"/>
  <c r="AO2" i="7"/>
  <c r="AG56" i="9"/>
  <c r="AG58" i="9" s="1"/>
  <c r="AQ200" i="4"/>
  <c r="GA54" i="4"/>
  <c r="AQ51" i="4"/>
  <c r="FX14" i="7"/>
  <c r="FX13" i="7"/>
  <c r="FX12" i="7"/>
  <c r="AL29" i="7"/>
  <c r="AL32" i="7"/>
  <c r="AL30" i="7"/>
  <c r="AL31" i="7"/>
  <c r="GB146" i="4"/>
  <c r="GB147" i="4" s="1"/>
  <c r="GB148" i="4" s="1"/>
  <c r="GB149" i="4" s="1"/>
  <c r="GB98" i="4"/>
  <c r="AO10" i="7"/>
  <c r="AO14" i="7"/>
  <c r="AO12" i="7"/>
  <c r="AO13" i="7"/>
  <c r="GC44" i="4"/>
  <c r="GC28" i="4"/>
  <c r="GC26" i="4"/>
  <c r="GC37" i="4"/>
  <c r="AS37" i="4" s="1"/>
  <c r="GC27" i="4"/>
  <c r="GC43" i="4"/>
  <c r="GC30" i="4"/>
  <c r="GC47" i="4"/>
  <c r="GC34" i="4"/>
  <c r="AS34" i="4" s="1"/>
  <c r="GC42" i="4"/>
  <c r="GC41" i="4"/>
  <c r="GC48" i="4"/>
  <c r="AP101" i="4"/>
  <c r="AP103" i="4" s="1"/>
  <c r="GE127" i="4"/>
  <c r="GE123" i="4"/>
  <c r="GE125" i="4"/>
  <c r="GE121" i="4"/>
  <c r="GE94" i="4"/>
  <c r="GE93" i="4" s="1"/>
  <c r="GE122" i="4"/>
  <c r="GE126" i="4"/>
  <c r="GE117" i="4"/>
  <c r="GE116" i="4" s="1"/>
  <c r="GE129" i="4"/>
  <c r="GE198" i="4"/>
  <c r="FY3" i="7"/>
  <c r="GE201" i="4"/>
  <c r="GE89" i="4"/>
  <c r="GE57" i="4"/>
  <c r="GE53" i="4"/>
  <c r="GF3" i="4"/>
  <c r="AW3" i="4"/>
  <c r="AV70" i="4"/>
  <c r="AV2" i="4"/>
  <c r="AP3" i="7"/>
  <c r="AV83" i="4"/>
  <c r="AV198" i="4"/>
  <c r="GD23" i="4"/>
  <c r="AU23" i="4"/>
  <c r="AU199" i="4" s="1"/>
  <c r="AT89" i="4"/>
  <c r="AN5" i="7"/>
  <c r="GA99" i="4"/>
  <c r="AQ100" i="4" s="1"/>
  <c r="AQ101" i="4" s="1"/>
  <c r="AQ103" i="4" s="1"/>
  <c r="AG68" i="9" s="1"/>
  <c r="AT49" i="4"/>
  <c r="AJ57" i="9" s="1"/>
  <c r="GB96" i="4"/>
  <c r="AR99" i="4"/>
  <c r="GB150" i="4" s="1"/>
  <c r="GD36" i="4" l="1"/>
  <c r="AT36" i="4" s="1"/>
  <c r="GD46" i="4"/>
  <c r="AV45" i="4"/>
  <c r="AV46" i="4"/>
  <c r="AL128" i="4"/>
  <c r="GD35" i="4"/>
  <c r="AT35" i="4" s="1"/>
  <c r="GD45" i="4"/>
  <c r="AR200" i="4"/>
  <c r="AJ85" i="9"/>
  <c r="AC72" i="9"/>
  <c r="AC73" i="9" s="1"/>
  <c r="AM91" i="4"/>
  <c r="AM128" i="4"/>
  <c r="AC83" i="9" s="1"/>
  <c r="AS108" i="4"/>
  <c r="AI69" i="9" s="1"/>
  <c r="FX15" i="7"/>
  <c r="AN9" i="7" s="1"/>
  <c r="AN29" i="7" s="1"/>
  <c r="AU31" i="4"/>
  <c r="AK55" i="9" s="1"/>
  <c r="AS38" i="4"/>
  <c r="AI56" i="9" s="1"/>
  <c r="AI58" i="9" s="1"/>
  <c r="GD155" i="4"/>
  <c r="GC98" i="4"/>
  <c r="AT96" i="4"/>
  <c r="AT98" i="4"/>
  <c r="AT107" i="4"/>
  <c r="AT137" i="4"/>
  <c r="AT105" i="4"/>
  <c r="GD118" i="4"/>
  <c r="AT136" i="4"/>
  <c r="GD92" i="4"/>
  <c r="GD97" i="4" s="1"/>
  <c r="AT138" i="4"/>
  <c r="AT102" i="4"/>
  <c r="AT106" i="4"/>
  <c r="GD152" i="4"/>
  <c r="AT122" i="4"/>
  <c r="AJ77" i="9" s="1"/>
  <c r="AT129" i="4"/>
  <c r="AJ84" i="9" s="1"/>
  <c r="AT123" i="4"/>
  <c r="AJ78" i="9" s="1"/>
  <c r="AT125" i="4"/>
  <c r="AJ80" i="9" s="1"/>
  <c r="AT127" i="4"/>
  <c r="AJ82" i="9" s="1"/>
  <c r="AT126" i="4"/>
  <c r="AJ81" i="9" s="1"/>
  <c r="AT121" i="4"/>
  <c r="GE23" i="4"/>
  <c r="AV23" i="4"/>
  <c r="AV199" i="4" s="1"/>
  <c r="AU89" i="4"/>
  <c r="AO5" i="7"/>
  <c r="GC153" i="4"/>
  <c r="GC156" i="4" s="1"/>
  <c r="GC158" i="4" s="1"/>
  <c r="GC159" i="4" s="1"/>
  <c r="GC160" i="4" s="1"/>
  <c r="AV44" i="4"/>
  <c r="AW22" i="4"/>
  <c r="AV28" i="4"/>
  <c r="AV88" i="4"/>
  <c r="AV43" i="4"/>
  <c r="GF22" i="4"/>
  <c r="AV27" i="4"/>
  <c r="AV26" i="4"/>
  <c r="AV30" i="4"/>
  <c r="AV47" i="4"/>
  <c r="AV41" i="4"/>
  <c r="AV42" i="4"/>
  <c r="AV48" i="4"/>
  <c r="GD44" i="4"/>
  <c r="GD27" i="4"/>
  <c r="GD26" i="4"/>
  <c r="GD30" i="4"/>
  <c r="GD47" i="4"/>
  <c r="GD43" i="4"/>
  <c r="GD37" i="4"/>
  <c r="AT37" i="4" s="1"/>
  <c r="GD28" i="4"/>
  <c r="GD34" i="4"/>
  <c r="AT34" i="4" s="1"/>
  <c r="GD41" i="4"/>
  <c r="GD42" i="4"/>
  <c r="GD48" i="4"/>
  <c r="AN113" i="4"/>
  <c r="AN112" i="4"/>
  <c r="AL54" i="9"/>
  <c r="AV231" i="4"/>
  <c r="AV252" i="4" s="1"/>
  <c r="AP10" i="7"/>
  <c r="AP14" i="7"/>
  <c r="AP12" i="7"/>
  <c r="AP13" i="7"/>
  <c r="AS139" i="4"/>
  <c r="AI90" i="9" s="1"/>
  <c r="AO15" i="7"/>
  <c r="AO111" i="4"/>
  <c r="AE70" i="9"/>
  <c r="AE71" i="9" s="1"/>
  <c r="AU49" i="4"/>
  <c r="AK57" i="9" s="1"/>
  <c r="GC146" i="4"/>
  <c r="GC147" i="4" s="1"/>
  <c r="GC148" i="4" s="1"/>
  <c r="GC149" i="4" s="1"/>
  <c r="GC96" i="4"/>
  <c r="AP2" i="7"/>
  <c r="GF2" i="4"/>
  <c r="FY13" i="7"/>
  <c r="FY14" i="7"/>
  <c r="FY12" i="7"/>
  <c r="GB99" i="4"/>
  <c r="AR100" i="4" s="1"/>
  <c r="AR101" i="4" s="1"/>
  <c r="AR103" i="4" s="1"/>
  <c r="AH68" i="9" s="1"/>
  <c r="AI76" i="9"/>
  <c r="AK21" i="7"/>
  <c r="AK23" i="7" s="1"/>
  <c r="AK24" i="7" s="1"/>
  <c r="AK25" i="7" s="1"/>
  <c r="AK35" i="7" s="1"/>
  <c r="AQ110" i="4" s="1"/>
  <c r="AS99" i="4"/>
  <c r="GC150" i="4" s="1"/>
  <c r="AF68" i="9"/>
  <c r="AF71" i="9" s="1"/>
  <c r="AP111" i="4"/>
  <c r="AL33" i="7"/>
  <c r="AJ94" i="9"/>
  <c r="AM31" i="7"/>
  <c r="AM30" i="7"/>
  <c r="AM29" i="7"/>
  <c r="AM32" i="7"/>
  <c r="AX3" i="4"/>
  <c r="GG3" i="4"/>
  <c r="AQ3" i="7"/>
  <c r="AW70" i="4"/>
  <c r="AW2" i="4"/>
  <c r="AW83" i="4"/>
  <c r="AW198" i="4"/>
  <c r="GF122" i="4"/>
  <c r="GF127" i="4"/>
  <c r="GF123" i="4"/>
  <c r="GF129" i="4"/>
  <c r="GF125" i="4"/>
  <c r="GF121" i="4"/>
  <c r="GF117" i="4"/>
  <c r="GF116" i="4" s="1"/>
  <c r="GF126" i="4"/>
  <c r="GF94" i="4"/>
  <c r="GF93" i="4" s="1"/>
  <c r="FZ3" i="7"/>
  <c r="GF201" i="4"/>
  <c r="GF198" i="4"/>
  <c r="GF89" i="4"/>
  <c r="GF57" i="4"/>
  <c r="GF53" i="4"/>
  <c r="GE119" i="4"/>
  <c r="GE95" i="4"/>
  <c r="GE120" i="4" s="1"/>
  <c r="GE130" i="4" s="1"/>
  <c r="AU130" i="4" s="1"/>
  <c r="GE91" i="4"/>
  <c r="GE90" i="4" s="1"/>
  <c r="AU90" i="4" s="1"/>
  <c r="AU97" i="4" s="1"/>
  <c r="GE151" i="4"/>
  <c r="GE154" i="4"/>
  <c r="AK67" i="9"/>
  <c r="AK53" i="9"/>
  <c r="AU95" i="4"/>
  <c r="AW45" i="4" l="1"/>
  <c r="AW46" i="4"/>
  <c r="GE36" i="4"/>
  <c r="AU36" i="4" s="1"/>
  <c r="GE46" i="4"/>
  <c r="AB83" i="9"/>
  <c r="AS200" i="4"/>
  <c r="GD153" i="4"/>
  <c r="GD156" i="4" s="1"/>
  <c r="GD158" i="4" s="1"/>
  <c r="GD159" i="4" s="1"/>
  <c r="GD160" i="4" s="1"/>
  <c r="GE35" i="4"/>
  <c r="AU35" i="4" s="1"/>
  <c r="GE45" i="4"/>
  <c r="GC99" i="4"/>
  <c r="AS100" i="4" s="1"/>
  <c r="AS101" i="4" s="1"/>
  <c r="AS103" i="4" s="1"/>
  <c r="AI68" i="9" s="1"/>
  <c r="AN30" i="7"/>
  <c r="AN31" i="7"/>
  <c r="AN32" i="7"/>
  <c r="FY15" i="7"/>
  <c r="AO9" i="7" s="1"/>
  <c r="AO29" i="7" s="1"/>
  <c r="AT108" i="4"/>
  <c r="AJ69" i="9" s="1"/>
  <c r="AS51" i="4"/>
  <c r="GC54" i="4"/>
  <c r="AV31" i="4"/>
  <c r="AL55" i="9" s="1"/>
  <c r="AT38" i="4"/>
  <c r="AJ56" i="9" s="1"/>
  <c r="AJ58" i="9" s="1"/>
  <c r="AM33" i="7"/>
  <c r="AM19" i="7" s="1"/>
  <c r="GE155" i="4"/>
  <c r="AL20" i="7"/>
  <c r="AL18" i="7"/>
  <c r="AL19" i="7"/>
  <c r="GH3" i="4"/>
  <c r="AY3" i="4"/>
  <c r="AR3" i="7"/>
  <c r="AX2" i="4"/>
  <c r="AX83" i="4"/>
  <c r="AX70" i="4"/>
  <c r="AX198" i="4"/>
  <c r="AK94" i="9"/>
  <c r="AU121" i="4"/>
  <c r="AK76" i="9" s="1"/>
  <c r="AU127" i="4"/>
  <c r="AK82" i="9" s="1"/>
  <c r="AL53" i="9"/>
  <c r="AL67" i="9"/>
  <c r="AO112" i="4"/>
  <c r="AO113" i="4"/>
  <c r="GF95" i="4"/>
  <c r="GF120" i="4" s="1"/>
  <c r="GF130" i="4" s="1"/>
  <c r="AV130" i="4" s="1"/>
  <c r="GF119" i="4"/>
  <c r="GF91" i="4"/>
  <c r="GF90" i="4" s="1"/>
  <c r="AV90" i="4" s="1"/>
  <c r="AV97" i="4" s="1"/>
  <c r="GF151" i="4"/>
  <c r="GF154" i="4"/>
  <c r="AW28" i="4"/>
  <c r="AX22" i="4"/>
  <c r="AW44" i="4"/>
  <c r="AW43" i="4"/>
  <c r="AW27" i="4"/>
  <c r="AW88" i="4"/>
  <c r="GG22" i="4"/>
  <c r="AW26" i="4"/>
  <c r="AW30" i="4"/>
  <c r="AW47" i="4"/>
  <c r="AW41" i="4"/>
  <c r="AW42" i="4"/>
  <c r="AW48" i="4"/>
  <c r="AP112" i="4"/>
  <c r="AP113" i="4"/>
  <c r="GD146" i="4"/>
  <c r="GD147" i="4" s="1"/>
  <c r="GD148" i="4" s="1"/>
  <c r="GD149" i="4" s="1"/>
  <c r="GD98" i="4"/>
  <c r="GD96" i="4"/>
  <c r="AU122" i="4"/>
  <c r="AK77" i="9" s="1"/>
  <c r="AT139" i="4"/>
  <c r="AJ90" i="9" s="1"/>
  <c r="FZ12" i="7"/>
  <c r="FZ14" i="7"/>
  <c r="FZ13" i="7"/>
  <c r="GG126" i="4"/>
  <c r="GG122" i="4"/>
  <c r="GG127" i="4"/>
  <c r="GG123" i="4"/>
  <c r="GG129" i="4"/>
  <c r="GG117" i="4"/>
  <c r="GG116" i="4" s="1"/>
  <c r="GG121" i="4"/>
  <c r="GG125" i="4"/>
  <c r="GG94" i="4"/>
  <c r="GG93" i="4" s="1"/>
  <c r="GG198" i="4"/>
  <c r="GG53" i="4"/>
  <c r="GG201" i="4"/>
  <c r="GG57" i="4"/>
  <c r="GA3" i="7"/>
  <c r="GG89" i="4"/>
  <c r="AP15" i="7"/>
  <c r="AK85" i="9"/>
  <c r="GF23" i="4"/>
  <c r="AW23" i="4"/>
  <c r="AW199" i="4" s="1"/>
  <c r="AV89" i="4"/>
  <c r="AP5" i="7"/>
  <c r="AU96" i="4"/>
  <c r="AU98" i="4"/>
  <c r="AU107" i="4"/>
  <c r="GE118" i="4"/>
  <c r="AU105" i="4"/>
  <c r="AU137" i="4"/>
  <c r="AU136" i="4"/>
  <c r="GE92" i="4"/>
  <c r="GE97" i="4" s="1"/>
  <c r="AU138" i="4"/>
  <c r="AU102" i="4"/>
  <c r="AU106" i="4"/>
  <c r="AN114" i="4"/>
  <c r="AD72" i="9"/>
  <c r="AD73" i="9" s="1"/>
  <c r="AU126" i="4"/>
  <c r="AK81" i="9" s="1"/>
  <c r="GE152" i="4"/>
  <c r="AU125" i="4"/>
  <c r="AK80" i="9" s="1"/>
  <c r="AV49" i="4"/>
  <c r="AL57" i="9" s="1"/>
  <c r="AV95" i="4"/>
  <c r="AQ111" i="4"/>
  <c r="AG70" i="9"/>
  <c r="AG71" i="9" s="1"/>
  <c r="AU129" i="4"/>
  <c r="AK84" i="9" s="1"/>
  <c r="AM54" i="9"/>
  <c r="AW231" i="4"/>
  <c r="AW252" i="4" s="1"/>
  <c r="AU123" i="4"/>
  <c r="AK78" i="9" s="1"/>
  <c r="GG2" i="4"/>
  <c r="AQ2" i="7"/>
  <c r="GE44" i="4"/>
  <c r="GE28" i="4"/>
  <c r="GE26" i="4"/>
  <c r="GE27" i="4"/>
  <c r="GE37" i="4"/>
  <c r="AU37" i="4" s="1"/>
  <c r="GE43" i="4"/>
  <c r="GE30" i="4"/>
  <c r="GE47" i="4"/>
  <c r="GE34" i="4"/>
  <c r="AU34" i="4" s="1"/>
  <c r="GE41" i="4"/>
  <c r="GE42" i="4"/>
  <c r="GE48" i="4"/>
  <c r="AQ10" i="7"/>
  <c r="AQ14" i="7"/>
  <c r="AQ12" i="7"/>
  <c r="AQ13" i="7"/>
  <c r="AJ76" i="9"/>
  <c r="AT99" i="4"/>
  <c r="GD150" i="4" s="1"/>
  <c r="AL85" i="9" l="1"/>
  <c r="GF36" i="4"/>
  <c r="AV36" i="4" s="1"/>
  <c r="GF46" i="4"/>
  <c r="AX45" i="4"/>
  <c r="AX46" i="4"/>
  <c r="GD54" i="4"/>
  <c r="GF35" i="4"/>
  <c r="AV35" i="4" s="1"/>
  <c r="GF45" i="4"/>
  <c r="AN33" i="7"/>
  <c r="AN19" i="7" s="1"/>
  <c r="AO31" i="7"/>
  <c r="AO32" i="7"/>
  <c r="AO30" i="7"/>
  <c r="AT200" i="4"/>
  <c r="AM20" i="7"/>
  <c r="AT51" i="4"/>
  <c r="AM18" i="7"/>
  <c r="FZ15" i="7"/>
  <c r="AP9" i="7" s="1"/>
  <c r="AP31" i="7" s="1"/>
  <c r="AQ15" i="7"/>
  <c r="GF155" i="4"/>
  <c r="AU38" i="4"/>
  <c r="AU51" i="4" s="1"/>
  <c r="AU139" i="4"/>
  <c r="AK90" i="9" s="1"/>
  <c r="GD99" i="4"/>
  <c r="AT100" i="4" s="1"/>
  <c r="AT101" i="4" s="1"/>
  <c r="AT103" i="4" s="1"/>
  <c r="AJ68" i="9" s="1"/>
  <c r="AP114" i="4"/>
  <c r="AP128" i="4" s="1"/>
  <c r="AE72" i="9"/>
  <c r="AE73" i="9" s="1"/>
  <c r="AU99" i="4"/>
  <c r="GE150" i="4" s="1"/>
  <c r="AO114" i="4"/>
  <c r="AO91" i="4" s="1"/>
  <c r="AV96" i="4"/>
  <c r="AV98" i="4"/>
  <c r="AV105" i="4"/>
  <c r="GF92" i="4"/>
  <c r="GF97" i="4" s="1"/>
  <c r="GF118" i="4"/>
  <c r="AV107" i="4"/>
  <c r="AV136" i="4"/>
  <c r="AV137" i="4"/>
  <c r="AV138" i="4"/>
  <c r="AV102" i="4"/>
  <c r="AV106" i="4"/>
  <c r="AV126" i="4"/>
  <c r="AL81" i="9" s="1"/>
  <c r="AV125" i="4"/>
  <c r="AL80" i="9" s="1"/>
  <c r="AV127" i="4"/>
  <c r="AL82" i="9" s="1"/>
  <c r="GF152" i="4"/>
  <c r="AV121" i="4"/>
  <c r="AV129" i="4"/>
  <c r="AL84" i="9" s="1"/>
  <c r="AV122" i="4"/>
  <c r="AL77" i="9" s="1"/>
  <c r="AV123" i="4"/>
  <c r="AL78" i="9" s="1"/>
  <c r="AF72" i="9"/>
  <c r="GE98" i="4"/>
  <c r="AW49" i="4"/>
  <c r="AM57" i="9" s="1"/>
  <c r="AX23" i="4"/>
  <c r="AX199" i="4" s="1"/>
  <c r="GG23" i="4"/>
  <c r="AW89" i="4"/>
  <c r="AQ5" i="7"/>
  <c r="AR2" i="7"/>
  <c r="GH2" i="4"/>
  <c r="AW31" i="4"/>
  <c r="AL94" i="9"/>
  <c r="GI3" i="4"/>
  <c r="AZ3" i="4"/>
  <c r="AY2" i="4"/>
  <c r="AS3" i="7"/>
  <c r="AY83" i="4"/>
  <c r="AY70" i="4"/>
  <c r="AY198" i="4"/>
  <c r="GE153" i="4"/>
  <c r="GE156" i="4" s="1"/>
  <c r="GE158" i="4" s="1"/>
  <c r="GE159" i="4" s="1"/>
  <c r="GE160" i="4" s="1"/>
  <c r="AX231" i="4"/>
  <c r="AX252" i="4" s="1"/>
  <c r="AN54" i="9"/>
  <c r="GH121" i="4"/>
  <c r="GH126" i="4"/>
  <c r="GH127" i="4"/>
  <c r="GH123" i="4"/>
  <c r="GH117" i="4"/>
  <c r="GH116" i="4" s="1"/>
  <c r="GH122" i="4"/>
  <c r="GH125" i="4"/>
  <c r="GH129" i="4"/>
  <c r="GH94" i="4"/>
  <c r="GH93" i="4" s="1"/>
  <c r="GH57" i="4"/>
  <c r="GH198" i="4"/>
  <c r="GH53" i="4"/>
  <c r="GB3" i="7"/>
  <c r="GH201" i="4"/>
  <c r="GH89" i="4"/>
  <c r="AM53" i="9"/>
  <c r="AM67" i="9"/>
  <c r="GF44" i="4"/>
  <c r="GF37" i="4"/>
  <c r="AV37" i="4" s="1"/>
  <c r="GF26" i="4"/>
  <c r="GF27" i="4"/>
  <c r="GF43" i="4"/>
  <c r="GF30" i="4"/>
  <c r="GF47" i="4"/>
  <c r="GF34" i="4"/>
  <c r="AV34" i="4" s="1"/>
  <c r="GF28" i="4"/>
  <c r="GF41" i="4"/>
  <c r="GF42" i="4"/>
  <c r="GF48" i="4"/>
  <c r="AR10" i="7"/>
  <c r="AR14" i="7"/>
  <c r="AR12" i="7"/>
  <c r="AR13" i="7"/>
  <c r="AW95" i="4"/>
  <c r="GE146" i="4"/>
  <c r="GE147" i="4" s="1"/>
  <c r="GE148" i="4" s="1"/>
  <c r="GE149" i="4" s="1"/>
  <c r="GE96" i="4"/>
  <c r="AN91" i="4"/>
  <c r="AN128" i="4"/>
  <c r="AL21" i="7"/>
  <c r="AL23" i="7" s="1"/>
  <c r="AL24" i="7" s="1"/>
  <c r="AL25" i="7" s="1"/>
  <c r="AL35" i="7" s="1"/>
  <c r="AR110" i="4" s="1"/>
  <c r="AU108" i="4"/>
  <c r="AQ112" i="4"/>
  <c r="AQ113" i="4"/>
  <c r="GG119" i="4"/>
  <c r="GG95" i="4"/>
  <c r="GG120" i="4" s="1"/>
  <c r="GG130" i="4" s="1"/>
  <c r="AW130" i="4" s="1"/>
  <c r="GG91" i="4"/>
  <c r="GG90" i="4" s="1"/>
  <c r="AW90" i="4" s="1"/>
  <c r="AW97" i="4" s="1"/>
  <c r="GG154" i="4"/>
  <c r="GG151" i="4"/>
  <c r="AX44" i="4"/>
  <c r="AY22" i="4"/>
  <c r="AX28" i="4"/>
  <c r="AX26" i="4"/>
  <c r="GH22" i="4"/>
  <c r="AX43" i="4"/>
  <c r="AX88" i="4"/>
  <c r="AX27" i="4"/>
  <c r="AX30" i="4"/>
  <c r="AX47" i="4"/>
  <c r="AX42" i="4"/>
  <c r="AX41" i="4"/>
  <c r="AX48" i="4"/>
  <c r="GA14" i="7"/>
  <c r="GA12" i="7"/>
  <c r="GA13" i="7"/>
  <c r="AP30" i="7" l="1"/>
  <c r="AM21" i="7"/>
  <c r="AM23" i="7" s="1"/>
  <c r="AM24" i="7" s="1"/>
  <c r="AM25" i="7" s="1"/>
  <c r="AM35" i="7" s="1"/>
  <c r="AS110" i="4" s="1"/>
  <c r="AS111" i="4" s="1"/>
  <c r="GG36" i="4"/>
  <c r="AW36" i="4" s="1"/>
  <c r="GG46" i="4"/>
  <c r="AY45" i="4"/>
  <c r="AY46" i="4"/>
  <c r="AP29" i="7"/>
  <c r="AP32" i="7"/>
  <c r="GF153" i="4"/>
  <c r="GF156" i="4" s="1"/>
  <c r="GF158" i="4" s="1"/>
  <c r="GF159" i="4" s="1"/>
  <c r="GF160" i="4" s="1"/>
  <c r="AN18" i="7"/>
  <c r="GG35" i="4"/>
  <c r="AW35" i="4" s="1"/>
  <c r="GG45" i="4"/>
  <c r="GE54" i="4"/>
  <c r="AN20" i="7"/>
  <c r="AO33" i="7"/>
  <c r="AO19" i="7" s="1"/>
  <c r="AU200" i="4"/>
  <c r="AK56" i="9"/>
  <c r="AK58" i="9" s="1"/>
  <c r="AR15" i="7"/>
  <c r="AM85" i="9"/>
  <c r="AP91" i="4"/>
  <c r="GE99" i="4"/>
  <c r="AU100" i="4" s="1"/>
  <c r="AU101" i="4" s="1"/>
  <c r="AU103" i="4" s="1"/>
  <c r="AK68" i="9" s="1"/>
  <c r="AO128" i="4"/>
  <c r="AE83" i="9" s="1"/>
  <c r="AW98" i="4"/>
  <c r="AW96" i="4"/>
  <c r="AW107" i="4"/>
  <c r="GG92" i="4"/>
  <c r="GG97" i="4" s="1"/>
  <c r="AW105" i="4"/>
  <c r="AW136" i="4"/>
  <c r="GG118" i="4"/>
  <c r="AW137" i="4"/>
  <c r="AW138" i="4"/>
  <c r="AW102" i="4"/>
  <c r="AW106" i="4"/>
  <c r="AW129" i="4"/>
  <c r="AM84" i="9" s="1"/>
  <c r="AW125" i="4"/>
  <c r="AM80" i="9" s="1"/>
  <c r="AW121" i="4"/>
  <c r="AW123" i="4"/>
  <c r="AM78" i="9" s="1"/>
  <c r="AW127" i="4"/>
  <c r="AM82" i="9" s="1"/>
  <c r="GG152" i="4"/>
  <c r="AW126" i="4"/>
  <c r="AM81" i="9" s="1"/>
  <c r="AW122" i="4"/>
  <c r="AM77" i="9" s="1"/>
  <c r="AS10" i="7"/>
  <c r="AS14" i="7"/>
  <c r="AS12" i="7"/>
  <c r="AS13" i="7"/>
  <c r="AN53" i="9"/>
  <c r="AN67" i="9"/>
  <c r="AX95" i="4"/>
  <c r="GF146" i="4"/>
  <c r="GF147" i="4" s="1"/>
  <c r="GF148" i="4" s="1"/>
  <c r="GF149" i="4" s="1"/>
  <c r="GF96" i="4"/>
  <c r="AD83" i="9"/>
  <c r="GI2" i="4"/>
  <c r="AS2" i="7"/>
  <c r="GJ3" i="4"/>
  <c r="BA3" i="4"/>
  <c r="AZ70" i="4"/>
  <c r="AT3" i="7"/>
  <c r="AZ2" i="4"/>
  <c r="AZ83" i="4"/>
  <c r="AZ198" i="4"/>
  <c r="AR111" i="4"/>
  <c r="AH70" i="9"/>
  <c r="AH71" i="9" s="1"/>
  <c r="AO54" i="9"/>
  <c r="AY231" i="4"/>
  <c r="AY252" i="4" s="1"/>
  <c r="GA15" i="7"/>
  <c r="AQ9" i="7" s="1"/>
  <c r="GI125" i="4"/>
  <c r="GI121" i="4"/>
  <c r="GI122" i="4"/>
  <c r="GI123" i="4"/>
  <c r="GI117" i="4"/>
  <c r="GI116" i="4" s="1"/>
  <c r="GI127" i="4"/>
  <c r="GI129" i="4"/>
  <c r="GI94" i="4"/>
  <c r="GI93" i="4" s="1"/>
  <c r="GI126" i="4"/>
  <c r="GI53" i="4"/>
  <c r="GI57" i="4"/>
  <c r="GC3" i="7"/>
  <c r="GI201" i="4"/>
  <c r="GI198" i="4"/>
  <c r="GI89" i="4"/>
  <c r="GG27" i="4"/>
  <c r="GG37" i="4"/>
  <c r="AW37" i="4" s="1"/>
  <c r="GG26" i="4"/>
  <c r="GG43" i="4"/>
  <c r="GG30" i="4"/>
  <c r="GG47" i="4"/>
  <c r="GG44" i="4"/>
  <c r="GG34" i="4"/>
  <c r="AW34" i="4" s="1"/>
  <c r="GG28" i="4"/>
  <c r="GG42" i="4"/>
  <c r="GG41" i="4"/>
  <c r="GG48" i="4"/>
  <c r="AK69" i="9"/>
  <c r="AF83" i="9"/>
  <c r="AY44" i="4"/>
  <c r="AZ22" i="4"/>
  <c r="AY28" i="4"/>
  <c r="AY26" i="4"/>
  <c r="AY43" i="4"/>
  <c r="AY27" i="4"/>
  <c r="GI22" i="4"/>
  <c r="AY88" i="4"/>
  <c r="AY30" i="4"/>
  <c r="AY47" i="4"/>
  <c r="AY41" i="4"/>
  <c r="AY42" i="4"/>
  <c r="AY48" i="4"/>
  <c r="GG155" i="4"/>
  <c r="AX49" i="4"/>
  <c r="AN57" i="9" s="1"/>
  <c r="AY23" i="4"/>
  <c r="AY199" i="4" s="1"/>
  <c r="GH23" i="4"/>
  <c r="AR5" i="7"/>
  <c r="AX89" i="4"/>
  <c r="AV108" i="4"/>
  <c r="AF73" i="9"/>
  <c r="AG72" i="9"/>
  <c r="AG73" i="9" s="1"/>
  <c r="GH119" i="4"/>
  <c r="GH95" i="4"/>
  <c r="GH120" i="4" s="1"/>
  <c r="GH130" i="4" s="1"/>
  <c r="AX130" i="4" s="1"/>
  <c r="GH91" i="4"/>
  <c r="GH90" i="4" s="1"/>
  <c r="AX90" i="4" s="1"/>
  <c r="AX97" i="4" s="1"/>
  <c r="GH151" i="4"/>
  <c r="GH154" i="4"/>
  <c r="AM55" i="9"/>
  <c r="AM94" i="9"/>
  <c r="AQ114" i="4"/>
  <c r="AV139" i="4"/>
  <c r="AL90" i="9" s="1"/>
  <c r="GF98" i="4"/>
  <c r="AV38" i="4"/>
  <c r="AX31" i="4"/>
  <c r="AN55" i="9" s="1"/>
  <c r="GB12" i="7"/>
  <c r="GB13" i="7"/>
  <c r="GB14" i="7"/>
  <c r="AL76" i="9"/>
  <c r="AV99" i="4"/>
  <c r="GF150" i="4" s="1"/>
  <c r="AI70" i="9" l="1"/>
  <c r="AI71" i="9" s="1"/>
  <c r="GH36" i="4"/>
  <c r="AX36" i="4" s="1"/>
  <c r="GH46" i="4"/>
  <c r="AZ45" i="4"/>
  <c r="AZ46" i="4"/>
  <c r="AP33" i="7"/>
  <c r="AP19" i="7" s="1"/>
  <c r="AN21" i="7"/>
  <c r="AN23" i="7" s="1"/>
  <c r="AN24" i="7" s="1"/>
  <c r="AN25" i="7" s="1"/>
  <c r="AN35" i="7" s="1"/>
  <c r="AT110" i="4" s="1"/>
  <c r="AT111" i="4" s="1"/>
  <c r="GG153" i="4"/>
  <c r="GG156" i="4" s="1"/>
  <c r="GG158" i="4" s="1"/>
  <c r="GG159" i="4" s="1"/>
  <c r="GG160" i="4" s="1"/>
  <c r="GH35" i="4"/>
  <c r="AX35" i="4" s="1"/>
  <c r="GH45" i="4"/>
  <c r="AO18" i="7"/>
  <c r="AO20" i="7"/>
  <c r="AN85" i="9"/>
  <c r="GH155" i="4"/>
  <c r="AW99" i="4"/>
  <c r="GG150" i="4" s="1"/>
  <c r="GF99" i="4"/>
  <c r="AV100" i="4" s="1"/>
  <c r="AV101" i="4" s="1"/>
  <c r="AV103" i="4" s="1"/>
  <c r="AL68" i="9" s="1"/>
  <c r="AX96" i="4"/>
  <c r="AX98" i="4"/>
  <c r="GH92" i="4"/>
  <c r="GH97" i="4" s="1"/>
  <c r="GH118" i="4"/>
  <c r="AX107" i="4"/>
  <c r="AX136" i="4"/>
  <c r="AX137" i="4"/>
  <c r="AX105" i="4"/>
  <c r="AX138" i="4"/>
  <c r="AX102" i="4"/>
  <c r="AX106" i="4"/>
  <c r="AX126" i="4"/>
  <c r="AN81" i="9" s="1"/>
  <c r="AX121" i="4"/>
  <c r="AX129" i="4"/>
  <c r="AN84" i="9" s="1"/>
  <c r="AX122" i="4"/>
  <c r="AN77" i="9" s="1"/>
  <c r="GH152" i="4"/>
  <c r="AX125" i="4"/>
  <c r="AN80" i="9" s="1"/>
  <c r="AX127" i="4"/>
  <c r="AN82" i="9" s="1"/>
  <c r="AX123" i="4"/>
  <c r="AN78" i="9" s="1"/>
  <c r="AY31" i="4"/>
  <c r="AO55" i="9" s="1"/>
  <c r="AQ29" i="7"/>
  <c r="AQ30" i="7"/>
  <c r="AQ32" i="7"/>
  <c r="AQ31" i="7"/>
  <c r="AY95" i="4"/>
  <c r="GH28" i="4"/>
  <c r="GH27" i="4"/>
  <c r="GH26" i="4"/>
  <c r="GH37" i="4"/>
  <c r="AX37" i="4" s="1"/>
  <c r="GH43" i="4"/>
  <c r="GH30" i="4"/>
  <c r="GH47" i="4"/>
  <c r="GH44" i="4"/>
  <c r="GH34" i="4"/>
  <c r="AX34" i="4" s="1"/>
  <c r="GH42" i="4"/>
  <c r="GH41" i="4"/>
  <c r="GH48" i="4"/>
  <c r="BA22" i="4"/>
  <c r="AZ44" i="4"/>
  <c r="AZ28" i="4"/>
  <c r="AZ88" i="4"/>
  <c r="AZ26" i="4"/>
  <c r="GJ22" i="4"/>
  <c r="AZ43" i="4"/>
  <c r="AZ27" i="4"/>
  <c r="AZ30" i="4"/>
  <c r="AZ47" i="4"/>
  <c r="AZ41" i="4"/>
  <c r="AZ42" i="4"/>
  <c r="AZ48" i="4"/>
  <c r="GI95" i="4"/>
  <c r="GI120" i="4" s="1"/>
  <c r="GI130" i="4" s="1"/>
  <c r="AY130" i="4" s="1"/>
  <c r="GI119" i="4"/>
  <c r="GI91" i="4"/>
  <c r="GI90" i="4" s="1"/>
  <c r="AY90" i="4" s="1"/>
  <c r="AY97" i="4" s="1"/>
  <c r="GI154" i="4"/>
  <c r="GI151" i="4"/>
  <c r="AW108" i="4"/>
  <c r="AZ23" i="4"/>
  <c r="AZ199" i="4" s="1"/>
  <c r="GI23" i="4"/>
  <c r="AS5" i="7"/>
  <c r="AY89" i="4"/>
  <c r="GB15" i="7"/>
  <c r="AR9" i="7" s="1"/>
  <c r="AL56" i="9"/>
  <c r="AL58" i="9" s="1"/>
  <c r="AV200" i="4"/>
  <c r="AV51" i="4"/>
  <c r="GF54" i="4"/>
  <c r="AN94" i="9"/>
  <c r="GC14" i="7"/>
  <c r="GC13" i="7"/>
  <c r="GC12" i="7"/>
  <c r="AR113" i="4"/>
  <c r="AR112" i="4"/>
  <c r="AM76" i="9"/>
  <c r="AS112" i="4"/>
  <c r="AS113" i="4"/>
  <c r="AQ91" i="4"/>
  <c r="AQ128" i="4"/>
  <c r="AW139" i="4"/>
  <c r="AM90" i="9" s="1"/>
  <c r="AO67" i="9"/>
  <c r="AO53" i="9"/>
  <c r="AY49" i="4"/>
  <c r="AO57" i="9" s="1"/>
  <c r="AW38" i="4"/>
  <c r="AP54" i="9"/>
  <c r="AZ231" i="4"/>
  <c r="AZ252" i="4" s="1"/>
  <c r="AS15" i="7"/>
  <c r="GG146" i="4"/>
  <c r="GG147" i="4" s="1"/>
  <c r="GG148" i="4" s="1"/>
  <c r="GG149" i="4" s="1"/>
  <c r="GG96" i="4"/>
  <c r="GG98" i="4"/>
  <c r="AL69" i="9"/>
  <c r="GJ2" i="4"/>
  <c r="AT2" i="7"/>
  <c r="AT10" i="7"/>
  <c r="AT14" i="7"/>
  <c r="AT12" i="7"/>
  <c r="AT13" i="7"/>
  <c r="GK3" i="4"/>
  <c r="BB3" i="4"/>
  <c r="BA83" i="4"/>
  <c r="BA70" i="4"/>
  <c r="AU3" i="7"/>
  <c r="BA2" i="4"/>
  <c r="BA198" i="4"/>
  <c r="GJ129" i="4"/>
  <c r="GJ125" i="4"/>
  <c r="GJ121" i="4"/>
  <c r="GJ126" i="4"/>
  <c r="GJ127" i="4"/>
  <c r="GJ123" i="4"/>
  <c r="GJ117" i="4"/>
  <c r="GJ116" i="4" s="1"/>
  <c r="GJ122" i="4"/>
  <c r="GJ94" i="4"/>
  <c r="GJ93" i="4" s="1"/>
  <c r="GJ89" i="4"/>
  <c r="GJ201" i="4"/>
  <c r="GJ198" i="4"/>
  <c r="GJ53" i="4"/>
  <c r="GJ57" i="4"/>
  <c r="GD3" i="7"/>
  <c r="AP20" i="7" l="1"/>
  <c r="AP18" i="7"/>
  <c r="BA45" i="4"/>
  <c r="BA46" i="4"/>
  <c r="GI36" i="4"/>
  <c r="AY36" i="4" s="1"/>
  <c r="GI46" i="4"/>
  <c r="AJ70" i="9"/>
  <c r="AJ71" i="9" s="1"/>
  <c r="GH153" i="4"/>
  <c r="GH156" i="4" s="1"/>
  <c r="GH158" i="4" s="1"/>
  <c r="GH159" i="4" s="1"/>
  <c r="GH160" i="4" s="1"/>
  <c r="GI35" i="4"/>
  <c r="AY35" i="4" s="1"/>
  <c r="GI45" i="4"/>
  <c r="AO21" i="7"/>
  <c r="AO23" i="7" s="1"/>
  <c r="AO24" i="7" s="1"/>
  <c r="AO25" i="7" s="1"/>
  <c r="AO35" i="7" s="1"/>
  <c r="AU110" i="4" s="1"/>
  <c r="AK70" i="9" s="1"/>
  <c r="AK71" i="9" s="1"/>
  <c r="GC15" i="7"/>
  <c r="AS9" i="7" s="1"/>
  <c r="AS30" i="7" s="1"/>
  <c r="AO85" i="9"/>
  <c r="AX108" i="4"/>
  <c r="AX38" i="4"/>
  <c r="AN56" i="9" s="1"/>
  <c r="AN58" i="9" s="1"/>
  <c r="AX99" i="4"/>
  <c r="GH150" i="4" s="1"/>
  <c r="AS114" i="4"/>
  <c r="AS128" i="4" s="1"/>
  <c r="AI72" i="9"/>
  <c r="AI73" i="9" s="1"/>
  <c r="AY96" i="4"/>
  <c r="AY98" i="4"/>
  <c r="AY136" i="4"/>
  <c r="AY107" i="4"/>
  <c r="AY105" i="4"/>
  <c r="AY137" i="4"/>
  <c r="GI118" i="4"/>
  <c r="GI92" i="4"/>
  <c r="GI97" i="4" s="1"/>
  <c r="AY138" i="4"/>
  <c r="AY102" i="4"/>
  <c r="AY106" i="4"/>
  <c r="GI152" i="4"/>
  <c r="AY125" i="4"/>
  <c r="AO80" i="9" s="1"/>
  <c r="AY122" i="4"/>
  <c r="AO77" i="9" s="1"/>
  <c r="AY123" i="4"/>
  <c r="AO78" i="9" s="1"/>
  <c r="AY121" i="4"/>
  <c r="AY129" i="4"/>
  <c r="AO84" i="9" s="1"/>
  <c r="AY127" i="4"/>
  <c r="AO82" i="9" s="1"/>
  <c r="AY126" i="4"/>
  <c r="AO81" i="9" s="1"/>
  <c r="GJ95" i="4"/>
  <c r="GJ120" i="4" s="1"/>
  <c r="GJ130" i="4" s="1"/>
  <c r="AZ130" i="4" s="1"/>
  <c r="GJ119" i="4"/>
  <c r="GJ91" i="4"/>
  <c r="GJ90" i="4" s="1"/>
  <c r="AZ90" i="4" s="1"/>
  <c r="AZ97" i="4" s="1"/>
  <c r="GJ151" i="4"/>
  <c r="GJ154" i="4"/>
  <c r="AR114" i="4"/>
  <c r="AH72" i="9"/>
  <c r="AH73" i="9" s="1"/>
  <c r="AZ49" i="4"/>
  <c r="AP57" i="9" s="1"/>
  <c r="AM56" i="9"/>
  <c r="AM58" i="9" s="1"/>
  <c r="AW200" i="4"/>
  <c r="AW51" i="4"/>
  <c r="GG54" i="4"/>
  <c r="AR29" i="7"/>
  <c r="AR32" i="7"/>
  <c r="AR31" i="7"/>
  <c r="AR30" i="7"/>
  <c r="AT112" i="4"/>
  <c r="AT113" i="4"/>
  <c r="AT15" i="7"/>
  <c r="AP67" i="9"/>
  <c r="AP53" i="9"/>
  <c r="GI44" i="4"/>
  <c r="GI28" i="4"/>
  <c r="GI26" i="4"/>
  <c r="GI27" i="4"/>
  <c r="GI43" i="4"/>
  <c r="GI30" i="4"/>
  <c r="GI47" i="4"/>
  <c r="GI37" i="4"/>
  <c r="AY37" i="4" s="1"/>
  <c r="GI34" i="4"/>
  <c r="AY34" i="4" s="1"/>
  <c r="GI41" i="4"/>
  <c r="GI42" i="4"/>
  <c r="GI48" i="4"/>
  <c r="AX139" i="4"/>
  <c r="AN90" i="9" s="1"/>
  <c r="AO94" i="9"/>
  <c r="BA23" i="4"/>
  <c r="BA199" i="4" s="1"/>
  <c r="GJ23" i="4"/>
  <c r="AT5" i="7"/>
  <c r="AZ89" i="4"/>
  <c r="AZ31" i="4"/>
  <c r="AP55" i="9" s="1"/>
  <c r="AN76" i="9"/>
  <c r="AZ95" i="4"/>
  <c r="GH146" i="4"/>
  <c r="GH147" i="4" s="1"/>
  <c r="GH148" i="4" s="1"/>
  <c r="GH149" i="4" s="1"/>
  <c r="GH96" i="4"/>
  <c r="AN69" i="9"/>
  <c r="AQ54" i="9"/>
  <c r="BA231" i="4"/>
  <c r="BA252" i="4" s="1"/>
  <c r="AM69" i="9"/>
  <c r="GK2" i="4"/>
  <c r="AU2" i="7"/>
  <c r="GG99" i="4"/>
  <c r="AW100" i="4" s="1"/>
  <c r="AW101" i="4" s="1"/>
  <c r="AW103" i="4" s="1"/>
  <c r="AM68" i="9" s="1"/>
  <c r="AU10" i="7"/>
  <c r="AU14" i="7"/>
  <c r="AU12" i="7"/>
  <c r="AU13" i="7"/>
  <c r="GI155" i="4"/>
  <c r="BA28" i="4"/>
  <c r="BB22" i="4"/>
  <c r="BA44" i="4"/>
  <c r="BA43" i="4"/>
  <c r="BA26" i="4"/>
  <c r="BA88" i="4"/>
  <c r="BA27" i="4"/>
  <c r="GK22" i="4"/>
  <c r="BA30" i="4"/>
  <c r="BA47" i="4"/>
  <c r="BA42" i="4"/>
  <c r="BA41" i="4"/>
  <c r="BA48" i="4"/>
  <c r="GH98" i="4"/>
  <c r="AQ33" i="7"/>
  <c r="GK117" i="4"/>
  <c r="GK116" i="4" s="1"/>
  <c r="GK94" i="4"/>
  <c r="GK93" i="4" s="1"/>
  <c r="GK121" i="4"/>
  <c r="GK123" i="4"/>
  <c r="GK122" i="4"/>
  <c r="GK201" i="4"/>
  <c r="GK89" i="4"/>
  <c r="GK126" i="4"/>
  <c r="GK53" i="4"/>
  <c r="GK57" i="4"/>
  <c r="GK198" i="4"/>
  <c r="GK125" i="4"/>
  <c r="GK127" i="4"/>
  <c r="GK129" i="4"/>
  <c r="GE3" i="7"/>
  <c r="AG83" i="9"/>
  <c r="GD13" i="7"/>
  <c r="GD12" i="7"/>
  <c r="GD14" i="7"/>
  <c r="BC3" i="4"/>
  <c r="GL3" i="4"/>
  <c r="BB70" i="4"/>
  <c r="AV3" i="7"/>
  <c r="BB83" i="4"/>
  <c r="BB2" i="4"/>
  <c r="BB198" i="4"/>
  <c r="AP21" i="7" l="1"/>
  <c r="AP23" i="7" s="1"/>
  <c r="AP24" i="7" s="1"/>
  <c r="AP25" i="7" s="1"/>
  <c r="AP35" i="7" s="1"/>
  <c r="AV110" i="4" s="1"/>
  <c r="AL70" i="9" s="1"/>
  <c r="AL71" i="9" s="1"/>
  <c r="GJ36" i="4"/>
  <c r="AZ36" i="4" s="1"/>
  <c r="GJ46" i="4"/>
  <c r="BB45" i="4"/>
  <c r="BB46" i="4"/>
  <c r="AS31" i="7"/>
  <c r="AS32" i="7"/>
  <c r="GH54" i="4"/>
  <c r="AX200" i="4"/>
  <c r="AX51" i="4"/>
  <c r="GI153" i="4"/>
  <c r="GI156" i="4" s="1"/>
  <c r="GI158" i="4" s="1"/>
  <c r="GI159" i="4" s="1"/>
  <c r="GI160" i="4" s="1"/>
  <c r="GJ35" i="4"/>
  <c r="AZ35" i="4" s="1"/>
  <c r="GJ45" i="4"/>
  <c r="AS29" i="7"/>
  <c r="AU111" i="4"/>
  <c r="AU113" i="4" s="1"/>
  <c r="AY108" i="4"/>
  <c r="AO69" i="9" s="1"/>
  <c r="GD15" i="7"/>
  <c r="AT9" i="7" s="1"/>
  <c r="AT30" i="7" s="1"/>
  <c r="AS91" i="4"/>
  <c r="AY38" i="4"/>
  <c r="AO56" i="9" s="1"/>
  <c r="AO58" i="9" s="1"/>
  <c r="GI146" i="4"/>
  <c r="GI147" i="4" s="1"/>
  <c r="GI148" i="4" s="1"/>
  <c r="GI149" i="4" s="1"/>
  <c r="AJ72" i="9"/>
  <c r="AJ73" i="9" s="1"/>
  <c r="AZ96" i="4"/>
  <c r="AZ98" i="4"/>
  <c r="GJ118" i="4"/>
  <c r="AZ136" i="4"/>
  <c r="AZ105" i="4"/>
  <c r="GJ92" i="4"/>
  <c r="GJ97" i="4" s="1"/>
  <c r="AZ107" i="4"/>
  <c r="AZ137" i="4"/>
  <c r="AZ138" i="4"/>
  <c r="AZ102" i="4"/>
  <c r="AZ106" i="4"/>
  <c r="AZ127" i="4"/>
  <c r="AP82" i="9" s="1"/>
  <c r="AZ123" i="4"/>
  <c r="AP78" i="9" s="1"/>
  <c r="AZ125" i="4"/>
  <c r="AP80" i="9" s="1"/>
  <c r="AZ126" i="4"/>
  <c r="AP81" i="9" s="1"/>
  <c r="GJ152" i="4"/>
  <c r="AZ121" i="4"/>
  <c r="AP76" i="9" s="1"/>
  <c r="AZ129" i="4"/>
  <c r="AP84" i="9" s="1"/>
  <c r="AZ122" i="4"/>
  <c r="AP77" i="9" s="1"/>
  <c r="AQ19" i="7"/>
  <c r="AQ20" i="7"/>
  <c r="AQ18" i="7"/>
  <c r="AT31" i="7"/>
  <c r="BA49" i="4"/>
  <c r="AQ57" i="9" s="1"/>
  <c r="GH99" i="4"/>
  <c r="AX100" i="4" s="1"/>
  <c r="AX101" i="4" s="1"/>
  <c r="AX103" i="4" s="1"/>
  <c r="BD3" i="4"/>
  <c r="GM3" i="4"/>
  <c r="BC70" i="4"/>
  <c r="BC2" i="4"/>
  <c r="AW3" i="7"/>
  <c r="BC83" i="4"/>
  <c r="BC198" i="4"/>
  <c r="GE12" i="7"/>
  <c r="GE13" i="7"/>
  <c r="GE14" i="7"/>
  <c r="AP94" i="9"/>
  <c r="AR54" i="9"/>
  <c r="BB231" i="4"/>
  <c r="BB252" i="4" s="1"/>
  <c r="BA95" i="4"/>
  <c r="BA31" i="4"/>
  <c r="AQ55" i="9" s="1"/>
  <c r="AR128" i="4"/>
  <c r="AR91" i="4"/>
  <c r="AV2" i="7"/>
  <c r="GL2" i="4"/>
  <c r="AI83" i="9"/>
  <c r="AT114" i="4"/>
  <c r="GJ155" i="4"/>
  <c r="AO76" i="9"/>
  <c r="GK95" i="4"/>
  <c r="GK120" i="4" s="1"/>
  <c r="GK130" i="4" s="1"/>
  <c r="BA130" i="4" s="1"/>
  <c r="GK119" i="4"/>
  <c r="GK91" i="4"/>
  <c r="GK90" i="4" s="1"/>
  <c r="BA90" i="4" s="1"/>
  <c r="GK151" i="4"/>
  <c r="GK154" i="4"/>
  <c r="AQ67" i="9"/>
  <c r="AQ53" i="9"/>
  <c r="AY139" i="4"/>
  <c r="AO90" i="9" s="1"/>
  <c r="AV10" i="7"/>
  <c r="AV14" i="7"/>
  <c r="AV12" i="7"/>
  <c r="AV13" i="7"/>
  <c r="BB28" i="4"/>
  <c r="BC22" i="4"/>
  <c r="BB44" i="4"/>
  <c r="BB27" i="4"/>
  <c r="BB26" i="4"/>
  <c r="GL22" i="4"/>
  <c r="BB43" i="4"/>
  <c r="BB88" i="4"/>
  <c r="BB30" i="4"/>
  <c r="BB47" i="4"/>
  <c r="BB41" i="4"/>
  <c r="BB42" i="4"/>
  <c r="BB48" i="4"/>
  <c r="GI98" i="4"/>
  <c r="GL94" i="4"/>
  <c r="GL93" i="4" s="1"/>
  <c r="GL126" i="4"/>
  <c r="GL117" i="4"/>
  <c r="GL116" i="4" s="1"/>
  <c r="GL53" i="4"/>
  <c r="GL123" i="4"/>
  <c r="GL201" i="4"/>
  <c r="GF3" i="7"/>
  <c r="GL89" i="4"/>
  <c r="GL125" i="4"/>
  <c r="GL122" i="4"/>
  <c r="GL129" i="4"/>
  <c r="GL198" i="4"/>
  <c r="GL57" i="4"/>
  <c r="GL121" i="4"/>
  <c r="GL127" i="4"/>
  <c r="GJ28" i="4"/>
  <c r="GJ44" i="4"/>
  <c r="GJ26" i="4"/>
  <c r="GJ27" i="4"/>
  <c r="GJ37" i="4"/>
  <c r="AZ37" i="4" s="1"/>
  <c r="GJ43" i="4"/>
  <c r="GJ30" i="4"/>
  <c r="GJ47" i="4"/>
  <c r="GJ34" i="4"/>
  <c r="AZ34" i="4" s="1"/>
  <c r="GJ42" i="4"/>
  <c r="GJ41" i="4"/>
  <c r="GJ48" i="4"/>
  <c r="GI96" i="4"/>
  <c r="AY99" i="4"/>
  <c r="GI150" i="4" s="1"/>
  <c r="BB23" i="4"/>
  <c r="GK23" i="4"/>
  <c r="BA89" i="4"/>
  <c r="AU5" i="7"/>
  <c r="AP85" i="9"/>
  <c r="AU15" i="7"/>
  <c r="AR33" i="7"/>
  <c r="AV111" i="4" l="1"/>
  <c r="AV113" i="4" s="1"/>
  <c r="AS33" i="7"/>
  <c r="AS19" i="7" s="1"/>
  <c r="GK36" i="4"/>
  <c r="BA36" i="4" s="1"/>
  <c r="GK46" i="4"/>
  <c r="BC45" i="4"/>
  <c r="BC46" i="4"/>
  <c r="AT32" i="7"/>
  <c r="AT29" i="7"/>
  <c r="BA122" i="4"/>
  <c r="BA97" i="4"/>
  <c r="GJ153" i="4"/>
  <c r="GJ156" i="4" s="1"/>
  <c r="GJ158" i="4" s="1"/>
  <c r="GJ159" i="4" s="1"/>
  <c r="GJ160" i="4" s="1"/>
  <c r="GK35" i="4"/>
  <c r="BA35" i="4" s="1"/>
  <c r="GK45" i="4"/>
  <c r="AU112" i="4"/>
  <c r="AK72" i="9" s="1"/>
  <c r="AK73" i="9" s="1"/>
  <c r="GI54" i="4"/>
  <c r="AV15" i="7"/>
  <c r="AY200" i="4"/>
  <c r="AY51" i="4"/>
  <c r="BB31" i="4"/>
  <c r="AR55" i="9" s="1"/>
  <c r="AZ38" i="4"/>
  <c r="AP56" i="9" s="1"/>
  <c r="AP58" i="9" s="1"/>
  <c r="AZ108" i="4"/>
  <c r="AP69" i="9" s="1"/>
  <c r="GK155" i="4"/>
  <c r="BA127" i="4"/>
  <c r="AQ82" i="9" s="1"/>
  <c r="BA121" i="4"/>
  <c r="AQ76" i="9" s="1"/>
  <c r="AZ139" i="4"/>
  <c r="AP90" i="9" s="1"/>
  <c r="BA126" i="4"/>
  <c r="AQ81" i="9" s="1"/>
  <c r="AQ21" i="7"/>
  <c r="AQ23" i="7" s="1"/>
  <c r="AQ24" i="7" s="1"/>
  <c r="AQ25" i="7" s="1"/>
  <c r="AQ35" i="7" s="1"/>
  <c r="AW110" i="4" s="1"/>
  <c r="AS54" i="9"/>
  <c r="BC231" i="4"/>
  <c r="BC252" i="4" s="1"/>
  <c r="BB49" i="4"/>
  <c r="AR57" i="9" s="1"/>
  <c r="BA123" i="4"/>
  <c r="AH83" i="9"/>
  <c r="AW10" i="7"/>
  <c r="AW14" i="7"/>
  <c r="AW12" i="7"/>
  <c r="AW13" i="7"/>
  <c r="AQ77" i="9"/>
  <c r="AQ94" i="9"/>
  <c r="GM94" i="4"/>
  <c r="GM93" i="4" s="1"/>
  <c r="GM117" i="4"/>
  <c r="GM116" i="4" s="1"/>
  <c r="GM129" i="4"/>
  <c r="GM126" i="4"/>
  <c r="GM121" i="4"/>
  <c r="GM122" i="4"/>
  <c r="GM89" i="4"/>
  <c r="GM125" i="4"/>
  <c r="GM57" i="4"/>
  <c r="GM198" i="4"/>
  <c r="GG3" i="7"/>
  <c r="GM127" i="4"/>
  <c r="GM123" i="4"/>
  <c r="GM53" i="4"/>
  <c r="GM201" i="4"/>
  <c r="GE15" i="7"/>
  <c r="AU9" i="7" s="1"/>
  <c r="GK28" i="4"/>
  <c r="GK44" i="4"/>
  <c r="GK27" i="4"/>
  <c r="GK26" i="4"/>
  <c r="GK37" i="4"/>
  <c r="BA37" i="4" s="1"/>
  <c r="GK43" i="4"/>
  <c r="GK30" i="4"/>
  <c r="GK47" i="4"/>
  <c r="GK34" i="4"/>
  <c r="BA34" i="4" s="1"/>
  <c r="GK41" i="4"/>
  <c r="GK42" i="4"/>
  <c r="GK48" i="4"/>
  <c r="BA137" i="4"/>
  <c r="BA105" i="4"/>
  <c r="BA98" i="4"/>
  <c r="BA96" i="4"/>
  <c r="BA107" i="4"/>
  <c r="BA136" i="4"/>
  <c r="GK92" i="4"/>
  <c r="GK118" i="4"/>
  <c r="BA138" i="4"/>
  <c r="BA102" i="4"/>
  <c r="BA106" i="4"/>
  <c r="BA129" i="4"/>
  <c r="AQ84" i="9" s="1"/>
  <c r="BB95" i="4"/>
  <c r="AT91" i="4"/>
  <c r="AT128" i="4"/>
  <c r="GM2" i="4"/>
  <c r="AW2" i="7"/>
  <c r="GL23" i="4"/>
  <c r="BC23" i="4"/>
  <c r="BC199" i="4" s="1"/>
  <c r="BB89" i="4"/>
  <c r="AV5" i="7"/>
  <c r="GK152" i="4"/>
  <c r="GJ146" i="4"/>
  <c r="GJ147" i="4" s="1"/>
  <c r="GJ148" i="4" s="1"/>
  <c r="GJ149" i="4" s="1"/>
  <c r="GJ96" i="4"/>
  <c r="GJ98" i="4"/>
  <c r="AR19" i="7"/>
  <c r="AR20" i="7"/>
  <c r="AR18" i="7"/>
  <c r="BE3" i="4"/>
  <c r="GN3" i="4"/>
  <c r="BD83" i="4"/>
  <c r="BD70" i="4"/>
  <c r="BD2" i="4"/>
  <c r="AX3" i="7"/>
  <c r="BD198" i="4"/>
  <c r="AN68" i="9"/>
  <c r="GI99" i="4"/>
  <c r="AY100" i="4" s="1"/>
  <c r="AY101" i="4" s="1"/>
  <c r="AY103" i="4" s="1"/>
  <c r="BA125" i="4"/>
  <c r="AQ80" i="9" s="1"/>
  <c r="AQ85" i="9"/>
  <c r="BB199" i="4"/>
  <c r="GL95" i="4"/>
  <c r="GL120" i="4" s="1"/>
  <c r="GL130" i="4" s="1"/>
  <c r="BB130" i="4" s="1"/>
  <c r="GL119" i="4"/>
  <c r="GL91" i="4"/>
  <c r="GL90" i="4" s="1"/>
  <c r="BB90" i="4" s="1"/>
  <c r="BB97" i="4" s="1"/>
  <c r="GL151" i="4"/>
  <c r="GL154" i="4"/>
  <c r="GF13" i="7"/>
  <c r="GF14" i="7"/>
  <c r="GF12" i="7"/>
  <c r="AR53" i="9"/>
  <c r="AR67" i="9"/>
  <c r="BC28" i="4"/>
  <c r="BD22" i="4"/>
  <c r="BC44" i="4"/>
  <c r="BC27" i="4"/>
  <c r="GM22" i="4"/>
  <c r="BC88" i="4"/>
  <c r="BC26" i="4"/>
  <c r="BC43" i="4"/>
  <c r="BC30" i="4"/>
  <c r="BC47" i="4"/>
  <c r="BC42" i="4"/>
  <c r="BC41" i="4"/>
  <c r="BC48" i="4"/>
  <c r="AZ99" i="4"/>
  <c r="GJ150" i="4" s="1"/>
  <c r="AT33" i="7" l="1"/>
  <c r="AT19" i="7" s="1"/>
  <c r="AS18" i="7"/>
  <c r="AV112" i="4"/>
  <c r="AV114" i="4" s="1"/>
  <c r="AV91" i="4" s="1"/>
  <c r="AS20" i="7"/>
  <c r="GL36" i="4"/>
  <c r="BB36" i="4" s="1"/>
  <c r="GL46" i="4"/>
  <c r="BD45" i="4"/>
  <c r="BD46" i="4"/>
  <c r="GJ54" i="4"/>
  <c r="GK97" i="4"/>
  <c r="AZ51" i="4"/>
  <c r="GK153" i="4"/>
  <c r="GK156" i="4" s="1"/>
  <c r="GK158" i="4" s="1"/>
  <c r="GK159" i="4" s="1"/>
  <c r="GK160" i="4" s="1"/>
  <c r="GL35" i="4"/>
  <c r="BB35" i="4" s="1"/>
  <c r="GL45" i="4"/>
  <c r="AU114" i="4"/>
  <c r="AU128" i="4" s="1"/>
  <c r="AK83" i="9" s="1"/>
  <c r="AW15" i="7"/>
  <c r="AZ200" i="4"/>
  <c r="BA38" i="4"/>
  <c r="AQ56" i="9" s="1"/>
  <c r="AQ58" i="9" s="1"/>
  <c r="GK146" i="4"/>
  <c r="GK147" i="4" s="1"/>
  <c r="GK148" i="4" s="1"/>
  <c r="GK149" i="4" s="1"/>
  <c r="GK98" i="4"/>
  <c r="AR21" i="7"/>
  <c r="AR23" i="7" s="1"/>
  <c r="AR24" i="7" s="1"/>
  <c r="AR25" i="7" s="1"/>
  <c r="AR35" i="7" s="1"/>
  <c r="AX110" i="4" s="1"/>
  <c r="AN70" i="9" s="1"/>
  <c r="AN71" i="9" s="1"/>
  <c r="AM70" i="9"/>
  <c r="AM71" i="9" s="1"/>
  <c r="AW111" i="4"/>
  <c r="GL155" i="4"/>
  <c r="GL118" i="4"/>
  <c r="BB137" i="4"/>
  <c r="BB136" i="4"/>
  <c r="BB96" i="4"/>
  <c r="GL92" i="4"/>
  <c r="GL97" i="4" s="1"/>
  <c r="BB105" i="4"/>
  <c r="BB107" i="4"/>
  <c r="BB98" i="4"/>
  <c r="BB138" i="4"/>
  <c r="BB102" i="4"/>
  <c r="BB106" i="4"/>
  <c r="BB127" i="4"/>
  <c r="AR82" i="9" s="1"/>
  <c r="BB121" i="4"/>
  <c r="BB125" i="4"/>
  <c r="AR80" i="9" s="1"/>
  <c r="BB129" i="4"/>
  <c r="AR84" i="9" s="1"/>
  <c r="GL152" i="4"/>
  <c r="BB123" i="4"/>
  <c r="AR78" i="9" s="1"/>
  <c r="BB122" i="4"/>
  <c r="AR77" i="9" s="1"/>
  <c r="BB126" i="4"/>
  <c r="AR81" i="9" s="1"/>
  <c r="AO68" i="9"/>
  <c r="AR94" i="9"/>
  <c r="GF15" i="7"/>
  <c r="AV9" i="7" s="1"/>
  <c r="BA108" i="4"/>
  <c r="BE22" i="4"/>
  <c r="BD44" i="4"/>
  <c r="BD28" i="4"/>
  <c r="BD27" i="4"/>
  <c r="BD43" i="4"/>
  <c r="GN22" i="4"/>
  <c r="BD88" i="4"/>
  <c r="BD26" i="4"/>
  <c r="BD30" i="4"/>
  <c r="BD47" i="4"/>
  <c r="BD41" i="4"/>
  <c r="BD42" i="4"/>
  <c r="BD48" i="4"/>
  <c r="AQ78" i="9"/>
  <c r="GJ99" i="4"/>
  <c r="AZ100" i="4" s="1"/>
  <c r="AZ101" i="4" s="1"/>
  <c r="AZ103" i="4" s="1"/>
  <c r="AU31" i="7"/>
  <c r="AU30" i="7"/>
  <c r="AU32" i="7"/>
  <c r="AU29" i="7"/>
  <c r="AX10" i="7"/>
  <c r="AX14" i="7"/>
  <c r="AX12" i="7"/>
  <c r="AX13" i="7"/>
  <c r="AX2" i="7"/>
  <c r="GN2" i="4"/>
  <c r="BA139" i="4"/>
  <c r="AQ90" i="9" s="1"/>
  <c r="AJ83" i="9"/>
  <c r="AT54" i="9"/>
  <c r="BD231" i="4"/>
  <c r="BD252" i="4" s="1"/>
  <c r="BC49" i="4"/>
  <c r="AS57" i="9" s="1"/>
  <c r="BC31" i="4"/>
  <c r="AS55" i="9" s="1"/>
  <c r="GN94" i="4"/>
  <c r="GN93" i="4" s="1"/>
  <c r="GN117" i="4"/>
  <c r="GN116" i="4" s="1"/>
  <c r="GN129" i="4"/>
  <c r="GN127" i="4"/>
  <c r="GN121" i="4"/>
  <c r="GN123" i="4"/>
  <c r="GH3" i="7"/>
  <c r="GN201" i="4"/>
  <c r="GN126" i="4"/>
  <c r="GN125" i="4"/>
  <c r="GN122" i="4"/>
  <c r="GN57" i="4"/>
  <c r="GN53" i="4"/>
  <c r="GN198" i="4"/>
  <c r="GN89" i="4"/>
  <c r="BC95" i="4"/>
  <c r="AR85" i="9"/>
  <c r="BF3" i="4"/>
  <c r="GO3" i="4"/>
  <c r="BE83" i="4"/>
  <c r="BE70" i="4"/>
  <c r="AY3" i="7"/>
  <c r="BE2" i="4"/>
  <c r="BE198" i="4"/>
  <c r="GM95" i="4"/>
  <c r="GM120" i="4" s="1"/>
  <c r="GM130" i="4" s="1"/>
  <c r="BC130" i="4" s="1"/>
  <c r="GM119" i="4"/>
  <c r="GM91" i="4"/>
  <c r="GM90" i="4" s="1"/>
  <c r="BC90" i="4" s="1"/>
  <c r="BC97" i="4" s="1"/>
  <c r="GM154" i="4"/>
  <c r="GM151" i="4"/>
  <c r="GK96" i="4"/>
  <c r="BA99" i="4"/>
  <c r="GK150" i="4" s="1"/>
  <c r="GM23" i="4"/>
  <c r="BD23" i="4"/>
  <c r="AW5" i="7"/>
  <c r="BC89" i="4"/>
  <c r="AS53" i="9"/>
  <c r="AS67" i="9"/>
  <c r="GL44" i="4"/>
  <c r="GL28" i="4"/>
  <c r="GL37" i="4"/>
  <c r="BB37" i="4" s="1"/>
  <c r="GL27" i="4"/>
  <c r="GL26" i="4"/>
  <c r="GL43" i="4"/>
  <c r="GL47" i="4"/>
  <c r="GL30" i="4"/>
  <c r="GL34" i="4"/>
  <c r="BB34" i="4" s="1"/>
  <c r="GL41" i="4"/>
  <c r="GL42" i="4"/>
  <c r="GL48" i="4"/>
  <c r="GG12" i="7"/>
  <c r="GG14" i="7"/>
  <c r="GG13" i="7"/>
  <c r="AT20" i="7" l="1"/>
  <c r="AT18" i="7"/>
  <c r="AS21" i="7"/>
  <c r="AS23" i="7" s="1"/>
  <c r="AS24" i="7" s="1"/>
  <c r="AS25" i="7" s="1"/>
  <c r="AS35" i="7" s="1"/>
  <c r="AY110" i="4" s="1"/>
  <c r="AO70" i="9" s="1"/>
  <c r="AO71" i="9" s="1"/>
  <c r="AV128" i="4"/>
  <c r="AL83" i="9" s="1"/>
  <c r="AL72" i="9"/>
  <c r="AL73" i="9" s="1"/>
  <c r="GM36" i="4"/>
  <c r="BC36" i="4" s="1"/>
  <c r="GM46" i="4"/>
  <c r="BE45" i="4"/>
  <c r="BE46" i="4"/>
  <c r="AS85" i="9"/>
  <c r="BA200" i="4"/>
  <c r="GK54" i="4"/>
  <c r="BA51" i="4"/>
  <c r="GL153" i="4"/>
  <c r="GL156" i="4" s="1"/>
  <c r="GL158" i="4" s="1"/>
  <c r="GL159" i="4" s="1"/>
  <c r="GL160" i="4" s="1"/>
  <c r="GM35" i="4"/>
  <c r="BC35" i="4" s="1"/>
  <c r="GM45" i="4"/>
  <c r="AU91" i="4"/>
  <c r="GK99" i="4"/>
  <c r="BA100" i="4" s="1"/>
  <c r="BA101" i="4" s="1"/>
  <c r="BA103" i="4" s="1"/>
  <c r="AQ68" i="9" s="1"/>
  <c r="GL98" i="4"/>
  <c r="AX111" i="4"/>
  <c r="AX113" i="4" s="1"/>
  <c r="GL146" i="4"/>
  <c r="GL147" i="4" s="1"/>
  <c r="GL148" i="4" s="1"/>
  <c r="GL149" i="4" s="1"/>
  <c r="BB139" i="4"/>
  <c r="AR90" i="9" s="1"/>
  <c r="BD49" i="4"/>
  <c r="AT57" i="9" s="1"/>
  <c r="BB38" i="4"/>
  <c r="BB51" i="4" s="1"/>
  <c r="AU33" i="7"/>
  <c r="AU19" i="7" s="1"/>
  <c r="AW112" i="4"/>
  <c r="AW113" i="4"/>
  <c r="BC98" i="4"/>
  <c r="GM118" i="4"/>
  <c r="GM92" i="4"/>
  <c r="GM97" i="4" s="1"/>
  <c r="BC96" i="4"/>
  <c r="BC105" i="4"/>
  <c r="BC136" i="4"/>
  <c r="BC107" i="4"/>
  <c r="BC137" i="4"/>
  <c r="BC138" i="4"/>
  <c r="BC102" i="4"/>
  <c r="BC106" i="4"/>
  <c r="GM152" i="4"/>
  <c r="BC121" i="4"/>
  <c r="AS76" i="9" s="1"/>
  <c r="BC122" i="4"/>
  <c r="AS77" i="9" s="1"/>
  <c r="BC126" i="4"/>
  <c r="AS81" i="9" s="1"/>
  <c r="BC129" i="4"/>
  <c r="AS84" i="9" s="1"/>
  <c r="BC125" i="4"/>
  <c r="AS80" i="9" s="1"/>
  <c r="BC123" i="4"/>
  <c r="AS78" i="9" s="1"/>
  <c r="BC127" i="4"/>
  <c r="AS82" i="9" s="1"/>
  <c r="AX15" i="7"/>
  <c r="BD31" i="4"/>
  <c r="AT55" i="9" s="1"/>
  <c r="GG15" i="7"/>
  <c r="AW9" i="7" s="1"/>
  <c r="BD95" i="4"/>
  <c r="BB108" i="4"/>
  <c r="AS94" i="9"/>
  <c r="GH14" i="7"/>
  <c r="GH13" i="7"/>
  <c r="GH12" i="7"/>
  <c r="GN23" i="4"/>
  <c r="BE23" i="4"/>
  <c r="BE199" i="4" s="1"/>
  <c r="BD89" i="4"/>
  <c r="AX5" i="7"/>
  <c r="AP68" i="9"/>
  <c r="AU54" i="9"/>
  <c r="BE231" i="4"/>
  <c r="BE252" i="4" s="1"/>
  <c r="AY2" i="7"/>
  <c r="GO2" i="4"/>
  <c r="BG3" i="4"/>
  <c r="GP3" i="4"/>
  <c r="BF70" i="4"/>
  <c r="BF2" i="4"/>
  <c r="AZ3" i="7"/>
  <c r="BF83" i="4"/>
  <c r="BF198" i="4"/>
  <c r="AY10" i="7"/>
  <c r="AY14" i="7"/>
  <c r="AY12" i="7"/>
  <c r="AY13" i="7"/>
  <c r="GO117" i="4"/>
  <c r="GO116" i="4" s="1"/>
  <c r="GO94" i="4"/>
  <c r="GO93" i="4" s="1"/>
  <c r="GO126" i="4"/>
  <c r="GO127" i="4"/>
  <c r="GO123" i="4"/>
  <c r="GO53" i="4"/>
  <c r="GO201" i="4"/>
  <c r="GO198" i="4"/>
  <c r="GO57" i="4"/>
  <c r="GI3" i="7"/>
  <c r="GO121" i="4"/>
  <c r="GO122" i="4"/>
  <c r="GO129" i="4"/>
  <c r="GO89" i="4"/>
  <c r="GO125" i="4"/>
  <c r="AR76" i="9"/>
  <c r="BE28" i="4"/>
  <c r="BF22" i="4"/>
  <c r="BE44" i="4"/>
  <c r="BE27" i="4"/>
  <c r="BE88" i="4"/>
  <c r="BE26" i="4"/>
  <c r="BE43" i="4"/>
  <c r="GO22" i="4"/>
  <c r="BE30" i="4"/>
  <c r="BE47" i="4"/>
  <c r="BE42" i="4"/>
  <c r="BE41" i="4"/>
  <c r="BE48" i="4"/>
  <c r="GM28" i="4"/>
  <c r="GM44" i="4"/>
  <c r="GM27" i="4"/>
  <c r="GM37" i="4"/>
  <c r="BC37" i="4" s="1"/>
  <c r="GM26" i="4"/>
  <c r="GM43" i="4"/>
  <c r="GM30" i="4"/>
  <c r="GM47" i="4"/>
  <c r="GM34" i="4"/>
  <c r="BC34" i="4" s="1"/>
  <c r="GM41" i="4"/>
  <c r="GM42" i="4"/>
  <c r="GM48" i="4"/>
  <c r="AQ69" i="9"/>
  <c r="GL96" i="4"/>
  <c r="BB99" i="4"/>
  <c r="GL150" i="4" s="1"/>
  <c r="GN95" i="4"/>
  <c r="GN120" i="4" s="1"/>
  <c r="GN130" i="4" s="1"/>
  <c r="BD130" i="4" s="1"/>
  <c r="GN119" i="4"/>
  <c r="GN91" i="4"/>
  <c r="GN90" i="4" s="1"/>
  <c r="BD90" i="4" s="1"/>
  <c r="BD97" i="4" s="1"/>
  <c r="GN151" i="4"/>
  <c r="GN154" i="4"/>
  <c r="GM155" i="4"/>
  <c r="AT53" i="9"/>
  <c r="AT67" i="9"/>
  <c r="AV32" i="7"/>
  <c r="AV29" i="7"/>
  <c r="AV30" i="7"/>
  <c r="AV31" i="7"/>
  <c r="BD199" i="4"/>
  <c r="AT21" i="7" l="1"/>
  <c r="AT23" i="7" s="1"/>
  <c r="AT24" i="7" s="1"/>
  <c r="AT25" i="7" s="1"/>
  <c r="AT35" i="7" s="1"/>
  <c r="AZ110" i="4" s="1"/>
  <c r="AP70" i="9" s="1"/>
  <c r="AP71" i="9" s="1"/>
  <c r="AY111" i="4"/>
  <c r="AY112" i="4" s="1"/>
  <c r="GN36" i="4"/>
  <c r="BD36" i="4" s="1"/>
  <c r="GN46" i="4"/>
  <c r="BF45" i="4"/>
  <c r="BF46" i="4"/>
  <c r="AR56" i="9"/>
  <c r="AR58" i="9" s="1"/>
  <c r="BB200" i="4"/>
  <c r="GN35" i="4"/>
  <c r="BD35" i="4" s="1"/>
  <c r="GN45" i="4"/>
  <c r="BC99" i="4"/>
  <c r="GM150" i="4" s="1"/>
  <c r="GL54" i="4"/>
  <c r="AX112" i="4"/>
  <c r="AX114" i="4" s="1"/>
  <c r="GL99" i="4"/>
  <c r="BB100" i="4" s="1"/>
  <c r="BB101" i="4" s="1"/>
  <c r="BB103" i="4" s="1"/>
  <c r="AR68" i="9" s="1"/>
  <c r="BC108" i="4"/>
  <c r="AS69" i="9" s="1"/>
  <c r="AU20" i="7"/>
  <c r="AU18" i="7"/>
  <c r="GN155" i="4"/>
  <c r="AM72" i="9"/>
  <c r="AM73" i="9" s="1"/>
  <c r="AW114" i="4"/>
  <c r="AW91" i="4" s="1"/>
  <c r="BD96" i="4"/>
  <c r="BD107" i="4"/>
  <c r="GN92" i="4"/>
  <c r="GN97" i="4" s="1"/>
  <c r="BD98" i="4"/>
  <c r="BD137" i="4"/>
  <c r="GN118" i="4"/>
  <c r="BD105" i="4"/>
  <c r="BD136" i="4"/>
  <c r="BD138" i="4"/>
  <c r="BD102" i="4"/>
  <c r="BD106" i="4"/>
  <c r="BD122" i="4"/>
  <c r="AT77" i="9" s="1"/>
  <c r="BD121" i="4"/>
  <c r="AT76" i="9" s="1"/>
  <c r="BD127" i="4"/>
  <c r="AT82" i="9" s="1"/>
  <c r="BD123" i="4"/>
  <c r="AT78" i="9" s="1"/>
  <c r="BD129" i="4"/>
  <c r="AT84" i="9" s="1"/>
  <c r="BD125" i="4"/>
  <c r="AT80" i="9" s="1"/>
  <c r="BD126" i="4"/>
  <c r="AT81" i="9" s="1"/>
  <c r="GN152" i="4"/>
  <c r="AU53" i="9"/>
  <c r="AU67" i="9"/>
  <c r="BF28" i="4"/>
  <c r="BG22" i="4"/>
  <c r="BF44" i="4"/>
  <c r="BF88" i="4"/>
  <c r="BF43" i="4"/>
  <c r="BF26" i="4"/>
  <c r="GP22" i="4"/>
  <c r="BF27" i="4"/>
  <c r="BF30" i="4"/>
  <c r="BF47" i="4"/>
  <c r="BF42" i="4"/>
  <c r="BF41" i="4"/>
  <c r="BF48" i="4"/>
  <c r="AY15" i="7"/>
  <c r="BF231" i="4"/>
  <c r="BF252" i="4" s="1"/>
  <c r="AV54" i="9"/>
  <c r="GN44" i="4"/>
  <c r="GN28" i="4"/>
  <c r="GN26" i="4"/>
  <c r="GN27" i="4"/>
  <c r="GN37" i="4"/>
  <c r="BD37" i="4" s="1"/>
  <c r="GN43" i="4"/>
  <c r="GN30" i="4"/>
  <c r="GN47" i="4"/>
  <c r="GN34" i="4"/>
  <c r="BD34" i="4" s="1"/>
  <c r="GN41" i="4"/>
  <c r="GN42" i="4"/>
  <c r="GN48" i="4"/>
  <c r="GP2" i="4"/>
  <c r="AZ2" i="7"/>
  <c r="GH15" i="7"/>
  <c r="AX9" i="7" s="1"/>
  <c r="AT94" i="9"/>
  <c r="AT85" i="9"/>
  <c r="GI12" i="7"/>
  <c r="GI13" i="7"/>
  <c r="GI14" i="7"/>
  <c r="AW30" i="7"/>
  <c r="AW29" i="7"/>
  <c r="AW32" i="7"/>
  <c r="AW31" i="7"/>
  <c r="GO23" i="4"/>
  <c r="BF23" i="4"/>
  <c r="BE89" i="4"/>
  <c r="AY5" i="7"/>
  <c r="GP117" i="4"/>
  <c r="GP116" i="4" s="1"/>
  <c r="GP94" i="4"/>
  <c r="GP93" i="4" s="1"/>
  <c r="GP127" i="4"/>
  <c r="GP198" i="4"/>
  <c r="GP57" i="4"/>
  <c r="GP53" i="4"/>
  <c r="GP125" i="4"/>
  <c r="GP123" i="4"/>
  <c r="GP122" i="4"/>
  <c r="GJ3" i="7"/>
  <c r="GP201" i="4"/>
  <c r="GP89" i="4"/>
  <c r="GP121" i="4"/>
  <c r="GP129" i="4"/>
  <c r="GP126" i="4"/>
  <c r="BC139" i="4"/>
  <c r="AS90" i="9" s="1"/>
  <c r="BE49" i="4"/>
  <c r="AU57" i="9" s="1"/>
  <c r="AZ10" i="7"/>
  <c r="AZ14" i="7"/>
  <c r="AZ12" i="7"/>
  <c r="AZ13" i="7"/>
  <c r="BH3" i="4"/>
  <c r="GQ3" i="4"/>
  <c r="BA3" i="7"/>
  <c r="BG83" i="4"/>
  <c r="BG70" i="4"/>
  <c r="BG2" i="4"/>
  <c r="BG198" i="4"/>
  <c r="AV33" i="7"/>
  <c r="GO95" i="4"/>
  <c r="GO120" i="4" s="1"/>
  <c r="GO130" i="4" s="1"/>
  <c r="BE130" i="4" s="1"/>
  <c r="GO119" i="4"/>
  <c r="GO91" i="4"/>
  <c r="GO90" i="4" s="1"/>
  <c r="BE90" i="4" s="1"/>
  <c r="BE97" i="4" s="1"/>
  <c r="GO154" i="4"/>
  <c r="GO151" i="4"/>
  <c r="AR69" i="9"/>
  <c r="GM153" i="4"/>
  <c r="GM156" i="4" s="1"/>
  <c r="GM158" i="4" s="1"/>
  <c r="GM159" i="4" s="1"/>
  <c r="GM160" i="4" s="1"/>
  <c r="BC38" i="4"/>
  <c r="GM146" i="4"/>
  <c r="GM147" i="4" s="1"/>
  <c r="GM148" i="4" s="1"/>
  <c r="GM149" i="4" s="1"/>
  <c r="GM96" i="4"/>
  <c r="BE31" i="4"/>
  <c r="BE95" i="4"/>
  <c r="GM98" i="4"/>
  <c r="AZ111" i="4" l="1"/>
  <c r="AZ112" i="4" s="1"/>
  <c r="AY113" i="4"/>
  <c r="AY114" i="4" s="1"/>
  <c r="AY91" i="4" s="1"/>
  <c r="BG45" i="4"/>
  <c r="BG46" i="4"/>
  <c r="GO36" i="4"/>
  <c r="BE36" i="4" s="1"/>
  <c r="GO46" i="4"/>
  <c r="GN153" i="4"/>
  <c r="GN156" i="4" s="1"/>
  <c r="GN158" i="4" s="1"/>
  <c r="GN159" i="4" s="1"/>
  <c r="GN160" i="4" s="1"/>
  <c r="GO35" i="4"/>
  <c r="BE35" i="4" s="1"/>
  <c r="GO45" i="4"/>
  <c r="AU21" i="7"/>
  <c r="AU23" i="7" s="1"/>
  <c r="AU24" i="7" s="1"/>
  <c r="AU25" i="7" s="1"/>
  <c r="AU35" i="7" s="1"/>
  <c r="BA110" i="4" s="1"/>
  <c r="AQ70" i="9" s="1"/>
  <c r="AQ71" i="9" s="1"/>
  <c r="AU85" i="9"/>
  <c r="AN72" i="9"/>
  <c r="AN73" i="9" s="1"/>
  <c r="GI15" i="7"/>
  <c r="AY9" i="7" s="1"/>
  <c r="AY29" i="7" s="1"/>
  <c r="BD108" i="4"/>
  <c r="AT69" i="9" s="1"/>
  <c r="BD38" i="4"/>
  <c r="BD200" i="4" s="1"/>
  <c r="AW128" i="4"/>
  <c r="GN146" i="4"/>
  <c r="GN147" i="4" s="1"/>
  <c r="GN148" i="4" s="1"/>
  <c r="GN149" i="4" s="1"/>
  <c r="BE98" i="4"/>
  <c r="BE136" i="4"/>
  <c r="GO92" i="4"/>
  <c r="GO97" i="4" s="1"/>
  <c r="BE105" i="4"/>
  <c r="BE96" i="4"/>
  <c r="BE107" i="4"/>
  <c r="BE137" i="4"/>
  <c r="GO118" i="4"/>
  <c r="BE138" i="4"/>
  <c r="BE102" i="4"/>
  <c r="BE106" i="4"/>
  <c r="BE122" i="4"/>
  <c r="BE129" i="4"/>
  <c r="BE126" i="4"/>
  <c r="BE123" i="4"/>
  <c r="AU78" i="9" s="1"/>
  <c r="GO152" i="4"/>
  <c r="BE121" i="4"/>
  <c r="AU76" i="9" s="1"/>
  <c r="BE125" i="4"/>
  <c r="AU80" i="9" s="1"/>
  <c r="BE127" i="4"/>
  <c r="AU82" i="9" s="1"/>
  <c r="BF31" i="4"/>
  <c r="AV55" i="9" s="1"/>
  <c r="BG28" i="4"/>
  <c r="BG44" i="4"/>
  <c r="BH22" i="4"/>
  <c r="BG27" i="4"/>
  <c r="GQ22" i="4"/>
  <c r="BG26" i="4"/>
  <c r="BG43" i="4"/>
  <c r="BG88" i="4"/>
  <c r="BG30" i="4"/>
  <c r="BG47" i="4"/>
  <c r="BG42" i="4"/>
  <c r="BG41" i="4"/>
  <c r="BG48" i="4"/>
  <c r="GO44" i="4"/>
  <c r="GO26" i="4"/>
  <c r="GO27" i="4"/>
  <c r="GO37" i="4"/>
  <c r="BE37" i="4" s="1"/>
  <c r="GO43" i="4"/>
  <c r="GO47" i="4"/>
  <c r="GO30" i="4"/>
  <c r="GO34" i="4"/>
  <c r="BE34" i="4" s="1"/>
  <c r="GO28" i="4"/>
  <c r="GO41" i="4"/>
  <c r="GO42" i="4"/>
  <c r="GO48" i="4"/>
  <c r="GP119" i="4"/>
  <c r="GP95" i="4"/>
  <c r="GP120" i="4" s="1"/>
  <c r="GP130" i="4" s="1"/>
  <c r="BF130" i="4" s="1"/>
  <c r="GP91" i="4"/>
  <c r="GP90" i="4" s="1"/>
  <c r="BF90" i="4" s="1"/>
  <c r="BF97" i="4" s="1"/>
  <c r="GP151" i="4"/>
  <c r="GP154" i="4"/>
  <c r="AS56" i="9"/>
  <c r="AS58" i="9" s="1"/>
  <c r="BC200" i="4"/>
  <c r="BC51" i="4"/>
  <c r="GM54" i="4"/>
  <c r="BA2" i="7"/>
  <c r="GQ2" i="4"/>
  <c r="GP23" i="4"/>
  <c r="BG23" i="4"/>
  <c r="AZ5" i="7"/>
  <c r="BF89" i="4"/>
  <c r="AV18" i="7"/>
  <c r="AV20" i="7"/>
  <c r="AV19" i="7"/>
  <c r="BD139" i="4"/>
  <c r="AT90" i="9" s="1"/>
  <c r="BG231" i="4"/>
  <c r="BG252" i="4" s="1"/>
  <c r="AW54" i="9"/>
  <c r="GJ13" i="7"/>
  <c r="GJ12" i="7"/>
  <c r="GJ14" i="7"/>
  <c r="AW33" i="7"/>
  <c r="AV53" i="9"/>
  <c r="AV67" i="9"/>
  <c r="GN98" i="4"/>
  <c r="GO155" i="4"/>
  <c r="BF199" i="4"/>
  <c r="GM99" i="4"/>
  <c r="BC100" i="4" s="1"/>
  <c r="BC101" i="4" s="1"/>
  <c r="BC103" i="4" s="1"/>
  <c r="AU55" i="9"/>
  <c r="BF95" i="4"/>
  <c r="BA10" i="7"/>
  <c r="BA14" i="7"/>
  <c r="BA12" i="7"/>
  <c r="BA13" i="7"/>
  <c r="GQ94" i="4"/>
  <c r="GQ93" i="4" s="1"/>
  <c r="GQ117" i="4"/>
  <c r="GQ116" i="4" s="1"/>
  <c r="GQ198" i="4"/>
  <c r="GQ125" i="4"/>
  <c r="GQ126" i="4"/>
  <c r="GQ201" i="4"/>
  <c r="GQ123" i="4"/>
  <c r="GQ122" i="4"/>
  <c r="GQ53" i="4"/>
  <c r="GK3" i="7"/>
  <c r="GQ121" i="4"/>
  <c r="GQ57" i="4"/>
  <c r="GQ129" i="4"/>
  <c r="GQ89" i="4"/>
  <c r="GQ127" i="4"/>
  <c r="AX32" i="7"/>
  <c r="AX30" i="7"/>
  <c r="AX29" i="7"/>
  <c r="AX31" i="7"/>
  <c r="AU84" i="9"/>
  <c r="AU81" i="9"/>
  <c r="AU77" i="9"/>
  <c r="AU94" i="9"/>
  <c r="GN96" i="4"/>
  <c r="BD99" i="4"/>
  <c r="GN150" i="4" s="1"/>
  <c r="AX128" i="4"/>
  <c r="AX91" i="4"/>
  <c r="BI3" i="4"/>
  <c r="GR3" i="4"/>
  <c r="BH70" i="4"/>
  <c r="BH83" i="4"/>
  <c r="BH2" i="4"/>
  <c r="BB3" i="7"/>
  <c r="BH198" i="4"/>
  <c r="BF49" i="4"/>
  <c r="AV57" i="9" s="1"/>
  <c r="AZ15" i="7"/>
  <c r="AZ113" i="4" l="1"/>
  <c r="AZ114" i="4" s="1"/>
  <c r="AZ91" i="4" s="1"/>
  <c r="AO72" i="9"/>
  <c r="AO73" i="9" s="1"/>
  <c r="AY128" i="4"/>
  <c r="AO83" i="9" s="1"/>
  <c r="BH45" i="4"/>
  <c r="BH46" i="4"/>
  <c r="GP36" i="4"/>
  <c r="BF36" i="4" s="1"/>
  <c r="GP46" i="4"/>
  <c r="AV85" i="9"/>
  <c r="AY30" i="7"/>
  <c r="AY31" i="7"/>
  <c r="AY32" i="7"/>
  <c r="GO153" i="4"/>
  <c r="GO156" i="4" s="1"/>
  <c r="GO158" i="4" s="1"/>
  <c r="GO159" i="4" s="1"/>
  <c r="GO160" i="4" s="1"/>
  <c r="GP35" i="4"/>
  <c r="BF35" i="4" s="1"/>
  <c r="GP45" i="4"/>
  <c r="AT56" i="9"/>
  <c r="AT58" i="9" s="1"/>
  <c r="BD51" i="4"/>
  <c r="GN54" i="4"/>
  <c r="BA111" i="4"/>
  <c r="BA112" i="4" s="1"/>
  <c r="BG31" i="4"/>
  <c r="AW55" i="9" s="1"/>
  <c r="AM83" i="9"/>
  <c r="BE108" i="4"/>
  <c r="AU69" i="9" s="1"/>
  <c r="BE38" i="4"/>
  <c r="AU56" i="9" s="1"/>
  <c r="AU58" i="9" s="1"/>
  <c r="GO146" i="4"/>
  <c r="GO147" i="4" s="1"/>
  <c r="GO148" i="4" s="1"/>
  <c r="GO149" i="4" s="1"/>
  <c r="GO98" i="4"/>
  <c r="BG49" i="4"/>
  <c r="AW57" i="9" s="1"/>
  <c r="GP118" i="4"/>
  <c r="BF96" i="4"/>
  <c r="BF107" i="4"/>
  <c r="BF137" i="4"/>
  <c r="GP92" i="4"/>
  <c r="GP97" i="4" s="1"/>
  <c r="BF136" i="4"/>
  <c r="BF98" i="4"/>
  <c r="BF105" i="4"/>
  <c r="BF138" i="4"/>
  <c r="BF102" i="4"/>
  <c r="BF106" i="4"/>
  <c r="GP152" i="4"/>
  <c r="BF122" i="4"/>
  <c r="AV77" i="9" s="1"/>
  <c r="BF123" i="4"/>
  <c r="AV78" i="9" s="1"/>
  <c r="BF129" i="4"/>
  <c r="AV84" i="9" s="1"/>
  <c r="BF126" i="4"/>
  <c r="AV81" i="9" s="1"/>
  <c r="BF125" i="4"/>
  <c r="AV80" i="9" s="1"/>
  <c r="BF121" i="4"/>
  <c r="AV76" i="9" s="1"/>
  <c r="BF127" i="4"/>
  <c r="AV82" i="9" s="1"/>
  <c r="GR2" i="4"/>
  <c r="BB2" i="7"/>
  <c r="GQ23" i="4"/>
  <c r="BH23" i="4"/>
  <c r="BH199" i="4" s="1"/>
  <c r="BA5" i="7"/>
  <c r="BG89" i="4"/>
  <c r="GP44" i="4"/>
  <c r="GP28" i="4"/>
  <c r="GP26" i="4"/>
  <c r="GP37" i="4"/>
  <c r="BF37" i="4" s="1"/>
  <c r="GP27" i="4"/>
  <c r="GP43" i="4"/>
  <c r="GP30" i="4"/>
  <c r="GP47" i="4"/>
  <c r="GP34" i="4"/>
  <c r="BF34" i="4" s="1"/>
  <c r="GP42" i="4"/>
  <c r="GP41" i="4"/>
  <c r="GP48" i="4"/>
  <c r="BB10" i="7"/>
  <c r="BB14" i="7"/>
  <c r="BB12" i="7"/>
  <c r="BB13" i="7"/>
  <c r="BG95" i="4"/>
  <c r="BA15" i="7"/>
  <c r="AW18" i="7"/>
  <c r="AW19" i="7"/>
  <c r="AW20" i="7"/>
  <c r="BH28" i="4"/>
  <c r="BH44" i="4"/>
  <c r="BI22" i="4"/>
  <c r="BH88" i="4"/>
  <c r="BH43" i="4"/>
  <c r="GR22" i="4"/>
  <c r="BH26" i="4"/>
  <c r="BH27" i="4"/>
  <c r="BH47" i="4"/>
  <c r="BH30" i="4"/>
  <c r="BH41" i="4"/>
  <c r="BH42" i="4"/>
  <c r="BH48" i="4"/>
  <c r="GJ15" i="7"/>
  <c r="AZ9" i="7" s="1"/>
  <c r="GO96" i="4"/>
  <c r="BE99" i="4"/>
  <c r="GO150" i="4" s="1"/>
  <c r="AN83" i="9"/>
  <c r="AV94" i="9"/>
  <c r="GN99" i="4"/>
  <c r="BD100" i="4" s="1"/>
  <c r="BD101" i="4" s="1"/>
  <c r="BD103" i="4" s="1"/>
  <c r="GQ119" i="4"/>
  <c r="GQ95" i="4"/>
  <c r="GQ120" i="4" s="1"/>
  <c r="GQ130" i="4" s="1"/>
  <c r="BG130" i="4" s="1"/>
  <c r="GQ91" i="4"/>
  <c r="GQ90" i="4" s="1"/>
  <c r="BG90" i="4" s="1"/>
  <c r="GQ151" i="4"/>
  <c r="GQ154" i="4"/>
  <c r="AW53" i="9"/>
  <c r="AW67" i="9"/>
  <c r="AS68" i="9"/>
  <c r="BG199" i="4"/>
  <c r="BE139" i="4"/>
  <c r="AU90" i="9" s="1"/>
  <c r="GS3" i="4"/>
  <c r="BJ3" i="4"/>
  <c r="BC3" i="7"/>
  <c r="BI83" i="4"/>
  <c r="BI70" i="4"/>
  <c r="BI2" i="4"/>
  <c r="BI198" i="4"/>
  <c r="GR117" i="4"/>
  <c r="GR116" i="4" s="1"/>
  <c r="GR94" i="4"/>
  <c r="GR93" i="4" s="1"/>
  <c r="GR129" i="4"/>
  <c r="GR89" i="4"/>
  <c r="GR198" i="4"/>
  <c r="GR127" i="4"/>
  <c r="GR53" i="4"/>
  <c r="GR126" i="4"/>
  <c r="GR125" i="4"/>
  <c r="GR122" i="4"/>
  <c r="GR121" i="4"/>
  <c r="GR201" i="4"/>
  <c r="GR123" i="4"/>
  <c r="GR57" i="4"/>
  <c r="GL3" i="7"/>
  <c r="GP155" i="4"/>
  <c r="AV21" i="7"/>
  <c r="AV23" i="7" s="1"/>
  <c r="AV24" i="7" s="1"/>
  <c r="AV25" i="7" s="1"/>
  <c r="AV35" i="7" s="1"/>
  <c r="BB110" i="4" s="1"/>
  <c r="BH231" i="4"/>
  <c r="BH252" i="4" s="1"/>
  <c r="AX54" i="9"/>
  <c r="AX33" i="7"/>
  <c r="GK13" i="7"/>
  <c r="GK14" i="7"/>
  <c r="GK12" i="7"/>
  <c r="AZ128" i="4" l="1"/>
  <c r="AP83" i="9" s="1"/>
  <c r="AP72" i="9"/>
  <c r="AP73" i="9" s="1"/>
  <c r="BI45" i="4"/>
  <c r="BI46" i="4"/>
  <c r="GQ36" i="4"/>
  <c r="BG36" i="4" s="1"/>
  <c r="GQ46" i="4"/>
  <c r="AY33" i="7"/>
  <c r="AY19" i="7" s="1"/>
  <c r="BE51" i="4"/>
  <c r="BG97" i="4"/>
  <c r="GO54" i="4"/>
  <c r="GP153" i="4"/>
  <c r="GP156" i="4" s="1"/>
  <c r="GP158" i="4" s="1"/>
  <c r="GP159" i="4" s="1"/>
  <c r="GP160" i="4" s="1"/>
  <c r="GQ35" i="4"/>
  <c r="BG35" i="4" s="1"/>
  <c r="GQ45" i="4"/>
  <c r="BE200" i="4"/>
  <c r="BA113" i="4"/>
  <c r="AQ72" i="9" s="1"/>
  <c r="AQ73" i="9" s="1"/>
  <c r="AW85" i="9"/>
  <c r="BF108" i="4"/>
  <c r="AV69" i="9" s="1"/>
  <c r="GO99" i="4"/>
  <c r="BE100" i="4" s="1"/>
  <c r="BE101" i="4" s="1"/>
  <c r="BE103" i="4" s="1"/>
  <c r="BG121" i="4"/>
  <c r="AW76" i="9" s="1"/>
  <c r="BG126" i="4"/>
  <c r="AW81" i="9" s="1"/>
  <c r="AT68" i="9"/>
  <c r="BF38" i="4"/>
  <c r="BH49" i="4"/>
  <c r="GR119" i="4"/>
  <c r="GR95" i="4"/>
  <c r="GR120" i="4" s="1"/>
  <c r="GR130" i="4" s="1"/>
  <c r="BH130" i="4" s="1"/>
  <c r="GR91" i="4"/>
  <c r="GR90" i="4" s="1"/>
  <c r="BH90" i="4" s="1"/>
  <c r="BH97" i="4" s="1"/>
  <c r="GR151" i="4"/>
  <c r="GR154" i="4"/>
  <c r="AX53" i="9"/>
  <c r="AX67" i="9"/>
  <c r="AR70" i="9"/>
  <c r="AR71" i="9" s="1"/>
  <c r="BB111" i="4"/>
  <c r="BG107" i="4"/>
  <c r="BG98" i="4"/>
  <c r="BG137" i="4"/>
  <c r="BG105" i="4"/>
  <c r="BG136" i="4"/>
  <c r="BG96" i="4"/>
  <c r="GQ118" i="4"/>
  <c r="GQ92" i="4"/>
  <c r="BG138" i="4"/>
  <c r="BG102" i="4"/>
  <c r="BG106" i="4"/>
  <c r="BG129" i="4"/>
  <c r="AW84" i="9" s="1"/>
  <c r="BF139" i="4"/>
  <c r="AV90" i="9" s="1"/>
  <c r="AX19" i="7"/>
  <c r="AX20" i="7"/>
  <c r="AX18" i="7"/>
  <c r="AY54" i="9"/>
  <c r="BI231" i="4"/>
  <c r="BI252" i="4" s="1"/>
  <c r="GQ155" i="4"/>
  <c r="BH31" i="4"/>
  <c r="AX55" i="9" s="1"/>
  <c r="BB15" i="7"/>
  <c r="GR23" i="4"/>
  <c r="BI23" i="4"/>
  <c r="BH89" i="4"/>
  <c r="BB5" i="7"/>
  <c r="GP146" i="4"/>
  <c r="GP147" i="4" s="1"/>
  <c r="GP148" i="4" s="1"/>
  <c r="GP149" i="4" s="1"/>
  <c r="GP98" i="4"/>
  <c r="AW21" i="7"/>
  <c r="AW23" i="7" s="1"/>
  <c r="AW24" i="7" s="1"/>
  <c r="AW25" i="7" s="1"/>
  <c r="AW35" i="7" s="1"/>
  <c r="BC110" i="4" s="1"/>
  <c r="BC2" i="7"/>
  <c r="GS2" i="4"/>
  <c r="GQ152" i="4"/>
  <c r="BH95" i="4"/>
  <c r="GP96" i="4"/>
  <c r="BF99" i="4"/>
  <c r="GP150" i="4" s="1"/>
  <c r="AZ32" i="7"/>
  <c r="AZ30" i="7"/>
  <c r="AZ31" i="7"/>
  <c r="AZ29" i="7"/>
  <c r="AW94" i="9"/>
  <c r="BG125" i="4"/>
  <c r="AW80" i="9" s="1"/>
  <c r="GL12" i="7"/>
  <c r="GL14" i="7"/>
  <c r="GL13" i="7"/>
  <c r="GQ44" i="4"/>
  <c r="GQ37" i="4"/>
  <c r="BG37" i="4" s="1"/>
  <c r="GQ27" i="4"/>
  <c r="GQ26" i="4"/>
  <c r="GQ34" i="4"/>
  <c r="BG34" i="4" s="1"/>
  <c r="GQ43" i="4"/>
  <c r="GQ30" i="4"/>
  <c r="GQ47" i="4"/>
  <c r="GQ28" i="4"/>
  <c r="GQ42" i="4"/>
  <c r="GQ41" i="4"/>
  <c r="GQ48" i="4"/>
  <c r="BC10" i="7"/>
  <c r="BC14" i="7"/>
  <c r="BC12" i="7"/>
  <c r="BC13" i="7"/>
  <c r="BI44" i="4"/>
  <c r="BJ22" i="4"/>
  <c r="BI28" i="4"/>
  <c r="BI43" i="4"/>
  <c r="BI88" i="4"/>
  <c r="BI27" i="4"/>
  <c r="BI26" i="4"/>
  <c r="GS22" i="4"/>
  <c r="BI30" i="4"/>
  <c r="BI47" i="4"/>
  <c r="BI42" i="4"/>
  <c r="BI41" i="4"/>
  <c r="BI48" i="4"/>
  <c r="BG123" i="4"/>
  <c r="AW78" i="9" s="1"/>
  <c r="GT3" i="4"/>
  <c r="BK3" i="4"/>
  <c r="BJ2" i="4"/>
  <c r="BJ70" i="4"/>
  <c r="BD3" i="7"/>
  <c r="BJ83" i="4"/>
  <c r="BJ198" i="4"/>
  <c r="BG122" i="4"/>
  <c r="AW77" i="9" s="1"/>
  <c r="GK15" i="7"/>
  <c r="BA9" i="7" s="1"/>
  <c r="GS117" i="4"/>
  <c r="GS116" i="4" s="1"/>
  <c r="GS94" i="4"/>
  <c r="GS93" i="4" s="1"/>
  <c r="GS129" i="4"/>
  <c r="GS126" i="4"/>
  <c r="GS89" i="4"/>
  <c r="GS127" i="4"/>
  <c r="GS198" i="4"/>
  <c r="GS121" i="4"/>
  <c r="GS123" i="4"/>
  <c r="GM3" i="7"/>
  <c r="GS201" i="4"/>
  <c r="GS125" i="4"/>
  <c r="GS122" i="4"/>
  <c r="GS57" i="4"/>
  <c r="GS53" i="4"/>
  <c r="BG127" i="4"/>
  <c r="AW82" i="9" s="1"/>
  <c r="GQ97" i="4" l="1"/>
  <c r="GR36" i="4"/>
  <c r="BH36" i="4" s="1"/>
  <c r="GR46" i="4"/>
  <c r="BJ45" i="4"/>
  <c r="BJ46" i="4"/>
  <c r="AY20" i="7"/>
  <c r="AY18" i="7"/>
  <c r="GR35" i="4"/>
  <c r="BH35" i="4" s="1"/>
  <c r="GR45" i="4"/>
  <c r="BA114" i="4"/>
  <c r="BA91" i="4" s="1"/>
  <c r="BG108" i="4"/>
  <c r="AX85" i="9"/>
  <c r="GR155" i="4"/>
  <c r="GQ146" i="4"/>
  <c r="GQ147" i="4" s="1"/>
  <c r="GQ148" i="4" s="1"/>
  <c r="GQ149" i="4" s="1"/>
  <c r="BG38" i="4"/>
  <c r="BG51" i="4" s="1"/>
  <c r="GP99" i="4"/>
  <c r="BF100" i="4" s="1"/>
  <c r="BF101" i="4" s="1"/>
  <c r="BF103" i="4" s="1"/>
  <c r="BH107" i="4"/>
  <c r="BH137" i="4"/>
  <c r="BH136" i="4"/>
  <c r="BH96" i="4"/>
  <c r="GR92" i="4"/>
  <c r="GR97" i="4" s="1"/>
  <c r="GR118" i="4"/>
  <c r="BH105" i="4"/>
  <c r="BH98" i="4"/>
  <c r="BH138" i="4"/>
  <c r="BH102" i="4"/>
  <c r="BH106" i="4"/>
  <c r="BH121" i="4"/>
  <c r="BH123" i="4"/>
  <c r="AX78" i="9" s="1"/>
  <c r="BH127" i="4"/>
  <c r="AX82" i="9" s="1"/>
  <c r="BH125" i="4"/>
  <c r="AX80" i="9" s="1"/>
  <c r="BH126" i="4"/>
  <c r="AX81" i="9" s="1"/>
  <c r="BH129" i="4"/>
  <c r="AX84" i="9" s="1"/>
  <c r="GR152" i="4"/>
  <c r="BH122" i="4"/>
  <c r="AX77" i="9" s="1"/>
  <c r="AW69" i="9"/>
  <c r="GS95" i="4"/>
  <c r="GS120" i="4" s="1"/>
  <c r="GS130" i="4" s="1"/>
  <c r="BI130" i="4" s="1"/>
  <c r="GS119" i="4"/>
  <c r="GS91" i="4"/>
  <c r="GS90" i="4" s="1"/>
  <c r="BI90" i="4" s="1"/>
  <c r="BI97" i="4" s="1"/>
  <c r="GS151" i="4"/>
  <c r="GS154" i="4"/>
  <c r="AX94" i="9"/>
  <c r="BA32" i="7"/>
  <c r="BA31" i="7"/>
  <c r="BA29" i="7"/>
  <c r="BA30" i="7"/>
  <c r="BI95" i="4"/>
  <c r="BG139" i="4"/>
  <c r="AW90" i="9" s="1"/>
  <c r="GS23" i="4"/>
  <c r="BJ23" i="4"/>
  <c r="BC5" i="7"/>
  <c r="BI89" i="4"/>
  <c r="GR44" i="4"/>
  <c r="GR37" i="4"/>
  <c r="BH37" i="4" s="1"/>
  <c r="GR26" i="4"/>
  <c r="GR27" i="4"/>
  <c r="GR43" i="4"/>
  <c r="GR30" i="4"/>
  <c r="GR47" i="4"/>
  <c r="GR34" i="4"/>
  <c r="BH34" i="4" s="1"/>
  <c r="GR28" i="4"/>
  <c r="GR42" i="4"/>
  <c r="GR41" i="4"/>
  <c r="GR48" i="4"/>
  <c r="BC15" i="7"/>
  <c r="GL15" i="7"/>
  <c r="BB9" i="7" s="1"/>
  <c r="AV56" i="9"/>
  <c r="AV58" i="9" s="1"/>
  <c r="BF51" i="4"/>
  <c r="BF200" i="4"/>
  <c r="GP54" i="4"/>
  <c r="AZ54" i="9"/>
  <c r="BJ231" i="4"/>
  <c r="BJ252" i="4" s="1"/>
  <c r="BK22" i="4"/>
  <c r="BJ44" i="4"/>
  <c r="BJ28" i="4"/>
  <c r="BJ88" i="4"/>
  <c r="BJ43" i="4"/>
  <c r="BJ27" i="4"/>
  <c r="GT22" i="4"/>
  <c r="BJ26" i="4"/>
  <c r="BJ47" i="4"/>
  <c r="BJ30" i="4"/>
  <c r="BJ42" i="4"/>
  <c r="BJ41" i="4"/>
  <c r="BJ48" i="4"/>
  <c r="GQ96" i="4"/>
  <c r="BG99" i="4"/>
  <c r="GQ150" i="4" s="1"/>
  <c r="BD10" i="7"/>
  <c r="BD14" i="7"/>
  <c r="BD12" i="7"/>
  <c r="BD13" i="7"/>
  <c r="GT2" i="4"/>
  <c r="BD2" i="7"/>
  <c r="AU68" i="9"/>
  <c r="BI31" i="4"/>
  <c r="AY55" i="9" s="1"/>
  <c r="GU3" i="4"/>
  <c r="BL3" i="4"/>
  <c r="BE3" i="7"/>
  <c r="BK83" i="4"/>
  <c r="BK70" i="4"/>
  <c r="BK2" i="4"/>
  <c r="BK198" i="4"/>
  <c r="GQ98" i="4"/>
  <c r="GT117" i="4"/>
  <c r="GT116" i="4" s="1"/>
  <c r="GT94" i="4"/>
  <c r="GT93" i="4" s="1"/>
  <c r="GT57" i="4"/>
  <c r="GT125" i="4"/>
  <c r="GT129" i="4"/>
  <c r="GT123" i="4"/>
  <c r="GT122" i="4"/>
  <c r="GT201" i="4"/>
  <c r="GN3" i="7"/>
  <c r="GT121" i="4"/>
  <c r="GT53" i="4"/>
  <c r="GT198" i="4"/>
  <c r="GT127" i="4"/>
  <c r="GT126" i="4"/>
  <c r="GT89" i="4"/>
  <c r="BI199" i="4"/>
  <c r="AS70" i="9"/>
  <c r="AS71" i="9" s="1"/>
  <c r="BC111" i="4"/>
  <c r="BB113" i="4"/>
  <c r="BB112" i="4"/>
  <c r="GM14" i="7"/>
  <c r="GM12" i="7"/>
  <c r="GM13" i="7"/>
  <c r="GQ153" i="4"/>
  <c r="GQ156" i="4" s="1"/>
  <c r="GQ158" i="4" s="1"/>
  <c r="GQ159" i="4" s="1"/>
  <c r="GQ160" i="4" s="1"/>
  <c r="BI49" i="4"/>
  <c r="AY57" i="9" s="1"/>
  <c r="AY53" i="9"/>
  <c r="AY67" i="9"/>
  <c r="AZ33" i="7"/>
  <c r="AX21" i="7"/>
  <c r="AX23" i="7" s="1"/>
  <c r="AX24" i="7" s="1"/>
  <c r="AX25" i="7" s="1"/>
  <c r="AX35" i="7" s="1"/>
  <c r="BD110" i="4" s="1"/>
  <c r="AX57" i="9"/>
  <c r="GS36" i="4" l="1"/>
  <c r="BI36" i="4" s="1"/>
  <c r="GS46" i="4"/>
  <c r="BK45" i="4"/>
  <c r="BK46" i="4"/>
  <c r="GR98" i="4"/>
  <c r="AY21" i="7"/>
  <c r="AY23" i="7" s="1"/>
  <c r="AY24" i="7" s="1"/>
  <c r="AY25" i="7" s="1"/>
  <c r="AY35" i="7" s="1"/>
  <c r="BE110" i="4" s="1"/>
  <c r="BE111" i="4" s="1"/>
  <c r="BA128" i="4"/>
  <c r="GS35" i="4"/>
  <c r="BI35" i="4" s="1"/>
  <c r="GS45" i="4"/>
  <c r="BH108" i="4"/>
  <c r="GM15" i="7"/>
  <c r="BC9" i="7" s="1"/>
  <c r="BC31" i="7" s="1"/>
  <c r="BG200" i="4"/>
  <c r="AW56" i="9"/>
  <c r="AW58" i="9" s="1"/>
  <c r="GS155" i="4"/>
  <c r="GQ54" i="4"/>
  <c r="GQ99" i="4"/>
  <c r="BG100" i="4" s="1"/>
  <c r="BG101" i="4" s="1"/>
  <c r="BG103" i="4" s="1"/>
  <c r="BJ49" i="4"/>
  <c r="AZ57" i="9" s="1"/>
  <c r="BI98" i="4"/>
  <c r="BI105" i="4"/>
  <c r="BI136" i="4"/>
  <c r="BI96" i="4"/>
  <c r="GS118" i="4"/>
  <c r="BI137" i="4"/>
  <c r="GS92" i="4"/>
  <c r="GS97" i="4" s="1"/>
  <c r="BI107" i="4"/>
  <c r="BI138" i="4"/>
  <c r="BI102" i="4"/>
  <c r="BI106" i="4"/>
  <c r="BI127" i="4"/>
  <c r="AY82" i="9" s="1"/>
  <c r="BI129" i="4"/>
  <c r="AY84" i="9" s="1"/>
  <c r="GS152" i="4"/>
  <c r="BI125" i="4"/>
  <c r="AY80" i="9" s="1"/>
  <c r="BI123" i="4"/>
  <c r="AY78" i="9" s="1"/>
  <c r="BI121" i="4"/>
  <c r="AY76" i="9" s="1"/>
  <c r="BI126" i="4"/>
  <c r="AY81" i="9" s="1"/>
  <c r="BI122" i="4"/>
  <c r="AY77" i="9" s="1"/>
  <c r="BA54" i="9"/>
  <c r="BK231" i="4"/>
  <c r="BK252" i="4" s="1"/>
  <c r="AZ67" i="9"/>
  <c r="AZ53" i="9"/>
  <c r="GV3" i="4"/>
  <c r="BM3" i="4"/>
  <c r="BL2" i="4"/>
  <c r="BL83" i="4"/>
  <c r="BF3" i="7"/>
  <c r="BL70" i="4"/>
  <c r="BL198" i="4"/>
  <c r="BB30" i="7"/>
  <c r="BB32" i="7"/>
  <c r="BB31" i="7"/>
  <c r="BB29" i="7"/>
  <c r="BE10" i="7"/>
  <c r="BE14" i="7"/>
  <c r="BE12" i="7"/>
  <c r="BE13" i="7"/>
  <c r="BJ31" i="4"/>
  <c r="BA33" i="7"/>
  <c r="BH99" i="4"/>
  <c r="GR150" i="4" s="1"/>
  <c r="GT95" i="4"/>
  <c r="GT120" i="4" s="1"/>
  <c r="GT130" i="4" s="1"/>
  <c r="BJ130" i="4" s="1"/>
  <c r="GT119" i="4"/>
  <c r="GT91" i="4"/>
  <c r="GT90" i="4" s="1"/>
  <c r="BJ90" i="4" s="1"/>
  <c r="BJ97" i="4" s="1"/>
  <c r="GT151" i="4"/>
  <c r="GT154" i="4"/>
  <c r="GT23" i="4"/>
  <c r="BK23" i="4"/>
  <c r="BJ89" i="4"/>
  <c r="BD5" i="7"/>
  <c r="GS44" i="4"/>
  <c r="GS28" i="4"/>
  <c r="GS37" i="4"/>
  <c r="BI37" i="4" s="1"/>
  <c r="GS26" i="4"/>
  <c r="GS27" i="4"/>
  <c r="GS30" i="4"/>
  <c r="GS43" i="4"/>
  <c r="GS47" i="4"/>
  <c r="GS34" i="4"/>
  <c r="BI34" i="4" s="1"/>
  <c r="GS42" i="4"/>
  <c r="GS41" i="4"/>
  <c r="GS48" i="4"/>
  <c r="GN13" i="7"/>
  <c r="GN12" i="7"/>
  <c r="GN14" i="7"/>
  <c r="BJ95" i="4"/>
  <c r="BH139" i="4"/>
  <c r="AX90" i="9" s="1"/>
  <c r="AX69" i="9"/>
  <c r="BC29" i="7"/>
  <c r="BC32" i="7"/>
  <c r="BC30" i="7"/>
  <c r="GR146" i="4"/>
  <c r="GR147" i="4" s="1"/>
  <c r="GR148" i="4" s="1"/>
  <c r="GR149" i="4" s="1"/>
  <c r="GR96" i="4"/>
  <c r="BB114" i="4"/>
  <c r="AR72" i="9"/>
  <c r="AR73" i="9" s="1"/>
  <c r="BD15" i="7"/>
  <c r="AZ20" i="7"/>
  <c r="AZ18" i="7"/>
  <c r="AZ19" i="7"/>
  <c r="GU2" i="4"/>
  <c r="BE2" i="7"/>
  <c r="AY94" i="9"/>
  <c r="GU117" i="4"/>
  <c r="GU116" i="4" s="1"/>
  <c r="GU94" i="4"/>
  <c r="GU93" i="4" s="1"/>
  <c r="GU127" i="4"/>
  <c r="GU122" i="4"/>
  <c r="GU129" i="4"/>
  <c r="GO3" i="7"/>
  <c r="GU126" i="4"/>
  <c r="GU57" i="4"/>
  <c r="GU89" i="4"/>
  <c r="GU53" i="4"/>
  <c r="GU201" i="4"/>
  <c r="GU121" i="4"/>
  <c r="GU198" i="4"/>
  <c r="GU125" i="4"/>
  <c r="GU123" i="4"/>
  <c r="AY85" i="9"/>
  <c r="BL22" i="4"/>
  <c r="BK44" i="4"/>
  <c r="BK28" i="4"/>
  <c r="GU22" i="4"/>
  <c r="BK43" i="4"/>
  <c r="BK27" i="4"/>
  <c r="BK88" i="4"/>
  <c r="BK26" i="4"/>
  <c r="BK30" i="4"/>
  <c r="BK47" i="4"/>
  <c r="BK42" i="4"/>
  <c r="BK41" i="4"/>
  <c r="BK48" i="4"/>
  <c r="AV68" i="9"/>
  <c r="BC112" i="4"/>
  <c r="BC113" i="4"/>
  <c r="BH38" i="4"/>
  <c r="GR153" i="4"/>
  <c r="GR156" i="4" s="1"/>
  <c r="GR158" i="4" s="1"/>
  <c r="GR159" i="4" s="1"/>
  <c r="GR160" i="4" s="1"/>
  <c r="AT70" i="9"/>
  <c r="AT71" i="9" s="1"/>
  <c r="BD111" i="4"/>
  <c r="AX76" i="9"/>
  <c r="BJ199" i="4"/>
  <c r="GR99" i="4" l="1"/>
  <c r="BH100" i="4" s="1"/>
  <c r="BH101" i="4" s="1"/>
  <c r="BH103" i="4" s="1"/>
  <c r="AX68" i="9" s="1"/>
  <c r="BL45" i="4"/>
  <c r="BL46" i="4"/>
  <c r="GT36" i="4"/>
  <c r="BJ36" i="4" s="1"/>
  <c r="GT46" i="4"/>
  <c r="AU70" i="9"/>
  <c r="AU71" i="9" s="1"/>
  <c r="AQ83" i="9"/>
  <c r="GS153" i="4"/>
  <c r="GS156" i="4" s="1"/>
  <c r="GS158" i="4" s="1"/>
  <c r="GS159" i="4" s="1"/>
  <c r="GS160" i="4" s="1"/>
  <c r="GT35" i="4"/>
  <c r="BJ35" i="4" s="1"/>
  <c r="GT45" i="4"/>
  <c r="BI108" i="4"/>
  <c r="AY69" i="9" s="1"/>
  <c r="AZ85" i="9"/>
  <c r="GN15" i="7"/>
  <c r="BD9" i="7" s="1"/>
  <c r="BD31" i="7" s="1"/>
  <c r="BI99" i="4"/>
  <c r="GS150" i="4" s="1"/>
  <c r="BC114" i="4"/>
  <c r="BC128" i="4" s="1"/>
  <c r="BJ105" i="4"/>
  <c r="BJ96" i="4"/>
  <c r="BJ98" i="4"/>
  <c r="BJ107" i="4"/>
  <c r="GT92" i="4"/>
  <c r="GT97" i="4" s="1"/>
  <c r="GT118" i="4"/>
  <c r="BJ136" i="4"/>
  <c r="BJ137" i="4"/>
  <c r="BJ138" i="4"/>
  <c r="BJ102" i="4"/>
  <c r="BJ106" i="4"/>
  <c r="BJ122" i="4"/>
  <c r="AZ77" i="9" s="1"/>
  <c r="BJ121" i="4"/>
  <c r="AZ76" i="9" s="1"/>
  <c r="BJ129" i="4"/>
  <c r="AZ84" i="9" s="1"/>
  <c r="GT152" i="4"/>
  <c r="BJ123" i="4"/>
  <c r="AZ78" i="9" s="1"/>
  <c r="BJ126" i="4"/>
  <c r="AZ81" i="9" s="1"/>
  <c r="BJ125" i="4"/>
  <c r="AZ80" i="9" s="1"/>
  <c r="BJ127" i="4"/>
  <c r="AZ82" i="9" s="1"/>
  <c r="GV2" i="4"/>
  <c r="BF2" i="7"/>
  <c r="GW3" i="4"/>
  <c r="BN3" i="4"/>
  <c r="BG3" i="7"/>
  <c r="BM70" i="4"/>
  <c r="BM83" i="4"/>
  <c r="BM2" i="4"/>
  <c r="BM198" i="4"/>
  <c r="GV117" i="4"/>
  <c r="GV116" i="4" s="1"/>
  <c r="GV94" i="4"/>
  <c r="GV93" i="4" s="1"/>
  <c r="GV122" i="4"/>
  <c r="GV53" i="4"/>
  <c r="GV198" i="4"/>
  <c r="GP3" i="7"/>
  <c r="GV201" i="4"/>
  <c r="GV126" i="4"/>
  <c r="GV125" i="4"/>
  <c r="GV123" i="4"/>
  <c r="GV121" i="4"/>
  <c r="GV89" i="4"/>
  <c r="GV57" i="4"/>
  <c r="GV127" i="4"/>
  <c r="GV129" i="4"/>
  <c r="AX56" i="9"/>
  <c r="AX58" i="9" s="1"/>
  <c r="BH51" i="4"/>
  <c r="BH200" i="4"/>
  <c r="GR54" i="4"/>
  <c r="BF10" i="7"/>
  <c r="BF14" i="7"/>
  <c r="BF12" i="7"/>
  <c r="BF13" i="7"/>
  <c r="BC33" i="7"/>
  <c r="BE15" i="7"/>
  <c r="BK49" i="4"/>
  <c r="BA57" i="9" s="1"/>
  <c r="AZ55" i="9"/>
  <c r="GT44" i="4"/>
  <c r="GT28" i="4"/>
  <c r="GT27" i="4"/>
  <c r="GT26" i="4"/>
  <c r="GT37" i="4"/>
  <c r="BJ37" i="4" s="1"/>
  <c r="GT43" i="4"/>
  <c r="GT30" i="4"/>
  <c r="GT47" i="4"/>
  <c r="GT34" i="4"/>
  <c r="BJ34" i="4" s="1"/>
  <c r="GT42" i="4"/>
  <c r="GT41" i="4"/>
  <c r="GT48" i="4"/>
  <c r="GU119" i="4"/>
  <c r="GU95" i="4"/>
  <c r="GU120" i="4" s="1"/>
  <c r="GU130" i="4" s="1"/>
  <c r="BK130" i="4" s="1"/>
  <c r="GU91" i="4"/>
  <c r="GU90" i="4" s="1"/>
  <c r="BK90" i="4" s="1"/>
  <c r="BK97" i="4" s="1"/>
  <c r="GU151" i="4"/>
  <c r="GU154" i="4"/>
  <c r="AZ94" i="9"/>
  <c r="BA18" i="7"/>
  <c r="BA19" i="7"/>
  <c r="BA20" i="7"/>
  <c r="BL23" i="4"/>
  <c r="BL199" i="4" s="1"/>
  <c r="GU23" i="4"/>
  <c r="BK89" i="4"/>
  <c r="BE5" i="7"/>
  <c r="BB33" i="7"/>
  <c r="GS146" i="4"/>
  <c r="GS147" i="4" s="1"/>
  <c r="GS148" i="4" s="1"/>
  <c r="GS149" i="4" s="1"/>
  <c r="GS96" i="4"/>
  <c r="AS72" i="9"/>
  <c r="AS73" i="9" s="1"/>
  <c r="GT155" i="4"/>
  <c r="BL231" i="4"/>
  <c r="BL252" i="4" s="1"/>
  <c r="BB54" i="9"/>
  <c r="BM22" i="4"/>
  <c r="BL44" i="4"/>
  <c r="BL28" i="4"/>
  <c r="GV22" i="4"/>
  <c r="BL88" i="4"/>
  <c r="BL43" i="4"/>
  <c r="BL27" i="4"/>
  <c r="BL26" i="4"/>
  <c r="BL30" i="4"/>
  <c r="BL47" i="4"/>
  <c r="BL41" i="4"/>
  <c r="BL42" i="4"/>
  <c r="BL48" i="4"/>
  <c r="BK31" i="4"/>
  <c r="BA55" i="9" s="1"/>
  <c r="BK95" i="4"/>
  <c r="BA53" i="9"/>
  <c r="BA67" i="9"/>
  <c r="BI139" i="4"/>
  <c r="AY90" i="9" s="1"/>
  <c r="BB91" i="4"/>
  <c r="BB128" i="4"/>
  <c r="AW68" i="9"/>
  <c r="GO12" i="7"/>
  <c r="GO14" i="7"/>
  <c r="GO13" i="7"/>
  <c r="BD29" i="7"/>
  <c r="BD32" i="7"/>
  <c r="BD30" i="7"/>
  <c r="AZ21" i="7"/>
  <c r="AZ23" i="7" s="1"/>
  <c r="AZ24" i="7" s="1"/>
  <c r="AZ25" i="7" s="1"/>
  <c r="AZ35" i="7" s="1"/>
  <c r="BF110" i="4" s="1"/>
  <c r="BK199" i="4"/>
  <c r="BD112" i="4"/>
  <c r="BD113" i="4"/>
  <c r="BE113" i="4"/>
  <c r="BE112" i="4"/>
  <c r="BI38" i="4"/>
  <c r="GS98" i="4"/>
  <c r="BM45" i="4" l="1"/>
  <c r="BM46" i="4"/>
  <c r="GU36" i="4"/>
  <c r="BK36" i="4" s="1"/>
  <c r="GU46" i="4"/>
  <c r="GU35" i="4"/>
  <c r="BK35" i="4" s="1"/>
  <c r="GU45" i="4"/>
  <c r="BJ38" i="4"/>
  <c r="BJ200" i="4" s="1"/>
  <c r="BD114" i="4"/>
  <c r="BD128" i="4" s="1"/>
  <c r="BK123" i="4"/>
  <c r="BA78" i="9" s="1"/>
  <c r="BK127" i="4"/>
  <c r="BA82" i="9" s="1"/>
  <c r="GU155" i="4"/>
  <c r="BC91" i="4"/>
  <c r="GT146" i="4"/>
  <c r="GT147" i="4" s="1"/>
  <c r="GT148" i="4" s="1"/>
  <c r="GT149" i="4" s="1"/>
  <c r="BA21" i="7"/>
  <c r="BA23" i="7" s="1"/>
  <c r="BA24" i="7" s="1"/>
  <c r="BA25" i="7" s="1"/>
  <c r="BA35" i="7" s="1"/>
  <c r="BG110" i="4" s="1"/>
  <c r="AW70" i="9" s="1"/>
  <c r="AW71" i="9" s="1"/>
  <c r="GS99" i="4"/>
  <c r="BI100" i="4" s="1"/>
  <c r="BI101" i="4" s="1"/>
  <c r="BI103" i="4" s="1"/>
  <c r="AT72" i="9"/>
  <c r="AT73" i="9" s="1"/>
  <c r="BK105" i="4"/>
  <c r="GU92" i="4"/>
  <c r="GU97" i="4" s="1"/>
  <c r="BK107" i="4"/>
  <c r="BK96" i="4"/>
  <c r="BK137" i="4"/>
  <c r="GU118" i="4"/>
  <c r="BK136" i="4"/>
  <c r="BK98" i="4"/>
  <c r="BK138" i="4"/>
  <c r="BK102" i="4"/>
  <c r="BK106" i="4"/>
  <c r="GT153" i="4"/>
  <c r="GT156" i="4" s="1"/>
  <c r="GT158" i="4" s="1"/>
  <c r="GT159" i="4" s="1"/>
  <c r="GT160" i="4" s="1"/>
  <c r="BK125" i="4"/>
  <c r="BA80" i="9" s="1"/>
  <c r="BK126" i="4"/>
  <c r="BA81" i="9" s="1"/>
  <c r="BN22" i="4"/>
  <c r="BM44" i="4"/>
  <c r="BM28" i="4"/>
  <c r="BM88" i="4"/>
  <c r="BM26" i="4"/>
  <c r="BM43" i="4"/>
  <c r="GW22" i="4"/>
  <c r="BM27" i="4"/>
  <c r="BM47" i="4"/>
  <c r="BM30" i="4"/>
  <c r="BM42" i="4"/>
  <c r="BM41" i="4"/>
  <c r="BM48" i="4"/>
  <c r="GP12" i="7"/>
  <c r="GP13" i="7"/>
  <c r="GP14" i="7"/>
  <c r="BK129" i="4"/>
  <c r="BA84" i="9" s="1"/>
  <c r="BJ108" i="4"/>
  <c r="BO3" i="4"/>
  <c r="GX3" i="4"/>
  <c r="BH3" i="7"/>
  <c r="BN70" i="4"/>
  <c r="BN83" i="4"/>
  <c r="BN2" i="4"/>
  <c r="BN198" i="4"/>
  <c r="AZ56" i="9"/>
  <c r="AZ58" i="9" s="1"/>
  <c r="BJ51" i="4"/>
  <c r="GT54" i="4"/>
  <c r="BD33" i="7"/>
  <c r="BB20" i="7"/>
  <c r="BB18" i="7"/>
  <c r="BB19" i="7"/>
  <c r="BG10" i="7"/>
  <c r="BG14" i="7"/>
  <c r="BG12" i="7"/>
  <c r="BG13" i="7"/>
  <c r="BL31" i="4"/>
  <c r="BB55" i="9" s="1"/>
  <c r="BJ139" i="4"/>
  <c r="AZ90" i="9" s="1"/>
  <c r="BM23" i="4"/>
  <c r="BM199" i="4" s="1"/>
  <c r="GV23" i="4"/>
  <c r="BL89" i="4"/>
  <c r="BF5" i="7"/>
  <c r="GU152" i="4"/>
  <c r="BK121" i="4"/>
  <c r="BA76" i="9" s="1"/>
  <c r="BA94" i="9"/>
  <c r="BF15" i="7"/>
  <c r="BB67" i="9"/>
  <c r="BB53" i="9"/>
  <c r="BL49" i="4"/>
  <c r="BC54" i="9"/>
  <c r="BM231" i="4"/>
  <c r="BM252" i="4" s="1"/>
  <c r="GW2" i="4"/>
  <c r="BG2" i="7"/>
  <c r="GW117" i="4"/>
  <c r="GW116" i="4" s="1"/>
  <c r="GW94" i="4"/>
  <c r="GW93" i="4" s="1"/>
  <c r="GQ3" i="7"/>
  <c r="GW89" i="4"/>
  <c r="GW126" i="4"/>
  <c r="GW129" i="4"/>
  <c r="GW127" i="4"/>
  <c r="GW57" i="4"/>
  <c r="GW125" i="4"/>
  <c r="GW123" i="4"/>
  <c r="GW198" i="4"/>
  <c r="GW121" i="4"/>
  <c r="GW201" i="4"/>
  <c r="GW122" i="4"/>
  <c r="GW53" i="4"/>
  <c r="AV70" i="9"/>
  <c r="AV71" i="9" s="1"/>
  <c r="BF111" i="4"/>
  <c r="BK122" i="4"/>
  <c r="BA77" i="9" s="1"/>
  <c r="GO15" i="7"/>
  <c r="BE9" i="7" s="1"/>
  <c r="GV95" i="4"/>
  <c r="GV120" i="4" s="1"/>
  <c r="GV130" i="4" s="1"/>
  <c r="BL130" i="4" s="1"/>
  <c r="BB85" i="9" s="1"/>
  <c r="GV119" i="4"/>
  <c r="GV91" i="4"/>
  <c r="GV90" i="4" s="1"/>
  <c r="BL90" i="4" s="1"/>
  <c r="BL97" i="4" s="1"/>
  <c r="GV151" i="4"/>
  <c r="GV154" i="4"/>
  <c r="AY56" i="9"/>
  <c r="AY58" i="9" s="1"/>
  <c r="BI200" i="4"/>
  <c r="GS54" i="4"/>
  <c r="BI51" i="4"/>
  <c r="BL95" i="4"/>
  <c r="GT98" i="4"/>
  <c r="GU28" i="4"/>
  <c r="GU44" i="4"/>
  <c r="GU26" i="4"/>
  <c r="GU27" i="4"/>
  <c r="GU37" i="4"/>
  <c r="BK37" i="4" s="1"/>
  <c r="GU30" i="4"/>
  <c r="GU43" i="4"/>
  <c r="GU47" i="4"/>
  <c r="GU34" i="4"/>
  <c r="BK34" i="4" s="1"/>
  <c r="GU42" i="4"/>
  <c r="GU41" i="4"/>
  <c r="GU48" i="4"/>
  <c r="AS83" i="9"/>
  <c r="AR83" i="9"/>
  <c r="BE114" i="4"/>
  <c r="AU72" i="9"/>
  <c r="AU73" i="9" s="1"/>
  <c r="BA85" i="9"/>
  <c r="GT96" i="4"/>
  <c r="BJ99" i="4"/>
  <c r="GT150" i="4" s="1"/>
  <c r="BC18" i="7"/>
  <c r="BC19" i="7"/>
  <c r="BC20" i="7"/>
  <c r="BN45" i="4" l="1"/>
  <c r="BN46" i="4"/>
  <c r="GV36" i="4"/>
  <c r="BL36" i="4" s="1"/>
  <c r="GV46" i="4"/>
  <c r="GU153" i="4"/>
  <c r="GU156" i="4" s="1"/>
  <c r="GU158" i="4" s="1"/>
  <c r="GU159" i="4" s="1"/>
  <c r="GU160" i="4" s="1"/>
  <c r="GV35" i="4"/>
  <c r="BL35" i="4" s="1"/>
  <c r="GV45" i="4"/>
  <c r="BD91" i="4"/>
  <c r="BG15" i="7"/>
  <c r="GU98" i="4"/>
  <c r="BK38" i="4"/>
  <c r="BA56" i="9" s="1"/>
  <c r="BA58" i="9" s="1"/>
  <c r="GV155" i="4"/>
  <c r="GT99" i="4"/>
  <c r="BJ100" i="4" s="1"/>
  <c r="BJ101" i="4" s="1"/>
  <c r="BJ103" i="4" s="1"/>
  <c r="AZ68" i="9" s="1"/>
  <c r="BK108" i="4"/>
  <c r="BA69" i="9" s="1"/>
  <c r="BG111" i="4"/>
  <c r="BG112" i="4" s="1"/>
  <c r="BL122" i="4"/>
  <c r="BB77" i="9" s="1"/>
  <c r="BL123" i="4"/>
  <c r="BB78" i="9" s="1"/>
  <c r="BL125" i="4"/>
  <c r="BB80" i="9" s="1"/>
  <c r="BL121" i="4"/>
  <c r="BB76" i="9" s="1"/>
  <c r="BL126" i="4"/>
  <c r="BB81" i="9" s="1"/>
  <c r="GU146" i="4"/>
  <c r="GU147" i="4" s="1"/>
  <c r="GU148" i="4" s="1"/>
  <c r="GU149" i="4" s="1"/>
  <c r="GU54" i="4"/>
  <c r="BC21" i="7"/>
  <c r="BC23" i="7" s="1"/>
  <c r="BC24" i="7" s="1"/>
  <c r="BC25" i="7" s="1"/>
  <c r="BC35" i="7" s="1"/>
  <c r="BI110" i="4" s="1"/>
  <c r="AY70" i="9" s="1"/>
  <c r="GQ14" i="7"/>
  <c r="GQ12" i="7"/>
  <c r="GQ13" i="7"/>
  <c r="BF112" i="4"/>
  <c r="BF113" i="4"/>
  <c r="AY68" i="9"/>
  <c r="GP15" i="7"/>
  <c r="BF9" i="7" s="1"/>
  <c r="BB21" i="7"/>
  <c r="BB23" i="7" s="1"/>
  <c r="BB24" i="7" s="1"/>
  <c r="BB25" i="7" s="1"/>
  <c r="BB35" i="7" s="1"/>
  <c r="BH110" i="4" s="1"/>
  <c r="BD18" i="7"/>
  <c r="BD20" i="7"/>
  <c r="BD19" i="7"/>
  <c r="BM49" i="4"/>
  <c r="BC57" i="9" s="1"/>
  <c r="BE91" i="4"/>
  <c r="BE128" i="4"/>
  <c r="BL137" i="4"/>
  <c r="BL136" i="4"/>
  <c r="GV118" i="4"/>
  <c r="BL107" i="4"/>
  <c r="BL98" i="4"/>
  <c r="BL105" i="4"/>
  <c r="GV92" i="4"/>
  <c r="GV97" i="4" s="1"/>
  <c r="BL96" i="4"/>
  <c r="BL138" i="4"/>
  <c r="BL102" i="4"/>
  <c r="BL106" i="4"/>
  <c r="BD54" i="9"/>
  <c r="BN231" i="4"/>
  <c r="BN252" i="4" s="1"/>
  <c r="GV152" i="4"/>
  <c r="BB57" i="9"/>
  <c r="GV28" i="4"/>
  <c r="GV44" i="4"/>
  <c r="GV27" i="4"/>
  <c r="GV26" i="4"/>
  <c r="GV37" i="4"/>
  <c r="BL37" i="4" s="1"/>
  <c r="GV30" i="4"/>
  <c r="GV43" i="4"/>
  <c r="GV47" i="4"/>
  <c r="GV34" i="4"/>
  <c r="BL34" i="4" s="1"/>
  <c r="GV42" i="4"/>
  <c r="GV41" i="4"/>
  <c r="GV48" i="4"/>
  <c r="GX2" i="4"/>
  <c r="BH2" i="7"/>
  <c r="BK139" i="4"/>
  <c r="BA90" i="9" s="1"/>
  <c r="AT83" i="9"/>
  <c r="BN23" i="4"/>
  <c r="BN199" i="4" s="1"/>
  <c r="GW23" i="4"/>
  <c r="BM89" i="4"/>
  <c r="BG5" i="7"/>
  <c r="BM31" i="4"/>
  <c r="BB94" i="9"/>
  <c r="BH10" i="7"/>
  <c r="BH14" i="7"/>
  <c r="BH12" i="7"/>
  <c r="BH13" i="7"/>
  <c r="BM95" i="4"/>
  <c r="GU96" i="4"/>
  <c r="BK99" i="4"/>
  <c r="GU150" i="4" s="1"/>
  <c r="GX117" i="4"/>
  <c r="GX116" i="4" s="1"/>
  <c r="GX94" i="4"/>
  <c r="GX93" i="4" s="1"/>
  <c r="GX126" i="4"/>
  <c r="GX129" i="4"/>
  <c r="GX123" i="4"/>
  <c r="GX89" i="4"/>
  <c r="GX122" i="4"/>
  <c r="GX121" i="4"/>
  <c r="GX53" i="4"/>
  <c r="GR3" i="7"/>
  <c r="GX201" i="4"/>
  <c r="GX125" i="4"/>
  <c r="GX57" i="4"/>
  <c r="GX198" i="4"/>
  <c r="GX127" i="4"/>
  <c r="BC67" i="9"/>
  <c r="BC53" i="9"/>
  <c r="BC55" i="9"/>
  <c r="BP3" i="4"/>
  <c r="GY3" i="4"/>
  <c r="BI3" i="7"/>
  <c r="BO83" i="4"/>
  <c r="BO2" i="4"/>
  <c r="BO70" i="4"/>
  <c r="BO198" i="4"/>
  <c r="BL129" i="4"/>
  <c r="BB84" i="9" s="1"/>
  <c r="BN44" i="4"/>
  <c r="BN28" i="4"/>
  <c r="BO22" i="4"/>
  <c r="GX22" i="4"/>
  <c r="BN26" i="4"/>
  <c r="BN43" i="4"/>
  <c r="BN27" i="4"/>
  <c r="BN88" i="4"/>
  <c r="BN30" i="4"/>
  <c r="BN47" i="4"/>
  <c r="BN42" i="4"/>
  <c r="BN41" i="4"/>
  <c r="BN48" i="4"/>
  <c r="BL127" i="4"/>
  <c r="BB82" i="9" s="1"/>
  <c r="AZ69" i="9"/>
  <c r="BE30" i="7"/>
  <c r="BE29" i="7"/>
  <c r="BE31" i="7"/>
  <c r="BE32" i="7"/>
  <c r="GW95" i="4"/>
  <c r="GW120" i="4" s="1"/>
  <c r="GW130" i="4" s="1"/>
  <c r="BM130" i="4" s="1"/>
  <c r="GW119" i="4"/>
  <c r="GW91" i="4"/>
  <c r="GW90" i="4" s="1"/>
  <c r="BM90" i="4" s="1"/>
  <c r="BM97" i="4" s="1"/>
  <c r="GW151" i="4"/>
  <c r="GW154" i="4"/>
  <c r="BO45" i="4" l="1"/>
  <c r="BO46" i="4"/>
  <c r="GW36" i="4"/>
  <c r="BM36" i="4" s="1"/>
  <c r="GW46" i="4"/>
  <c r="BK200" i="4"/>
  <c r="GV153" i="4"/>
  <c r="GV156" i="4" s="1"/>
  <c r="GV158" i="4" s="1"/>
  <c r="GV159" i="4" s="1"/>
  <c r="GV160" i="4" s="1"/>
  <c r="BK51" i="4"/>
  <c r="GW35" i="4"/>
  <c r="BM35" i="4" s="1"/>
  <c r="GW45" i="4"/>
  <c r="BC85" i="9"/>
  <c r="BG113" i="4"/>
  <c r="AW72" i="9" s="1"/>
  <c r="AW73" i="9" s="1"/>
  <c r="GU99" i="4"/>
  <c r="BK100" i="4" s="1"/>
  <c r="BK101" i="4" s="1"/>
  <c r="BK103" i="4" s="1"/>
  <c r="BL38" i="4"/>
  <c r="BB56" i="9" s="1"/>
  <c r="BB58" i="9" s="1"/>
  <c r="BF114" i="4"/>
  <c r="BF128" i="4" s="1"/>
  <c r="GV146" i="4"/>
  <c r="GV147" i="4" s="1"/>
  <c r="GV148" i="4" s="1"/>
  <c r="GV149" i="4" s="1"/>
  <c r="BL139" i="4"/>
  <c r="BB90" i="9" s="1"/>
  <c r="GV98" i="4"/>
  <c r="BN49" i="4"/>
  <c r="BD57" i="9" s="1"/>
  <c r="BI111" i="4"/>
  <c r="BI113" i="4" s="1"/>
  <c r="AY71" i="9"/>
  <c r="GW155" i="4"/>
  <c r="GW118" i="4"/>
  <c r="BM137" i="4"/>
  <c r="BM105" i="4"/>
  <c r="BM96" i="4"/>
  <c r="BM107" i="4"/>
  <c r="BM98" i="4"/>
  <c r="GW92" i="4"/>
  <c r="GW97" i="4" s="1"/>
  <c r="BM136" i="4"/>
  <c r="BM138" i="4"/>
  <c r="BM102" i="4"/>
  <c r="BM106" i="4"/>
  <c r="BM126" i="4"/>
  <c r="BC81" i="9" s="1"/>
  <c r="BM123" i="4"/>
  <c r="BC78" i="9" s="1"/>
  <c r="BM129" i="4"/>
  <c r="BC84" i="9" s="1"/>
  <c r="GW152" i="4"/>
  <c r="BM121" i="4"/>
  <c r="BC76" i="9" s="1"/>
  <c r="BM125" i="4"/>
  <c r="BC80" i="9" s="1"/>
  <c r="BM122" i="4"/>
  <c r="BC77" i="9" s="1"/>
  <c r="BM127" i="4"/>
  <c r="BC82" i="9" s="1"/>
  <c r="BI10" i="7"/>
  <c r="BI14" i="7"/>
  <c r="BI12" i="7"/>
  <c r="BI13" i="7"/>
  <c r="BD21" i="7"/>
  <c r="BD23" i="7" s="1"/>
  <c r="BD53" i="9"/>
  <c r="BD67" i="9"/>
  <c r="AX70" i="9"/>
  <c r="AX71" i="9" s="1"/>
  <c r="BH111" i="4"/>
  <c r="BC94" i="9"/>
  <c r="BN31" i="4"/>
  <c r="BD55" i="9" s="1"/>
  <c r="BH15" i="7"/>
  <c r="BL108" i="4"/>
  <c r="BB69" i="9" s="1"/>
  <c r="BF30" i="7"/>
  <c r="BF31" i="7"/>
  <c r="BF29" i="7"/>
  <c r="BF32" i="7"/>
  <c r="BQ3" i="4"/>
  <c r="GZ3" i="4"/>
  <c r="BP70" i="4"/>
  <c r="BP2" i="4"/>
  <c r="BJ3" i="7"/>
  <c r="BP83" i="4"/>
  <c r="BP198" i="4"/>
  <c r="BN95" i="4"/>
  <c r="BP22" i="4"/>
  <c r="BO44" i="4"/>
  <c r="BO28" i="4"/>
  <c r="GY22" i="4"/>
  <c r="BO88" i="4"/>
  <c r="BO27" i="4"/>
  <c r="BO26" i="4"/>
  <c r="BO43" i="4"/>
  <c r="BO30" i="4"/>
  <c r="BO47" i="4"/>
  <c r="BO42" i="4"/>
  <c r="BO41" i="4"/>
  <c r="BO48" i="4"/>
  <c r="GV96" i="4"/>
  <c r="BL99" i="4"/>
  <c r="GV150" i="4" s="1"/>
  <c r="AU83" i="9"/>
  <c r="AV72" i="9"/>
  <c r="AV73" i="9" s="1"/>
  <c r="BE33" i="7"/>
  <c r="BO23" i="4"/>
  <c r="BO199" i="4" s="1"/>
  <c r="GX23" i="4"/>
  <c r="BN89" i="4"/>
  <c r="BH5" i="7"/>
  <c r="GY94" i="4"/>
  <c r="GY93" i="4" s="1"/>
  <c r="GY117" i="4"/>
  <c r="GY116" i="4" s="1"/>
  <c r="GY201" i="4"/>
  <c r="GY129" i="4"/>
  <c r="GY126" i="4"/>
  <c r="GY198" i="4"/>
  <c r="GY125" i="4"/>
  <c r="GY121" i="4"/>
  <c r="GY123" i="4"/>
  <c r="GY127" i="4"/>
  <c r="GY122" i="4"/>
  <c r="GY53" i="4"/>
  <c r="GY89" i="4"/>
  <c r="GS3" i="7"/>
  <c r="GY57" i="4"/>
  <c r="GX119" i="4"/>
  <c r="GX95" i="4"/>
  <c r="GX120" i="4" s="1"/>
  <c r="GX130" i="4" s="1"/>
  <c r="BN130" i="4" s="1"/>
  <c r="GX91" i="4"/>
  <c r="GX90" i="4" s="1"/>
  <c r="BN90" i="4" s="1"/>
  <c r="BN97" i="4" s="1"/>
  <c r="GX151" i="4"/>
  <c r="GX154" i="4"/>
  <c r="GQ15" i="7"/>
  <c r="BG9" i="7" s="1"/>
  <c r="GR12" i="7"/>
  <c r="GR13" i="7"/>
  <c r="GR14" i="7"/>
  <c r="GW28" i="4"/>
  <c r="GW44" i="4"/>
  <c r="GW37" i="4"/>
  <c r="BM37" i="4" s="1"/>
  <c r="GW26" i="4"/>
  <c r="GW27" i="4"/>
  <c r="GW30" i="4"/>
  <c r="GW43" i="4"/>
  <c r="GW47" i="4"/>
  <c r="GW34" i="4"/>
  <c r="BM34" i="4" s="1"/>
  <c r="GW41" i="4"/>
  <c r="GW42" i="4"/>
  <c r="GW48" i="4"/>
  <c r="BE54" i="9"/>
  <c r="BO231" i="4"/>
  <c r="BO252" i="4" s="1"/>
  <c r="GY2" i="4"/>
  <c r="BI2" i="7"/>
  <c r="BP45" i="4" l="1"/>
  <c r="BP46" i="4"/>
  <c r="GX36" i="4"/>
  <c r="BN36" i="4" s="1"/>
  <c r="GX46" i="4"/>
  <c r="GX35" i="4"/>
  <c r="BN35" i="4" s="1"/>
  <c r="GX45" i="4"/>
  <c r="BL200" i="4"/>
  <c r="BL51" i="4"/>
  <c r="BO31" i="4"/>
  <c r="BE55" i="9" s="1"/>
  <c r="GV54" i="4"/>
  <c r="GX155" i="4"/>
  <c r="BF91" i="4"/>
  <c r="BG114" i="4"/>
  <c r="BG128" i="4" s="1"/>
  <c r="AW83" i="9" s="1"/>
  <c r="BM38" i="4"/>
  <c r="GW54" i="4" s="1"/>
  <c r="BN123" i="4"/>
  <c r="BN121" i="4"/>
  <c r="BD76" i="9" s="1"/>
  <c r="GV99" i="4"/>
  <c r="BL100" i="4" s="1"/>
  <c r="BL101" i="4" s="1"/>
  <c r="BL103" i="4" s="1"/>
  <c r="BI112" i="4"/>
  <c r="AY72" i="9" s="1"/>
  <c r="AY73" i="9" s="1"/>
  <c r="BM108" i="4"/>
  <c r="BC69" i="9" s="1"/>
  <c r="BP231" i="4"/>
  <c r="BP252" i="4" s="1"/>
  <c r="BF54" i="9"/>
  <c r="BP44" i="4"/>
  <c r="BQ22" i="4"/>
  <c r="BP28" i="4"/>
  <c r="BP88" i="4"/>
  <c r="BP43" i="4"/>
  <c r="BP26" i="4"/>
  <c r="BP27" i="4"/>
  <c r="GZ22" i="4"/>
  <c r="BP30" i="4"/>
  <c r="BP47" i="4"/>
  <c r="BP41" i="4"/>
  <c r="BP42" i="4"/>
  <c r="BP48" i="4"/>
  <c r="GX118" i="4"/>
  <c r="BN96" i="4"/>
  <c r="BN107" i="4"/>
  <c r="BN98" i="4"/>
  <c r="GX92" i="4"/>
  <c r="GX97" i="4" s="1"/>
  <c r="BN137" i="4"/>
  <c r="BN136" i="4"/>
  <c r="BN105" i="4"/>
  <c r="BN138" i="4"/>
  <c r="BN102" i="4"/>
  <c r="BN106" i="4"/>
  <c r="GR15" i="7"/>
  <c r="BH9" i="7" s="1"/>
  <c r="BG29" i="7"/>
  <c r="BG30" i="7"/>
  <c r="BG32" i="7"/>
  <c r="BG31" i="7"/>
  <c r="BN125" i="4"/>
  <c r="BD80" i="9" s="1"/>
  <c r="BJ10" i="7"/>
  <c r="BJ14" i="7"/>
  <c r="BJ12" i="7"/>
  <c r="BJ13" i="7"/>
  <c r="GW153" i="4"/>
  <c r="GW156" i="4" s="1"/>
  <c r="GW158" i="4" s="1"/>
  <c r="GW159" i="4" s="1"/>
  <c r="GW160" i="4" s="1"/>
  <c r="BJ2" i="7"/>
  <c r="GZ2" i="4"/>
  <c r="GZ94" i="4"/>
  <c r="GZ93" i="4" s="1"/>
  <c r="GZ117" i="4"/>
  <c r="GZ116" i="4" s="1"/>
  <c r="GZ198" i="4"/>
  <c r="GZ53" i="4"/>
  <c r="GZ125" i="4"/>
  <c r="GZ123" i="4"/>
  <c r="GZ57" i="4"/>
  <c r="GZ129" i="4"/>
  <c r="GZ201" i="4"/>
  <c r="GT3" i="7"/>
  <c r="GZ89" i="4"/>
  <c r="GZ121" i="4"/>
  <c r="GZ126" i="4"/>
  <c r="GZ122" i="4"/>
  <c r="GZ127" i="4"/>
  <c r="BR3" i="4"/>
  <c r="HA3" i="4"/>
  <c r="BQ70" i="4"/>
  <c r="BQ2" i="4"/>
  <c r="BK3" i="7"/>
  <c r="BQ83" i="4"/>
  <c r="BQ198" i="4"/>
  <c r="BN126" i="4"/>
  <c r="BD81" i="9" s="1"/>
  <c r="BA68" i="9"/>
  <c r="BD94" i="9"/>
  <c r="BD78" i="9"/>
  <c r="BE67" i="9"/>
  <c r="BE53" i="9"/>
  <c r="GX152" i="4"/>
  <c r="BO49" i="4"/>
  <c r="BD24" i="7"/>
  <c r="BD25" i="7" s="1"/>
  <c r="BD35" i="7" s="1"/>
  <c r="BJ110" i="4" s="1"/>
  <c r="BD85" i="9"/>
  <c r="BI15" i="7"/>
  <c r="BM139" i="4"/>
  <c r="BC90" i="9" s="1"/>
  <c r="GW146" i="4"/>
  <c r="GW147" i="4" s="1"/>
  <c r="GW148" i="4" s="1"/>
  <c r="GW149" i="4" s="1"/>
  <c r="GW96" i="4"/>
  <c r="BP23" i="4"/>
  <c r="GY23" i="4"/>
  <c r="BI5" i="7"/>
  <c r="BO89" i="4"/>
  <c r="BF33" i="7"/>
  <c r="GW98" i="4"/>
  <c r="BH113" i="4"/>
  <c r="BH112" i="4"/>
  <c r="AV83" i="9"/>
  <c r="BM99" i="4"/>
  <c r="GW150" i="4" s="1"/>
  <c r="GX28" i="4"/>
  <c r="GX44" i="4"/>
  <c r="GX26" i="4"/>
  <c r="GX27" i="4"/>
  <c r="GX37" i="4"/>
  <c r="BN37" i="4" s="1"/>
  <c r="GX43" i="4"/>
  <c r="GX30" i="4"/>
  <c r="GX47" i="4"/>
  <c r="GX34" i="4"/>
  <c r="BN34" i="4" s="1"/>
  <c r="GX42" i="4"/>
  <c r="GX41" i="4"/>
  <c r="GX48" i="4"/>
  <c r="GS12" i="7"/>
  <c r="GS14" i="7"/>
  <c r="GS13" i="7"/>
  <c r="GY119" i="4"/>
  <c r="GY95" i="4"/>
  <c r="GY120" i="4" s="1"/>
  <c r="GY130" i="4" s="1"/>
  <c r="BO130" i="4" s="1"/>
  <c r="GY91" i="4"/>
  <c r="GY90" i="4" s="1"/>
  <c r="BO90" i="4" s="1"/>
  <c r="BO97" i="4" s="1"/>
  <c r="GY151" i="4"/>
  <c r="GY154" i="4"/>
  <c r="BN122" i="4"/>
  <c r="BD77" i="9" s="1"/>
  <c r="BE19" i="7"/>
  <c r="BE20" i="7"/>
  <c r="BE18" i="7"/>
  <c r="BO95" i="4"/>
  <c r="BN127" i="4"/>
  <c r="BD82" i="9" s="1"/>
  <c r="BN129" i="4"/>
  <c r="BD84" i="9" s="1"/>
  <c r="GY36" i="4" l="1"/>
  <c r="BO36" i="4" s="1"/>
  <c r="GY46" i="4"/>
  <c r="BQ45" i="4"/>
  <c r="BQ46" i="4"/>
  <c r="GX153" i="4"/>
  <c r="GX156" i="4" s="1"/>
  <c r="GX158" i="4" s="1"/>
  <c r="GX159" i="4" s="1"/>
  <c r="GX160" i="4" s="1"/>
  <c r="GY35" i="4"/>
  <c r="BO35" i="4" s="1"/>
  <c r="GY45" i="4"/>
  <c r="BG91" i="4"/>
  <c r="BC56" i="9"/>
  <c r="BC58" i="9" s="1"/>
  <c r="BM200" i="4"/>
  <c r="BM51" i="4"/>
  <c r="BI114" i="4"/>
  <c r="BI128" i="4" s="1"/>
  <c r="AY83" i="9" s="1"/>
  <c r="BN139" i="4"/>
  <c r="BD90" i="9" s="1"/>
  <c r="GX146" i="4"/>
  <c r="GX147" i="4" s="1"/>
  <c r="GX148" i="4" s="1"/>
  <c r="GX149" i="4" s="1"/>
  <c r="GX98" i="4"/>
  <c r="GY118" i="4"/>
  <c r="GY92" i="4"/>
  <c r="GY97" i="4" s="1"/>
  <c r="BO107" i="4"/>
  <c r="BO136" i="4"/>
  <c r="BO105" i="4"/>
  <c r="BO137" i="4"/>
  <c r="BO98" i="4"/>
  <c r="GY98" i="4" s="1"/>
  <c r="BO96" i="4"/>
  <c r="BO138" i="4"/>
  <c r="BO102" i="4"/>
  <c r="BO106" i="4"/>
  <c r="BO123" i="4"/>
  <c r="BE78" i="9" s="1"/>
  <c r="BO126" i="4"/>
  <c r="BE81" i="9" s="1"/>
  <c r="BO121" i="4"/>
  <c r="BE76" i="9" s="1"/>
  <c r="BO125" i="4"/>
  <c r="GY152" i="4"/>
  <c r="BO122" i="4"/>
  <c r="BE77" i="9" s="1"/>
  <c r="BO127" i="4"/>
  <c r="BE82" i="9" s="1"/>
  <c r="BO129" i="4"/>
  <c r="BE84" i="9" s="1"/>
  <c r="BE80" i="9"/>
  <c r="BE94" i="9"/>
  <c r="BH32" i="7"/>
  <c r="BH29" i="7"/>
  <c r="BH31" i="7"/>
  <c r="BH30" i="7"/>
  <c r="BN108" i="4"/>
  <c r="BD69" i="9" s="1"/>
  <c r="BP31" i="4"/>
  <c r="GZ23" i="4"/>
  <c r="BQ23" i="4"/>
  <c r="BQ199" i="4" s="1"/>
  <c r="BP89" i="4"/>
  <c r="BJ5" i="7"/>
  <c r="BK10" i="7"/>
  <c r="BK14" i="7"/>
  <c r="BK12" i="7"/>
  <c r="BK13" i="7"/>
  <c r="BN38" i="4"/>
  <c r="BK2" i="7"/>
  <c r="HA2" i="4"/>
  <c r="BP95" i="4"/>
  <c r="GY44" i="4"/>
  <c r="GY28" i="4"/>
  <c r="GY27" i="4"/>
  <c r="GY37" i="4"/>
  <c r="BO37" i="4" s="1"/>
  <c r="GY26" i="4"/>
  <c r="GY43" i="4"/>
  <c r="GY30" i="4"/>
  <c r="GY47" i="4"/>
  <c r="GY34" i="4"/>
  <c r="BO34" i="4" s="1"/>
  <c r="GY42" i="4"/>
  <c r="GY41" i="4"/>
  <c r="GY48" i="4"/>
  <c r="GW99" i="4"/>
  <c r="BM100" i="4" s="1"/>
  <c r="BM101" i="4" s="1"/>
  <c r="BM103" i="4" s="1"/>
  <c r="HA94" i="4"/>
  <c r="HA93" i="4" s="1"/>
  <c r="HA117" i="4"/>
  <c r="HA116" i="4" s="1"/>
  <c r="GU3" i="7"/>
  <c r="HA127" i="4"/>
  <c r="HA123" i="4"/>
  <c r="HA121" i="4"/>
  <c r="HA57" i="4"/>
  <c r="HA129" i="4"/>
  <c r="HA198" i="4"/>
  <c r="HA201" i="4"/>
  <c r="HA89" i="4"/>
  <c r="HA125" i="4"/>
  <c r="HA126" i="4"/>
  <c r="HA122" i="4"/>
  <c r="HA53" i="4"/>
  <c r="BR22" i="4"/>
  <c r="BQ44" i="4"/>
  <c r="BQ28" i="4"/>
  <c r="BQ43" i="4"/>
  <c r="HA22" i="4"/>
  <c r="BQ27" i="4"/>
  <c r="BQ26" i="4"/>
  <c r="BQ88" i="4"/>
  <c r="BQ30" i="4"/>
  <c r="BQ47" i="4"/>
  <c r="BQ41" i="4"/>
  <c r="BQ42" i="4"/>
  <c r="BQ48" i="4"/>
  <c r="BE21" i="7"/>
  <c r="BE23" i="7" s="1"/>
  <c r="BS3" i="4"/>
  <c r="HB3" i="4"/>
  <c r="BR2" i="4"/>
  <c r="BL3" i="7"/>
  <c r="BR70" i="4"/>
  <c r="BR83" i="4"/>
  <c r="BR198" i="4"/>
  <c r="BF18" i="7"/>
  <c r="BF19" i="7"/>
  <c r="BF20" i="7"/>
  <c r="GS15" i="7"/>
  <c r="BI9" i="7" s="1"/>
  <c r="AZ70" i="9"/>
  <c r="AZ71" i="9" s="1"/>
  <c r="BJ111" i="4"/>
  <c r="BJ15" i="7"/>
  <c r="GY155" i="4"/>
  <c r="GX96" i="4"/>
  <c r="BN99" i="4"/>
  <c r="GX150" i="4" s="1"/>
  <c r="BF67" i="9"/>
  <c r="BF53" i="9"/>
  <c r="BP199" i="4"/>
  <c r="BG54" i="9"/>
  <c r="BQ231" i="4"/>
  <c r="BQ252" i="4" s="1"/>
  <c r="GZ95" i="4"/>
  <c r="GZ120" i="4" s="1"/>
  <c r="GZ130" i="4" s="1"/>
  <c r="BP130" i="4" s="1"/>
  <c r="GZ119" i="4"/>
  <c r="GZ91" i="4"/>
  <c r="GZ90" i="4" s="1"/>
  <c r="BP90" i="4" s="1"/>
  <c r="BP97" i="4" s="1"/>
  <c r="GZ151" i="4"/>
  <c r="GZ154" i="4"/>
  <c r="BG33" i="7"/>
  <c r="GT12" i="7"/>
  <c r="GT14" i="7"/>
  <c r="GT13" i="7"/>
  <c r="BP49" i="4"/>
  <c r="BF57" i="9" s="1"/>
  <c r="BE85" i="9"/>
  <c r="BB68" i="9"/>
  <c r="BH114" i="4"/>
  <c r="AX72" i="9"/>
  <c r="AX73" i="9" s="1"/>
  <c r="BE57" i="9"/>
  <c r="GZ36" i="4" l="1"/>
  <c r="BP36" i="4" s="1"/>
  <c r="GZ46" i="4"/>
  <c r="BR45" i="4"/>
  <c r="BR46" i="4"/>
  <c r="GY153" i="4"/>
  <c r="GY156" i="4" s="1"/>
  <c r="GY158" i="4" s="1"/>
  <c r="GY159" i="4" s="1"/>
  <c r="GY160" i="4" s="1"/>
  <c r="GZ35" i="4"/>
  <c r="BP35" i="4" s="1"/>
  <c r="GZ45" i="4"/>
  <c r="BF85" i="9"/>
  <c r="BQ31" i="4"/>
  <c r="BG55" i="9" s="1"/>
  <c r="BI91" i="4"/>
  <c r="BO108" i="4"/>
  <c r="BE69" i="9" s="1"/>
  <c r="GY146" i="4"/>
  <c r="GY147" i="4" s="1"/>
  <c r="GY148" i="4" s="1"/>
  <c r="GY149" i="4" s="1"/>
  <c r="GX99" i="4"/>
  <c r="BN100" i="4" s="1"/>
  <c r="BN101" i="4" s="1"/>
  <c r="BN103" i="4" s="1"/>
  <c r="BF21" i="7"/>
  <c r="BF23" i="7" s="1"/>
  <c r="BF24" i="7" s="1"/>
  <c r="BF25" i="7" s="1"/>
  <c r="BF35" i="7" s="1"/>
  <c r="BL110" i="4" s="1"/>
  <c r="BH33" i="7"/>
  <c r="BH19" i="7" s="1"/>
  <c r="BC68" i="9"/>
  <c r="GZ118" i="4"/>
  <c r="BP98" i="4"/>
  <c r="BP107" i="4"/>
  <c r="BP137" i="4"/>
  <c r="BP136" i="4"/>
  <c r="BP96" i="4"/>
  <c r="GZ92" i="4"/>
  <c r="GZ97" i="4" s="1"/>
  <c r="BP105" i="4"/>
  <c r="BP138" i="4"/>
  <c r="BP102" i="4"/>
  <c r="BP106" i="4"/>
  <c r="BP121" i="4"/>
  <c r="BP125" i="4"/>
  <c r="BF80" i="9" s="1"/>
  <c r="BP127" i="4"/>
  <c r="BF82" i="9" s="1"/>
  <c r="BP122" i="4"/>
  <c r="BF77" i="9" s="1"/>
  <c r="BP129" i="4"/>
  <c r="BF84" i="9" s="1"/>
  <c r="BP126" i="4"/>
  <c r="BF81" i="9" s="1"/>
  <c r="GZ152" i="4"/>
  <c r="BP123" i="4"/>
  <c r="BF78" i="9" s="1"/>
  <c r="BR44" i="4"/>
  <c r="BS22" i="4"/>
  <c r="BR28" i="4"/>
  <c r="HB22" i="4"/>
  <c r="BR43" i="4"/>
  <c r="BR88" i="4"/>
  <c r="BR26" i="4"/>
  <c r="BR27" i="4"/>
  <c r="BR30" i="4"/>
  <c r="BR47" i="4"/>
  <c r="BR42" i="4"/>
  <c r="BR41" i="4"/>
  <c r="BR48" i="4"/>
  <c r="HA23" i="4"/>
  <c r="BR23" i="4"/>
  <c r="BQ89" i="4"/>
  <c r="BK5" i="7"/>
  <c r="GZ155" i="4"/>
  <c r="BF94" i="9"/>
  <c r="BL10" i="7"/>
  <c r="BL14" i="7"/>
  <c r="BL12" i="7"/>
  <c r="BL13" i="7"/>
  <c r="GZ44" i="4"/>
  <c r="GZ26" i="4"/>
  <c r="GZ27" i="4"/>
  <c r="GZ34" i="4"/>
  <c r="BP34" i="4" s="1"/>
  <c r="GZ37" i="4"/>
  <c r="BP37" i="4" s="1"/>
  <c r="GZ43" i="4"/>
  <c r="GZ30" i="4"/>
  <c r="GZ47" i="4"/>
  <c r="GZ28" i="4"/>
  <c r="GZ42" i="4"/>
  <c r="GZ41" i="4"/>
  <c r="GZ48" i="4"/>
  <c r="HB2" i="4"/>
  <c r="BL2" i="7"/>
  <c r="BT3" i="4"/>
  <c r="HC3" i="4"/>
  <c r="BS83" i="4"/>
  <c r="BS70" i="4"/>
  <c r="BS2" i="4"/>
  <c r="BM3" i="7"/>
  <c r="BS198" i="4"/>
  <c r="GU14" i="7"/>
  <c r="GU13" i="7"/>
  <c r="GU12" i="7"/>
  <c r="HB117" i="4"/>
  <c r="HB116" i="4" s="1"/>
  <c r="HB94" i="4"/>
  <c r="HB93" i="4" s="1"/>
  <c r="HB123" i="4"/>
  <c r="HB121" i="4"/>
  <c r="HB53" i="4"/>
  <c r="HB201" i="4"/>
  <c r="HB125" i="4"/>
  <c r="HB126" i="4"/>
  <c r="HB127" i="4"/>
  <c r="HB129" i="4"/>
  <c r="GV3" i="7"/>
  <c r="HB89" i="4"/>
  <c r="HB122" i="4"/>
  <c r="HB57" i="4"/>
  <c r="HB198" i="4"/>
  <c r="GT15" i="7"/>
  <c r="BJ9" i="7" s="1"/>
  <c r="BE24" i="7"/>
  <c r="BE25" i="7" s="1"/>
  <c r="BE35" i="7" s="1"/>
  <c r="BK110" i="4" s="1"/>
  <c r="BQ49" i="4"/>
  <c r="BJ113" i="4"/>
  <c r="BJ112" i="4"/>
  <c r="BR231" i="4"/>
  <c r="BR252" i="4" s="1"/>
  <c r="BH54" i="9"/>
  <c r="HA119" i="4"/>
  <c r="HA95" i="4"/>
  <c r="HA120" i="4" s="1"/>
  <c r="HA130" i="4" s="1"/>
  <c r="BQ130" i="4" s="1"/>
  <c r="HA91" i="4"/>
  <c r="HA90" i="4" s="1"/>
  <c r="BQ90" i="4" s="1"/>
  <c r="BQ97" i="4" s="1"/>
  <c r="HA151" i="4"/>
  <c r="HA154" i="4"/>
  <c r="BH91" i="4"/>
  <c r="BH128" i="4"/>
  <c r="BQ95" i="4"/>
  <c r="GY96" i="4"/>
  <c r="BO99" i="4"/>
  <c r="GY150" i="4" s="1"/>
  <c r="BI29" i="7"/>
  <c r="BI30" i="7"/>
  <c r="BI31" i="7"/>
  <c r="BI32" i="7"/>
  <c r="BD56" i="9"/>
  <c r="BD58" i="9" s="1"/>
  <c r="GX54" i="4"/>
  <c r="BN51" i="4"/>
  <c r="BN200" i="4"/>
  <c r="BG53" i="9"/>
  <c r="BG67" i="9"/>
  <c r="BK15" i="7"/>
  <c r="BO139" i="4"/>
  <c r="BE90" i="9" s="1"/>
  <c r="BG20" i="7"/>
  <c r="BG19" i="7"/>
  <c r="BG18" i="7"/>
  <c r="BF55" i="9"/>
  <c r="BO38" i="4"/>
  <c r="BS45" i="4" l="1"/>
  <c r="BS46" i="4"/>
  <c r="HA36" i="4"/>
  <c r="BQ36" i="4" s="1"/>
  <c r="HA46" i="4"/>
  <c r="HA35" i="4"/>
  <c r="BQ35" i="4" s="1"/>
  <c r="HA45" i="4"/>
  <c r="BH20" i="7"/>
  <c r="BH18" i="7"/>
  <c r="GY99" i="4"/>
  <c r="BO100" i="4" s="1"/>
  <c r="BO101" i="4" s="1"/>
  <c r="BO103" i="4" s="1"/>
  <c r="BE68" i="9" s="1"/>
  <c r="BL15" i="7"/>
  <c r="BG85" i="9"/>
  <c r="HA155" i="4"/>
  <c r="BP108" i="4"/>
  <c r="BF69" i="9" s="1"/>
  <c r="BP38" i="4"/>
  <c r="BF56" i="9" s="1"/>
  <c r="BF58" i="9" s="1"/>
  <c r="BQ121" i="4"/>
  <c r="BQ122" i="4"/>
  <c r="BG77" i="9" s="1"/>
  <c r="BQ123" i="4"/>
  <c r="BQ129" i="4"/>
  <c r="BG84" i="9" s="1"/>
  <c r="BP139" i="4"/>
  <c r="BF90" i="9" s="1"/>
  <c r="GZ146" i="4"/>
  <c r="GZ147" i="4" s="1"/>
  <c r="GZ148" i="4" s="1"/>
  <c r="GZ149" i="4" s="1"/>
  <c r="BP51" i="4"/>
  <c r="GZ98" i="4"/>
  <c r="BP200" i="4"/>
  <c r="BB70" i="9"/>
  <c r="BB71" i="9" s="1"/>
  <c r="BL111" i="4"/>
  <c r="BG21" i="7"/>
  <c r="BG23" i="7" s="1"/>
  <c r="BG24" i="7" s="1"/>
  <c r="BG25" i="7" s="1"/>
  <c r="BG35" i="7" s="1"/>
  <c r="BM110" i="4" s="1"/>
  <c r="HC117" i="4"/>
  <c r="HC116" i="4" s="1"/>
  <c r="HC94" i="4"/>
  <c r="HC93" i="4" s="1"/>
  <c r="HC201" i="4"/>
  <c r="HC198" i="4"/>
  <c r="HC89" i="4"/>
  <c r="HC126" i="4"/>
  <c r="HC121" i="4"/>
  <c r="HC57" i="4"/>
  <c r="GW3" i="7"/>
  <c r="HC125" i="4"/>
  <c r="HC122" i="4"/>
  <c r="HC123" i="4"/>
  <c r="HC53" i="4"/>
  <c r="HC129" i="4"/>
  <c r="HC127" i="4"/>
  <c r="BQ96" i="4"/>
  <c r="BQ107" i="4"/>
  <c r="BQ105" i="4"/>
  <c r="BQ98" i="4"/>
  <c r="HA92" i="4"/>
  <c r="HA97" i="4" s="1"/>
  <c r="HA118" i="4"/>
  <c r="BQ136" i="4"/>
  <c r="BQ137" i="4"/>
  <c r="BQ138" i="4"/>
  <c r="BQ102" i="4"/>
  <c r="BQ106" i="4"/>
  <c r="BJ114" i="4"/>
  <c r="AZ72" i="9"/>
  <c r="AZ73" i="9" s="1"/>
  <c r="HD3" i="4"/>
  <c r="BU3" i="4"/>
  <c r="BN3" i="7"/>
  <c r="BT2" i="4"/>
  <c r="BT83" i="4"/>
  <c r="BT70" i="4"/>
  <c r="BT198" i="4"/>
  <c r="HB23" i="4"/>
  <c r="BS23" i="4"/>
  <c r="BL5" i="7"/>
  <c r="BR89" i="4"/>
  <c r="HA28" i="4"/>
  <c r="HA26" i="4"/>
  <c r="HA27" i="4"/>
  <c r="HA37" i="4"/>
  <c r="BQ37" i="4" s="1"/>
  <c r="HA30" i="4"/>
  <c r="HA47" i="4"/>
  <c r="HA43" i="4"/>
  <c r="HA44" i="4"/>
  <c r="HA34" i="4"/>
  <c r="BQ34" i="4" s="1"/>
  <c r="HA42" i="4"/>
  <c r="HA41" i="4"/>
  <c r="HA48" i="4"/>
  <c r="BR49" i="4"/>
  <c r="BH57" i="9" s="1"/>
  <c r="HA152" i="4"/>
  <c r="AX83" i="9"/>
  <c r="BG94" i="9"/>
  <c r="BG78" i="9"/>
  <c r="BG76" i="9"/>
  <c r="BA70" i="9"/>
  <c r="BA71" i="9" s="1"/>
  <c r="BK111" i="4"/>
  <c r="BR31" i="4"/>
  <c r="BH55" i="9" s="1"/>
  <c r="GZ96" i="4"/>
  <c r="BP99" i="4"/>
  <c r="GZ150" i="4" s="1"/>
  <c r="BG57" i="9"/>
  <c r="BR95" i="4"/>
  <c r="BS28" i="4"/>
  <c r="BT22" i="4"/>
  <c r="BS44" i="4"/>
  <c r="BS88" i="4"/>
  <c r="BS27" i="4"/>
  <c r="BS26" i="4"/>
  <c r="BS43" i="4"/>
  <c r="HC22" i="4"/>
  <c r="BS30" i="4"/>
  <c r="BS47" i="4"/>
  <c r="BS41" i="4"/>
  <c r="BS42" i="4"/>
  <c r="BS48" i="4"/>
  <c r="GU15" i="7"/>
  <c r="BK9" i="7" s="1"/>
  <c r="BQ127" i="4"/>
  <c r="BG82" i="9" s="1"/>
  <c r="BQ126" i="4"/>
  <c r="BG81" i="9" s="1"/>
  <c r="BQ125" i="4"/>
  <c r="BG80" i="9" s="1"/>
  <c r="HB119" i="4"/>
  <c r="HB95" i="4"/>
  <c r="HB120" i="4" s="1"/>
  <c r="HB130" i="4" s="1"/>
  <c r="BR130" i="4" s="1"/>
  <c r="HB91" i="4"/>
  <c r="HB90" i="4" s="1"/>
  <c r="BR90" i="4" s="1"/>
  <c r="BR97" i="4" s="1"/>
  <c r="HB151" i="4"/>
  <c r="HB154" i="4"/>
  <c r="BI54" i="9"/>
  <c r="BS231" i="4"/>
  <c r="BS252" i="4" s="1"/>
  <c r="BD68" i="9"/>
  <c r="BR199" i="4"/>
  <c r="BM10" i="7"/>
  <c r="BM14" i="7"/>
  <c r="BM12" i="7"/>
  <c r="BM13" i="7"/>
  <c r="BI33" i="7"/>
  <c r="GZ153" i="4"/>
  <c r="GZ156" i="4" s="1"/>
  <c r="BJ29" i="7"/>
  <c r="BJ32" i="7"/>
  <c r="BJ30" i="7"/>
  <c r="BJ31" i="7"/>
  <c r="GV12" i="7"/>
  <c r="GV13" i="7"/>
  <c r="GV14" i="7"/>
  <c r="BE56" i="9"/>
  <c r="BE58" i="9" s="1"/>
  <c r="BO200" i="4"/>
  <c r="BO51" i="4"/>
  <c r="GY54" i="4"/>
  <c r="BH53" i="9"/>
  <c r="BH67" i="9"/>
  <c r="BM2" i="7"/>
  <c r="HC2" i="4"/>
  <c r="BF76" i="9"/>
  <c r="BH21" i="7" l="1"/>
  <c r="BH23" i="7" s="1"/>
  <c r="BH24" i="7" s="1"/>
  <c r="BH25" i="7" s="1"/>
  <c r="BH35" i="7" s="1"/>
  <c r="BN110" i="4" s="1"/>
  <c r="BD70" i="9" s="1"/>
  <c r="HB36" i="4"/>
  <c r="BR36" i="4" s="1"/>
  <c r="HB46" i="4"/>
  <c r="BT45" i="4"/>
  <c r="BT46" i="4"/>
  <c r="HA153" i="4"/>
  <c r="HA156" i="4" s="1"/>
  <c r="HA158" i="4" s="1"/>
  <c r="HA159" i="4" s="1"/>
  <c r="HA160" i="4" s="1"/>
  <c r="HB35" i="4"/>
  <c r="BR35" i="4" s="1"/>
  <c r="HB45" i="4"/>
  <c r="GZ54" i="4"/>
  <c r="BQ38" i="4"/>
  <c r="HA54" i="4" s="1"/>
  <c r="BH85" i="9"/>
  <c r="BQ139" i="4"/>
  <c r="BG90" i="9" s="1"/>
  <c r="HA146" i="4"/>
  <c r="HA147" i="4" s="1"/>
  <c r="HA148" i="4" s="1"/>
  <c r="HA149" i="4" s="1"/>
  <c r="HA98" i="4"/>
  <c r="BQ108" i="4"/>
  <c r="BG69" i="9" s="1"/>
  <c r="GZ99" i="4"/>
  <c r="BP100" i="4" s="1"/>
  <c r="BL113" i="4"/>
  <c r="BL112" i="4"/>
  <c r="BR98" i="4"/>
  <c r="BR107" i="4"/>
  <c r="BR105" i="4"/>
  <c r="BR136" i="4"/>
  <c r="BR96" i="4"/>
  <c r="BR137" i="4"/>
  <c r="HB92" i="4"/>
  <c r="HB97" i="4" s="1"/>
  <c r="HB118" i="4"/>
  <c r="BR138" i="4"/>
  <c r="BR102" i="4"/>
  <c r="BR106" i="4"/>
  <c r="HB152" i="4"/>
  <c r="BR125" i="4"/>
  <c r="BH80" i="9" s="1"/>
  <c r="BR123" i="4"/>
  <c r="BH78" i="9" s="1"/>
  <c r="BR129" i="4"/>
  <c r="BH84" i="9" s="1"/>
  <c r="BR121" i="4"/>
  <c r="BR122" i="4"/>
  <c r="BH77" i="9" s="1"/>
  <c r="BR127" i="4"/>
  <c r="BH82" i="9" s="1"/>
  <c r="BR126" i="4"/>
  <c r="BH81" i="9" s="1"/>
  <c r="HD2" i="4"/>
  <c r="BN2" i="7"/>
  <c r="BN10" i="7"/>
  <c r="BN14" i="7"/>
  <c r="BN12" i="7"/>
  <c r="BN13" i="7"/>
  <c r="HE3" i="4"/>
  <c r="BV3" i="4"/>
  <c r="BO3" i="7"/>
  <c r="BU2" i="4"/>
  <c r="BU70" i="4"/>
  <c r="BU83" i="4"/>
  <c r="BU198" i="4"/>
  <c r="BM15" i="7"/>
  <c r="BT44" i="4"/>
  <c r="BU22" i="4"/>
  <c r="BT28" i="4"/>
  <c r="HD22" i="4"/>
  <c r="BT43" i="4"/>
  <c r="BT27" i="4"/>
  <c r="BT88" i="4"/>
  <c r="BT26" i="4"/>
  <c r="BT30" i="4"/>
  <c r="BT47" i="4"/>
  <c r="BT41" i="4"/>
  <c r="BT42" i="4"/>
  <c r="BT48" i="4"/>
  <c r="BJ128" i="4"/>
  <c r="BJ91" i="4"/>
  <c r="BI18" i="7"/>
  <c r="BI19" i="7"/>
  <c r="BI20" i="7"/>
  <c r="HD117" i="4"/>
  <c r="HD116" i="4" s="1"/>
  <c r="HD94" i="4"/>
  <c r="HD93" i="4" s="1"/>
  <c r="HD129" i="4"/>
  <c r="HD89" i="4"/>
  <c r="HD125" i="4"/>
  <c r="HD53" i="4"/>
  <c r="HD126" i="4"/>
  <c r="HD123" i="4"/>
  <c r="HD57" i="4"/>
  <c r="HD198" i="4"/>
  <c r="HD201" i="4"/>
  <c r="GX3" i="7"/>
  <c r="HD121" i="4"/>
  <c r="HD122" i="4"/>
  <c r="HD127" i="4"/>
  <c r="BS95" i="4"/>
  <c r="BS31" i="4"/>
  <c r="BI55" i="9" s="1"/>
  <c r="HC95" i="4"/>
  <c r="HC120" i="4" s="1"/>
  <c r="HC130" i="4" s="1"/>
  <c r="BS130" i="4" s="1"/>
  <c r="HC119" i="4"/>
  <c r="HC91" i="4"/>
  <c r="HC90" i="4" s="1"/>
  <c r="BS90" i="4" s="1"/>
  <c r="BS97" i="4" s="1"/>
  <c r="HC151" i="4"/>
  <c r="HC154" i="4"/>
  <c r="BD71" i="9"/>
  <c r="BK31" i="7"/>
  <c r="BK30" i="7"/>
  <c r="BK32" i="7"/>
  <c r="BK29" i="7"/>
  <c r="BS49" i="4"/>
  <c r="BK112" i="4"/>
  <c r="BK113" i="4"/>
  <c r="GW14" i="7"/>
  <c r="GW13" i="7"/>
  <c r="GW12" i="7"/>
  <c r="GZ158" i="4"/>
  <c r="GZ159" i="4" s="1"/>
  <c r="BT23" i="4"/>
  <c r="BT199" i="4" s="1"/>
  <c r="HC23" i="4"/>
  <c r="BS89" i="4"/>
  <c r="BM5" i="7"/>
  <c r="BC70" i="9"/>
  <c r="BC71" i="9" s="1"/>
  <c r="BM111" i="4"/>
  <c r="BH94" i="9"/>
  <c r="HB44" i="4"/>
  <c r="HB27" i="4"/>
  <c r="HB37" i="4"/>
  <c r="BR37" i="4" s="1"/>
  <c r="HB26" i="4"/>
  <c r="HB47" i="4"/>
  <c r="HB43" i="4"/>
  <c r="HB30" i="4"/>
  <c r="HB34" i="4"/>
  <c r="BR34" i="4" s="1"/>
  <c r="HB28" i="4"/>
  <c r="HB42" i="4"/>
  <c r="HB41" i="4"/>
  <c r="HB48" i="4"/>
  <c r="HA96" i="4"/>
  <c r="BQ99" i="4"/>
  <c r="HA150" i="4" s="1"/>
  <c r="GV15" i="7"/>
  <c r="BL9" i="7" s="1"/>
  <c r="BI67" i="9"/>
  <c r="BI53" i="9"/>
  <c r="BS199" i="4"/>
  <c r="BJ33" i="7"/>
  <c r="HB155" i="4"/>
  <c r="BT231" i="4"/>
  <c r="BT252" i="4" s="1"/>
  <c r="BJ54" i="9"/>
  <c r="BN111" i="4" l="1"/>
  <c r="BN113" i="4" s="1"/>
  <c r="HC36" i="4"/>
  <c r="BS36" i="4" s="1"/>
  <c r="HC46" i="4"/>
  <c r="BU45" i="4"/>
  <c r="BU46" i="4"/>
  <c r="BG56" i="9"/>
  <c r="BG58" i="9" s="1"/>
  <c r="BP101" i="4"/>
  <c r="BP103" i="4" s="1"/>
  <c r="BF68" i="9" s="1"/>
  <c r="GZ160" i="4"/>
  <c r="HB153" i="4"/>
  <c r="HB156" i="4" s="1"/>
  <c r="HB158" i="4" s="1"/>
  <c r="HB159" i="4" s="1"/>
  <c r="HB160" i="4" s="1"/>
  <c r="BQ200" i="4"/>
  <c r="HC35" i="4"/>
  <c r="BS35" i="4" s="1"/>
  <c r="HC45" i="4"/>
  <c r="BQ51" i="4"/>
  <c r="BT31" i="4"/>
  <c r="BJ55" i="9" s="1"/>
  <c r="HA99" i="4"/>
  <c r="BQ100" i="4" s="1"/>
  <c r="BQ101" i="4" s="1"/>
  <c r="BQ103" i="4" s="1"/>
  <c r="BR108" i="4"/>
  <c r="BH69" i="9" s="1"/>
  <c r="BS126" i="4"/>
  <c r="BI81" i="9" s="1"/>
  <c r="BR38" i="4"/>
  <c r="BH56" i="9" s="1"/>
  <c r="BH58" i="9" s="1"/>
  <c r="BI21" i="7"/>
  <c r="BI23" i="7" s="1"/>
  <c r="BI24" i="7" s="1"/>
  <c r="BI25" i="7" s="1"/>
  <c r="BI35" i="7" s="1"/>
  <c r="BO110" i="4" s="1"/>
  <c r="BO111" i="4" s="1"/>
  <c r="BK33" i="7"/>
  <c r="BK18" i="7" s="1"/>
  <c r="BL114" i="4"/>
  <c r="BB72" i="9"/>
  <c r="BB73" i="9" s="1"/>
  <c r="HC155" i="4"/>
  <c r="BA72" i="9"/>
  <c r="BA73" i="9" s="1"/>
  <c r="BJ53" i="9"/>
  <c r="BJ67" i="9"/>
  <c r="BK114" i="4"/>
  <c r="BK54" i="9"/>
  <c r="BU231" i="4"/>
  <c r="BU252" i="4" s="1"/>
  <c r="BS96" i="4"/>
  <c r="HC118" i="4"/>
  <c r="BS137" i="4"/>
  <c r="BS107" i="4"/>
  <c r="BS105" i="4"/>
  <c r="BS136" i="4"/>
  <c r="HC92" i="4"/>
  <c r="HC97" i="4" s="1"/>
  <c r="BS98" i="4"/>
  <c r="BS138" i="4"/>
  <c r="BS102" i="4"/>
  <c r="BS106" i="4"/>
  <c r="HE2" i="4"/>
  <c r="BO2" i="7"/>
  <c r="BO10" i="7"/>
  <c r="BO14" i="7"/>
  <c r="BO12" i="7"/>
  <c r="BO13" i="7"/>
  <c r="BJ18" i="7"/>
  <c r="BJ20" i="7"/>
  <c r="BJ19" i="7"/>
  <c r="AZ83" i="9"/>
  <c r="HF3" i="4"/>
  <c r="BW3" i="4"/>
  <c r="BV70" i="4"/>
  <c r="BV83" i="4"/>
  <c r="BP3" i="7"/>
  <c r="BV2" i="4"/>
  <c r="BV198" i="4"/>
  <c r="BT49" i="4"/>
  <c r="HE117" i="4"/>
  <c r="HE116" i="4" s="1"/>
  <c r="HE94" i="4"/>
  <c r="HE93" i="4" s="1"/>
  <c r="HE126" i="4"/>
  <c r="HE121" i="4"/>
  <c r="HE89" i="4"/>
  <c r="HE127" i="4"/>
  <c r="HE57" i="4"/>
  <c r="HE129" i="4"/>
  <c r="HE53" i="4"/>
  <c r="HE198" i="4"/>
  <c r="GY3" i="7"/>
  <c r="HE201" i="4"/>
  <c r="HE122" i="4"/>
  <c r="HE125" i="4"/>
  <c r="HE123" i="4"/>
  <c r="BS127" i="4"/>
  <c r="BI82" i="9" s="1"/>
  <c r="BM112" i="4"/>
  <c r="BM113" i="4"/>
  <c r="HC152" i="4"/>
  <c r="GX12" i="7"/>
  <c r="GX13" i="7"/>
  <c r="GX14" i="7"/>
  <c r="BS123" i="4"/>
  <c r="BI78" i="9" s="1"/>
  <c r="BI57" i="9"/>
  <c r="BN15" i="7"/>
  <c r="HB146" i="4"/>
  <c r="HB147" i="4" s="1"/>
  <c r="HB148" i="4" s="1"/>
  <c r="HB149" i="4" s="1"/>
  <c r="HB98" i="4"/>
  <c r="HC27" i="4"/>
  <c r="HC26" i="4"/>
  <c r="HC37" i="4"/>
  <c r="BS37" i="4" s="1"/>
  <c r="HC43" i="4"/>
  <c r="HC30" i="4"/>
  <c r="HC47" i="4"/>
  <c r="HC44" i="4"/>
  <c r="HC28" i="4"/>
  <c r="HC34" i="4"/>
  <c r="BS34" i="4" s="1"/>
  <c r="HC41" i="4"/>
  <c r="HC42" i="4"/>
  <c r="HC48" i="4"/>
  <c r="BL30" i="7"/>
  <c r="BL29" i="7"/>
  <c r="BL31" i="7"/>
  <c r="BL32" i="7"/>
  <c r="HD23" i="4"/>
  <c r="BU23" i="4"/>
  <c r="BU199" i="4" s="1"/>
  <c r="BN5" i="7"/>
  <c r="BT89" i="4"/>
  <c r="BI85" i="9"/>
  <c r="BT95" i="4"/>
  <c r="HB96" i="4"/>
  <c r="BR99" i="4"/>
  <c r="HB150" i="4" s="1"/>
  <c r="BR139" i="4"/>
  <c r="BH90" i="9" s="1"/>
  <c r="BS129" i="4"/>
  <c r="BI84" i="9" s="1"/>
  <c r="GW15" i="7"/>
  <c r="BM9" i="7" s="1"/>
  <c r="BS121" i="4"/>
  <c r="BI76" i="9" s="1"/>
  <c r="BS125" i="4"/>
  <c r="BI80" i="9" s="1"/>
  <c r="HD95" i="4"/>
  <c r="HD120" i="4" s="1"/>
  <c r="HD130" i="4" s="1"/>
  <c r="BT130" i="4" s="1"/>
  <c r="HD119" i="4"/>
  <c r="HD91" i="4"/>
  <c r="HD90" i="4" s="1"/>
  <c r="BT90" i="4" s="1"/>
  <c r="BT97" i="4" s="1"/>
  <c r="HD151" i="4"/>
  <c r="HD154" i="4"/>
  <c r="BS122" i="4"/>
  <c r="BI77" i="9" s="1"/>
  <c r="BI94" i="9"/>
  <c r="BH76" i="9"/>
  <c r="BU44" i="4"/>
  <c r="BV22" i="4"/>
  <c r="BU28" i="4"/>
  <c r="BU26" i="4"/>
  <c r="HE22" i="4"/>
  <c r="BU43" i="4"/>
  <c r="BU27" i="4"/>
  <c r="BU88" i="4"/>
  <c r="BU47" i="4"/>
  <c r="BU30" i="4"/>
  <c r="BU41" i="4"/>
  <c r="BU42" i="4"/>
  <c r="BU48" i="4"/>
  <c r="BN112" i="4" l="1"/>
  <c r="BD72" i="9" s="1"/>
  <c r="BD73" i="9" s="1"/>
  <c r="BV45" i="4"/>
  <c r="BV46" i="4"/>
  <c r="HD36" i="4"/>
  <c r="BT36" i="4" s="1"/>
  <c r="HD46" i="4"/>
  <c r="BR200" i="4"/>
  <c r="HB54" i="4"/>
  <c r="BR51" i="4"/>
  <c r="HD35" i="4"/>
  <c r="BT35" i="4" s="1"/>
  <c r="HD45" i="4"/>
  <c r="BK20" i="7"/>
  <c r="BK19" i="7"/>
  <c r="BE70" i="9"/>
  <c r="BE71" i="9" s="1"/>
  <c r="BJ85" i="9"/>
  <c r="HC98" i="4"/>
  <c r="HD155" i="4"/>
  <c r="BS139" i="4"/>
  <c r="BI90" i="9" s="1"/>
  <c r="BL91" i="4"/>
  <c r="BL128" i="4"/>
  <c r="BS99" i="4"/>
  <c r="HC150" i="4" s="1"/>
  <c r="HB99" i="4"/>
  <c r="BR100" i="4" s="1"/>
  <c r="BR101" i="4" s="1"/>
  <c r="BR103" i="4" s="1"/>
  <c r="BH68" i="9" s="1"/>
  <c r="BM114" i="4"/>
  <c r="BM91" i="4" s="1"/>
  <c r="BT96" i="4"/>
  <c r="HD92" i="4"/>
  <c r="HD97" i="4" s="1"/>
  <c r="BT107" i="4"/>
  <c r="BT105" i="4"/>
  <c r="BT136" i="4"/>
  <c r="HD118" i="4"/>
  <c r="BT98" i="4"/>
  <c r="BT137" i="4"/>
  <c r="BT138" i="4"/>
  <c r="BT102" i="4"/>
  <c r="BT106" i="4"/>
  <c r="BT125" i="4"/>
  <c r="BJ80" i="9" s="1"/>
  <c r="BT123" i="4"/>
  <c r="BJ78" i="9" s="1"/>
  <c r="HD152" i="4"/>
  <c r="BT126" i="4"/>
  <c r="BJ81" i="9" s="1"/>
  <c r="BT127" i="4"/>
  <c r="BJ82" i="9" s="1"/>
  <c r="BT121" i="4"/>
  <c r="BJ76" i="9" s="1"/>
  <c r="BT122" i="4"/>
  <c r="BJ77" i="9" s="1"/>
  <c r="BT129" i="4"/>
  <c r="BJ84" i="9" s="1"/>
  <c r="GY13" i="7"/>
  <c r="GY12" i="7"/>
  <c r="GY14" i="7"/>
  <c r="BS38" i="4"/>
  <c r="HE95" i="4"/>
  <c r="HE120" i="4" s="1"/>
  <c r="HE130" i="4" s="1"/>
  <c r="BU130" i="4" s="1"/>
  <c r="HE119" i="4"/>
  <c r="HE91" i="4"/>
  <c r="HE90" i="4" s="1"/>
  <c r="BU90" i="4" s="1"/>
  <c r="BU97" i="4" s="1"/>
  <c r="HE151" i="4"/>
  <c r="HE154" i="4"/>
  <c r="BC72" i="9"/>
  <c r="BC73" i="9" s="1"/>
  <c r="GX15" i="7"/>
  <c r="BN9" i="7" s="1"/>
  <c r="BO15" i="7"/>
  <c r="BJ21" i="7"/>
  <c r="BJ23" i="7" s="1"/>
  <c r="BJ24" i="7" s="1"/>
  <c r="BJ25" i="7" s="1"/>
  <c r="BJ35" i="7" s="1"/>
  <c r="BP110" i="4" s="1"/>
  <c r="BU95" i="4"/>
  <c r="HC153" i="4"/>
  <c r="HC156" i="4" s="1"/>
  <c r="HC158" i="4" s="1"/>
  <c r="HC159" i="4" s="1"/>
  <c r="HC160" i="4" s="1"/>
  <c r="BO113" i="4"/>
  <c r="BO112" i="4"/>
  <c r="BU31" i="4"/>
  <c r="BK55" i="9" s="1"/>
  <c r="BG68" i="9"/>
  <c r="BV28" i="4"/>
  <c r="BW22" i="4"/>
  <c r="BV44" i="4"/>
  <c r="BV26" i="4"/>
  <c r="HF22" i="4"/>
  <c r="BV88" i="4"/>
  <c r="BV43" i="4"/>
  <c r="BV27" i="4"/>
  <c r="BV30" i="4"/>
  <c r="BV47" i="4"/>
  <c r="BV41" i="4"/>
  <c r="BV42" i="4"/>
  <c r="BV48" i="4"/>
  <c r="BV231" i="4"/>
  <c r="BV252" i="4" s="1"/>
  <c r="BL54" i="9"/>
  <c r="BK67" i="9"/>
  <c r="BK53" i="9"/>
  <c r="HF2" i="4"/>
  <c r="BP2" i="7"/>
  <c r="BP10" i="7"/>
  <c r="BP14" i="7"/>
  <c r="BP12" i="7"/>
  <c r="BP13" i="7"/>
  <c r="BK128" i="4"/>
  <c r="BK91" i="4"/>
  <c r="HE23" i="4"/>
  <c r="BV23" i="4"/>
  <c r="BV199" i="4" s="1"/>
  <c r="BU89" i="4"/>
  <c r="BO5" i="7"/>
  <c r="BS108" i="4"/>
  <c r="BJ57" i="9"/>
  <c r="HD28" i="4"/>
  <c r="HD27" i="4"/>
  <c r="HD26" i="4"/>
  <c r="HD37" i="4"/>
  <c r="BT37" i="4" s="1"/>
  <c r="HD43" i="4"/>
  <c r="HD30" i="4"/>
  <c r="HD47" i="4"/>
  <c r="HD44" i="4"/>
  <c r="HD34" i="4"/>
  <c r="BT34" i="4" s="1"/>
  <c r="HD41" i="4"/>
  <c r="HD42" i="4"/>
  <c r="HD48" i="4"/>
  <c r="BM31" i="7"/>
  <c r="BM29" i="7"/>
  <c r="BM32" i="7"/>
  <c r="BM30" i="7"/>
  <c r="HG3" i="4"/>
  <c r="BX3" i="4"/>
  <c r="BW83" i="4"/>
  <c r="BW70" i="4"/>
  <c r="BW2" i="4"/>
  <c r="BQ3" i="7"/>
  <c r="BW198" i="4"/>
  <c r="BJ94" i="9"/>
  <c r="HF117" i="4"/>
  <c r="HF116" i="4" s="1"/>
  <c r="HF94" i="4"/>
  <c r="HF93" i="4" s="1"/>
  <c r="HF57" i="4"/>
  <c r="HF198" i="4"/>
  <c r="HF125" i="4"/>
  <c r="HF127" i="4"/>
  <c r="HF126" i="4"/>
  <c r="HF123" i="4"/>
  <c r="HF53" i="4"/>
  <c r="HF129" i="4"/>
  <c r="GZ3" i="7"/>
  <c r="HF201" i="4"/>
  <c r="HF89" i="4"/>
  <c r="HF122" i="4"/>
  <c r="HF121" i="4"/>
  <c r="BU49" i="4"/>
  <c r="BK57" i="9" s="1"/>
  <c r="BL33" i="7"/>
  <c r="HC146" i="4"/>
  <c r="HC147" i="4" s="1"/>
  <c r="HC148" i="4" s="1"/>
  <c r="HC149" i="4" s="1"/>
  <c r="HC96" i="4"/>
  <c r="BN114" i="4" l="1"/>
  <c r="BN91" i="4" s="1"/>
  <c r="HE36" i="4"/>
  <c r="BU36" i="4" s="1"/>
  <c r="HE46" i="4"/>
  <c r="BW45" i="4"/>
  <c r="BW46" i="4"/>
  <c r="BK85" i="9"/>
  <c r="HE35" i="4"/>
  <c r="BU35" i="4" s="1"/>
  <c r="HE45" i="4"/>
  <c r="BK21" i="7"/>
  <c r="BK23" i="7" s="1"/>
  <c r="BK24" i="7" s="1"/>
  <c r="BK25" i="7" s="1"/>
  <c r="BK35" i="7" s="1"/>
  <c r="BQ110" i="4" s="1"/>
  <c r="BG70" i="9" s="1"/>
  <c r="BG71" i="9" s="1"/>
  <c r="HD98" i="4"/>
  <c r="GY15" i="7"/>
  <c r="BO9" i="7" s="1"/>
  <c r="BO29" i="7" s="1"/>
  <c r="HC99" i="4"/>
  <c r="BS100" i="4" s="1"/>
  <c r="BS101" i="4" s="1"/>
  <c r="BS103" i="4" s="1"/>
  <c r="BI68" i="9" s="1"/>
  <c r="BM128" i="4"/>
  <c r="BC83" i="9" s="1"/>
  <c r="BT108" i="4"/>
  <c r="BJ69" i="9" s="1"/>
  <c r="HE155" i="4"/>
  <c r="BT139" i="4"/>
  <c r="BJ90" i="9" s="1"/>
  <c r="HD146" i="4"/>
  <c r="HD147" i="4" s="1"/>
  <c r="HD148" i="4" s="1"/>
  <c r="HD149" i="4" s="1"/>
  <c r="BB83" i="9"/>
  <c r="BU98" i="4"/>
  <c r="BU137" i="4"/>
  <c r="BU107" i="4"/>
  <c r="BU105" i="4"/>
  <c r="BU136" i="4"/>
  <c r="HE118" i="4"/>
  <c r="BU96" i="4"/>
  <c r="HE92" i="4"/>
  <c r="HE97" i="4" s="1"/>
  <c r="BU138" i="4"/>
  <c r="BU102" i="4"/>
  <c r="BU106" i="4"/>
  <c r="BU129" i="4"/>
  <c r="BK84" i="9" s="1"/>
  <c r="BU126" i="4"/>
  <c r="BK81" i="9" s="1"/>
  <c r="BU127" i="4"/>
  <c r="BK82" i="9" s="1"/>
  <c r="BU121" i="4"/>
  <c r="BU123" i="4"/>
  <c r="BK78" i="9" s="1"/>
  <c r="BU122" i="4"/>
  <c r="BK77" i="9" s="1"/>
  <c r="HE152" i="4"/>
  <c r="BU125" i="4"/>
  <c r="BK80" i="9" s="1"/>
  <c r="BM54" i="9"/>
  <c r="BW231" i="4"/>
  <c r="BW252" i="4" s="1"/>
  <c r="BQ10" i="7"/>
  <c r="BQ14" i="7"/>
  <c r="BQ12" i="7"/>
  <c r="BQ13" i="7"/>
  <c r="BY3" i="4"/>
  <c r="HH3" i="4"/>
  <c r="BR3" i="7"/>
  <c r="BX70" i="4"/>
  <c r="BX2" i="4"/>
  <c r="BX83" i="4"/>
  <c r="BX198" i="4"/>
  <c r="HD153" i="4"/>
  <c r="HD156" i="4" s="1"/>
  <c r="BN32" i="7"/>
  <c r="BN31" i="7"/>
  <c r="BN30" i="7"/>
  <c r="BN29" i="7"/>
  <c r="BM33" i="7"/>
  <c r="HG117" i="4"/>
  <c r="HG116" i="4" s="1"/>
  <c r="HG94" i="4"/>
  <c r="HG93" i="4" s="1"/>
  <c r="HG53" i="4"/>
  <c r="HG129" i="4"/>
  <c r="HG89" i="4"/>
  <c r="HG198" i="4"/>
  <c r="HG125" i="4"/>
  <c r="HG127" i="4"/>
  <c r="HG126" i="4"/>
  <c r="HG123" i="4"/>
  <c r="HG57" i="4"/>
  <c r="HG121" i="4"/>
  <c r="HG122" i="4"/>
  <c r="HA3" i="7"/>
  <c r="HG201" i="4"/>
  <c r="BI69" i="9"/>
  <c r="BL67" i="9"/>
  <c r="BL53" i="9"/>
  <c r="BV31" i="4"/>
  <c r="BL55" i="9" s="1"/>
  <c r="BK94" i="9"/>
  <c r="BW28" i="4"/>
  <c r="BX22" i="4"/>
  <c r="BW44" i="4"/>
  <c r="BW88" i="4"/>
  <c r="BW27" i="4"/>
  <c r="BW43" i="4"/>
  <c r="HG22" i="4"/>
  <c r="BW26" i="4"/>
  <c r="BW30" i="4"/>
  <c r="BW47" i="4"/>
  <c r="BW41" i="4"/>
  <c r="BW42" i="4"/>
  <c r="BW48" i="4"/>
  <c r="BL18" i="7"/>
  <c r="BL20" i="7"/>
  <c r="BL19" i="7"/>
  <c r="BO114" i="4"/>
  <c r="BE72" i="9"/>
  <c r="BE73" i="9" s="1"/>
  <c r="HG2" i="4"/>
  <c r="BQ2" i="7"/>
  <c r="BV95" i="4"/>
  <c r="BW23" i="4"/>
  <c r="BW199" i="4" s="1"/>
  <c r="HF23" i="4"/>
  <c r="BP5" i="7"/>
  <c r="BV89" i="4"/>
  <c r="HE28" i="4"/>
  <c r="HE44" i="4"/>
  <c r="HE26" i="4"/>
  <c r="HE27" i="4"/>
  <c r="HE37" i="4"/>
  <c r="BU37" i="4" s="1"/>
  <c r="HE43" i="4"/>
  <c r="HE30" i="4"/>
  <c r="HE47" i="4"/>
  <c r="HE34" i="4"/>
  <c r="BU34" i="4" s="1"/>
  <c r="HE41" i="4"/>
  <c r="HE42" i="4"/>
  <c r="HE48" i="4"/>
  <c r="BV49" i="4"/>
  <c r="HF95" i="4"/>
  <c r="HF120" i="4" s="1"/>
  <c r="HF130" i="4" s="1"/>
  <c r="BV130" i="4" s="1"/>
  <c r="HF119" i="4"/>
  <c r="HF91" i="4"/>
  <c r="HF90" i="4" s="1"/>
  <c r="BV90" i="4" s="1"/>
  <c r="BV97" i="4" s="1"/>
  <c r="HF151" i="4"/>
  <c r="HF154" i="4"/>
  <c r="BA83" i="9"/>
  <c r="BI56" i="9"/>
  <c r="BI58" i="9" s="1"/>
  <c r="BS200" i="4"/>
  <c r="BS51" i="4"/>
  <c r="HC54" i="4"/>
  <c r="BT38" i="4"/>
  <c r="GZ12" i="7"/>
  <c r="GZ14" i="7"/>
  <c r="GZ13" i="7"/>
  <c r="BP15" i="7"/>
  <c r="BF70" i="9"/>
  <c r="BF71" i="9" s="1"/>
  <c r="BP111" i="4"/>
  <c r="BO32" i="7"/>
  <c r="HD96" i="4"/>
  <c r="BT99" i="4"/>
  <c r="HD150" i="4" s="1"/>
  <c r="BN128" i="4" l="1"/>
  <c r="BD83" i="9" s="1"/>
  <c r="BX45" i="4"/>
  <c r="BX46" i="4"/>
  <c r="HF36" i="4"/>
  <c r="BV36" i="4" s="1"/>
  <c r="HF46" i="4"/>
  <c r="HE153" i="4"/>
  <c r="HE156" i="4" s="1"/>
  <c r="HE158" i="4" s="1"/>
  <c r="HE159" i="4" s="1"/>
  <c r="HE160" i="4" s="1"/>
  <c r="BO30" i="7"/>
  <c r="HF35" i="4"/>
  <c r="BV35" i="4" s="1"/>
  <c r="HF45" i="4"/>
  <c r="BO31" i="7"/>
  <c r="BQ111" i="4"/>
  <c r="BQ112" i="4" s="1"/>
  <c r="BU38" i="4"/>
  <c r="BK56" i="9" s="1"/>
  <c r="BK58" i="9" s="1"/>
  <c r="BU108" i="4"/>
  <c r="BK69" i="9" s="1"/>
  <c r="BW31" i="4"/>
  <c r="BM55" i="9" s="1"/>
  <c r="HD99" i="4"/>
  <c r="BT100" i="4" s="1"/>
  <c r="BU99" i="4"/>
  <c r="HE150" i="4" s="1"/>
  <c r="HF155" i="4"/>
  <c r="BV105" i="4"/>
  <c r="HF92" i="4"/>
  <c r="HF97" i="4" s="1"/>
  <c r="BV137" i="4"/>
  <c r="BV136" i="4"/>
  <c r="BV96" i="4"/>
  <c r="BV98" i="4"/>
  <c r="BV107" i="4"/>
  <c r="HF118" i="4"/>
  <c r="BV138" i="4"/>
  <c r="BV102" i="4"/>
  <c r="BV106" i="4"/>
  <c r="BV121" i="4"/>
  <c r="BV122" i="4"/>
  <c r="BL77" i="9" s="1"/>
  <c r="HF152" i="4"/>
  <c r="BV126" i="4"/>
  <c r="BL81" i="9" s="1"/>
  <c r="BV127" i="4"/>
  <c r="BL82" i="9" s="1"/>
  <c r="BV125" i="4"/>
  <c r="BL80" i="9" s="1"/>
  <c r="BV129" i="4"/>
  <c r="BL84" i="9" s="1"/>
  <c r="BV123" i="4"/>
  <c r="BL78" i="9" s="1"/>
  <c r="HG119" i="4"/>
  <c r="HG95" i="4"/>
  <c r="HG120" i="4" s="1"/>
  <c r="HG130" i="4" s="1"/>
  <c r="BW130" i="4" s="1"/>
  <c r="HG91" i="4"/>
  <c r="HG90" i="4" s="1"/>
  <c r="BW90" i="4" s="1"/>
  <c r="BW97" i="4" s="1"/>
  <c r="HG151" i="4"/>
  <c r="HG154" i="4"/>
  <c r="BP112" i="4"/>
  <c r="BP113" i="4"/>
  <c r="BU200" i="4"/>
  <c r="BN54" i="9"/>
  <c r="BX231" i="4"/>
  <c r="BX252" i="4" s="1"/>
  <c r="BL57" i="9"/>
  <c r="HH2" i="4"/>
  <c r="BR2" i="7"/>
  <c r="BW95" i="4"/>
  <c r="BL76" i="9"/>
  <c r="BL94" i="9"/>
  <c r="BR10" i="7"/>
  <c r="BR14" i="7"/>
  <c r="BR12" i="7"/>
  <c r="BR13" i="7"/>
  <c r="GZ15" i="7"/>
  <c r="BP9" i="7" s="1"/>
  <c r="BX28" i="4"/>
  <c r="BY22" i="4"/>
  <c r="BX44" i="4"/>
  <c r="BX27" i="4"/>
  <c r="BX26" i="4"/>
  <c r="BX43" i="4"/>
  <c r="BX88" i="4"/>
  <c r="HH22" i="4"/>
  <c r="BX30" i="4"/>
  <c r="BX47" i="4"/>
  <c r="BX41" i="4"/>
  <c r="BX42" i="4"/>
  <c r="BX48" i="4"/>
  <c r="BM18" i="7"/>
  <c r="BM19" i="7"/>
  <c r="BM20" i="7"/>
  <c r="HH117" i="4"/>
  <c r="HH116" i="4" s="1"/>
  <c r="HH94" i="4"/>
  <c r="HH93" i="4" s="1"/>
  <c r="HH123" i="4"/>
  <c r="HH125" i="4"/>
  <c r="HH53" i="4"/>
  <c r="HH129" i="4"/>
  <c r="HH57" i="4"/>
  <c r="HB3" i="7"/>
  <c r="HH89" i="4"/>
  <c r="HH201" i="4"/>
  <c r="HH126" i="4"/>
  <c r="HH121" i="4"/>
  <c r="HH122" i="4"/>
  <c r="HH198" i="4"/>
  <c r="HH127" i="4"/>
  <c r="BN33" i="7"/>
  <c r="BZ3" i="4"/>
  <c r="HI3" i="4"/>
  <c r="BY83" i="4"/>
  <c r="BY70" i="4"/>
  <c r="BY2" i="4"/>
  <c r="BS3" i="7"/>
  <c r="BY198" i="4"/>
  <c r="BQ15" i="7"/>
  <c r="BJ56" i="9"/>
  <c r="BJ58" i="9" s="1"/>
  <c r="BT200" i="4"/>
  <c r="HD54" i="4"/>
  <c r="BT51" i="4"/>
  <c r="BO91" i="4"/>
  <c r="BO128" i="4"/>
  <c r="HE54" i="4"/>
  <c r="HA12" i="7"/>
  <c r="HA13" i="7"/>
  <c r="HA14" i="7"/>
  <c r="BK76" i="9"/>
  <c r="HE146" i="4"/>
  <c r="HE147" i="4" s="1"/>
  <c r="HE148" i="4" s="1"/>
  <c r="HE149" i="4" s="1"/>
  <c r="HE96" i="4"/>
  <c r="BU139" i="4"/>
  <c r="BK90" i="9" s="1"/>
  <c r="BL21" i="7"/>
  <c r="BL23" i="7" s="1"/>
  <c r="BL24" i="7" s="1"/>
  <c r="BL25" i="7" s="1"/>
  <c r="BL35" i="7" s="1"/>
  <c r="BR110" i="4" s="1"/>
  <c r="BW49" i="4"/>
  <c r="BM57" i="9" s="1"/>
  <c r="HF28" i="4"/>
  <c r="HF44" i="4"/>
  <c r="HF26" i="4"/>
  <c r="HF37" i="4"/>
  <c r="BV37" i="4" s="1"/>
  <c r="HF27" i="4"/>
  <c r="HF43" i="4"/>
  <c r="HF30" i="4"/>
  <c r="HF47" i="4"/>
  <c r="HF34" i="4"/>
  <c r="BV34" i="4" s="1"/>
  <c r="HF41" i="4"/>
  <c r="HF42" i="4"/>
  <c r="HF48" i="4"/>
  <c r="BL85" i="9"/>
  <c r="BX23" i="4"/>
  <c r="BX199" i="4" s="1"/>
  <c r="HG23" i="4"/>
  <c r="BQ5" i="7"/>
  <c r="BW89" i="4"/>
  <c r="HD158" i="4"/>
  <c r="HD159" i="4" s="1"/>
  <c r="HD160" i="4" s="1"/>
  <c r="BM67" i="9"/>
  <c r="BM53" i="9"/>
  <c r="HE98" i="4"/>
  <c r="BY45" i="4" l="1"/>
  <c r="BY46" i="4"/>
  <c r="HG36" i="4"/>
  <c r="BW36" i="4" s="1"/>
  <c r="HG46" i="4"/>
  <c r="BO33" i="7"/>
  <c r="BO20" i="7" s="1"/>
  <c r="HF153" i="4"/>
  <c r="HF156" i="4" s="1"/>
  <c r="HF158" i="4" s="1"/>
  <c r="HF159" i="4" s="1"/>
  <c r="HF160" i="4" s="1"/>
  <c r="HG35" i="4"/>
  <c r="BW35" i="4" s="1"/>
  <c r="HG45" i="4"/>
  <c r="BU51" i="4"/>
  <c r="BQ113" i="4"/>
  <c r="BG72" i="9" s="1"/>
  <c r="BG73" i="9" s="1"/>
  <c r="HF98" i="4"/>
  <c r="BV38" i="4"/>
  <c r="BL56" i="9" s="1"/>
  <c r="BL58" i="9" s="1"/>
  <c r="BT101" i="4"/>
  <c r="BT103" i="4" s="1"/>
  <c r="BJ68" i="9" s="1"/>
  <c r="HE99" i="4"/>
  <c r="BU100" i="4" s="1"/>
  <c r="BU101" i="4" s="1"/>
  <c r="BU103" i="4" s="1"/>
  <c r="BK68" i="9" s="1"/>
  <c r="HG155" i="4"/>
  <c r="BX49" i="4"/>
  <c r="BN57" i="9" s="1"/>
  <c r="BV139" i="4"/>
  <c r="BL90" i="9" s="1"/>
  <c r="BP114" i="4"/>
  <c r="BP128" i="4" s="1"/>
  <c r="BF72" i="9"/>
  <c r="BF73" i="9" s="1"/>
  <c r="BW137" i="4"/>
  <c r="BW96" i="4"/>
  <c r="BW136" i="4"/>
  <c r="BW98" i="4"/>
  <c r="HG92" i="4"/>
  <c r="HG97" i="4" s="1"/>
  <c r="BW107" i="4"/>
  <c r="BW105" i="4"/>
  <c r="HG118" i="4"/>
  <c r="BW138" i="4"/>
  <c r="BW102" i="4"/>
  <c r="BW106" i="4"/>
  <c r="BW122" i="4"/>
  <c r="BM77" i="9" s="1"/>
  <c r="BW125" i="4"/>
  <c r="BM80" i="9" s="1"/>
  <c r="HG152" i="4"/>
  <c r="BW121" i="4"/>
  <c r="BW123" i="4"/>
  <c r="BM78" i="9" s="1"/>
  <c r="BW129" i="4"/>
  <c r="BM84" i="9" s="1"/>
  <c r="BW127" i="4"/>
  <c r="BM82" i="9" s="1"/>
  <c r="BW126" i="4"/>
  <c r="BM81" i="9" s="1"/>
  <c r="HI117" i="4"/>
  <c r="HI116" i="4" s="1"/>
  <c r="HI94" i="4"/>
  <c r="HI93" i="4" s="1"/>
  <c r="HI122" i="4"/>
  <c r="HI127" i="4"/>
  <c r="HI89" i="4"/>
  <c r="HI129" i="4"/>
  <c r="HI123" i="4"/>
  <c r="HI198" i="4"/>
  <c r="HI121" i="4"/>
  <c r="HI53" i="4"/>
  <c r="HI57" i="4"/>
  <c r="HC3" i="7"/>
  <c r="HI201" i="4"/>
  <c r="HI126" i="4"/>
  <c r="HI125" i="4"/>
  <c r="BM94" i="9"/>
  <c r="BE83" i="9"/>
  <c r="HG28" i="4"/>
  <c r="HG44" i="4"/>
  <c r="HG27" i="4"/>
  <c r="HG26" i="4"/>
  <c r="HG37" i="4"/>
  <c r="BW37" i="4" s="1"/>
  <c r="HG43" i="4"/>
  <c r="HG47" i="4"/>
  <c r="HG30" i="4"/>
  <c r="HG34" i="4"/>
  <c r="BW34" i="4" s="1"/>
  <c r="HG42" i="4"/>
  <c r="HG41" i="4"/>
  <c r="HG48" i="4"/>
  <c r="BV108" i="4"/>
  <c r="HA15" i="7"/>
  <c r="BQ9" i="7" s="1"/>
  <c r="BX95" i="4"/>
  <c r="BN53" i="9"/>
  <c r="BN67" i="9"/>
  <c r="HH23" i="4"/>
  <c r="BY23" i="4"/>
  <c r="BY199" i="4" s="1"/>
  <c r="BX89" i="4"/>
  <c r="BR5" i="7"/>
  <c r="HH119" i="4"/>
  <c r="HH95" i="4"/>
  <c r="HH120" i="4" s="1"/>
  <c r="HH130" i="4" s="1"/>
  <c r="BX130" i="4" s="1"/>
  <c r="HH91" i="4"/>
  <c r="HH90" i="4" s="1"/>
  <c r="BX90" i="4" s="1"/>
  <c r="BX97" i="4" s="1"/>
  <c r="HH151" i="4"/>
  <c r="HH154" i="4"/>
  <c r="BV51" i="4"/>
  <c r="HB13" i="7"/>
  <c r="HB12" i="7"/>
  <c r="HB14" i="7"/>
  <c r="BX31" i="4"/>
  <c r="BN55" i="9" s="1"/>
  <c r="BV99" i="4"/>
  <c r="HF150" i="4" s="1"/>
  <c r="BN20" i="7"/>
  <c r="BN18" i="7"/>
  <c r="BN19" i="7"/>
  <c r="BY28" i="4"/>
  <c r="BY44" i="4"/>
  <c r="BZ22" i="4"/>
  <c r="BY43" i="4"/>
  <c r="BY88" i="4"/>
  <c r="BY27" i="4"/>
  <c r="HI22" i="4"/>
  <c r="BY26" i="4"/>
  <c r="BY30" i="4"/>
  <c r="BY47" i="4"/>
  <c r="BY42" i="4"/>
  <c r="BY41" i="4"/>
  <c r="BY48" i="4"/>
  <c r="BM21" i="7"/>
  <c r="BM23" i="7" s="1"/>
  <c r="BM24" i="7" s="1"/>
  <c r="BM25" i="7" s="1"/>
  <c r="BM35" i="7" s="1"/>
  <c r="BS110" i="4" s="1"/>
  <c r="BO54" i="9"/>
  <c r="BY231" i="4"/>
  <c r="BY252" i="4" s="1"/>
  <c r="BP31" i="7"/>
  <c r="BP30" i="7"/>
  <c r="BP29" i="7"/>
  <c r="BP32" i="7"/>
  <c r="BM85" i="9"/>
  <c r="HF146" i="4"/>
  <c r="HF147" i="4" s="1"/>
  <c r="HF148" i="4" s="1"/>
  <c r="HF149" i="4" s="1"/>
  <c r="HF96" i="4"/>
  <c r="HJ3" i="4"/>
  <c r="CA3" i="4"/>
  <c r="BZ83" i="4"/>
  <c r="BZ70" i="4"/>
  <c r="BZ2" i="4"/>
  <c r="BT3" i="7"/>
  <c r="BZ198" i="4"/>
  <c r="BH70" i="9"/>
  <c r="BH71" i="9" s="1"/>
  <c r="BR111" i="4"/>
  <c r="BS10" i="7"/>
  <c r="BS14" i="7"/>
  <c r="BS12" i="7"/>
  <c r="BS13" i="7"/>
  <c r="HI2" i="4"/>
  <c r="BS2" i="7"/>
  <c r="BR15" i="7"/>
  <c r="HH36" i="4" l="1"/>
  <c r="BX36" i="4" s="1"/>
  <c r="HH46" i="4"/>
  <c r="BZ45" i="4"/>
  <c r="BZ46" i="4"/>
  <c r="BO18" i="7"/>
  <c r="BO19" i="7"/>
  <c r="BV200" i="4"/>
  <c r="HG153" i="4"/>
  <c r="HG156" i="4" s="1"/>
  <c r="HG158" i="4" s="1"/>
  <c r="HG159" i="4" s="1"/>
  <c r="HG160" i="4" s="1"/>
  <c r="HH35" i="4"/>
  <c r="BX35" i="4" s="1"/>
  <c r="HH45" i="4"/>
  <c r="HF54" i="4"/>
  <c r="BQ114" i="4"/>
  <c r="BQ91" i="4" s="1"/>
  <c r="HF99" i="4"/>
  <c r="BV100" i="4" s="1"/>
  <c r="BV101" i="4" s="1"/>
  <c r="BV103" i="4" s="1"/>
  <c r="BL68" i="9" s="1"/>
  <c r="BW108" i="4"/>
  <c r="BY49" i="4"/>
  <c r="BO57" i="9" s="1"/>
  <c r="BP91" i="4"/>
  <c r="HG98" i="4"/>
  <c r="BW38" i="4"/>
  <c r="BW200" i="4" s="1"/>
  <c r="HG146" i="4"/>
  <c r="HG147" i="4" s="1"/>
  <c r="HG148" i="4" s="1"/>
  <c r="HG149" i="4" s="1"/>
  <c r="BN21" i="7"/>
  <c r="BN23" i="7" s="1"/>
  <c r="BN24" i="7" s="1"/>
  <c r="BN25" i="7" s="1"/>
  <c r="BN35" i="7" s="1"/>
  <c r="BT110" i="4" s="1"/>
  <c r="BJ70" i="9" s="1"/>
  <c r="BJ71" i="9" s="1"/>
  <c r="BX137" i="4"/>
  <c r="HH118" i="4"/>
  <c r="BX96" i="4"/>
  <c r="BX107" i="4"/>
  <c r="HH92" i="4"/>
  <c r="HH97" i="4" s="1"/>
  <c r="BX136" i="4"/>
  <c r="BX105" i="4"/>
  <c r="BX98" i="4"/>
  <c r="BX138" i="4"/>
  <c r="BX102" i="4"/>
  <c r="BX106" i="4"/>
  <c r="BX127" i="4"/>
  <c r="BN82" i="9" s="1"/>
  <c r="BX129" i="4"/>
  <c r="BN84" i="9" s="1"/>
  <c r="BX126" i="4"/>
  <c r="BN81" i="9" s="1"/>
  <c r="BX121" i="4"/>
  <c r="BN76" i="9" s="1"/>
  <c r="BX123" i="4"/>
  <c r="BN78" i="9" s="1"/>
  <c r="BX125" i="4"/>
  <c r="BN80" i="9" s="1"/>
  <c r="BX122" i="4"/>
  <c r="BN77" i="9" s="1"/>
  <c r="HH152" i="4"/>
  <c r="BY31" i="4"/>
  <c r="BO55" i="9" s="1"/>
  <c r="HB15" i="7"/>
  <c r="BR9" i="7" s="1"/>
  <c r="BS15" i="7"/>
  <c r="HH155" i="4"/>
  <c r="BM69" i="9"/>
  <c r="BY95" i="4"/>
  <c r="BQ31" i="7"/>
  <c r="BQ32" i="7"/>
  <c r="BQ29" i="7"/>
  <c r="BQ30" i="7"/>
  <c r="HC14" i="7"/>
  <c r="HC12" i="7"/>
  <c r="HC13" i="7"/>
  <c r="BN94" i="9"/>
  <c r="BN85" i="9"/>
  <c r="BL69" i="9"/>
  <c r="BR112" i="4"/>
  <c r="BR113" i="4"/>
  <c r="BM76" i="9"/>
  <c r="BP33" i="7"/>
  <c r="BO67" i="9"/>
  <c r="BO53" i="9"/>
  <c r="HI95" i="4"/>
  <c r="HI120" i="4" s="1"/>
  <c r="HI130" i="4" s="1"/>
  <c r="BY130" i="4" s="1"/>
  <c r="HI119" i="4"/>
  <c r="HI91" i="4"/>
  <c r="HI90" i="4" s="1"/>
  <c r="BY90" i="4" s="1"/>
  <c r="BY97" i="4" s="1"/>
  <c r="HI151" i="4"/>
  <c r="HI154" i="4"/>
  <c r="BT10" i="7"/>
  <c r="BT14" i="7"/>
  <c r="BT12" i="7"/>
  <c r="BT13" i="7"/>
  <c r="BW139" i="4"/>
  <c r="BM90" i="9" s="1"/>
  <c r="BF83" i="9"/>
  <c r="BZ28" i="4"/>
  <c r="BZ44" i="4"/>
  <c r="CA22" i="4"/>
  <c r="BZ27" i="4"/>
  <c r="BZ43" i="4"/>
  <c r="BZ88" i="4"/>
  <c r="HJ22" i="4"/>
  <c r="BZ26" i="4"/>
  <c r="BZ30" i="4"/>
  <c r="BZ47" i="4"/>
  <c r="BZ42" i="4"/>
  <c r="BZ41" i="4"/>
  <c r="BZ48" i="4"/>
  <c r="HG96" i="4"/>
  <c r="BW99" i="4"/>
  <c r="HG150" i="4" s="1"/>
  <c r="BP54" i="9"/>
  <c r="BZ231" i="4"/>
  <c r="BZ199" i="4"/>
  <c r="BT2" i="7"/>
  <c r="HJ2" i="4"/>
  <c r="BI70" i="9"/>
  <c r="BI71" i="9" s="1"/>
  <c r="BS111" i="4"/>
  <c r="HI23" i="4"/>
  <c r="BZ23" i="4"/>
  <c r="BY89" i="4"/>
  <c r="BS5" i="7"/>
  <c r="HH44" i="4"/>
  <c r="HH28" i="4"/>
  <c r="HH37" i="4"/>
  <c r="BX37" i="4" s="1"/>
  <c r="HH26" i="4"/>
  <c r="HH27" i="4"/>
  <c r="HH43" i="4"/>
  <c r="HH47" i="4"/>
  <c r="HH30" i="4"/>
  <c r="HH34" i="4"/>
  <c r="BX34" i="4" s="1"/>
  <c r="HH42" i="4"/>
  <c r="HH41" i="4"/>
  <c r="HH48" i="4"/>
  <c r="HK3" i="4"/>
  <c r="CB3" i="4"/>
  <c r="CA83" i="4"/>
  <c r="CA70" i="4"/>
  <c r="CA2" i="4"/>
  <c r="BU3" i="7"/>
  <c r="CA198" i="4"/>
  <c r="HJ117" i="4"/>
  <c r="HJ116" i="4" s="1"/>
  <c r="HJ94" i="4"/>
  <c r="HJ93" i="4" s="1"/>
  <c r="HJ125" i="4"/>
  <c r="HJ127" i="4"/>
  <c r="HJ126" i="4"/>
  <c r="HJ122" i="4"/>
  <c r="HJ198" i="4"/>
  <c r="HJ57" i="4"/>
  <c r="HJ89" i="4"/>
  <c r="HD3" i="7"/>
  <c r="HJ201" i="4"/>
  <c r="HJ53" i="4"/>
  <c r="HJ123" i="4"/>
  <c r="HJ129" i="4"/>
  <c r="HJ121" i="4"/>
  <c r="HI36" i="4" l="1"/>
  <c r="BY36" i="4" s="1"/>
  <c r="HI46" i="4"/>
  <c r="CA45" i="4"/>
  <c r="CA46" i="4"/>
  <c r="BO21" i="7"/>
  <c r="BO23" i="7" s="1"/>
  <c r="BO24" i="7" s="1"/>
  <c r="BO25" i="7" s="1"/>
  <c r="BO35" i="7" s="1"/>
  <c r="BU110" i="4" s="1"/>
  <c r="BK70" i="9" s="1"/>
  <c r="BK71" i="9" s="1"/>
  <c r="HH153" i="4"/>
  <c r="HH156" i="4" s="1"/>
  <c r="HI35" i="4"/>
  <c r="BY35" i="4" s="1"/>
  <c r="HI45" i="4"/>
  <c r="BQ128" i="4"/>
  <c r="HH98" i="4"/>
  <c r="BM56" i="9"/>
  <c r="BM58" i="9" s="1"/>
  <c r="BZ31" i="4"/>
  <c r="BT111" i="4"/>
  <c r="BT113" i="4" s="1"/>
  <c r="HG99" i="4"/>
  <c r="BW100" i="4" s="1"/>
  <c r="BW101" i="4" s="1"/>
  <c r="BW103" i="4" s="1"/>
  <c r="BX139" i="4"/>
  <c r="BN90" i="9" s="1"/>
  <c r="HH146" i="4"/>
  <c r="HH147" i="4" s="1"/>
  <c r="HH148" i="4" s="1"/>
  <c r="HH149" i="4" s="1"/>
  <c r="BX38" i="4"/>
  <c r="BN56" i="9" s="1"/>
  <c r="BN58" i="9" s="1"/>
  <c r="BW51" i="4"/>
  <c r="HG54" i="4"/>
  <c r="BR114" i="4"/>
  <c r="BR128" i="4" s="1"/>
  <c r="BY98" i="4"/>
  <c r="BY96" i="4"/>
  <c r="BY137" i="4"/>
  <c r="BY107" i="4"/>
  <c r="BY105" i="4"/>
  <c r="BY136" i="4"/>
  <c r="HI118" i="4"/>
  <c r="HI92" i="4"/>
  <c r="HI97" i="4" s="1"/>
  <c r="BY138" i="4"/>
  <c r="BY102" i="4"/>
  <c r="BY106" i="4"/>
  <c r="BY121" i="4"/>
  <c r="BO76" i="9" s="1"/>
  <c r="BY123" i="4"/>
  <c r="BO78" i="9" s="1"/>
  <c r="BY125" i="4"/>
  <c r="BO80" i="9" s="1"/>
  <c r="BY122" i="4"/>
  <c r="BO77" i="9" s="1"/>
  <c r="BY127" i="4"/>
  <c r="BO82" i="9" s="1"/>
  <c r="BY126" i="4"/>
  <c r="BO81" i="9" s="1"/>
  <c r="BY129" i="4"/>
  <c r="BO84" i="9" s="1"/>
  <c r="HI152" i="4"/>
  <c r="HK117" i="4"/>
  <c r="HK116" i="4" s="1"/>
  <c r="HK94" i="4"/>
  <c r="HK93" i="4" s="1"/>
  <c r="HK121" i="4"/>
  <c r="HK122" i="4"/>
  <c r="HE3" i="7"/>
  <c r="HK201" i="4"/>
  <c r="HK89" i="4"/>
  <c r="HK125" i="4"/>
  <c r="HK53" i="4"/>
  <c r="HK57" i="4"/>
  <c r="HK198" i="4"/>
  <c r="HK129" i="4"/>
  <c r="HK127" i="4"/>
  <c r="HK123" i="4"/>
  <c r="HK126" i="4"/>
  <c r="HI155" i="4"/>
  <c r="BH72" i="9"/>
  <c r="BH73" i="9" s="1"/>
  <c r="BQ33" i="7"/>
  <c r="BO94" i="9"/>
  <c r="BO85" i="9"/>
  <c r="CC3" i="4"/>
  <c r="HL3" i="4"/>
  <c r="CB83" i="4"/>
  <c r="CB70" i="4"/>
  <c r="CB2" i="4"/>
  <c r="BV3" i="7"/>
  <c r="CB198" i="4"/>
  <c r="BZ95" i="4"/>
  <c r="HD14" i="7"/>
  <c r="HD13" i="7"/>
  <c r="HD12" i="7"/>
  <c r="HJ119" i="4"/>
  <c r="HJ95" i="4"/>
  <c r="HJ120" i="4" s="1"/>
  <c r="HJ130" i="4" s="1"/>
  <c r="BZ130" i="4" s="1"/>
  <c r="HJ91" i="4"/>
  <c r="HJ90" i="4" s="1"/>
  <c r="BZ90" i="4" s="1"/>
  <c r="BZ97" i="4" s="1"/>
  <c r="HJ151" i="4"/>
  <c r="HJ154" i="4"/>
  <c r="CA28" i="4"/>
  <c r="CA44" i="4"/>
  <c r="CB22" i="4"/>
  <c r="CA27" i="4"/>
  <c r="HK22" i="4"/>
  <c r="CA26" i="4"/>
  <c r="CA88" i="4"/>
  <c r="CA43" i="4"/>
  <c r="CA30" i="4"/>
  <c r="CA47" i="4"/>
  <c r="CA41" i="4"/>
  <c r="CA42" i="4"/>
  <c r="CA48" i="4"/>
  <c r="BX108" i="4"/>
  <c r="BN69" i="9" s="1"/>
  <c r="BZ252" i="4"/>
  <c r="BP53" i="9"/>
  <c r="BP67" i="9"/>
  <c r="BP55" i="9"/>
  <c r="BP18" i="7"/>
  <c r="BP19" i="7"/>
  <c r="BP20" i="7"/>
  <c r="BQ54" i="9"/>
  <c r="CA199" i="4"/>
  <c r="CA231" i="4"/>
  <c r="HJ23" i="4"/>
  <c r="CA23" i="4"/>
  <c r="BZ89" i="4"/>
  <c r="BT5" i="7"/>
  <c r="BU10" i="7"/>
  <c r="BU14" i="7"/>
  <c r="BU12" i="7"/>
  <c r="BU13" i="7"/>
  <c r="HI28" i="4"/>
  <c r="HI44" i="4"/>
  <c r="HI27" i="4"/>
  <c r="HI26" i="4"/>
  <c r="HI37" i="4"/>
  <c r="BY37" i="4" s="1"/>
  <c r="HI43" i="4"/>
  <c r="HI47" i="4"/>
  <c r="HI30" i="4"/>
  <c r="HI34" i="4"/>
  <c r="BY34" i="4" s="1"/>
  <c r="HI41" i="4"/>
  <c r="HI42" i="4"/>
  <c r="HI48" i="4"/>
  <c r="BR30" i="7"/>
  <c r="BR32" i="7"/>
  <c r="BR29" i="7"/>
  <c r="BR31" i="7"/>
  <c r="BT15" i="7"/>
  <c r="HH96" i="4"/>
  <c r="BX99" i="4"/>
  <c r="HH150" i="4" s="1"/>
  <c r="BU2" i="7"/>
  <c r="HK2" i="4"/>
  <c r="BS113" i="4"/>
  <c r="BS112" i="4"/>
  <c r="BZ49" i="4"/>
  <c r="HC15" i="7"/>
  <c r="BS9" i="7" s="1"/>
  <c r="HJ36" i="4" l="1"/>
  <c r="BZ36" i="4" s="1"/>
  <c r="HJ46" i="4"/>
  <c r="CB45" i="4"/>
  <c r="CB46" i="4"/>
  <c r="BP57" i="9"/>
  <c r="BU111" i="4"/>
  <c r="BU113" i="4" s="1"/>
  <c r="HI153" i="4"/>
  <c r="HI156" i="4" s="1"/>
  <c r="HI158" i="4" s="1"/>
  <c r="HI159" i="4" s="1"/>
  <c r="HI160" i="4" s="1"/>
  <c r="HJ35" i="4"/>
  <c r="BZ35" i="4" s="1"/>
  <c r="HJ45" i="4"/>
  <c r="BG83" i="9"/>
  <c r="BU15" i="7"/>
  <c r="BT112" i="4"/>
  <c r="BJ72" i="9" s="1"/>
  <c r="BJ73" i="9" s="1"/>
  <c r="HH99" i="4"/>
  <c r="BX100" i="4" s="1"/>
  <c r="BY38" i="4"/>
  <c r="BY200" i="4" s="1"/>
  <c r="HH54" i="4"/>
  <c r="BX51" i="4"/>
  <c r="BX200" i="4"/>
  <c r="BR91" i="4"/>
  <c r="BI72" i="9"/>
  <c r="BI73" i="9" s="1"/>
  <c r="BY99" i="4"/>
  <c r="HI150" i="4" s="1"/>
  <c r="BZ96" i="4"/>
  <c r="BZ98" i="4"/>
  <c r="HJ92" i="4"/>
  <c r="HJ97" i="4" s="1"/>
  <c r="HJ118" i="4"/>
  <c r="BZ137" i="4"/>
  <c r="BZ107" i="4"/>
  <c r="BZ136" i="4"/>
  <c r="BZ105" i="4"/>
  <c r="BZ138" i="4"/>
  <c r="BZ102" i="4"/>
  <c r="BZ106" i="4"/>
  <c r="HJ152" i="4"/>
  <c r="BZ129" i="4"/>
  <c r="BP84" i="9" s="1"/>
  <c r="BZ122" i="4"/>
  <c r="BP77" i="9" s="1"/>
  <c r="BZ125" i="4"/>
  <c r="BP80" i="9" s="1"/>
  <c r="BZ121" i="4"/>
  <c r="BP76" i="9" s="1"/>
  <c r="BZ126" i="4"/>
  <c r="BP81" i="9" s="1"/>
  <c r="BZ127" i="4"/>
  <c r="BP82" i="9" s="1"/>
  <c r="BZ123" i="4"/>
  <c r="BP78" i="9" s="1"/>
  <c r="HD15" i="7"/>
  <c r="BT9" i="7" s="1"/>
  <c r="HL94" i="4"/>
  <c r="HL93" i="4" s="1"/>
  <c r="HL117" i="4"/>
  <c r="HL116" i="4" s="1"/>
  <c r="HL198" i="4"/>
  <c r="HL127" i="4"/>
  <c r="HL201" i="4"/>
  <c r="HL129" i="4"/>
  <c r="HL121" i="4"/>
  <c r="HL122" i="4"/>
  <c r="HL53" i="4"/>
  <c r="HL89" i="4"/>
  <c r="HL126" i="4"/>
  <c r="HL125" i="4"/>
  <c r="HF3" i="7"/>
  <c r="HL123" i="4"/>
  <c r="HL57" i="4"/>
  <c r="CD3" i="4"/>
  <c r="HM3" i="4"/>
  <c r="BW3" i="7"/>
  <c r="CC2" i="4"/>
  <c r="CC83" i="4"/>
  <c r="CC70" i="4"/>
  <c r="CC198" i="4"/>
  <c r="BO56" i="9"/>
  <c r="HJ28" i="4"/>
  <c r="HJ44" i="4"/>
  <c r="HJ26" i="4"/>
  <c r="HJ37" i="4"/>
  <c r="BZ37" i="4" s="1"/>
  <c r="HJ27" i="4"/>
  <c r="HJ43" i="4"/>
  <c r="HJ30" i="4"/>
  <c r="HJ47" i="4"/>
  <c r="HJ34" i="4"/>
  <c r="BZ34" i="4" s="1"/>
  <c r="HJ42" i="4"/>
  <c r="HJ41" i="4"/>
  <c r="HJ48" i="4"/>
  <c r="BM68" i="9"/>
  <c r="BS32" i="7"/>
  <c r="BS30" i="7"/>
  <c r="BS29" i="7"/>
  <c r="BS31" i="7"/>
  <c r="CA95" i="4"/>
  <c r="BQ53" i="9"/>
  <c r="BQ67" i="9"/>
  <c r="BQ55" i="9"/>
  <c r="BP94" i="9"/>
  <c r="BP85" i="9"/>
  <c r="CA31" i="4"/>
  <c r="BS114" i="4"/>
  <c r="HH158" i="4"/>
  <c r="HH159" i="4" s="1"/>
  <c r="HH160" i="4" s="1"/>
  <c r="CB28" i="4"/>
  <c r="CB44" i="4"/>
  <c r="CC22" i="4"/>
  <c r="CB88" i="4"/>
  <c r="CB26" i="4"/>
  <c r="CB43" i="4"/>
  <c r="CB27" i="4"/>
  <c r="HL22" i="4"/>
  <c r="CB47" i="4"/>
  <c r="CB30" i="4"/>
  <c r="CB41" i="4"/>
  <c r="CB42" i="4"/>
  <c r="CB48" i="4"/>
  <c r="CA252" i="4"/>
  <c r="HK95" i="4"/>
  <c r="HK120" i="4" s="1"/>
  <c r="HK130" i="4" s="1"/>
  <c r="CA130" i="4" s="1"/>
  <c r="HK119" i="4"/>
  <c r="HK91" i="4"/>
  <c r="HK90" i="4" s="1"/>
  <c r="CA90" i="4" s="1"/>
  <c r="CA97" i="4" s="1"/>
  <c r="HK151" i="4"/>
  <c r="HK154" i="4"/>
  <c r="HI146" i="4"/>
  <c r="HI147" i="4" s="1"/>
  <c r="HI148" i="4" s="1"/>
  <c r="HI149" i="4" s="1"/>
  <c r="HI96" i="4"/>
  <c r="HI98" i="4"/>
  <c r="HE14" i="7"/>
  <c r="HE13" i="7"/>
  <c r="HE12" i="7"/>
  <c r="BY139" i="4"/>
  <c r="BO90" i="9" s="1"/>
  <c r="BY108" i="4"/>
  <c r="HJ155" i="4"/>
  <c r="BP21" i="7"/>
  <c r="BP23" i="7" s="1"/>
  <c r="BP24" i="7" s="1"/>
  <c r="BP25" i="7" s="1"/>
  <c r="BP35" i="7" s="1"/>
  <c r="BV110" i="4" s="1"/>
  <c r="BV10" i="7"/>
  <c r="BV14" i="7"/>
  <c r="BV12" i="7"/>
  <c r="BV13" i="7"/>
  <c r="HL2" i="4"/>
  <c r="BV2" i="7"/>
  <c r="BQ20" i="7"/>
  <c r="BQ19" i="7"/>
  <c r="BQ18" i="7"/>
  <c r="CB199" i="4"/>
  <c r="BR54" i="9"/>
  <c r="CB231" i="4"/>
  <c r="BR33" i="7"/>
  <c r="HK23" i="4"/>
  <c r="CB23" i="4"/>
  <c r="CA89" i="4"/>
  <c r="BU5" i="7"/>
  <c r="CA49" i="4"/>
  <c r="BH83" i="9"/>
  <c r="HI54" i="4" l="1"/>
  <c r="BY51" i="4"/>
  <c r="CC45" i="4"/>
  <c r="CC46" i="4"/>
  <c r="HK36" i="4"/>
  <c r="CA36" i="4" s="1"/>
  <c r="HK46" i="4"/>
  <c r="BU112" i="4"/>
  <c r="BU114" i="4" s="1"/>
  <c r="BU91" i="4" s="1"/>
  <c r="BQ57" i="9"/>
  <c r="HK35" i="4"/>
  <c r="CA35" i="4" s="1"/>
  <c r="HK45" i="4"/>
  <c r="BT114" i="4"/>
  <c r="BT91" i="4" s="1"/>
  <c r="BX101" i="4"/>
  <c r="BX103" i="4" s="1"/>
  <c r="BN68" i="9" s="1"/>
  <c r="BZ108" i="4"/>
  <c r="BP69" i="9" s="1"/>
  <c r="HJ146" i="4"/>
  <c r="HJ147" i="4" s="1"/>
  <c r="HJ148" i="4" s="1"/>
  <c r="HJ149" i="4" s="1"/>
  <c r="CA96" i="4"/>
  <c r="CA98" i="4"/>
  <c r="HK92" i="4"/>
  <c r="HK97" i="4" s="1"/>
  <c r="CA107" i="4"/>
  <c r="CA105" i="4"/>
  <c r="CA136" i="4"/>
  <c r="HK118" i="4"/>
  <c r="CA137" i="4"/>
  <c r="CA138" i="4"/>
  <c r="CA102" i="4"/>
  <c r="CA106" i="4"/>
  <c r="CA122" i="4"/>
  <c r="BQ77" i="9" s="1"/>
  <c r="CA127" i="4"/>
  <c r="BQ82" i="9" s="1"/>
  <c r="CA129" i="4"/>
  <c r="CA125" i="4"/>
  <c r="CA121" i="4"/>
  <c r="CA126" i="4"/>
  <c r="CA123" i="4"/>
  <c r="HK152" i="4"/>
  <c r="CB31" i="4"/>
  <c r="HK44" i="4"/>
  <c r="HK27" i="4"/>
  <c r="HK26" i="4"/>
  <c r="HK37" i="4"/>
  <c r="CA37" i="4" s="1"/>
  <c r="HK43" i="4"/>
  <c r="HK30" i="4"/>
  <c r="HK47" i="4"/>
  <c r="HK34" i="4"/>
  <c r="CA34" i="4" s="1"/>
  <c r="HK28" i="4"/>
  <c r="HK41" i="4"/>
  <c r="HK42" i="4"/>
  <c r="HK48" i="4"/>
  <c r="HK155" i="4"/>
  <c r="CB95" i="4"/>
  <c r="CE3" i="4"/>
  <c r="HN3" i="4"/>
  <c r="CD83" i="4"/>
  <c r="BX3" i="7"/>
  <c r="CD70" i="4"/>
  <c r="CD2" i="4"/>
  <c r="CD198" i="4"/>
  <c r="BV15" i="7"/>
  <c r="BQ78" i="9"/>
  <c r="BQ94" i="9"/>
  <c r="BQ84" i="9"/>
  <c r="BQ81" i="9"/>
  <c r="BQ76" i="9"/>
  <c r="BQ80" i="9"/>
  <c r="BQ85" i="9"/>
  <c r="CC28" i="4"/>
  <c r="CC44" i="4"/>
  <c r="CD22" i="4"/>
  <c r="CC88" i="4"/>
  <c r="HM22" i="4"/>
  <c r="CC43" i="4"/>
  <c r="CC27" i="4"/>
  <c r="CC26" i="4"/>
  <c r="CC30" i="4"/>
  <c r="CC47" i="4"/>
  <c r="CC41" i="4"/>
  <c r="CC42" i="4"/>
  <c r="CC48" i="4"/>
  <c r="HF13" i="7"/>
  <c r="HF12" i="7"/>
  <c r="HF14" i="7"/>
  <c r="HM94" i="4"/>
  <c r="HM93" i="4" s="1"/>
  <c r="HM117" i="4"/>
  <c r="HM116" i="4" s="1"/>
  <c r="HM125" i="4"/>
  <c r="HM126" i="4"/>
  <c r="HM122" i="4"/>
  <c r="HM201" i="4"/>
  <c r="HM198" i="4"/>
  <c r="HM129" i="4"/>
  <c r="HM89" i="4"/>
  <c r="HM57" i="4"/>
  <c r="HG3" i="7"/>
  <c r="HM127" i="4"/>
  <c r="HM123" i="4"/>
  <c r="HM121" i="4"/>
  <c r="HM53" i="4"/>
  <c r="BR20" i="7"/>
  <c r="BR19" i="7"/>
  <c r="BR18" i="7"/>
  <c r="HL95" i="4"/>
  <c r="HL120" i="4" s="1"/>
  <c r="HL130" i="4" s="1"/>
  <c r="CB130" i="4" s="1"/>
  <c r="HL119" i="4"/>
  <c r="HL91" i="4"/>
  <c r="HL90" i="4" s="1"/>
  <c r="CB90" i="4" s="1"/>
  <c r="HL151" i="4"/>
  <c r="HL154" i="4"/>
  <c r="HJ153" i="4"/>
  <c r="HJ156" i="4" s="1"/>
  <c r="HJ158" i="4" s="1"/>
  <c r="HJ159" i="4" s="1"/>
  <c r="HJ160" i="4" s="1"/>
  <c r="BZ38" i="4"/>
  <c r="BZ139" i="4"/>
  <c r="BP90" i="9" s="1"/>
  <c r="BS33" i="7"/>
  <c r="BS91" i="4"/>
  <c r="BS128" i="4"/>
  <c r="BO58" i="9"/>
  <c r="CB252" i="4"/>
  <c r="BR53" i="9"/>
  <c r="BR67" i="9"/>
  <c r="BR55" i="9"/>
  <c r="BO69" i="9"/>
  <c r="CB49" i="4"/>
  <c r="CC199" i="4"/>
  <c r="BS54" i="9"/>
  <c r="CC231" i="4"/>
  <c r="HI99" i="4"/>
  <c r="BY100" i="4" s="1"/>
  <c r="BY101" i="4" s="1"/>
  <c r="HJ98" i="4"/>
  <c r="HL23" i="4"/>
  <c r="CC23" i="4"/>
  <c r="CB89" i="4"/>
  <c r="BV5" i="7"/>
  <c r="BL70" i="9"/>
  <c r="BL71" i="9" s="1"/>
  <c r="BV111" i="4"/>
  <c r="BQ21" i="7"/>
  <c r="BQ23" i="7" s="1"/>
  <c r="BQ24" i="7" s="1"/>
  <c r="BQ25" i="7" s="1"/>
  <c r="BQ35" i="7" s="1"/>
  <c r="BW110" i="4" s="1"/>
  <c r="HE15" i="7"/>
  <c r="BU9" i="7" s="1"/>
  <c r="HM2" i="4"/>
  <c r="BW2" i="7"/>
  <c r="HJ96" i="4"/>
  <c r="BZ99" i="4"/>
  <c r="BW10" i="7"/>
  <c r="BW14" i="7"/>
  <c r="BW12" i="7"/>
  <c r="BW13" i="7"/>
  <c r="BT31" i="7"/>
  <c r="BT32" i="7"/>
  <c r="BT29" i="7"/>
  <c r="BT30" i="7"/>
  <c r="HL36" i="4" l="1"/>
  <c r="CB36" i="4" s="1"/>
  <c r="HL46" i="4"/>
  <c r="CD45" i="4"/>
  <c r="CD46" i="4"/>
  <c r="BP56" i="9"/>
  <c r="BP58" i="9" s="1"/>
  <c r="BZ200" i="4"/>
  <c r="BU128" i="4"/>
  <c r="BK83" i="9" s="1"/>
  <c r="BK72" i="9"/>
  <c r="BK73" i="9" s="1"/>
  <c r="BR57" i="9"/>
  <c r="CB121" i="4"/>
  <c r="CB97" i="4"/>
  <c r="HK153" i="4"/>
  <c r="HK156" i="4" s="1"/>
  <c r="HK158" i="4" s="1"/>
  <c r="HK159" i="4" s="1"/>
  <c r="HK160" i="4" s="1"/>
  <c r="HL35" i="4"/>
  <c r="CB35" i="4" s="1"/>
  <c r="HL45" i="4"/>
  <c r="BT128" i="4"/>
  <c r="BJ83" i="9" s="1"/>
  <c r="CC49" i="4"/>
  <c r="HL155" i="4"/>
  <c r="CA108" i="4"/>
  <c r="BQ69" i="9" s="1"/>
  <c r="CB123" i="4"/>
  <c r="BR78" i="9" s="1"/>
  <c r="CA38" i="4"/>
  <c r="HK98" i="4"/>
  <c r="CB122" i="4"/>
  <c r="BR77" i="9" s="1"/>
  <c r="BY103" i="4"/>
  <c r="CB98" i="4"/>
  <c r="CB96" i="4"/>
  <c r="HL118" i="4"/>
  <c r="HL92" i="4"/>
  <c r="CB107" i="4"/>
  <c r="CB137" i="4"/>
  <c r="CB105" i="4"/>
  <c r="CB136" i="4"/>
  <c r="CB138" i="4"/>
  <c r="CB102" i="4"/>
  <c r="CB106" i="4"/>
  <c r="BV113" i="4"/>
  <c r="BV112" i="4"/>
  <c r="BR94" i="9"/>
  <c r="BR76" i="9"/>
  <c r="BR84" i="9"/>
  <c r="BR85" i="9"/>
  <c r="CB126" i="4"/>
  <c r="BR81" i="9" s="1"/>
  <c r="CC31" i="4"/>
  <c r="BZ51" i="4"/>
  <c r="HJ54" i="4"/>
  <c r="HG14" i="7"/>
  <c r="HG12" i="7"/>
  <c r="HG13" i="7"/>
  <c r="HN94" i="4"/>
  <c r="HN93" i="4" s="1"/>
  <c r="HN117" i="4"/>
  <c r="HN116" i="4" s="1"/>
  <c r="HN198" i="4"/>
  <c r="HN126" i="4"/>
  <c r="HN129" i="4"/>
  <c r="HN123" i="4"/>
  <c r="HN57" i="4"/>
  <c r="HN53" i="4"/>
  <c r="HN89" i="4"/>
  <c r="HH3" i="7"/>
  <c r="HN201" i="4"/>
  <c r="HN127" i="4"/>
  <c r="HN125" i="4"/>
  <c r="HN122" i="4"/>
  <c r="HN121" i="4"/>
  <c r="BS53" i="9"/>
  <c r="BS67" i="9"/>
  <c r="BS57" i="9"/>
  <c r="BS55" i="9"/>
  <c r="HL152" i="4"/>
  <c r="CC95" i="4"/>
  <c r="BW15" i="7"/>
  <c r="HM23" i="4"/>
  <c r="CD23" i="4"/>
  <c r="CC89" i="4"/>
  <c r="BW5" i="7"/>
  <c r="HL28" i="4"/>
  <c r="HL44" i="4"/>
  <c r="HL27" i="4"/>
  <c r="HL26" i="4"/>
  <c r="HL37" i="4"/>
  <c r="CB37" i="4" s="1"/>
  <c r="HL43" i="4"/>
  <c r="HL47" i="4"/>
  <c r="HL30" i="4"/>
  <c r="HL34" i="4"/>
  <c r="CB34" i="4" s="1"/>
  <c r="HL41" i="4"/>
  <c r="HL42" i="4"/>
  <c r="HL48" i="4"/>
  <c r="CA139" i="4"/>
  <c r="BQ90" i="9" s="1"/>
  <c r="HO3" i="4"/>
  <c r="CF3" i="4"/>
  <c r="CE83" i="4"/>
  <c r="CE70" i="4"/>
  <c r="CE2" i="4"/>
  <c r="BY3" i="7"/>
  <c r="CE198" i="4"/>
  <c r="CC252" i="4"/>
  <c r="CD28" i="4"/>
  <c r="CE22" i="4"/>
  <c r="CD44" i="4"/>
  <c r="CD26" i="4"/>
  <c r="HN22" i="4"/>
  <c r="CD43" i="4"/>
  <c r="CD27" i="4"/>
  <c r="CD88" i="4"/>
  <c r="CD30" i="4"/>
  <c r="CD47" i="4"/>
  <c r="CD41" i="4"/>
  <c r="CD42" i="4"/>
  <c r="CD48" i="4"/>
  <c r="BI83" i="9"/>
  <c r="CD199" i="4"/>
  <c r="CD231" i="4"/>
  <c r="BT54" i="9"/>
  <c r="HK146" i="4"/>
  <c r="HK147" i="4" s="1"/>
  <c r="HK148" i="4" s="1"/>
  <c r="HK149" i="4" s="1"/>
  <c r="HK96" i="4"/>
  <c r="BM70" i="9"/>
  <c r="BM71" i="9" s="1"/>
  <c r="BW111" i="4"/>
  <c r="BT33" i="7"/>
  <c r="HM95" i="4"/>
  <c r="HM120" i="4" s="1"/>
  <c r="HM130" i="4" s="1"/>
  <c r="CC130" i="4" s="1"/>
  <c r="HM119" i="4"/>
  <c r="HM91" i="4"/>
  <c r="HM90" i="4" s="1"/>
  <c r="CC90" i="4" s="1"/>
  <c r="CC97" i="4" s="1"/>
  <c r="HM151" i="4"/>
  <c r="HM154" i="4"/>
  <c r="CB127" i="4"/>
  <c r="BR82" i="9" s="1"/>
  <c r="CA99" i="4"/>
  <c r="HK150" i="4" s="1"/>
  <c r="BX2" i="7"/>
  <c r="HN2" i="4"/>
  <c r="CB125" i="4"/>
  <c r="BR80" i="9" s="1"/>
  <c r="HJ150" i="4"/>
  <c r="BS18" i="7"/>
  <c r="BS19" i="7"/>
  <c r="BS20" i="7"/>
  <c r="BR21" i="7"/>
  <c r="BR23" i="7" s="1"/>
  <c r="BR24" i="7" s="1"/>
  <c r="BR25" i="7" s="1"/>
  <c r="BR35" i="7" s="1"/>
  <c r="BX110" i="4" s="1"/>
  <c r="HF15" i="7"/>
  <c r="BV9" i="7" s="1"/>
  <c r="BX10" i="7"/>
  <c r="BX14" i="7"/>
  <c r="BX12" i="7"/>
  <c r="BX13" i="7"/>
  <c r="BU30" i="7"/>
  <c r="BU32" i="7"/>
  <c r="BU31" i="7"/>
  <c r="BU29" i="7"/>
  <c r="CB129" i="4"/>
  <c r="HJ99" i="4"/>
  <c r="BZ100" i="4" s="1"/>
  <c r="BZ101" i="4" s="1"/>
  <c r="HM36" i="4" l="1"/>
  <c r="CC36" i="4" s="1"/>
  <c r="HM46" i="4"/>
  <c r="CE45" i="4"/>
  <c r="CE46" i="4"/>
  <c r="CA51" i="4"/>
  <c r="BQ56" i="9"/>
  <c r="BQ58" i="9" s="1"/>
  <c r="CA200" i="4"/>
  <c r="HL97" i="4"/>
  <c r="HK99" i="4"/>
  <c r="CA100" i="4" s="1"/>
  <c r="CA101" i="4" s="1"/>
  <c r="CA103" i="4" s="1"/>
  <c r="BQ68" i="9" s="1"/>
  <c r="HK54" i="4"/>
  <c r="HL153" i="4"/>
  <c r="HL156" i="4" s="1"/>
  <c r="HL158" i="4" s="1"/>
  <c r="HL159" i="4" s="1"/>
  <c r="HL160" i="4" s="1"/>
  <c r="HM35" i="4"/>
  <c r="CC35" i="4" s="1"/>
  <c r="HM45" i="4"/>
  <c r="BV114" i="4"/>
  <c r="BV91" i="4" s="1"/>
  <c r="CB99" i="4"/>
  <c r="HL150" i="4" s="1"/>
  <c r="CB139" i="4"/>
  <c r="BR90" i="9" s="1"/>
  <c r="CB38" i="4"/>
  <c r="BU33" i="7"/>
  <c r="BU19" i="7" s="1"/>
  <c r="HM155" i="4"/>
  <c r="CC96" i="4"/>
  <c r="CC98" i="4"/>
  <c r="HM118" i="4"/>
  <c r="CC105" i="4"/>
  <c r="CC107" i="4"/>
  <c r="CC137" i="4"/>
  <c r="CC136" i="4"/>
  <c r="HM92" i="4"/>
  <c r="HM97" i="4" s="1"/>
  <c r="CC138" i="4"/>
  <c r="CC102" i="4"/>
  <c r="CC106" i="4"/>
  <c r="CC121" i="4"/>
  <c r="BS76" i="9" s="1"/>
  <c r="HM152" i="4"/>
  <c r="CC122" i="4"/>
  <c r="BS77" i="9" s="1"/>
  <c r="CC123" i="4"/>
  <c r="BS78" i="9" s="1"/>
  <c r="CC126" i="4"/>
  <c r="BS81" i="9" s="1"/>
  <c r="CC129" i="4"/>
  <c r="BS84" i="9" s="1"/>
  <c r="CC127" i="4"/>
  <c r="BS82" i="9" s="1"/>
  <c r="CC125" i="4"/>
  <c r="BS80" i="9" s="1"/>
  <c r="BZ103" i="4"/>
  <c r="BP68" i="9" s="1"/>
  <c r="BX15" i="7"/>
  <c r="CF22" i="4"/>
  <c r="CE28" i="4"/>
  <c r="CE44" i="4"/>
  <c r="CE88" i="4"/>
  <c r="CE26" i="4"/>
  <c r="CE43" i="4"/>
  <c r="CE27" i="4"/>
  <c r="HO22" i="4"/>
  <c r="CE47" i="4"/>
  <c r="CE30" i="4"/>
  <c r="CE42" i="4"/>
  <c r="CE41" i="4"/>
  <c r="CE48" i="4"/>
  <c r="BT53" i="9"/>
  <c r="BT67" i="9"/>
  <c r="BT55" i="9"/>
  <c r="CB108" i="4"/>
  <c r="BR69" i="9" s="1"/>
  <c r="BV31" i="7"/>
  <c r="BV29" i="7"/>
  <c r="BV32" i="7"/>
  <c r="BV30" i="7"/>
  <c r="BT19" i="7"/>
  <c r="BT20" i="7"/>
  <c r="BT18" i="7"/>
  <c r="BN70" i="9"/>
  <c r="BN71" i="9" s="1"/>
  <c r="BX111" i="4"/>
  <c r="BW112" i="4"/>
  <c r="BW113" i="4"/>
  <c r="HL146" i="4"/>
  <c r="HL147" i="4" s="1"/>
  <c r="HL148" i="4" s="1"/>
  <c r="HL149" i="4" s="1"/>
  <c r="HL96" i="4"/>
  <c r="BS94" i="9"/>
  <c r="BS85" i="9"/>
  <c r="HL98" i="4"/>
  <c r="HP3" i="4"/>
  <c r="CG3" i="4"/>
  <c r="CF83" i="4"/>
  <c r="CF70" i="4"/>
  <c r="CF2" i="4"/>
  <c r="BZ3" i="7"/>
  <c r="CF198" i="4"/>
  <c r="HO94" i="4"/>
  <c r="HO93" i="4" s="1"/>
  <c r="HO117" i="4"/>
  <c r="HO116" i="4" s="1"/>
  <c r="HO129" i="4"/>
  <c r="HO127" i="4"/>
  <c r="HO53" i="4"/>
  <c r="HO201" i="4"/>
  <c r="HO126" i="4"/>
  <c r="HO125" i="4"/>
  <c r="HO123" i="4"/>
  <c r="HO57" i="4"/>
  <c r="HO89" i="4"/>
  <c r="HO198" i="4"/>
  <c r="HI3" i="7"/>
  <c r="HO122" i="4"/>
  <c r="HO121" i="4"/>
  <c r="HG15" i="7"/>
  <c r="BW9" i="7" s="1"/>
  <c r="BY10" i="7"/>
  <c r="BY14" i="7"/>
  <c r="BY12" i="7"/>
  <c r="BY13" i="7"/>
  <c r="BY2" i="7"/>
  <c r="HO2" i="4"/>
  <c r="CE23" i="4"/>
  <c r="HN23" i="4"/>
  <c r="CD89" i="4"/>
  <c r="BX5" i="7"/>
  <c r="CD252" i="4"/>
  <c r="BU54" i="9"/>
  <c r="CE231" i="4"/>
  <c r="CE199" i="4"/>
  <c r="BS21" i="7"/>
  <c r="BS23" i="7" s="1"/>
  <c r="BS24" i="7" s="1"/>
  <c r="BS25" i="7" s="1"/>
  <c r="BS35" i="7" s="1"/>
  <c r="BY110" i="4" s="1"/>
  <c r="BY111" i="4" s="1"/>
  <c r="CD95" i="4"/>
  <c r="HM44" i="4"/>
  <c r="HM37" i="4"/>
  <c r="CC37" i="4" s="1"/>
  <c r="HM26" i="4"/>
  <c r="HM27" i="4"/>
  <c r="HM43" i="4"/>
  <c r="HM47" i="4"/>
  <c r="HM30" i="4"/>
  <c r="HM28" i="4"/>
  <c r="HM34" i="4"/>
  <c r="CC34" i="4" s="1"/>
  <c r="HM42" i="4"/>
  <c r="HM41" i="4"/>
  <c r="HM48" i="4"/>
  <c r="CD49" i="4"/>
  <c r="CD31" i="4"/>
  <c r="HH13" i="7"/>
  <c r="HH12" i="7"/>
  <c r="HH14" i="7"/>
  <c r="BO68" i="9"/>
  <c r="HN119" i="4"/>
  <c r="HN95" i="4"/>
  <c r="HN120" i="4" s="1"/>
  <c r="HN130" i="4" s="1"/>
  <c r="CD130" i="4" s="1"/>
  <c r="HN91" i="4"/>
  <c r="HN90" i="4" s="1"/>
  <c r="CD90" i="4" s="1"/>
  <c r="CD97" i="4" s="1"/>
  <c r="HN151" i="4"/>
  <c r="HN154" i="4"/>
  <c r="BL72" i="9"/>
  <c r="BL73" i="9" s="1"/>
  <c r="CF45" i="4" l="1"/>
  <c r="CF46" i="4"/>
  <c r="HN36" i="4"/>
  <c r="CD36" i="4" s="1"/>
  <c r="HN46" i="4"/>
  <c r="CB51" i="4"/>
  <c r="BR56" i="9"/>
  <c r="BR58" i="9" s="1"/>
  <c r="CB200" i="4"/>
  <c r="BT57" i="9"/>
  <c r="BU20" i="7"/>
  <c r="BU18" i="7"/>
  <c r="HM153" i="4"/>
  <c r="HM156" i="4" s="1"/>
  <c r="HM158" i="4" s="1"/>
  <c r="HM159" i="4" s="1"/>
  <c r="HM160" i="4" s="1"/>
  <c r="HN35" i="4"/>
  <c r="CD35" i="4" s="1"/>
  <c r="HN45" i="4"/>
  <c r="BV128" i="4"/>
  <c r="BL83" i="9" s="1"/>
  <c r="HL54" i="4"/>
  <c r="HN155" i="4"/>
  <c r="CD123" i="4"/>
  <c r="BT78" i="9" s="1"/>
  <c r="CD126" i="4"/>
  <c r="BT81" i="9" s="1"/>
  <c r="CD129" i="4"/>
  <c r="BT84" i="9" s="1"/>
  <c r="CD121" i="4"/>
  <c r="BT76" i="9" s="1"/>
  <c r="CE49" i="4"/>
  <c r="CC99" i="4"/>
  <c r="HM150" i="4" s="1"/>
  <c r="BW114" i="4"/>
  <c r="BW128" i="4" s="1"/>
  <c r="BY113" i="4"/>
  <c r="BY112" i="4"/>
  <c r="BZ10" i="7"/>
  <c r="BZ14" i="7"/>
  <c r="BZ12" i="7"/>
  <c r="BZ13" i="7"/>
  <c r="CC38" i="4"/>
  <c r="BU67" i="9"/>
  <c r="BU53" i="9"/>
  <c r="BU55" i="9"/>
  <c r="HQ3" i="4"/>
  <c r="CH3" i="4"/>
  <c r="CA3" i="7"/>
  <c r="CG83" i="4"/>
  <c r="CG70" i="4"/>
  <c r="CG2" i="4"/>
  <c r="CG198" i="4"/>
  <c r="CC108" i="4"/>
  <c r="BS69" i="9" s="1"/>
  <c r="BV33" i="7"/>
  <c r="HL99" i="4"/>
  <c r="CB100" i="4" s="1"/>
  <c r="CB101" i="4" s="1"/>
  <c r="CE31" i="4"/>
  <c r="HH15" i="7"/>
  <c r="BX9" i="7" s="1"/>
  <c r="CE95" i="4"/>
  <c r="HM146" i="4"/>
  <c r="HM147" i="4" s="1"/>
  <c r="HM148" i="4" s="1"/>
  <c r="HM149" i="4" s="1"/>
  <c r="HM98" i="4"/>
  <c r="HM96" i="4"/>
  <c r="HP2" i="4"/>
  <c r="BZ2" i="7"/>
  <c r="BW29" i="7"/>
  <c r="BW31" i="7"/>
  <c r="BW30" i="7"/>
  <c r="BW32" i="7"/>
  <c r="HI13" i="7"/>
  <c r="HI12" i="7"/>
  <c r="HI14" i="7"/>
  <c r="CC139" i="4"/>
  <c r="BS90" i="9" s="1"/>
  <c r="BY15" i="7"/>
  <c r="HO95" i="4"/>
  <c r="HO120" i="4" s="1"/>
  <c r="HO130" i="4" s="1"/>
  <c r="CE130" i="4" s="1"/>
  <c r="HO119" i="4"/>
  <c r="HO91" i="4"/>
  <c r="HO90" i="4" s="1"/>
  <c r="CE90" i="4" s="1"/>
  <c r="CE97" i="4" s="1"/>
  <c r="HO151" i="4"/>
  <c r="HO154" i="4"/>
  <c r="BM72" i="9"/>
  <c r="BM73" i="9" s="1"/>
  <c r="CG22" i="4"/>
  <c r="CF44" i="4"/>
  <c r="CF28" i="4"/>
  <c r="CF88" i="4"/>
  <c r="CF26" i="4"/>
  <c r="HP22" i="4"/>
  <c r="CF43" i="4"/>
  <c r="CF27" i="4"/>
  <c r="CF47" i="4"/>
  <c r="CF30" i="4"/>
  <c r="CF42" i="4"/>
  <c r="CF41" i="4"/>
  <c r="CF48" i="4"/>
  <c r="CF199" i="4"/>
  <c r="CF231" i="4"/>
  <c r="BV54" i="9"/>
  <c r="BO70" i="9"/>
  <c r="BO71" i="9" s="1"/>
  <c r="BX113" i="4"/>
  <c r="BX112" i="4"/>
  <c r="CE252" i="4"/>
  <c r="HP94" i="4"/>
  <c r="HP93" i="4" s="1"/>
  <c r="HP117" i="4"/>
  <c r="HP116" i="4" s="1"/>
  <c r="HP127" i="4"/>
  <c r="HP125" i="4"/>
  <c r="HP129" i="4"/>
  <c r="HP198" i="4"/>
  <c r="HP122" i="4"/>
  <c r="HP121" i="4"/>
  <c r="HP57" i="4"/>
  <c r="HP126" i="4"/>
  <c r="HP123" i="4"/>
  <c r="HP89" i="4"/>
  <c r="HP53" i="4"/>
  <c r="HJ3" i="7"/>
  <c r="HP201" i="4"/>
  <c r="HN44" i="4"/>
  <c r="HN27" i="4"/>
  <c r="HN26" i="4"/>
  <c r="HN37" i="4"/>
  <c r="CD37" i="4" s="1"/>
  <c r="HN43" i="4"/>
  <c r="HN30" i="4"/>
  <c r="HN47" i="4"/>
  <c r="HN34" i="4"/>
  <c r="CD34" i="4" s="1"/>
  <c r="HN28" i="4"/>
  <c r="HN41" i="4"/>
  <c r="HN42" i="4"/>
  <c r="HN48" i="4"/>
  <c r="BT21" i="7"/>
  <c r="BT23" i="7" s="1"/>
  <c r="BT24" i="7" s="1"/>
  <c r="BT25" i="7" s="1"/>
  <c r="BT35" i="7" s="1"/>
  <c r="BZ110" i="4" s="1"/>
  <c r="BP70" i="9" s="1"/>
  <c r="BP71" i="9" s="1"/>
  <c r="BT94" i="9"/>
  <c r="BT85" i="9"/>
  <c r="BT80" i="9"/>
  <c r="BT77" i="9"/>
  <c r="CD96" i="4"/>
  <c r="CD98" i="4"/>
  <c r="HN118" i="4"/>
  <c r="CD107" i="4"/>
  <c r="CD137" i="4"/>
  <c r="HN92" i="4"/>
  <c r="HN97" i="4" s="1"/>
  <c r="CD136" i="4"/>
  <c r="CD105" i="4"/>
  <c r="CD138" i="4"/>
  <c r="CD102" i="4"/>
  <c r="CD106" i="4"/>
  <c r="HN152" i="4"/>
  <c r="CD127" i="4"/>
  <c r="BT82" i="9" s="1"/>
  <c r="CD125" i="4"/>
  <c r="CF23" i="4"/>
  <c r="HO23" i="4"/>
  <c r="BY5" i="7"/>
  <c r="CE89" i="4"/>
  <c r="CD122" i="4"/>
  <c r="HO36" i="4" l="1"/>
  <c r="CE36" i="4" s="1"/>
  <c r="HO46" i="4"/>
  <c r="CG45" i="4"/>
  <c r="CG46" i="4"/>
  <c r="BS56" i="9"/>
  <c r="BS58" i="9" s="1"/>
  <c r="CC200" i="4"/>
  <c r="BU57" i="9"/>
  <c r="BU21" i="7"/>
  <c r="BU23" i="7" s="1"/>
  <c r="BU24" i="7" s="1"/>
  <c r="BU25" i="7" s="1"/>
  <c r="BU35" i="7" s="1"/>
  <c r="CA110" i="4" s="1"/>
  <c r="HN153" i="4"/>
  <c r="HN156" i="4" s="1"/>
  <c r="HN158" i="4" s="1"/>
  <c r="HN159" i="4" s="1"/>
  <c r="HN160" i="4" s="1"/>
  <c r="HO35" i="4"/>
  <c r="CE35" i="4" s="1"/>
  <c r="HO45" i="4"/>
  <c r="HM99" i="4"/>
  <c r="CC100" i="4" s="1"/>
  <c r="CC101" i="4" s="1"/>
  <c r="CC103" i="4" s="1"/>
  <c r="BS68" i="9" s="1"/>
  <c r="CD38" i="4"/>
  <c r="HN146" i="4"/>
  <c r="HN147" i="4" s="1"/>
  <c r="HN148" i="4" s="1"/>
  <c r="HN149" i="4" s="1"/>
  <c r="HN98" i="4"/>
  <c r="CD139" i="4"/>
  <c r="BT90" i="9" s="1"/>
  <c r="BY114" i="4"/>
  <c r="BY128" i="4" s="1"/>
  <c r="BW91" i="4"/>
  <c r="BX114" i="4"/>
  <c r="BX91" i="4" s="1"/>
  <c r="CB103" i="4"/>
  <c r="BR68" i="9" s="1"/>
  <c r="CE96" i="4"/>
  <c r="CE98" i="4"/>
  <c r="CE105" i="4"/>
  <c r="CE107" i="4"/>
  <c r="CE137" i="4"/>
  <c r="CE136" i="4"/>
  <c r="HO92" i="4"/>
  <c r="HO97" i="4" s="1"/>
  <c r="HO118" i="4"/>
  <c r="CE138" i="4"/>
  <c r="CE102" i="4"/>
  <c r="CE106" i="4"/>
  <c r="CE121" i="4"/>
  <c r="CE127" i="4"/>
  <c r="CE129" i="4"/>
  <c r="CE122" i="4"/>
  <c r="HO152" i="4"/>
  <c r="CE123" i="4"/>
  <c r="CE125" i="4"/>
  <c r="CE126" i="4"/>
  <c r="HM54" i="4"/>
  <c r="CC51" i="4"/>
  <c r="CG199" i="4"/>
  <c r="BW54" i="9"/>
  <c r="CG231" i="4"/>
  <c r="HO44" i="4"/>
  <c r="HO28" i="4"/>
  <c r="HO27" i="4"/>
  <c r="HO26" i="4"/>
  <c r="HO37" i="4"/>
  <c r="CE37" i="4" s="1"/>
  <c r="HO30" i="4"/>
  <c r="HO47" i="4"/>
  <c r="HO43" i="4"/>
  <c r="HO34" i="4"/>
  <c r="CE34" i="4" s="1"/>
  <c r="HO41" i="4"/>
  <c r="HO42" i="4"/>
  <c r="HO48" i="4"/>
  <c r="HI15" i="7"/>
  <c r="BY9" i="7" s="1"/>
  <c r="HQ2" i="4"/>
  <c r="CA2" i="7"/>
  <c r="BU79" i="9"/>
  <c r="BU94" i="9"/>
  <c r="BU80" i="9"/>
  <c r="BU82" i="9"/>
  <c r="BU78" i="9"/>
  <c r="BU77" i="9"/>
  <c r="BU76" i="9"/>
  <c r="BU81" i="9"/>
  <c r="BU84" i="9"/>
  <c r="BU85" i="9"/>
  <c r="HP23" i="4"/>
  <c r="CG23" i="4"/>
  <c r="CF89" i="4"/>
  <c r="BZ5" i="7"/>
  <c r="CF31" i="4"/>
  <c r="BW33" i="7"/>
  <c r="HP95" i="4"/>
  <c r="HP120" i="4" s="1"/>
  <c r="HP130" i="4" s="1"/>
  <c r="CF130" i="4" s="1"/>
  <c r="HP119" i="4"/>
  <c r="HP91" i="4"/>
  <c r="HP90" i="4" s="1"/>
  <c r="CF90" i="4" s="1"/>
  <c r="CF97" i="4" s="1"/>
  <c r="HP151" i="4"/>
  <c r="HP154" i="4"/>
  <c r="BZ15" i="7"/>
  <c r="CF95" i="4"/>
  <c r="CH22" i="4"/>
  <c r="CG44" i="4"/>
  <c r="CG28" i="4"/>
  <c r="CG88" i="4"/>
  <c r="CG43" i="4"/>
  <c r="CG27" i="4"/>
  <c r="CG26" i="4"/>
  <c r="HQ22" i="4"/>
  <c r="CG30" i="4"/>
  <c r="CG47" i="4"/>
  <c r="CG41" i="4"/>
  <c r="CG42" i="4"/>
  <c r="CG48" i="4"/>
  <c r="CA10" i="7"/>
  <c r="CA14" i="7"/>
  <c r="CA12" i="7"/>
  <c r="CA13" i="7"/>
  <c r="CD108" i="4"/>
  <c r="BT69" i="9" s="1"/>
  <c r="CI3" i="4"/>
  <c r="HR3" i="4"/>
  <c r="CB3" i="7"/>
  <c r="CH2" i="4"/>
  <c r="CH83" i="4"/>
  <c r="CH70" i="4"/>
  <c r="CH198" i="4"/>
  <c r="HQ94" i="4"/>
  <c r="HQ93" i="4" s="1"/>
  <c r="HQ117" i="4"/>
  <c r="HQ116" i="4" s="1"/>
  <c r="HQ125" i="4"/>
  <c r="HQ121" i="4"/>
  <c r="HQ53" i="4"/>
  <c r="HK3" i="7"/>
  <c r="HQ201" i="4"/>
  <c r="HQ89" i="4"/>
  <c r="HQ57" i="4"/>
  <c r="HQ129" i="4"/>
  <c r="HQ198" i="4"/>
  <c r="HQ127" i="4"/>
  <c r="HQ123" i="4"/>
  <c r="HQ126" i="4"/>
  <c r="HQ122" i="4"/>
  <c r="BO72" i="9"/>
  <c r="BO73" i="9" s="1"/>
  <c r="BV53" i="9"/>
  <c r="BV67" i="9"/>
  <c r="BV57" i="9"/>
  <c r="BV55" i="9"/>
  <c r="HO155" i="4"/>
  <c r="CF252" i="4"/>
  <c r="BZ111" i="4"/>
  <c r="BM83" i="9"/>
  <c r="BV20" i="7"/>
  <c r="BV19" i="7"/>
  <c r="BV18" i="7"/>
  <c r="HJ12" i="7"/>
  <c r="HJ14" i="7"/>
  <c r="HJ13" i="7"/>
  <c r="CF49" i="4"/>
  <c r="BX30" i="7"/>
  <c r="BX32" i="7"/>
  <c r="BX29" i="7"/>
  <c r="BX31" i="7"/>
  <c r="HN96" i="4"/>
  <c r="CD99" i="4"/>
  <c r="BN72" i="9"/>
  <c r="BN73" i="9" s="1"/>
  <c r="HP36" i="4" l="1"/>
  <c r="CF36" i="4" s="1"/>
  <c r="HP46" i="4"/>
  <c r="CH45" i="4"/>
  <c r="CH46" i="4"/>
  <c r="BT56" i="9"/>
  <c r="BT58" i="9" s="1"/>
  <c r="CD200" i="4"/>
  <c r="CA111" i="4"/>
  <c r="BQ70" i="9"/>
  <c r="BQ71" i="9" s="1"/>
  <c r="HO153" i="4"/>
  <c r="HO156" i="4" s="1"/>
  <c r="HP35" i="4"/>
  <c r="CF35" i="4" s="1"/>
  <c r="HP45" i="4"/>
  <c r="HN99" i="4"/>
  <c r="CD100" i="4" s="1"/>
  <c r="CD101" i="4" s="1"/>
  <c r="CE139" i="4"/>
  <c r="BU90" i="9" s="1"/>
  <c r="BY91" i="4"/>
  <c r="HP155" i="4"/>
  <c r="BX128" i="4"/>
  <c r="BV21" i="7"/>
  <c r="BV23" i="7" s="1"/>
  <c r="BV24" i="7" s="1"/>
  <c r="BV25" i="7" s="1"/>
  <c r="BV35" i="7" s="1"/>
  <c r="CB110" i="4" s="1"/>
  <c r="CE38" i="4"/>
  <c r="CF126" i="4"/>
  <c r="BV81" i="9" s="1"/>
  <c r="CE108" i="4"/>
  <c r="BU69" i="9" s="1"/>
  <c r="HN54" i="4"/>
  <c r="CD51" i="4"/>
  <c r="BX33" i="7"/>
  <c r="BX19" i="7" s="1"/>
  <c r="CG252" i="4"/>
  <c r="BW53" i="9"/>
  <c r="BW67" i="9"/>
  <c r="BW55" i="9"/>
  <c r="HO146" i="4"/>
  <c r="HO147" i="4" s="1"/>
  <c r="HO148" i="4" s="1"/>
  <c r="HO149" i="4" s="1"/>
  <c r="D92" i="4"/>
  <c r="HO98" i="4"/>
  <c r="HR117" i="4"/>
  <c r="HR116" i="4" s="1"/>
  <c r="HR94" i="4"/>
  <c r="HR93" i="4" s="1"/>
  <c r="HR125" i="4"/>
  <c r="HR121" i="4"/>
  <c r="HR127" i="4"/>
  <c r="HR53" i="4"/>
  <c r="HR57" i="4"/>
  <c r="HR122" i="4"/>
  <c r="HR129" i="4"/>
  <c r="HR198" i="4"/>
  <c r="HL3" i="7"/>
  <c r="HR201" i="4"/>
  <c r="HR126" i="4"/>
  <c r="HR123" i="4"/>
  <c r="HR89" i="4"/>
  <c r="CG49" i="4"/>
  <c r="CG95" i="4"/>
  <c r="CA15" i="7"/>
  <c r="HP152" i="4"/>
  <c r="HO96" i="4"/>
  <c r="CE99" i="4"/>
  <c r="HO150" i="4" s="1"/>
  <c r="CF121" i="4"/>
  <c r="CF125" i="4"/>
  <c r="BV80" i="9" s="1"/>
  <c r="BO83" i="9"/>
  <c r="CJ3" i="4"/>
  <c r="HS3" i="4"/>
  <c r="CC3" i="7"/>
  <c r="CI70" i="4"/>
  <c r="CI83" i="4"/>
  <c r="CI2" i="4"/>
  <c r="CI198" i="4"/>
  <c r="CI22" i="4"/>
  <c r="CH28" i="4"/>
  <c r="CH44" i="4"/>
  <c r="CH27" i="4"/>
  <c r="HR22" i="4"/>
  <c r="CH43" i="4"/>
  <c r="CH88" i="4"/>
  <c r="CH26" i="4"/>
  <c r="CH30" i="4"/>
  <c r="CH47" i="4"/>
  <c r="CH41" i="4"/>
  <c r="CH42" i="4"/>
  <c r="CH48" i="4"/>
  <c r="BY29" i="7"/>
  <c r="BY30" i="7"/>
  <c r="BY31" i="7"/>
  <c r="BY32" i="7"/>
  <c r="BW18" i="7"/>
  <c r="BW20" i="7"/>
  <c r="BW19" i="7"/>
  <c r="CG31" i="4"/>
  <c r="CF98" i="4"/>
  <c r="CF96" i="4"/>
  <c r="CF105" i="4"/>
  <c r="HP92" i="4"/>
  <c r="HP97" i="4" s="1"/>
  <c r="CF107" i="4"/>
  <c r="CF137" i="4"/>
  <c r="HP118" i="4"/>
  <c r="CF136" i="4"/>
  <c r="CF138" i="4"/>
  <c r="CF102" i="4"/>
  <c r="CF106" i="4"/>
  <c r="BV94" i="9"/>
  <c r="BV76" i="9"/>
  <c r="BV85" i="9"/>
  <c r="HN150" i="4"/>
  <c r="CH23" i="4"/>
  <c r="HQ23" i="4"/>
  <c r="CG89" i="4"/>
  <c r="CA5" i="7"/>
  <c r="CF122" i="4"/>
  <c r="BV77" i="9" s="1"/>
  <c r="HK12" i="7"/>
  <c r="HK13" i="7"/>
  <c r="HK14" i="7"/>
  <c r="CF123" i="4"/>
  <c r="BV78" i="9" s="1"/>
  <c r="HJ15" i="7"/>
  <c r="BZ9" i="7" s="1"/>
  <c r="HQ119" i="4"/>
  <c r="HQ95" i="4"/>
  <c r="HQ120" i="4" s="1"/>
  <c r="HQ130" i="4" s="1"/>
  <c r="CG130" i="4" s="1"/>
  <c r="HQ91" i="4"/>
  <c r="HQ90" i="4" s="1"/>
  <c r="CG90" i="4" s="1"/>
  <c r="CG97" i="4" s="1"/>
  <c r="HQ151" i="4"/>
  <c r="HQ154" i="4"/>
  <c r="BX54" i="9"/>
  <c r="CH231" i="4"/>
  <c r="CH199" i="4"/>
  <c r="CF129" i="4"/>
  <c r="BV84" i="9" s="1"/>
  <c r="BZ112" i="4"/>
  <c r="BZ113" i="4"/>
  <c r="CB2" i="7"/>
  <c r="HR2" i="4"/>
  <c r="HP44" i="4"/>
  <c r="HP28" i="4"/>
  <c r="HP27" i="4"/>
  <c r="HP37" i="4"/>
  <c r="CF37" i="4" s="1"/>
  <c r="HP26" i="4"/>
  <c r="HP30" i="4"/>
  <c r="HP43" i="4"/>
  <c r="HP47" i="4"/>
  <c r="HP34" i="4"/>
  <c r="CF34" i="4" s="1"/>
  <c r="HP41" i="4"/>
  <c r="HP42" i="4"/>
  <c r="HP48" i="4"/>
  <c r="CB10" i="7"/>
  <c r="CB14" i="7"/>
  <c r="CB12" i="7"/>
  <c r="CB13" i="7"/>
  <c r="CF127" i="4"/>
  <c r="BV82" i="9" s="1"/>
  <c r="C16" i="11" l="1"/>
  <c r="HQ36" i="4"/>
  <c r="CG36" i="4" s="1"/>
  <c r="HQ46" i="4"/>
  <c r="CI45" i="4"/>
  <c r="CI46" i="4"/>
  <c r="H160" i="4"/>
  <c r="C84" i="4"/>
  <c r="CE51" i="4"/>
  <c r="BU56" i="9"/>
  <c r="BU58" i="9" s="1"/>
  <c r="CE200" i="4"/>
  <c r="HO54" i="4"/>
  <c r="BW57" i="9"/>
  <c r="BP72" i="9"/>
  <c r="BP73" i="9" s="1"/>
  <c r="CA113" i="4"/>
  <c r="CA112" i="4"/>
  <c r="CB111" i="4"/>
  <c r="CB112" i="4" s="1"/>
  <c r="BR70" i="9"/>
  <c r="BR71" i="9" s="1"/>
  <c r="HP153" i="4"/>
  <c r="HP156" i="4" s="1"/>
  <c r="HP158" i="4" s="1"/>
  <c r="HP159" i="4" s="1"/>
  <c r="HP160" i="4" s="1"/>
  <c r="HQ35" i="4"/>
  <c r="CG35" i="4" s="1"/>
  <c r="HQ45" i="4"/>
  <c r="BN83" i="9"/>
  <c r="CH31" i="4"/>
  <c r="CF38" i="4"/>
  <c r="HQ155" i="4"/>
  <c r="BX20" i="7"/>
  <c r="BX18" i="7"/>
  <c r="CH49" i="4"/>
  <c r="HO99" i="4"/>
  <c r="CE100" i="4" s="1"/>
  <c r="CF99" i="4"/>
  <c r="HP150" i="4" s="1"/>
  <c r="BZ114" i="4"/>
  <c r="BZ128" i="4" s="1"/>
  <c r="BP83" i="9" s="1"/>
  <c r="CG96" i="4"/>
  <c r="CG98" i="4"/>
  <c r="HQ92" i="4"/>
  <c r="HQ97" i="4" s="1"/>
  <c r="HQ118" i="4"/>
  <c r="CG107" i="4"/>
  <c r="CG137" i="4"/>
  <c r="CG105" i="4"/>
  <c r="CG136" i="4"/>
  <c r="CG138" i="4"/>
  <c r="CG102" i="4"/>
  <c r="CG106" i="4"/>
  <c r="CG123" i="4"/>
  <c r="HQ152" i="4"/>
  <c r="CG125" i="4"/>
  <c r="CG126" i="4"/>
  <c r="BW81" i="9" s="1"/>
  <c r="CG127" i="4"/>
  <c r="BW82" i="9" s="1"/>
  <c r="CG129" i="4"/>
  <c r="CG121" i="4"/>
  <c r="CG122" i="4"/>
  <c r="BW77" i="9" s="1"/>
  <c r="HR119" i="4"/>
  <c r="HR95" i="4"/>
  <c r="HR120" i="4" s="1"/>
  <c r="HR130" i="4" s="1"/>
  <c r="CH130" i="4" s="1"/>
  <c r="HR91" i="4"/>
  <c r="HR90" i="4" s="1"/>
  <c r="CH90" i="4" s="1"/>
  <c r="CH97" i="4" s="1"/>
  <c r="HR151" i="4"/>
  <c r="HR154" i="4"/>
  <c r="HK15" i="7"/>
  <c r="CA9" i="7" s="1"/>
  <c r="HS94" i="4"/>
  <c r="HS93" i="4" s="1"/>
  <c r="HS117" i="4"/>
  <c r="HS116" i="4" s="1"/>
  <c r="HS198" i="4"/>
  <c r="HS127" i="4"/>
  <c r="HS123" i="4"/>
  <c r="HS53" i="4"/>
  <c r="HS57" i="4"/>
  <c r="HS89" i="4"/>
  <c r="HS126" i="4"/>
  <c r="HS125" i="4"/>
  <c r="HS201" i="4"/>
  <c r="HS122" i="4"/>
  <c r="HS129" i="4"/>
  <c r="HM3" i="7"/>
  <c r="HS121" i="4"/>
  <c r="HP98" i="4"/>
  <c r="CK3" i="4"/>
  <c r="HT3" i="4"/>
  <c r="CJ2" i="4"/>
  <c r="CJ70" i="4"/>
  <c r="CD3" i="7"/>
  <c r="CJ83" i="4"/>
  <c r="CJ198" i="4"/>
  <c r="CH95" i="4"/>
  <c r="HL14" i="7"/>
  <c r="HL13" i="7"/>
  <c r="HL12" i="7"/>
  <c r="CH252" i="4"/>
  <c r="HO158" i="4"/>
  <c r="HO159" i="4" s="1"/>
  <c r="HO160" i="4" s="1"/>
  <c r="BZ29" i="7"/>
  <c r="BZ32" i="7"/>
  <c r="BZ31" i="7"/>
  <c r="BZ30" i="7"/>
  <c r="CD103" i="4"/>
  <c r="BT68" i="9" s="1"/>
  <c r="BW76" i="9"/>
  <c r="BW79" i="9"/>
  <c r="BW78" i="9"/>
  <c r="BW84" i="9"/>
  <c r="BW80" i="9"/>
  <c r="BW94" i="9"/>
  <c r="BW85" i="9"/>
  <c r="BX67" i="9"/>
  <c r="BX55" i="9"/>
  <c r="BX53" i="9"/>
  <c r="HQ28" i="4"/>
  <c r="HQ44" i="4"/>
  <c r="HQ37" i="4"/>
  <c r="CG37" i="4" s="1"/>
  <c r="HQ27" i="4"/>
  <c r="HQ26" i="4"/>
  <c r="HQ43" i="4"/>
  <c r="HQ47" i="4"/>
  <c r="HQ30" i="4"/>
  <c r="HQ34" i="4"/>
  <c r="CG34" i="4" s="1"/>
  <c r="HQ41" i="4"/>
  <c r="HQ42" i="4"/>
  <c r="HQ48" i="4"/>
  <c r="H177" i="4"/>
  <c r="H173" i="4"/>
  <c r="H169" i="4"/>
  <c r="H170" i="4"/>
  <c r="H175" i="4"/>
  <c r="H171" i="4"/>
  <c r="H174" i="4"/>
  <c r="H184" i="4"/>
  <c r="H158" i="4"/>
  <c r="D17" i="1"/>
  <c r="D149" i="4"/>
  <c r="H185" i="4"/>
  <c r="H192" i="4"/>
  <c r="C19" i="11" s="1"/>
  <c r="G225" i="4"/>
  <c r="H150" i="4"/>
  <c r="E17" i="1"/>
  <c r="H186" i="4"/>
  <c r="H152" i="4"/>
  <c r="H178" i="4" s="1"/>
  <c r="H155" i="4"/>
  <c r="H153" i="4"/>
  <c r="H159" i="4"/>
  <c r="H154" i="4"/>
  <c r="H162" i="4"/>
  <c r="H164" i="4"/>
  <c r="H176" i="4"/>
  <c r="H165" i="4"/>
  <c r="BW21" i="7"/>
  <c r="BW23" i="7" s="1"/>
  <c r="BW24" i="7" s="1"/>
  <c r="BW25" i="7" s="1"/>
  <c r="BW35" i="7" s="1"/>
  <c r="CC110" i="4" s="1"/>
  <c r="CB15" i="7"/>
  <c r="CI23" i="4"/>
  <c r="HR23" i="4"/>
  <c r="CB5" i="7"/>
  <c r="CH89" i="4"/>
  <c r="CF108" i="4"/>
  <c r="BV69" i="9" s="1"/>
  <c r="BY54" i="9"/>
  <c r="CI231" i="4"/>
  <c r="CI199" i="4"/>
  <c r="HP146" i="4"/>
  <c r="HP147" i="4" s="1"/>
  <c r="HP148" i="4" s="1"/>
  <c r="HP149" i="4" s="1"/>
  <c r="HP96" i="4"/>
  <c r="CJ22" i="4"/>
  <c r="CI28" i="4"/>
  <c r="CI44" i="4"/>
  <c r="CI88" i="4"/>
  <c r="CI43" i="4"/>
  <c r="HS22" i="4"/>
  <c r="CI27" i="4"/>
  <c r="CI26" i="4"/>
  <c r="CI30" i="4"/>
  <c r="CI47" i="4"/>
  <c r="CI42" i="4"/>
  <c r="CI41" i="4"/>
  <c r="CI48" i="4"/>
  <c r="BY33" i="7"/>
  <c r="CC2" i="7"/>
  <c r="HS2" i="4"/>
  <c r="CF139" i="4"/>
  <c r="BV90" i="9" s="1"/>
  <c r="CC10" i="7"/>
  <c r="CC14" i="7"/>
  <c r="CC12" i="7"/>
  <c r="CC13" i="7"/>
  <c r="CJ45" i="4" l="1"/>
  <c r="CJ46" i="4"/>
  <c r="HR36" i="4"/>
  <c r="CH36" i="4" s="1"/>
  <c r="HR46" i="4"/>
  <c r="HP54" i="4"/>
  <c r="BV56" i="9"/>
  <c r="BV58" i="9" s="1"/>
  <c r="CF200" i="4"/>
  <c r="CB113" i="4"/>
  <c r="CB114" i="4" s="1"/>
  <c r="BX57" i="9"/>
  <c r="BQ72" i="9"/>
  <c r="BQ73" i="9" s="1"/>
  <c r="CA114" i="4"/>
  <c r="CC111" i="4"/>
  <c r="CC112" i="4" s="1"/>
  <c r="BS70" i="9"/>
  <c r="BS71" i="9" s="1"/>
  <c r="HQ153" i="4"/>
  <c r="HQ156" i="4" s="1"/>
  <c r="HQ158" i="4" s="1"/>
  <c r="HQ159" i="4" s="1"/>
  <c r="HQ160" i="4" s="1"/>
  <c r="HR35" i="4"/>
  <c r="CH35" i="4" s="1"/>
  <c r="HR45" i="4"/>
  <c r="CF51" i="4"/>
  <c r="BX21" i="7"/>
  <c r="BX23" i="7" s="1"/>
  <c r="BX24" i="7" s="1"/>
  <c r="BX25" i="7" s="1"/>
  <c r="BX35" i="7" s="1"/>
  <c r="CD110" i="4" s="1"/>
  <c r="CI49" i="4"/>
  <c r="CG108" i="4"/>
  <c r="BW69" i="9" s="1"/>
  <c r="CE101" i="4"/>
  <c r="CE103" i="4" s="1"/>
  <c r="BU68" i="9" s="1"/>
  <c r="BZ91" i="4"/>
  <c r="CG38" i="4"/>
  <c r="HQ54" i="4" s="1"/>
  <c r="H156" i="4"/>
  <c r="HR155" i="4"/>
  <c r="HP99" i="4"/>
  <c r="CF100" i="4" s="1"/>
  <c r="CF101" i="4" s="1"/>
  <c r="CF103" i="4" s="1"/>
  <c r="BV68" i="9" s="1"/>
  <c r="CH96" i="4"/>
  <c r="CH98" i="4"/>
  <c r="HR118" i="4"/>
  <c r="HR92" i="4"/>
  <c r="HR97" i="4" s="1"/>
  <c r="CH107" i="4"/>
  <c r="CH137" i="4"/>
  <c r="CH105" i="4"/>
  <c r="CH136" i="4"/>
  <c r="CH138" i="4"/>
  <c r="CH102" i="4"/>
  <c r="CH106" i="4"/>
  <c r="CH125" i="4"/>
  <c r="BX80" i="9" s="1"/>
  <c r="CH123" i="4"/>
  <c r="BX78" i="9" s="1"/>
  <c r="CH126" i="4"/>
  <c r="BX81" i="9" s="1"/>
  <c r="CH129" i="4"/>
  <c r="BX84" i="9" s="1"/>
  <c r="CH122" i="4"/>
  <c r="BX77" i="9" s="1"/>
  <c r="HR152" i="4"/>
  <c r="CH121" i="4"/>
  <c r="BX76" i="9" s="1"/>
  <c r="CH127" i="4"/>
  <c r="BX82" i="9" s="1"/>
  <c r="CD10" i="7"/>
  <c r="CD14" i="7"/>
  <c r="CD12" i="7"/>
  <c r="CD13" i="7"/>
  <c r="HT2" i="4"/>
  <c r="CD2" i="7"/>
  <c r="BX85" i="9"/>
  <c r="BX94" i="9"/>
  <c r="BZ33" i="7"/>
  <c r="HT94" i="4"/>
  <c r="HT93" i="4" s="1"/>
  <c r="HT117" i="4"/>
  <c r="HT116" i="4" s="1"/>
  <c r="HT126" i="4"/>
  <c r="HT53" i="4"/>
  <c r="HT57" i="4"/>
  <c r="HT129" i="4"/>
  <c r="HT122" i="4"/>
  <c r="HT198" i="4"/>
  <c r="HT123" i="4"/>
  <c r="HN3" i="7"/>
  <c r="HT89" i="4"/>
  <c r="HT201" i="4"/>
  <c r="HT127" i="4"/>
  <c r="HT125" i="4"/>
  <c r="HT121" i="4"/>
  <c r="CA29" i="7"/>
  <c r="CA31" i="7"/>
  <c r="CA32" i="7"/>
  <c r="CA30" i="7"/>
  <c r="E143" i="4"/>
  <c r="B28" i="1" s="1"/>
  <c r="E77" i="4"/>
  <c r="G85" i="4"/>
  <c r="B29" i="1" s="1"/>
  <c r="FA61" i="4"/>
  <c r="H187" i="4"/>
  <c r="J24" i="1" s="1"/>
  <c r="CG139" i="4"/>
  <c r="BW90" i="9" s="1"/>
  <c r="HR28" i="4"/>
  <c r="HR44" i="4"/>
  <c r="HR26" i="4"/>
  <c r="HR27" i="4"/>
  <c r="HR37" i="4"/>
  <c r="CH37" i="4" s="1"/>
  <c r="HR43" i="4"/>
  <c r="HR30" i="4"/>
  <c r="HR47" i="4"/>
  <c r="HR34" i="4"/>
  <c r="CH34" i="4" s="1"/>
  <c r="HR42" i="4"/>
  <c r="HR41" i="4"/>
  <c r="HR48" i="4"/>
  <c r="CL3" i="4"/>
  <c r="HU3" i="4"/>
  <c r="CK83" i="4"/>
  <c r="CK70" i="4"/>
  <c r="CK2" i="4"/>
  <c r="CE3" i="7"/>
  <c r="CK198" i="4"/>
  <c r="H220" i="4"/>
  <c r="O30" i="1" s="1"/>
  <c r="J26" i="1"/>
  <c r="CI31" i="4"/>
  <c r="CJ23" i="4"/>
  <c r="HS23" i="4"/>
  <c r="CI89" i="4"/>
  <c r="CC5" i="7"/>
  <c r="CC15" i="7"/>
  <c r="BY18" i="7"/>
  <c r="BY19" i="7"/>
  <c r="BY20" i="7"/>
  <c r="HL15" i="7"/>
  <c r="CB9" i="7" s="1"/>
  <c r="HM13" i="7"/>
  <c r="HM14" i="7"/>
  <c r="HM12" i="7"/>
  <c r="HQ146" i="4"/>
  <c r="HQ147" i="4" s="1"/>
  <c r="HQ148" i="4" s="1"/>
  <c r="HQ149" i="4" s="1"/>
  <c r="HQ96" i="4"/>
  <c r="HS95" i="4"/>
  <c r="HS120" i="4" s="1"/>
  <c r="HS130" i="4" s="1"/>
  <c r="CI130" i="4" s="1"/>
  <c r="HS119" i="4"/>
  <c r="HS91" i="4"/>
  <c r="HS90" i="4" s="1"/>
  <c r="CI90" i="4" s="1"/>
  <c r="CI97" i="4" s="1"/>
  <c r="HS151" i="4"/>
  <c r="HS154" i="4"/>
  <c r="H161" i="4"/>
  <c r="HQ98" i="4"/>
  <c r="CJ231" i="4"/>
  <c r="CJ199" i="4"/>
  <c r="BZ54" i="9"/>
  <c r="CI252" i="4"/>
  <c r="CG99" i="4"/>
  <c r="HQ150" i="4" s="1"/>
  <c r="CI95" i="4"/>
  <c r="CK22" i="4"/>
  <c r="CJ28" i="4"/>
  <c r="CJ44" i="4"/>
  <c r="CJ88" i="4"/>
  <c r="CJ43" i="4"/>
  <c r="CJ26" i="4"/>
  <c r="CJ27" i="4"/>
  <c r="HT22" i="4"/>
  <c r="CJ30" i="4"/>
  <c r="CJ47" i="4"/>
  <c r="CJ42" i="4"/>
  <c r="CJ41" i="4"/>
  <c r="CJ48" i="4"/>
  <c r="BY67" i="9"/>
  <c r="BY53" i="9"/>
  <c r="BY55" i="9"/>
  <c r="CK45" i="4" l="1"/>
  <c r="CK46" i="4"/>
  <c r="HS36" i="4"/>
  <c r="CI36" i="4" s="1"/>
  <c r="HS46" i="4"/>
  <c r="BR72" i="9"/>
  <c r="BR73" i="9" s="1"/>
  <c r="CG51" i="4"/>
  <c r="BW56" i="9"/>
  <c r="BW58" i="9" s="1"/>
  <c r="CG200" i="4"/>
  <c r="BY57" i="9"/>
  <c r="CC113" i="4"/>
  <c r="BS72" i="9" s="1"/>
  <c r="BS73" i="9" s="1"/>
  <c r="CD111" i="4"/>
  <c r="CD113" i="4" s="1"/>
  <c r="BT70" i="9"/>
  <c r="BT71" i="9" s="1"/>
  <c r="CA128" i="4"/>
  <c r="CA91" i="4"/>
  <c r="Q201" i="4"/>
  <c r="HR153" i="4"/>
  <c r="HR156" i="4" s="1"/>
  <c r="HR158" i="4" s="1"/>
  <c r="HR159" i="4" s="1"/>
  <c r="HR160" i="4" s="1"/>
  <c r="HS35" i="4"/>
  <c r="CI35" i="4" s="1"/>
  <c r="HS45" i="4"/>
  <c r="HM15" i="7"/>
  <c r="CC9" i="7" s="1"/>
  <c r="CC32" i="7" s="1"/>
  <c r="CH108" i="4"/>
  <c r="BX69" i="9" s="1"/>
  <c r="CH38" i="4"/>
  <c r="HR54" i="4" s="1"/>
  <c r="H163" i="4"/>
  <c r="H166" i="4" s="1"/>
  <c r="HS155" i="4"/>
  <c r="HR98" i="4"/>
  <c r="HQ99" i="4"/>
  <c r="CG100" i="4" s="1"/>
  <c r="CG101" i="4" s="1"/>
  <c r="CG103" i="4" s="1"/>
  <c r="BW68" i="9" s="1"/>
  <c r="CH99" i="4"/>
  <c r="HR150" i="4" s="1"/>
  <c r="CI96" i="4"/>
  <c r="CI98" i="4"/>
  <c r="CI107" i="4"/>
  <c r="CI137" i="4"/>
  <c r="HS118" i="4"/>
  <c r="HS92" i="4"/>
  <c r="HS97" i="4" s="1"/>
  <c r="CI136" i="4"/>
  <c r="CI105" i="4"/>
  <c r="CI138" i="4"/>
  <c r="CI102" i="4"/>
  <c r="CI106" i="4"/>
  <c r="HS152" i="4"/>
  <c r="CI126" i="4"/>
  <c r="CI123" i="4"/>
  <c r="BY78" i="9" s="1"/>
  <c r="CI127" i="4"/>
  <c r="BY82" i="9" s="1"/>
  <c r="CI121" i="4"/>
  <c r="BY76" i="9" s="1"/>
  <c r="CI122" i="4"/>
  <c r="BY77" i="9" s="1"/>
  <c r="CI129" i="4"/>
  <c r="CI125" i="4"/>
  <c r="BY80" i="9" s="1"/>
  <c r="FA77" i="4"/>
  <c r="Q56" i="4"/>
  <c r="Q76" i="4"/>
  <c r="CA54" i="9"/>
  <c r="CK231" i="4"/>
  <c r="CK199" i="4"/>
  <c r="CJ95" i="4"/>
  <c r="CE10" i="7"/>
  <c r="CE14" i="7"/>
  <c r="CE12" i="7"/>
  <c r="CE13" i="7"/>
  <c r="HN13" i="7"/>
  <c r="HN12" i="7"/>
  <c r="HN14" i="7"/>
  <c r="CE2" i="7"/>
  <c r="HU2" i="4"/>
  <c r="CL22" i="4"/>
  <c r="CK28" i="4"/>
  <c r="CK44" i="4"/>
  <c r="CK88" i="4"/>
  <c r="CK26" i="4"/>
  <c r="CK43" i="4"/>
  <c r="CK27" i="4"/>
  <c r="HU22" i="4"/>
  <c r="CK30" i="4"/>
  <c r="CK47" i="4"/>
  <c r="CK41" i="4"/>
  <c r="CK42" i="4"/>
  <c r="CK48" i="4"/>
  <c r="HU94" i="4"/>
  <c r="HU93" i="4" s="1"/>
  <c r="HU117" i="4"/>
  <c r="HU116" i="4" s="1"/>
  <c r="HU53" i="4"/>
  <c r="HU129" i="4"/>
  <c r="HO3" i="7"/>
  <c r="HU121" i="4"/>
  <c r="HU125" i="4"/>
  <c r="HU201" i="4"/>
  <c r="HU57" i="4"/>
  <c r="HU89" i="4"/>
  <c r="HU127" i="4"/>
  <c r="HU126" i="4"/>
  <c r="HU122" i="4"/>
  <c r="HU123" i="4"/>
  <c r="HU198" i="4"/>
  <c r="HV3" i="4"/>
  <c r="CM3" i="4"/>
  <c r="CL70" i="4"/>
  <c r="CL2" i="4"/>
  <c r="CF3" i="7"/>
  <c r="CL83" i="4"/>
  <c r="CL198" i="4"/>
  <c r="BZ18" i="7"/>
  <c r="BZ19" i="7"/>
  <c r="BZ20" i="7"/>
  <c r="HS28" i="4"/>
  <c r="HS44" i="4"/>
  <c r="HS27" i="4"/>
  <c r="HS26" i="4"/>
  <c r="HS37" i="4"/>
  <c r="CI37" i="4" s="1"/>
  <c r="HS43" i="4"/>
  <c r="HS30" i="4"/>
  <c r="HS47" i="4"/>
  <c r="HS34" i="4"/>
  <c r="CI34" i="4" s="1"/>
  <c r="HS41" i="4"/>
  <c r="HS42" i="4"/>
  <c r="HS48" i="4"/>
  <c r="CJ252" i="4"/>
  <c r="CJ31" i="4"/>
  <c r="CA33" i="7"/>
  <c r="CK23" i="4"/>
  <c r="HT23" i="4"/>
  <c r="CJ89" i="4"/>
  <c r="CD5" i="7"/>
  <c r="CH139" i="4"/>
  <c r="BX90" i="9" s="1"/>
  <c r="CB31" i="7"/>
  <c r="CB30" i="7"/>
  <c r="CB32" i="7"/>
  <c r="CB29" i="7"/>
  <c r="CB128" i="4"/>
  <c r="BR83" i="9" s="1"/>
  <c r="CB91" i="4"/>
  <c r="BZ53" i="9"/>
  <c r="BZ67" i="9"/>
  <c r="BZ55" i="9"/>
  <c r="BY81" i="9"/>
  <c r="BY84" i="9"/>
  <c r="BY85" i="9"/>
  <c r="BY94" i="9"/>
  <c r="CJ49" i="4"/>
  <c r="CD15" i="7"/>
  <c r="HR146" i="4"/>
  <c r="HR147" i="4" s="1"/>
  <c r="HR148" i="4" s="1"/>
  <c r="HR149" i="4" s="1"/>
  <c r="HR96" i="4"/>
  <c r="BY21" i="7"/>
  <c r="BY23" i="7" s="1"/>
  <c r="BY24" i="7" s="1"/>
  <c r="BY25" i="7" s="1"/>
  <c r="BY35" i="7" s="1"/>
  <c r="CE110" i="4" s="1"/>
  <c r="HT119" i="4"/>
  <c r="HT95" i="4"/>
  <c r="HT120" i="4" s="1"/>
  <c r="HT130" i="4" s="1"/>
  <c r="CJ130" i="4" s="1"/>
  <c r="HT91" i="4"/>
  <c r="HT90" i="4" s="1"/>
  <c r="CJ90" i="4" s="1"/>
  <c r="CJ97" i="4" s="1"/>
  <c r="HT151" i="4"/>
  <c r="HT154" i="4"/>
  <c r="CD112" i="4" l="1"/>
  <c r="CD114" i="4" s="1"/>
  <c r="CD91" i="4" s="1"/>
  <c r="HT36" i="4"/>
  <c r="CJ36" i="4" s="1"/>
  <c r="HT46" i="4"/>
  <c r="CL45" i="4"/>
  <c r="CL46" i="4"/>
  <c r="J21" i="1"/>
  <c r="CH51" i="4"/>
  <c r="BX56" i="9"/>
  <c r="BX58" i="9" s="1"/>
  <c r="CH200" i="4"/>
  <c r="BZ57" i="9"/>
  <c r="CC114" i="4"/>
  <c r="CC91" i="4" s="1"/>
  <c r="CE111" i="4"/>
  <c r="CE112" i="4" s="1"/>
  <c r="BU70" i="9"/>
  <c r="BU71" i="9" s="1"/>
  <c r="BQ83" i="9"/>
  <c r="BT72" i="9"/>
  <c r="BT73" i="9" s="1"/>
  <c r="CC31" i="7"/>
  <c r="HS153" i="4"/>
  <c r="HS156" i="4" s="1"/>
  <c r="HS158" i="4" s="1"/>
  <c r="HS159" i="4" s="1"/>
  <c r="HS160" i="4" s="1"/>
  <c r="HT35" i="4"/>
  <c r="CJ35" i="4" s="1"/>
  <c r="HT45" i="4"/>
  <c r="HN15" i="7"/>
  <c r="CD9" i="7" s="1"/>
  <c r="CD31" i="7" s="1"/>
  <c r="HR99" i="4"/>
  <c r="CH100" i="4" s="1"/>
  <c r="CH101" i="4" s="1"/>
  <c r="CH103" i="4" s="1"/>
  <c r="BX68" i="9" s="1"/>
  <c r="CC29" i="7"/>
  <c r="CC30" i="7"/>
  <c r="CK49" i="4"/>
  <c r="BZ21" i="7"/>
  <c r="BZ23" i="7" s="1"/>
  <c r="BZ24" i="7" s="1"/>
  <c r="BZ25" i="7" s="1"/>
  <c r="BZ35" i="7" s="1"/>
  <c r="CF110" i="4" s="1"/>
  <c r="CI99" i="4"/>
  <c r="HS150" i="4" s="1"/>
  <c r="CJ98" i="4"/>
  <c r="CJ96" i="4"/>
  <c r="CJ105" i="4"/>
  <c r="I158" i="4" s="1"/>
  <c r="HT92" i="4"/>
  <c r="HT97" i="4" s="1"/>
  <c r="CJ136" i="4"/>
  <c r="CJ137" i="4"/>
  <c r="HT118" i="4"/>
  <c r="CJ107" i="4"/>
  <c r="I160" i="4" s="1"/>
  <c r="CJ138" i="4"/>
  <c r="CJ102" i="4"/>
  <c r="CJ106" i="4"/>
  <c r="CJ126" i="4"/>
  <c r="BZ81" i="9" s="1"/>
  <c r="CJ123" i="4"/>
  <c r="BZ78" i="9" s="1"/>
  <c r="HT152" i="4"/>
  <c r="CJ122" i="4"/>
  <c r="CJ121" i="4"/>
  <c r="CJ125" i="4"/>
  <c r="BZ80" i="9" s="1"/>
  <c r="CJ127" i="4"/>
  <c r="CJ129" i="4"/>
  <c r="HV94" i="4"/>
  <c r="HV93" i="4" s="1"/>
  <c r="HV117" i="4"/>
  <c r="HV116" i="4" s="1"/>
  <c r="HV123" i="4"/>
  <c r="HP3" i="7"/>
  <c r="HV53" i="4"/>
  <c r="HV125" i="4"/>
  <c r="HV127" i="4"/>
  <c r="HV124" i="4"/>
  <c r="HV126" i="4"/>
  <c r="HV89" i="4"/>
  <c r="HV129" i="4"/>
  <c r="HV201" i="4"/>
  <c r="HV122" i="4"/>
  <c r="HV121" i="4"/>
  <c r="HV57" i="4"/>
  <c r="HV198" i="4"/>
  <c r="CI108" i="4"/>
  <c r="BY69" i="9" s="1"/>
  <c r="CB33" i="7"/>
  <c r="CA53" i="9"/>
  <c r="CA67" i="9"/>
  <c r="CA55" i="9"/>
  <c r="HS146" i="4"/>
  <c r="HS147" i="4" s="1"/>
  <c r="HS148" i="4" s="1"/>
  <c r="HS149" i="4" s="1"/>
  <c r="HS96" i="4"/>
  <c r="CI139" i="4"/>
  <c r="BY90" i="9" s="1"/>
  <c r="BZ94" i="9"/>
  <c r="BZ84" i="9"/>
  <c r="BZ85" i="9"/>
  <c r="CK31" i="4"/>
  <c r="HT28" i="4"/>
  <c r="HT44" i="4"/>
  <c r="HT26" i="4"/>
  <c r="HT27" i="4"/>
  <c r="HT37" i="4"/>
  <c r="CJ37" i="4" s="1"/>
  <c r="HT43" i="4"/>
  <c r="HT30" i="4"/>
  <c r="HT47" i="4"/>
  <c r="HT34" i="4"/>
  <c r="CJ34" i="4" s="1"/>
  <c r="HT42" i="4"/>
  <c r="HT41" i="4"/>
  <c r="HT48" i="4"/>
  <c r="HU95" i="4"/>
  <c r="HU120" i="4" s="1"/>
  <c r="HU130" i="4" s="1"/>
  <c r="CK130" i="4" s="1"/>
  <c r="HU119" i="4"/>
  <c r="HU91" i="4"/>
  <c r="HU90" i="4" s="1"/>
  <c r="CK90" i="4" s="1"/>
  <c r="CK97" i="4" s="1"/>
  <c r="HU151" i="4"/>
  <c r="HU154" i="4"/>
  <c r="CK95" i="4"/>
  <c r="CL23" i="4"/>
  <c r="HU23" i="4"/>
  <c r="CK89" i="4"/>
  <c r="CE5" i="7"/>
  <c r="CI38" i="4"/>
  <c r="HS98" i="4"/>
  <c r="CF10" i="7"/>
  <c r="CF14" i="7"/>
  <c r="CF12" i="7"/>
  <c r="CF13" i="7"/>
  <c r="CA18" i="7"/>
  <c r="CA19" i="7"/>
  <c r="CA20" i="7"/>
  <c r="CE15" i="7"/>
  <c r="CL44" i="4"/>
  <c r="CM22" i="4"/>
  <c r="CL28" i="4"/>
  <c r="CL43" i="4"/>
  <c r="CL26" i="4"/>
  <c r="CL27" i="4"/>
  <c r="CL88" i="4"/>
  <c r="HV22" i="4"/>
  <c r="CL30" i="4"/>
  <c r="CL47" i="4"/>
  <c r="CL41" i="4"/>
  <c r="CL42" i="4"/>
  <c r="CL48" i="4"/>
  <c r="HO14" i="7"/>
  <c r="HO12" i="7"/>
  <c r="HO13" i="7"/>
  <c r="HT155" i="4"/>
  <c r="CL231" i="4"/>
  <c r="CB54" i="9"/>
  <c r="CL199" i="4"/>
  <c r="CF2" i="7"/>
  <c r="HV2" i="4"/>
  <c r="CN3" i="4"/>
  <c r="HW3" i="4"/>
  <c r="CM2" i="4"/>
  <c r="CM70" i="4"/>
  <c r="CG3" i="7"/>
  <c r="CM83" i="4"/>
  <c r="CM198" i="4"/>
  <c r="CK252" i="4"/>
  <c r="CM45" i="4" l="1"/>
  <c r="CM46" i="4"/>
  <c r="HU36" i="4"/>
  <c r="CK36" i="4" s="1"/>
  <c r="HU46" i="4"/>
  <c r="G172" i="4"/>
  <c r="G179" i="4" s="1"/>
  <c r="H124" i="4"/>
  <c r="T124" i="4"/>
  <c r="S124" i="4"/>
  <c r="U124" i="4"/>
  <c r="R124" i="4"/>
  <c r="V124" i="4"/>
  <c r="G124" i="4"/>
  <c r="W124" i="4"/>
  <c r="X124" i="4"/>
  <c r="Y124" i="4"/>
  <c r="Z124" i="4"/>
  <c r="I131" i="4"/>
  <c r="D131" i="4"/>
  <c r="F20" i="1" s="1"/>
  <c r="AA124" i="4"/>
  <c r="FM124" i="4"/>
  <c r="FN124" i="4"/>
  <c r="AB124" i="4"/>
  <c r="FO124" i="4"/>
  <c r="FP124" i="4"/>
  <c r="FQ124" i="4"/>
  <c r="FR124" i="4"/>
  <c r="FS124" i="4"/>
  <c r="FT124" i="4"/>
  <c r="FU124" i="4"/>
  <c r="FV124" i="4"/>
  <c r="FW124" i="4"/>
  <c r="FX124" i="4"/>
  <c r="FY124" i="4"/>
  <c r="FZ124" i="4"/>
  <c r="GA124" i="4"/>
  <c r="GB124" i="4"/>
  <c r="GC124" i="4"/>
  <c r="GD124" i="4"/>
  <c r="GE124" i="4"/>
  <c r="GF124" i="4"/>
  <c r="GG124" i="4"/>
  <c r="GH124" i="4"/>
  <c r="GI124" i="4"/>
  <c r="GJ124" i="4"/>
  <c r="GK124" i="4"/>
  <c r="GL124" i="4"/>
  <c r="GM124" i="4"/>
  <c r="GN124" i="4"/>
  <c r="GO124" i="4"/>
  <c r="GP124" i="4"/>
  <c r="GQ124" i="4"/>
  <c r="GR124" i="4"/>
  <c r="GS124" i="4"/>
  <c r="GT124" i="4"/>
  <c r="GU124" i="4"/>
  <c r="GV124" i="4"/>
  <c r="GW124" i="4"/>
  <c r="GX124" i="4"/>
  <c r="GY124" i="4"/>
  <c r="GZ124" i="4"/>
  <c r="HA124" i="4"/>
  <c r="HB124" i="4"/>
  <c r="HC124" i="4"/>
  <c r="HD124" i="4"/>
  <c r="HE124" i="4"/>
  <c r="HF124" i="4"/>
  <c r="HG124" i="4"/>
  <c r="HH124" i="4"/>
  <c r="HI124" i="4"/>
  <c r="HJ124" i="4"/>
  <c r="HK124" i="4"/>
  <c r="HL124" i="4"/>
  <c r="HM124" i="4"/>
  <c r="HN124" i="4"/>
  <c r="HO124" i="4"/>
  <c r="HP124" i="4"/>
  <c r="HQ124" i="4"/>
  <c r="HR124" i="4"/>
  <c r="HS124" i="4"/>
  <c r="HT124" i="4"/>
  <c r="HU124" i="4"/>
  <c r="CK124" i="4" s="1"/>
  <c r="CA79" i="9" s="1"/>
  <c r="CD128" i="4"/>
  <c r="BT83" i="9" s="1"/>
  <c r="BY56" i="9"/>
  <c r="BY58" i="9" s="1"/>
  <c r="CI200" i="4"/>
  <c r="CC128" i="4"/>
  <c r="CA57" i="9"/>
  <c r="CE113" i="4"/>
  <c r="CE114" i="4" s="1"/>
  <c r="CE91" i="4" s="1"/>
  <c r="BZ79" i="9"/>
  <c r="BZ82" i="9"/>
  <c r="BZ77" i="9"/>
  <c r="BZ76" i="9"/>
  <c r="CF111" i="4"/>
  <c r="CF113" i="4" s="1"/>
  <c r="BV70" i="9"/>
  <c r="BV71" i="9" s="1"/>
  <c r="HT153" i="4"/>
  <c r="HT156" i="4" s="1"/>
  <c r="HT158" i="4" s="1"/>
  <c r="HT159" i="4" s="1"/>
  <c r="HT160" i="4" s="1"/>
  <c r="HU35" i="4"/>
  <c r="CK35" i="4" s="1"/>
  <c r="HU45" i="4"/>
  <c r="CD29" i="7"/>
  <c r="CD32" i="7"/>
  <c r="CD30" i="7"/>
  <c r="CC33" i="7"/>
  <c r="CC20" i="7" s="1"/>
  <c r="CJ99" i="4"/>
  <c r="HT150" i="4" s="1"/>
  <c r="CJ38" i="4"/>
  <c r="HU155" i="4"/>
  <c r="CL49" i="4"/>
  <c r="HU92" i="4"/>
  <c r="HU97" i="4" s="1"/>
  <c r="CK136" i="4"/>
  <c r="CK105" i="4"/>
  <c r="CK98" i="4"/>
  <c r="CK137" i="4"/>
  <c r="CK107" i="4"/>
  <c r="CK96" i="4"/>
  <c r="HU118" i="4"/>
  <c r="CK138" i="4"/>
  <c r="CK102" i="4"/>
  <c r="CK106" i="4"/>
  <c r="CK129" i="4"/>
  <c r="CK125" i="4"/>
  <c r="CK123" i="4"/>
  <c r="CK121" i="4"/>
  <c r="CA76" i="9" s="1"/>
  <c r="CK122" i="4"/>
  <c r="CK126" i="4"/>
  <c r="HU152" i="4"/>
  <c r="CK127" i="4"/>
  <c r="CA94" i="9"/>
  <c r="CA84" i="9"/>
  <c r="CA78" i="9"/>
  <c r="CA85" i="9"/>
  <c r="CA82" i="9"/>
  <c r="CA77" i="9"/>
  <c r="CA81" i="9"/>
  <c r="CA80" i="9"/>
  <c r="CC54" i="9"/>
  <c r="CM199" i="4"/>
  <c r="CM231" i="4"/>
  <c r="CJ108" i="4"/>
  <c r="BZ69" i="9" s="1"/>
  <c r="CG10" i="7"/>
  <c r="CG14" i="7"/>
  <c r="CG12" i="7"/>
  <c r="CG13" i="7"/>
  <c r="CB19" i="7"/>
  <c r="CB20" i="7"/>
  <c r="CB18" i="7"/>
  <c r="HP13" i="7"/>
  <c r="HP12" i="7"/>
  <c r="HP14" i="7"/>
  <c r="HX3" i="4"/>
  <c r="CO3" i="4"/>
  <c r="CN2" i="4"/>
  <c r="CN70" i="4"/>
  <c r="CH3" i="7"/>
  <c r="CN83" i="4"/>
  <c r="CN198" i="4"/>
  <c r="HW94" i="4"/>
  <c r="HW93" i="4" s="1"/>
  <c r="HW117" i="4"/>
  <c r="HW116" i="4" s="1"/>
  <c r="HW125" i="4"/>
  <c r="HW122" i="4"/>
  <c r="HQ3" i="7"/>
  <c r="HW201" i="4"/>
  <c r="HW89" i="4"/>
  <c r="HW126" i="4"/>
  <c r="HW127" i="4"/>
  <c r="HW123" i="4"/>
  <c r="HW198" i="4"/>
  <c r="HW124" i="4"/>
  <c r="HW53" i="4"/>
  <c r="HW57" i="4"/>
  <c r="HW129" i="4"/>
  <c r="HW121" i="4"/>
  <c r="CL95" i="4"/>
  <c r="CB67" i="9"/>
  <c r="CB53" i="9"/>
  <c r="CB55" i="9"/>
  <c r="CB57" i="9"/>
  <c r="CL31" i="4"/>
  <c r="HS99" i="4"/>
  <c r="CI100" i="4" s="1"/>
  <c r="CI101" i="4" s="1"/>
  <c r="CI103" i="4" s="1"/>
  <c r="BY68" i="9" s="1"/>
  <c r="CJ139" i="4"/>
  <c r="BZ90" i="9" s="1"/>
  <c r="HW2" i="4"/>
  <c r="CG2" i="7"/>
  <c r="CL252" i="4"/>
  <c r="CI51" i="4"/>
  <c r="HS54" i="4"/>
  <c r="HT146" i="4"/>
  <c r="HT147" i="4" s="1"/>
  <c r="HT148" i="4" s="1"/>
  <c r="HT149" i="4" s="1"/>
  <c r="HT96" i="4"/>
  <c r="HO15" i="7"/>
  <c r="CE9" i="7" s="1"/>
  <c r="HV95" i="4"/>
  <c r="HV120" i="4" s="1"/>
  <c r="HV130" i="4" s="1"/>
  <c r="CL130" i="4" s="1"/>
  <c r="HV119" i="4"/>
  <c r="HV91" i="4"/>
  <c r="HV90" i="4" s="1"/>
  <c r="CL90" i="4" s="1"/>
  <c r="CL97" i="4" s="1"/>
  <c r="HV151" i="4"/>
  <c r="HV154" i="4"/>
  <c r="CF15" i="7"/>
  <c r="CN22" i="4"/>
  <c r="CM28" i="4"/>
  <c r="CM44" i="4"/>
  <c r="CM43" i="4"/>
  <c r="CM27" i="4"/>
  <c r="HW22" i="4"/>
  <c r="CM88" i="4"/>
  <c r="CM26" i="4"/>
  <c r="CM30" i="4"/>
  <c r="CM47" i="4"/>
  <c r="CM41" i="4"/>
  <c r="CM42" i="4"/>
  <c r="CM48" i="4"/>
  <c r="HU44" i="4"/>
  <c r="HU28" i="4"/>
  <c r="HU26" i="4"/>
  <c r="HU27" i="4"/>
  <c r="HU37" i="4"/>
  <c r="CK37" i="4" s="1"/>
  <c r="HU43" i="4"/>
  <c r="HU30" i="4"/>
  <c r="HU47" i="4"/>
  <c r="HU34" i="4"/>
  <c r="CK34" i="4" s="1"/>
  <c r="HU42" i="4"/>
  <c r="HU41" i="4"/>
  <c r="HU48" i="4"/>
  <c r="HT98" i="4"/>
  <c r="HV23" i="4"/>
  <c r="CM23" i="4"/>
  <c r="CL89" i="4"/>
  <c r="CF5" i="7"/>
  <c r="CA21" i="7"/>
  <c r="CA23" i="7" s="1"/>
  <c r="CA24" i="7" s="1"/>
  <c r="CA25" i="7" s="1"/>
  <c r="CA35" i="7" s="1"/>
  <c r="CG110" i="4" s="1"/>
  <c r="HU131" i="4" l="1"/>
  <c r="CN45" i="4"/>
  <c r="CN46" i="4"/>
  <c r="HV36" i="4"/>
  <c r="CL36" i="4" s="1"/>
  <c r="HV46" i="4"/>
  <c r="BU72" i="9"/>
  <c r="BU73" i="9" s="1"/>
  <c r="FR131" i="4"/>
  <c r="AH124" i="4"/>
  <c r="GN131" i="4"/>
  <c r="BD124" i="4"/>
  <c r="BB124" i="4"/>
  <c r="GL131" i="4"/>
  <c r="AG124" i="4"/>
  <c r="FQ131" i="4"/>
  <c r="GJ131" i="4"/>
  <c r="AZ124" i="4"/>
  <c r="O79" i="9"/>
  <c r="O86" i="9" s="1"/>
  <c r="O88" i="9" s="1"/>
  <c r="O92" i="9" s="1"/>
  <c r="Y131" i="4"/>
  <c r="Y133" i="4" s="1"/>
  <c r="Y141" i="4" s="1"/>
  <c r="GE131" i="4"/>
  <c r="AU124" i="4"/>
  <c r="GB131" i="4"/>
  <c r="AR124" i="4"/>
  <c r="HS131" i="4"/>
  <c r="CI124" i="4"/>
  <c r="BY79" i="9" s="1"/>
  <c r="BM124" i="4"/>
  <c r="GW131" i="4"/>
  <c r="AQ124" i="4"/>
  <c r="GA131" i="4"/>
  <c r="M79" i="9"/>
  <c r="M86" i="9" s="1"/>
  <c r="M88" i="9" s="1"/>
  <c r="M92" i="9" s="1"/>
  <c r="W131" i="4"/>
  <c r="W133" i="4" s="1"/>
  <c r="W141" i="4" s="1"/>
  <c r="AY124" i="4"/>
  <c r="GI131" i="4"/>
  <c r="HC131" i="4"/>
  <c r="BS124" i="4"/>
  <c r="AT124" i="4"/>
  <c r="GD131" i="4"/>
  <c r="BN124" i="4"/>
  <c r="GX131" i="4"/>
  <c r="N79" i="9"/>
  <c r="N86" i="9" s="1"/>
  <c r="N88" i="9" s="1"/>
  <c r="N92" i="9" s="1"/>
  <c r="X131" i="4"/>
  <c r="X133" i="4" s="1"/>
  <c r="X141" i="4" s="1"/>
  <c r="CH124" i="4"/>
  <c r="BX79" i="9" s="1"/>
  <c r="HR131" i="4"/>
  <c r="BL124" i="4"/>
  <c r="GV131" i="4"/>
  <c r="FZ131" i="4"/>
  <c r="AP124" i="4"/>
  <c r="GM131" i="4"/>
  <c r="BC124" i="4"/>
  <c r="FO131" i="4"/>
  <c r="AE124" i="4"/>
  <c r="Q79" i="9"/>
  <c r="Q86" i="9" s="1"/>
  <c r="Q88" i="9" s="1"/>
  <c r="Q92" i="9" s="1"/>
  <c r="AA131" i="4"/>
  <c r="AA133" i="4" s="1"/>
  <c r="AA141" i="4" s="1"/>
  <c r="HP131" i="4"/>
  <c r="CF124" i="4"/>
  <c r="BV79" i="9" s="1"/>
  <c r="BJ124" i="4"/>
  <c r="GT131" i="4"/>
  <c r="AN124" i="4"/>
  <c r="FX131" i="4"/>
  <c r="H79" i="9"/>
  <c r="H86" i="9" s="1"/>
  <c r="H88" i="9" s="1"/>
  <c r="H92" i="9" s="1"/>
  <c r="R131" i="4"/>
  <c r="R133" i="4" s="1"/>
  <c r="R141" i="4" s="1"/>
  <c r="FM131" i="4"/>
  <c r="AC124" i="4"/>
  <c r="HB131" i="4"/>
  <c r="BR124" i="4"/>
  <c r="P79" i="9"/>
  <c r="P86" i="9" s="1"/>
  <c r="P88" i="9" s="1"/>
  <c r="P92" i="9" s="1"/>
  <c r="Z131" i="4"/>
  <c r="Z133" i="4" s="1"/>
  <c r="Z141" i="4" s="1"/>
  <c r="HT131" i="4"/>
  <c r="CJ124" i="4"/>
  <c r="CE124" i="4"/>
  <c r="HO131" i="4"/>
  <c r="GS131" i="4"/>
  <c r="BI124" i="4"/>
  <c r="FW131" i="4"/>
  <c r="AM124" i="4"/>
  <c r="K79" i="9"/>
  <c r="K86" i="9" s="1"/>
  <c r="K88" i="9" s="1"/>
  <c r="K92" i="9" s="1"/>
  <c r="U131" i="4"/>
  <c r="U133" i="4" s="1"/>
  <c r="U141" i="4" s="1"/>
  <c r="HI131" i="4"/>
  <c r="BY124" i="4"/>
  <c r="GK131" i="4"/>
  <c r="BA124" i="4"/>
  <c r="HE131" i="4"/>
  <c r="BU124" i="4"/>
  <c r="AW124" i="4"/>
  <c r="GG131" i="4"/>
  <c r="GZ131" i="4"/>
  <c r="BP124" i="4"/>
  <c r="GU131" i="4"/>
  <c r="BK124" i="4"/>
  <c r="HN131" i="4"/>
  <c r="CD124" i="4"/>
  <c r="GR131" i="4"/>
  <c r="BH124" i="4"/>
  <c r="FV131" i="4"/>
  <c r="AL124" i="4"/>
  <c r="I79" i="9"/>
  <c r="I86" i="9" s="1"/>
  <c r="I88" i="9" s="1"/>
  <c r="I92" i="9" s="1"/>
  <c r="S131" i="4"/>
  <c r="S133" i="4" s="1"/>
  <c r="S141" i="4" s="1"/>
  <c r="HH131" i="4"/>
  <c r="BX124" i="4"/>
  <c r="R79" i="9"/>
  <c r="R86" i="9" s="1"/>
  <c r="R88" i="9" s="1"/>
  <c r="R92" i="9" s="1"/>
  <c r="AB131" i="4"/>
  <c r="AB133" i="4" s="1"/>
  <c r="AB141" i="4" s="1"/>
  <c r="GH131" i="4"/>
  <c r="AX124" i="4"/>
  <c r="I133" i="4"/>
  <c r="I141" i="4" s="1"/>
  <c r="G131" i="4"/>
  <c r="H131" i="4"/>
  <c r="AS124" i="4"/>
  <c r="GC131" i="4"/>
  <c r="L79" i="9"/>
  <c r="L86" i="9" s="1"/>
  <c r="L88" i="9" s="1"/>
  <c r="L92" i="9" s="1"/>
  <c r="V131" i="4"/>
  <c r="V133" i="4" s="1"/>
  <c r="V141" i="4" s="1"/>
  <c r="CC124" i="4"/>
  <c r="BS79" i="9" s="1"/>
  <c r="HM131" i="4"/>
  <c r="FU131" i="4"/>
  <c r="AK124" i="4"/>
  <c r="J79" i="9"/>
  <c r="J86" i="9" s="1"/>
  <c r="J88" i="9" s="1"/>
  <c r="J92" i="9" s="1"/>
  <c r="T131" i="4"/>
  <c r="T133" i="4" s="1"/>
  <c r="T141" i="4" s="1"/>
  <c r="HJ131" i="4"/>
  <c r="BZ124" i="4"/>
  <c r="AF124" i="4"/>
  <c r="FP131" i="4"/>
  <c r="BV124" i="4"/>
  <c r="HF131" i="4"/>
  <c r="HD131" i="4"/>
  <c r="BT124" i="4"/>
  <c r="GF131" i="4"/>
  <c r="AV124" i="4"/>
  <c r="HL131" i="4"/>
  <c r="CB124" i="4"/>
  <c r="GP131" i="4"/>
  <c r="BF124" i="4"/>
  <c r="FT131" i="4"/>
  <c r="AJ124" i="4"/>
  <c r="HG131" i="4"/>
  <c r="BW124" i="4"/>
  <c r="FN131" i="4"/>
  <c r="AD124" i="4"/>
  <c r="HA131" i="4"/>
  <c r="BQ124" i="4"/>
  <c r="GY131" i="4"/>
  <c r="BO124" i="4"/>
  <c r="CG124" i="4"/>
  <c r="HQ131" i="4"/>
  <c r="AO124" i="4"/>
  <c r="FY131" i="4"/>
  <c r="BG124" i="4"/>
  <c r="GQ131" i="4"/>
  <c r="HK131" i="4"/>
  <c r="CA124" i="4"/>
  <c r="BE124" i="4"/>
  <c r="GO131" i="4"/>
  <c r="AI124" i="4"/>
  <c r="FS131" i="4"/>
  <c r="G181" i="4"/>
  <c r="I22" i="1"/>
  <c r="I23" i="1" s="1"/>
  <c r="I25" i="1" s="1"/>
  <c r="CJ51" i="4"/>
  <c r="BZ56" i="9"/>
  <c r="BZ58" i="9" s="1"/>
  <c r="CJ200" i="4"/>
  <c r="BS83" i="9"/>
  <c r="CF112" i="4"/>
  <c r="CF114" i="4" s="1"/>
  <c r="CF128" i="4" s="1"/>
  <c r="CG111" i="4"/>
  <c r="CG112" i="4" s="1"/>
  <c r="BW70" i="9"/>
  <c r="BW71" i="9" s="1"/>
  <c r="HU153" i="4"/>
  <c r="HU156" i="4" s="1"/>
  <c r="HU158" i="4" s="1"/>
  <c r="HU159" i="4" s="1"/>
  <c r="HU160" i="4" s="1"/>
  <c r="HV35" i="4"/>
  <c r="CL35" i="4" s="1"/>
  <c r="HV45" i="4"/>
  <c r="CD33" i="7"/>
  <c r="CD18" i="7" s="1"/>
  <c r="CE128" i="4"/>
  <c r="CC19" i="7"/>
  <c r="CC18" i="7"/>
  <c r="HT54" i="4"/>
  <c r="CK38" i="4"/>
  <c r="CK51" i="4" s="1"/>
  <c r="HU98" i="4"/>
  <c r="HV155" i="4"/>
  <c r="HU146" i="4"/>
  <c r="HU147" i="4" s="1"/>
  <c r="HU148" i="4" s="1"/>
  <c r="HU149" i="4" s="1"/>
  <c r="CL127" i="4"/>
  <c r="CB82" i="9" s="1"/>
  <c r="CB21" i="7"/>
  <c r="CB23" i="7" s="1"/>
  <c r="CB24" i="7" s="1"/>
  <c r="CB25" i="7" s="1"/>
  <c r="CB35" i="7" s="1"/>
  <c r="CH110" i="4" s="1"/>
  <c r="CD54" i="9"/>
  <c r="CN199" i="4"/>
  <c r="CN231" i="4"/>
  <c r="CL129" i="4"/>
  <c r="CB84" i="9" s="1"/>
  <c r="CH10" i="7"/>
  <c r="CH14" i="7"/>
  <c r="CH12" i="7"/>
  <c r="CH13" i="7"/>
  <c r="CM49" i="4"/>
  <c r="HW23" i="4"/>
  <c r="CN23" i="4"/>
  <c r="CM89" i="4"/>
  <c r="CG5" i="7"/>
  <c r="HV152" i="4"/>
  <c r="HX2" i="4"/>
  <c r="CH2" i="7"/>
  <c r="HV44" i="4"/>
  <c r="HV37" i="4"/>
  <c r="CL37" i="4" s="1"/>
  <c r="HV26" i="4"/>
  <c r="HV27" i="4"/>
  <c r="HV43" i="4"/>
  <c r="HV47" i="4"/>
  <c r="HV30" i="4"/>
  <c r="HV34" i="4"/>
  <c r="CL34" i="4" s="1"/>
  <c r="HV28" i="4"/>
  <c r="HV42" i="4"/>
  <c r="HV41" i="4"/>
  <c r="HV48" i="4"/>
  <c r="CL124" i="4"/>
  <c r="CB79" i="9" s="1"/>
  <c r="CP3" i="4"/>
  <c r="HY3" i="4"/>
  <c r="CO2" i="4"/>
  <c r="CI3" i="7"/>
  <c r="CO70" i="4"/>
  <c r="CO83" i="4"/>
  <c r="CO198" i="4"/>
  <c r="HX117" i="4"/>
  <c r="HX116" i="4" s="1"/>
  <c r="HX94" i="4"/>
  <c r="HX93" i="4" s="1"/>
  <c r="HX122" i="4"/>
  <c r="HR3" i="7"/>
  <c r="HX201" i="4"/>
  <c r="HX121" i="4"/>
  <c r="HX123" i="4"/>
  <c r="HX53" i="4"/>
  <c r="HX89" i="4"/>
  <c r="HX127" i="4"/>
  <c r="HX125" i="4"/>
  <c r="HX124" i="4"/>
  <c r="HX57" i="4"/>
  <c r="HX129" i="4"/>
  <c r="HX198" i="4"/>
  <c r="HX126" i="4"/>
  <c r="CM31" i="4"/>
  <c r="HP15" i="7"/>
  <c r="CF9" i="7" s="1"/>
  <c r="CK108" i="4"/>
  <c r="CA69" i="9" s="1"/>
  <c r="HT99" i="4"/>
  <c r="CJ100" i="4" s="1"/>
  <c r="HW95" i="4"/>
  <c r="HW120" i="4" s="1"/>
  <c r="HW130" i="4" s="1"/>
  <c r="CM130" i="4" s="1"/>
  <c r="HW119" i="4"/>
  <c r="HW91" i="4"/>
  <c r="HW90" i="4" s="1"/>
  <c r="CM90" i="4" s="1"/>
  <c r="CM97" i="4" s="1"/>
  <c r="HW151" i="4"/>
  <c r="HW154" i="4"/>
  <c r="CL123" i="4"/>
  <c r="CE30" i="7"/>
  <c r="CE32" i="7"/>
  <c r="CE31" i="7"/>
  <c r="CE29" i="7"/>
  <c r="HU96" i="4"/>
  <c r="CK99" i="4"/>
  <c r="HU150" i="4" s="1"/>
  <c r="CL126" i="4"/>
  <c r="CB81" i="9" s="1"/>
  <c r="CM95" i="4"/>
  <c r="HQ12" i="7"/>
  <c r="HQ13" i="7"/>
  <c r="HQ14" i="7"/>
  <c r="CM252" i="4"/>
  <c r="CL122" i="4"/>
  <c r="CB77" i="9" s="1"/>
  <c r="CB78" i="9"/>
  <c r="CB94" i="9"/>
  <c r="CB85" i="9"/>
  <c r="CC53" i="9"/>
  <c r="CC67" i="9"/>
  <c r="CC55" i="9"/>
  <c r="CL121" i="4"/>
  <c r="CB76" i="9" s="1"/>
  <c r="CL105" i="4"/>
  <c r="CL107" i="4"/>
  <c r="CL137" i="4"/>
  <c r="HV92" i="4"/>
  <c r="HV97" i="4" s="1"/>
  <c r="CL136" i="4"/>
  <c r="CL96" i="4"/>
  <c r="CL98" i="4"/>
  <c r="HV118" i="4"/>
  <c r="CL138" i="4"/>
  <c r="CL102" i="4"/>
  <c r="CL106" i="4"/>
  <c r="CN44" i="4"/>
  <c r="CO22" i="4"/>
  <c r="CN28" i="4"/>
  <c r="CN26" i="4"/>
  <c r="CN43" i="4"/>
  <c r="CN27" i="4"/>
  <c r="CN88" i="4"/>
  <c r="HX22" i="4"/>
  <c r="CN47" i="4"/>
  <c r="CN30" i="4"/>
  <c r="CN41" i="4"/>
  <c r="CN42" i="4"/>
  <c r="CN48" i="4"/>
  <c r="CG15" i="7"/>
  <c r="HV131" i="4"/>
  <c r="CL125" i="4"/>
  <c r="CB80" i="9" s="1"/>
  <c r="CK139" i="4"/>
  <c r="CA90" i="9" s="1"/>
  <c r="BS86" i="9" l="1"/>
  <c r="BS88" i="9" s="1"/>
  <c r="BS92" i="9" s="1"/>
  <c r="U206" i="4"/>
  <c r="FE61" i="4"/>
  <c r="Y206" i="4"/>
  <c r="FI61" i="4"/>
  <c r="W206" i="4"/>
  <c r="FG61" i="4"/>
  <c r="X206" i="4"/>
  <c r="FH61" i="4"/>
  <c r="Z206" i="4"/>
  <c r="FJ61" i="4"/>
  <c r="S206" i="4"/>
  <c r="FC61" i="4"/>
  <c r="R206" i="4"/>
  <c r="FB61" i="4"/>
  <c r="V206" i="4"/>
  <c r="FF61" i="4"/>
  <c r="AB206" i="4"/>
  <c r="FL61" i="4"/>
  <c r="AA206" i="4"/>
  <c r="FK61" i="4"/>
  <c r="T206" i="4"/>
  <c r="FD61" i="4"/>
  <c r="HW36" i="4"/>
  <c r="CM36" i="4" s="1"/>
  <c r="HW46" i="4"/>
  <c r="CO45" i="4"/>
  <c r="CO46" i="4"/>
  <c r="HU54" i="4"/>
  <c r="CG113" i="4"/>
  <c r="CG114" i="4" s="1"/>
  <c r="AH79" i="9"/>
  <c r="AH86" i="9" s="1"/>
  <c r="AH88" i="9" s="1"/>
  <c r="AH92" i="9" s="1"/>
  <c r="AR131" i="4"/>
  <c r="AR133" i="4" s="1"/>
  <c r="AR141" i="4" s="1"/>
  <c r="BB79" i="9"/>
  <c r="BB86" i="9" s="1"/>
  <c r="BB88" i="9" s="1"/>
  <c r="BB92" i="9" s="1"/>
  <c r="BL131" i="4"/>
  <c r="BL133" i="4" s="1"/>
  <c r="BL141" i="4" s="1"/>
  <c r="AK79" i="9"/>
  <c r="AK86" i="9" s="1"/>
  <c r="AK88" i="9" s="1"/>
  <c r="AK92" i="9" s="1"/>
  <c r="AU131" i="4"/>
  <c r="AU133" i="4" s="1"/>
  <c r="AU141" i="4" s="1"/>
  <c r="AX79" i="9"/>
  <c r="AX86" i="9" s="1"/>
  <c r="AX88" i="9" s="1"/>
  <c r="AX92" i="9" s="1"/>
  <c r="BH131" i="4"/>
  <c r="BH133" i="4" s="1"/>
  <c r="BH141" i="4" s="1"/>
  <c r="AF79" i="9"/>
  <c r="AF86" i="9" s="1"/>
  <c r="AF88" i="9" s="1"/>
  <c r="AF92" i="9" s="1"/>
  <c r="AP131" i="4"/>
  <c r="AP133" i="4" s="1"/>
  <c r="AP141" i="4" s="1"/>
  <c r="AG79" i="9"/>
  <c r="AG86" i="9" s="1"/>
  <c r="AG88" i="9" s="1"/>
  <c r="AG92" i="9" s="1"/>
  <c r="AQ131" i="4"/>
  <c r="AQ133" i="4" s="1"/>
  <c r="AQ141" i="4" s="1"/>
  <c r="C5" i="6"/>
  <c r="F23" i="1"/>
  <c r="AP79" i="9"/>
  <c r="AP86" i="9" s="1"/>
  <c r="AP88" i="9" s="1"/>
  <c r="AP92" i="9" s="1"/>
  <c r="AZ131" i="4"/>
  <c r="AZ133" i="4" s="1"/>
  <c r="AZ141" i="4" s="1"/>
  <c r="BD79" i="9"/>
  <c r="BD86" i="9" s="1"/>
  <c r="BD88" i="9" s="1"/>
  <c r="BD92" i="9" s="1"/>
  <c r="BN131" i="4"/>
  <c r="BN133" i="4" s="1"/>
  <c r="BN141" i="4" s="1"/>
  <c r="BH79" i="9"/>
  <c r="BH86" i="9" s="1"/>
  <c r="BH88" i="9" s="1"/>
  <c r="BH92" i="9" s="1"/>
  <c r="BR131" i="4"/>
  <c r="BR133" i="4" s="1"/>
  <c r="BR141" i="4" s="1"/>
  <c r="S79" i="9"/>
  <c r="S86" i="9" s="1"/>
  <c r="S88" i="9" s="1"/>
  <c r="S92" i="9" s="1"/>
  <c r="AC131" i="4"/>
  <c r="AC133" i="4" s="1"/>
  <c r="AC141" i="4" s="1"/>
  <c r="BK79" i="9"/>
  <c r="BK86" i="9" s="1"/>
  <c r="BK88" i="9" s="1"/>
  <c r="BK92" i="9" s="1"/>
  <c r="BU131" i="4"/>
  <c r="BU133" i="4" s="1"/>
  <c r="BU141" i="4" s="1"/>
  <c r="AN79" i="9"/>
  <c r="AN86" i="9" s="1"/>
  <c r="AN88" i="9" s="1"/>
  <c r="AN92" i="9" s="1"/>
  <c r="AX131" i="4"/>
  <c r="AX133" i="4" s="1"/>
  <c r="AX141" i="4" s="1"/>
  <c r="AQ79" i="9"/>
  <c r="AQ86" i="9" s="1"/>
  <c r="AQ88" i="9" s="1"/>
  <c r="AQ92" i="9" s="1"/>
  <c r="BA131" i="4"/>
  <c r="BA133" i="4" s="1"/>
  <c r="BA141" i="4" s="1"/>
  <c r="BR79" i="9"/>
  <c r="BR86" i="9" s="1"/>
  <c r="BR88" i="9" s="1"/>
  <c r="BR92" i="9" s="1"/>
  <c r="CB131" i="4"/>
  <c r="CB133" i="4" s="1"/>
  <c r="CB141" i="4" s="1"/>
  <c r="BQ79" i="9"/>
  <c r="BQ86" i="9" s="1"/>
  <c r="BQ88" i="9" s="1"/>
  <c r="BQ92" i="9" s="1"/>
  <c r="CA131" i="4"/>
  <c r="CA133" i="4" s="1"/>
  <c r="CA141" i="4" s="1"/>
  <c r="BJ79" i="9"/>
  <c r="BJ86" i="9" s="1"/>
  <c r="BJ88" i="9" s="1"/>
  <c r="BJ92" i="9" s="1"/>
  <c r="BT131" i="4"/>
  <c r="BT133" i="4" s="1"/>
  <c r="BT141" i="4" s="1"/>
  <c r="AD79" i="9"/>
  <c r="AD86" i="9" s="1"/>
  <c r="AD88" i="9" s="1"/>
  <c r="AD92" i="9" s="1"/>
  <c r="AN131" i="4"/>
  <c r="AN133" i="4" s="1"/>
  <c r="AN141" i="4" s="1"/>
  <c r="AJ79" i="9"/>
  <c r="AJ86" i="9" s="1"/>
  <c r="AJ88" i="9" s="1"/>
  <c r="AJ92" i="9" s="1"/>
  <c r="AT131" i="4"/>
  <c r="AT133" i="4" s="1"/>
  <c r="AT141" i="4" s="1"/>
  <c r="W79" i="9"/>
  <c r="W86" i="9" s="1"/>
  <c r="W88" i="9" s="1"/>
  <c r="W92" i="9" s="1"/>
  <c r="AG131" i="4"/>
  <c r="AG133" i="4" s="1"/>
  <c r="AG141" i="4" s="1"/>
  <c r="AS79" i="9"/>
  <c r="AS86" i="9" s="1"/>
  <c r="AS88" i="9" s="1"/>
  <c r="AS92" i="9" s="1"/>
  <c r="BC131" i="4"/>
  <c r="BC133" i="4" s="1"/>
  <c r="BC141" i="4" s="1"/>
  <c r="AW79" i="9"/>
  <c r="AW86" i="9" s="1"/>
  <c r="AW88" i="9" s="1"/>
  <c r="AW92" i="9" s="1"/>
  <c r="BG131" i="4"/>
  <c r="BG133" i="4" s="1"/>
  <c r="BG141" i="4" s="1"/>
  <c r="BO79" i="9"/>
  <c r="BO86" i="9" s="1"/>
  <c r="BO88" i="9" s="1"/>
  <c r="BO92" i="9" s="1"/>
  <c r="BY131" i="4"/>
  <c r="BY133" i="4" s="1"/>
  <c r="BY141" i="4" s="1"/>
  <c r="BI79" i="9"/>
  <c r="BI86" i="9" s="1"/>
  <c r="BI88" i="9" s="1"/>
  <c r="BI92" i="9" s="1"/>
  <c r="BS131" i="4"/>
  <c r="BS133" i="4" s="1"/>
  <c r="BS141" i="4" s="1"/>
  <c r="CC131" i="4"/>
  <c r="CC133" i="4" s="1"/>
  <c r="CC141" i="4" s="1"/>
  <c r="BC79" i="9"/>
  <c r="BC86" i="9" s="1"/>
  <c r="BC88" i="9" s="1"/>
  <c r="BC92" i="9" s="1"/>
  <c r="BM131" i="4"/>
  <c r="BM133" i="4" s="1"/>
  <c r="BM141" i="4" s="1"/>
  <c r="BM79" i="9"/>
  <c r="BM86" i="9" s="1"/>
  <c r="BM88" i="9" s="1"/>
  <c r="BM92" i="9" s="1"/>
  <c r="BW131" i="4"/>
  <c r="BW133" i="4" s="1"/>
  <c r="BW141" i="4" s="1"/>
  <c r="AU79" i="9"/>
  <c r="AU86" i="9" s="1"/>
  <c r="AU88" i="9" s="1"/>
  <c r="AU92" i="9" s="1"/>
  <c r="BE131" i="4"/>
  <c r="BE133" i="4" s="1"/>
  <c r="BE141" i="4" s="1"/>
  <c r="AL79" i="9"/>
  <c r="AL86" i="9" s="1"/>
  <c r="AL88" i="9" s="1"/>
  <c r="AL92" i="9" s="1"/>
  <c r="AV131" i="4"/>
  <c r="AV133" i="4" s="1"/>
  <c r="AV141" i="4" s="1"/>
  <c r="AZ79" i="9"/>
  <c r="AZ86" i="9" s="1"/>
  <c r="AZ88" i="9" s="1"/>
  <c r="AZ92" i="9" s="1"/>
  <c r="BJ131" i="4"/>
  <c r="BJ133" i="4" s="1"/>
  <c r="BJ141" i="4" s="1"/>
  <c r="T79" i="9"/>
  <c r="T86" i="9" s="1"/>
  <c r="T88" i="9" s="1"/>
  <c r="T92" i="9" s="1"/>
  <c r="AD131" i="4"/>
  <c r="AD133" i="4" s="1"/>
  <c r="AD141" i="4" s="1"/>
  <c r="BF79" i="9"/>
  <c r="BF86" i="9" s="1"/>
  <c r="BF88" i="9" s="1"/>
  <c r="BF92" i="9" s="1"/>
  <c r="BP131" i="4"/>
  <c r="BP133" i="4" s="1"/>
  <c r="BP141" i="4" s="1"/>
  <c r="Y79" i="9"/>
  <c r="Y86" i="9" s="1"/>
  <c r="Y88" i="9" s="1"/>
  <c r="Y92" i="9" s="1"/>
  <c r="AI131" i="4"/>
  <c r="AI133" i="4" s="1"/>
  <c r="AI141" i="4" s="1"/>
  <c r="AR79" i="9"/>
  <c r="AR86" i="9" s="1"/>
  <c r="AR88" i="9" s="1"/>
  <c r="AR92" i="9" s="1"/>
  <c r="BB131" i="4"/>
  <c r="BB133" i="4" s="1"/>
  <c r="BB141" i="4" s="1"/>
  <c r="BT79" i="9"/>
  <c r="BT86" i="9" s="1"/>
  <c r="BT88" i="9" s="1"/>
  <c r="BT92" i="9" s="1"/>
  <c r="CD131" i="4"/>
  <c r="CD133" i="4" s="1"/>
  <c r="CD141" i="4" s="1"/>
  <c r="Z79" i="9"/>
  <c r="Z86" i="9" s="1"/>
  <c r="Z88" i="9" s="1"/>
  <c r="Z92" i="9" s="1"/>
  <c r="AJ131" i="4"/>
  <c r="AJ133" i="4" s="1"/>
  <c r="AJ141" i="4" s="1"/>
  <c r="AV79" i="9"/>
  <c r="AV86" i="9" s="1"/>
  <c r="AV88" i="9" s="1"/>
  <c r="AV92" i="9" s="1"/>
  <c r="BF131" i="4"/>
  <c r="BF133" i="4" s="1"/>
  <c r="BF141" i="4" s="1"/>
  <c r="AM79" i="9"/>
  <c r="AM86" i="9" s="1"/>
  <c r="AM88" i="9" s="1"/>
  <c r="AM92" i="9" s="1"/>
  <c r="AW131" i="4"/>
  <c r="AW133" i="4" s="1"/>
  <c r="AW141" i="4" s="1"/>
  <c r="AO79" i="9"/>
  <c r="AO86" i="9" s="1"/>
  <c r="AO88" i="9" s="1"/>
  <c r="AO92" i="9" s="1"/>
  <c r="AY131" i="4"/>
  <c r="AY133" i="4" s="1"/>
  <c r="AY141" i="4" s="1"/>
  <c r="AT79" i="9"/>
  <c r="AT86" i="9" s="1"/>
  <c r="AT88" i="9" s="1"/>
  <c r="AT92" i="9" s="1"/>
  <c r="BD131" i="4"/>
  <c r="BD133" i="4" s="1"/>
  <c r="BD141" i="4" s="1"/>
  <c r="AI79" i="9"/>
  <c r="AI86" i="9" s="1"/>
  <c r="AI88" i="9" s="1"/>
  <c r="AI92" i="9" s="1"/>
  <c r="AS131" i="4"/>
  <c r="AS133" i="4" s="1"/>
  <c r="AS141" i="4" s="1"/>
  <c r="AE79" i="9"/>
  <c r="AE86" i="9" s="1"/>
  <c r="AE88" i="9" s="1"/>
  <c r="AE92" i="9" s="1"/>
  <c r="AO131" i="4"/>
  <c r="AO133" i="4" s="1"/>
  <c r="AO141" i="4" s="1"/>
  <c r="V79" i="9"/>
  <c r="V86" i="9" s="1"/>
  <c r="V88" i="9" s="1"/>
  <c r="V92" i="9" s="1"/>
  <c r="AF131" i="4"/>
  <c r="AF133" i="4" s="1"/>
  <c r="AF141" i="4" s="1"/>
  <c r="AC79" i="9"/>
  <c r="AC86" i="9" s="1"/>
  <c r="AC88" i="9" s="1"/>
  <c r="AC92" i="9" s="1"/>
  <c r="AM131" i="4"/>
  <c r="AM133" i="4" s="1"/>
  <c r="AM141" i="4" s="1"/>
  <c r="AA79" i="9"/>
  <c r="AA86" i="9" s="1"/>
  <c r="AA88" i="9" s="1"/>
  <c r="AA92" i="9" s="1"/>
  <c r="AK131" i="4"/>
  <c r="AK133" i="4" s="1"/>
  <c r="AK141" i="4" s="1"/>
  <c r="BA79" i="9"/>
  <c r="BA86" i="9" s="1"/>
  <c r="BA88" i="9" s="1"/>
  <c r="BA92" i="9" s="1"/>
  <c r="BK131" i="4"/>
  <c r="BK133" i="4" s="1"/>
  <c r="BK141" i="4" s="1"/>
  <c r="G193" i="4"/>
  <c r="G194" i="4" s="1"/>
  <c r="G189" i="4"/>
  <c r="BL79" i="9"/>
  <c r="BL86" i="9" s="1"/>
  <c r="BL88" i="9" s="1"/>
  <c r="BL92" i="9" s="1"/>
  <c r="BV131" i="4"/>
  <c r="BV133" i="4" s="1"/>
  <c r="BV141" i="4" s="1"/>
  <c r="X79" i="9"/>
  <c r="X86" i="9" s="1"/>
  <c r="X88" i="9" s="1"/>
  <c r="X92" i="9" s="1"/>
  <c r="AH131" i="4"/>
  <c r="AH133" i="4" s="1"/>
  <c r="AH141" i="4" s="1"/>
  <c r="BG79" i="9"/>
  <c r="BG86" i="9" s="1"/>
  <c r="BG88" i="9" s="1"/>
  <c r="BG92" i="9" s="1"/>
  <c r="BQ131" i="4"/>
  <c r="BQ133" i="4" s="1"/>
  <c r="BQ141" i="4" s="1"/>
  <c r="BN79" i="9"/>
  <c r="BN86" i="9" s="1"/>
  <c r="BN88" i="9" s="1"/>
  <c r="BN92" i="9" s="1"/>
  <c r="BX131" i="4"/>
  <c r="BX133" i="4" s="1"/>
  <c r="BX141" i="4" s="1"/>
  <c r="BE79" i="9"/>
  <c r="BE86" i="9" s="1"/>
  <c r="BE88" i="9" s="1"/>
  <c r="BE92" i="9" s="1"/>
  <c r="BO131" i="4"/>
  <c r="BO133" i="4" s="1"/>
  <c r="BO141" i="4" s="1"/>
  <c r="BP79" i="9"/>
  <c r="BP86" i="9" s="1"/>
  <c r="BP88" i="9" s="1"/>
  <c r="BP92" i="9" s="1"/>
  <c r="BZ131" i="4"/>
  <c r="BZ133" i="4" s="1"/>
  <c r="BZ141" i="4" s="1"/>
  <c r="AB79" i="9"/>
  <c r="AB86" i="9" s="1"/>
  <c r="AB88" i="9" s="1"/>
  <c r="AB92" i="9" s="1"/>
  <c r="AL131" i="4"/>
  <c r="AL133" i="4" s="1"/>
  <c r="AL141" i="4" s="1"/>
  <c r="AY79" i="9"/>
  <c r="AY86" i="9" s="1"/>
  <c r="AY88" i="9" s="1"/>
  <c r="AY92" i="9" s="1"/>
  <c r="BI131" i="4"/>
  <c r="BI133" i="4" s="1"/>
  <c r="BI141" i="4" s="1"/>
  <c r="U79" i="9"/>
  <c r="U86" i="9" s="1"/>
  <c r="U88" i="9" s="1"/>
  <c r="U92" i="9" s="1"/>
  <c r="AE131" i="4"/>
  <c r="AE133" i="4" s="1"/>
  <c r="AE141" i="4" s="1"/>
  <c r="H172" i="4"/>
  <c r="H179" i="4" s="1"/>
  <c r="CA56" i="9"/>
  <c r="CA58" i="9" s="1"/>
  <c r="CK200" i="4"/>
  <c r="CC57" i="9"/>
  <c r="BV72" i="9"/>
  <c r="BV73" i="9" s="1"/>
  <c r="BW72" i="9"/>
  <c r="BW73" i="9" s="1"/>
  <c r="CH111" i="4"/>
  <c r="CH113" i="4" s="1"/>
  <c r="BX70" i="9"/>
  <c r="BX71" i="9" s="1"/>
  <c r="CF131" i="4"/>
  <c r="CF133" i="4" s="1"/>
  <c r="CF141" i="4" s="1"/>
  <c r="BV83" i="9"/>
  <c r="BV86" i="9" s="1"/>
  <c r="CE131" i="4"/>
  <c r="CE133" i="4" s="1"/>
  <c r="CE141" i="4" s="1"/>
  <c r="BU83" i="9"/>
  <c r="BU86" i="9" s="1"/>
  <c r="BU88" i="9" s="1"/>
  <c r="BU92" i="9" s="1"/>
  <c r="CF91" i="4"/>
  <c r="HV153" i="4"/>
  <c r="HV156" i="4" s="1"/>
  <c r="HV158" i="4" s="1"/>
  <c r="HV159" i="4" s="1"/>
  <c r="HV160" i="4" s="1"/>
  <c r="HW35" i="4"/>
  <c r="CM35" i="4" s="1"/>
  <c r="HW45" i="4"/>
  <c r="CD19" i="7"/>
  <c r="CD20" i="7"/>
  <c r="CC21" i="7"/>
  <c r="CC23" i="7" s="1"/>
  <c r="CC24" i="7" s="1"/>
  <c r="CC25" i="7" s="1"/>
  <c r="CC35" i="7" s="1"/>
  <c r="CI110" i="4" s="1"/>
  <c r="HU99" i="4"/>
  <c r="CK100" i="4" s="1"/>
  <c r="CK101" i="4" s="1"/>
  <c r="CK103" i="4" s="1"/>
  <c r="CA68" i="9" s="1"/>
  <c r="CL38" i="4"/>
  <c r="HV146" i="4"/>
  <c r="HV147" i="4" s="1"/>
  <c r="HV148" i="4" s="1"/>
  <c r="HV149" i="4" s="1"/>
  <c r="CL108" i="4"/>
  <c r="CB69" i="9" s="1"/>
  <c r="CJ101" i="4"/>
  <c r="CJ103" i="4" s="1"/>
  <c r="BZ68" i="9" s="1"/>
  <c r="HW155" i="4"/>
  <c r="CE33" i="7"/>
  <c r="CE20" i="7" s="1"/>
  <c r="CM107" i="4"/>
  <c r="CM137" i="4"/>
  <c r="HW92" i="4"/>
  <c r="HW97" i="4" s="1"/>
  <c r="CM105" i="4"/>
  <c r="CM136" i="4"/>
  <c r="HW118" i="4"/>
  <c r="CM96" i="4"/>
  <c r="CM98" i="4"/>
  <c r="CM138" i="4"/>
  <c r="CM102" i="4"/>
  <c r="CM106" i="4"/>
  <c r="CM126" i="4"/>
  <c r="CC81" i="9" s="1"/>
  <c r="HW152" i="4"/>
  <c r="CM125" i="4"/>
  <c r="CC80" i="9" s="1"/>
  <c r="CM127" i="4"/>
  <c r="CC82" i="9" s="1"/>
  <c r="CM121" i="4"/>
  <c r="CC76" i="9" s="1"/>
  <c r="CM129" i="4"/>
  <c r="CM124" i="4"/>
  <c r="CM123" i="4"/>
  <c r="CM122" i="4"/>
  <c r="CF30" i="7"/>
  <c r="CF32" i="7"/>
  <c r="CF31" i="7"/>
  <c r="CF29" i="7"/>
  <c r="CE54" i="9"/>
  <c r="CO231" i="4"/>
  <c r="CO199" i="4"/>
  <c r="CN49" i="4"/>
  <c r="HV98" i="4"/>
  <c r="HY117" i="4"/>
  <c r="HY116" i="4" s="1"/>
  <c r="HY94" i="4"/>
  <c r="HY93" i="4" s="1"/>
  <c r="HS3" i="7"/>
  <c r="HY57" i="4"/>
  <c r="HY201" i="4"/>
  <c r="HY124" i="4"/>
  <c r="HY129" i="4"/>
  <c r="HY125" i="4"/>
  <c r="HY127" i="4"/>
  <c r="HY121" i="4"/>
  <c r="HY122" i="4"/>
  <c r="HY123" i="4"/>
  <c r="HY89" i="4"/>
  <c r="HY53" i="4"/>
  <c r="HY198" i="4"/>
  <c r="HY126" i="4"/>
  <c r="HZ3" i="4"/>
  <c r="CQ3" i="4"/>
  <c r="CP83" i="4"/>
  <c r="CP70" i="4"/>
  <c r="CP2" i="4"/>
  <c r="CJ3" i="7"/>
  <c r="CP198" i="4"/>
  <c r="HW131" i="4"/>
  <c r="HV96" i="4"/>
  <c r="CL99" i="4"/>
  <c r="HV150" i="4" s="1"/>
  <c r="HW28" i="4"/>
  <c r="HW27" i="4"/>
  <c r="HW37" i="4"/>
  <c r="CM37" i="4" s="1"/>
  <c r="HW26" i="4"/>
  <c r="HW43" i="4"/>
  <c r="HW30" i="4"/>
  <c r="HW47" i="4"/>
  <c r="HW44" i="4"/>
  <c r="HW34" i="4"/>
  <c r="CM34" i="4" s="1"/>
  <c r="HW41" i="4"/>
  <c r="HW42" i="4"/>
  <c r="HW48" i="4"/>
  <c r="HQ15" i="7"/>
  <c r="CG9" i="7" s="1"/>
  <c r="CL139" i="4"/>
  <c r="CB90" i="9" s="1"/>
  <c r="CI10" i="7"/>
  <c r="CI14" i="7"/>
  <c r="CI12" i="7"/>
  <c r="CI13" i="7"/>
  <c r="HX23" i="4"/>
  <c r="CO23" i="4"/>
  <c r="CN89" i="4"/>
  <c r="CH5" i="7"/>
  <c r="CN95" i="4"/>
  <c r="HX119" i="4"/>
  <c r="HX95" i="4"/>
  <c r="HX120" i="4" s="1"/>
  <c r="HX130" i="4" s="1"/>
  <c r="CN130" i="4" s="1"/>
  <c r="HX91" i="4"/>
  <c r="HX90" i="4" s="1"/>
  <c r="CN90" i="4" s="1"/>
  <c r="CN97" i="4" s="1"/>
  <c r="HX151" i="4"/>
  <c r="HX154" i="4"/>
  <c r="CH15" i="7"/>
  <c r="CN31" i="4"/>
  <c r="CC94" i="9"/>
  <c r="CC79" i="9"/>
  <c r="CC78" i="9"/>
  <c r="CC84" i="9"/>
  <c r="CC85" i="9"/>
  <c r="CC77" i="9"/>
  <c r="CI2" i="7"/>
  <c r="HY2" i="4"/>
  <c r="CN252" i="4"/>
  <c r="CO28" i="4"/>
  <c r="CP22" i="4"/>
  <c r="CO44" i="4"/>
  <c r="CO88" i="4"/>
  <c r="HY22" i="4"/>
  <c r="CO27" i="4"/>
  <c r="CO43" i="4"/>
  <c r="CO26" i="4"/>
  <c r="CO30" i="4"/>
  <c r="CO47" i="4"/>
  <c r="CO42" i="4"/>
  <c r="CO41" i="4"/>
  <c r="CO48" i="4"/>
  <c r="HR14" i="7"/>
  <c r="HR13" i="7"/>
  <c r="HR12" i="7"/>
  <c r="CD67" i="9"/>
  <c r="CD53" i="9"/>
  <c r="CD55" i="9"/>
  <c r="BJ206" i="4" l="1"/>
  <c r="GT61" i="4"/>
  <c r="AQ206" i="4"/>
  <c r="GA61" i="4"/>
  <c r="CB206" i="4"/>
  <c r="HL61" i="4"/>
  <c r="BH206" i="4"/>
  <c r="GR61" i="4"/>
  <c r="R76" i="4"/>
  <c r="R56" i="4"/>
  <c r="FB77" i="4"/>
  <c r="FC77" i="4" s="1"/>
  <c r="FD77" i="4" s="1"/>
  <c r="FE77" i="4" s="1"/>
  <c r="FF77" i="4" s="1"/>
  <c r="FG77" i="4" s="1"/>
  <c r="FH77" i="4" s="1"/>
  <c r="FI77" i="4" s="1"/>
  <c r="FJ77" i="4" s="1"/>
  <c r="FK77" i="4" s="1"/>
  <c r="FL77" i="4" s="1"/>
  <c r="AA76" i="4"/>
  <c r="AA56" i="4"/>
  <c r="BD206" i="4"/>
  <c r="GN61" i="4"/>
  <c r="S56" i="4"/>
  <c r="S76" i="4"/>
  <c r="AZ206" i="4"/>
  <c r="GJ61" i="4"/>
  <c r="BW206" i="4"/>
  <c r="HG61" i="4"/>
  <c r="CC206" i="4"/>
  <c r="HM61" i="4"/>
  <c r="BO206" i="4"/>
  <c r="GY61" i="4"/>
  <c r="BT206" i="4"/>
  <c r="HD61" i="4"/>
  <c r="Z56" i="4"/>
  <c r="Z76" i="4"/>
  <c r="BQ206" i="4"/>
  <c r="HA61" i="4"/>
  <c r="AH206" i="4"/>
  <c r="FR61" i="4"/>
  <c r="BY206" i="4"/>
  <c r="HI61" i="4"/>
  <c r="BU206" i="4"/>
  <c r="HE61" i="4"/>
  <c r="AR206" i="4"/>
  <c r="GB61" i="4"/>
  <c r="X56" i="4"/>
  <c r="X76" i="4"/>
  <c r="V56" i="4"/>
  <c r="V76" i="4"/>
  <c r="BV206" i="4"/>
  <c r="HF61" i="4"/>
  <c r="BB206" i="4"/>
  <c r="GL61" i="4"/>
  <c r="AS206" i="4"/>
  <c r="GC61" i="4"/>
  <c r="AB76" i="4"/>
  <c r="AB56" i="4"/>
  <c r="CA206" i="4"/>
  <c r="HK61" i="4"/>
  <c r="AU206" i="4"/>
  <c r="GE61" i="4"/>
  <c r="BS206" i="4"/>
  <c r="HC61" i="4"/>
  <c r="AC206" i="4"/>
  <c r="FM61" i="4"/>
  <c r="W76" i="4"/>
  <c r="W56" i="4"/>
  <c r="AV206" i="4"/>
  <c r="GF61" i="4"/>
  <c r="BF206" i="4"/>
  <c r="GP61" i="4"/>
  <c r="AJ206" i="4"/>
  <c r="FT61" i="4"/>
  <c r="BK206" i="4"/>
  <c r="GU61" i="4"/>
  <c r="AM206" i="4"/>
  <c r="FW61" i="4"/>
  <c r="AI206" i="4"/>
  <c r="FS61" i="4"/>
  <c r="BX206" i="4"/>
  <c r="HH61" i="4"/>
  <c r="AW206" i="4"/>
  <c r="GG61" i="4"/>
  <c r="BA206" i="4"/>
  <c r="GK61" i="4"/>
  <c r="AK206" i="4"/>
  <c r="FU61" i="4"/>
  <c r="BC206" i="4"/>
  <c r="GM61" i="4"/>
  <c r="BR206" i="4"/>
  <c r="HB61" i="4"/>
  <c r="Y76" i="4"/>
  <c r="Y56" i="4"/>
  <c r="BE206" i="4"/>
  <c r="GO61" i="4"/>
  <c r="BM206" i="4"/>
  <c r="GW61" i="4"/>
  <c r="BL206" i="4"/>
  <c r="GV61" i="4"/>
  <c r="AL206" i="4"/>
  <c r="FV61" i="4"/>
  <c r="AF206" i="4"/>
  <c r="FP61" i="4"/>
  <c r="BP206" i="4"/>
  <c r="GZ61" i="4"/>
  <c r="AT206" i="4"/>
  <c r="GD61" i="4"/>
  <c r="AN206" i="4"/>
  <c r="FX61" i="4"/>
  <c r="AY206" i="4"/>
  <c r="GI61" i="4"/>
  <c r="CD206" i="4"/>
  <c r="HN61" i="4"/>
  <c r="AE206" i="4"/>
  <c r="FO61" i="4"/>
  <c r="BG206" i="4"/>
  <c r="GQ61" i="4"/>
  <c r="AG206" i="4"/>
  <c r="FQ61" i="4"/>
  <c r="BN206" i="4"/>
  <c r="GX61" i="4"/>
  <c r="U56" i="4"/>
  <c r="U76" i="4"/>
  <c r="T56" i="4"/>
  <c r="T76" i="4"/>
  <c r="AP206" i="4"/>
  <c r="FZ61" i="4"/>
  <c r="AX206" i="4"/>
  <c r="GH61" i="4"/>
  <c r="BI206" i="4"/>
  <c r="GS61" i="4"/>
  <c r="BZ206" i="4"/>
  <c r="HJ61" i="4"/>
  <c r="AO206" i="4"/>
  <c r="FY61" i="4"/>
  <c r="AD206" i="4"/>
  <c r="FN61" i="4"/>
  <c r="CP45" i="4"/>
  <c r="CP46" i="4"/>
  <c r="HX36" i="4"/>
  <c r="CN36" i="4" s="1"/>
  <c r="HX46" i="4"/>
  <c r="G5" i="6"/>
  <c r="D178" i="4"/>
  <c r="G195" i="4"/>
  <c r="G196" i="4" s="1"/>
  <c r="E130" i="4"/>
  <c r="I27" i="1"/>
  <c r="I29" i="1" s="1"/>
  <c r="J22" i="1"/>
  <c r="J23" i="1" s="1"/>
  <c r="J25" i="1" s="1"/>
  <c r="H181" i="4"/>
  <c r="C17" i="11" s="1"/>
  <c r="CL51" i="4"/>
  <c r="CB56" i="9"/>
  <c r="CB58" i="9" s="1"/>
  <c r="CL200" i="4"/>
  <c r="BV88" i="9"/>
  <c r="BV92" i="9" s="1"/>
  <c r="CD57" i="9"/>
  <c r="CH112" i="4"/>
  <c r="CH114" i="4" s="1"/>
  <c r="CH91" i="4" s="1"/>
  <c r="CI111" i="4"/>
  <c r="CI113" i="4" s="1"/>
  <c r="BY70" i="9"/>
  <c r="BY71" i="9" s="1"/>
  <c r="HO61" i="4"/>
  <c r="CE206" i="4"/>
  <c r="HP61" i="4"/>
  <c r="CF206" i="4"/>
  <c r="HV54" i="4"/>
  <c r="HW153" i="4"/>
  <c r="HW156" i="4" s="1"/>
  <c r="HW158" i="4" s="1"/>
  <c r="HW159" i="4" s="1"/>
  <c r="HW160" i="4" s="1"/>
  <c r="HX35" i="4"/>
  <c r="CN35" i="4" s="1"/>
  <c r="HX45" i="4"/>
  <c r="CD21" i="7"/>
  <c r="CD23" i="7" s="1"/>
  <c r="CD24" i="7" s="1"/>
  <c r="CD25" i="7" s="1"/>
  <c r="CD35" i="7" s="1"/>
  <c r="CJ110" i="4" s="1"/>
  <c r="CM38" i="4"/>
  <c r="HR15" i="7"/>
  <c r="CH9" i="7" s="1"/>
  <c r="CH31" i="7" s="1"/>
  <c r="HV99" i="4"/>
  <c r="CL100" i="4" s="1"/>
  <c r="CL101" i="4" s="1"/>
  <c r="CL103" i="4" s="1"/>
  <c r="CB68" i="9" s="1"/>
  <c r="CE18" i="7"/>
  <c r="CE19" i="7"/>
  <c r="CN122" i="4"/>
  <c r="CD77" i="9" s="1"/>
  <c r="HX155" i="4"/>
  <c r="HX152" i="4"/>
  <c r="CN124" i="4"/>
  <c r="CI15" i="7"/>
  <c r="HS13" i="7"/>
  <c r="HS12" i="7"/>
  <c r="HS14" i="7"/>
  <c r="CP44" i="4"/>
  <c r="CQ22" i="4"/>
  <c r="CP28" i="4"/>
  <c r="CP27" i="4"/>
  <c r="CP26" i="4"/>
  <c r="CP88" i="4"/>
  <c r="HZ22" i="4"/>
  <c r="CP43" i="4"/>
  <c r="CP30" i="4"/>
  <c r="CP47" i="4"/>
  <c r="CP42" i="4"/>
  <c r="CP41" i="4"/>
  <c r="CP48" i="4"/>
  <c r="CF54" i="9"/>
  <c r="CP199" i="4"/>
  <c r="CP231" i="4"/>
  <c r="CJ10" i="7"/>
  <c r="CJ14" i="7"/>
  <c r="CJ12" i="7"/>
  <c r="CJ13" i="7"/>
  <c r="HZ2" i="4"/>
  <c r="CJ2" i="7"/>
  <c r="CO252" i="4"/>
  <c r="CO95" i="4"/>
  <c r="CH29" i="7"/>
  <c r="CN125" i="4"/>
  <c r="CD80" i="9" s="1"/>
  <c r="CE53" i="9"/>
  <c r="CE67" i="9"/>
  <c r="CE55" i="9"/>
  <c r="CM108" i="4"/>
  <c r="CC69" i="9" s="1"/>
  <c r="CG30" i="7"/>
  <c r="CG29" i="7"/>
  <c r="CG31" i="7"/>
  <c r="CG32" i="7"/>
  <c r="CN129" i="4"/>
  <c r="CF33" i="7"/>
  <c r="CN126" i="4"/>
  <c r="IA3" i="4"/>
  <c r="CR3" i="4"/>
  <c r="CQ83" i="4"/>
  <c r="CQ70" i="4"/>
  <c r="CK3" i="7"/>
  <c r="CQ2" i="4"/>
  <c r="CQ198" i="4"/>
  <c r="HX131" i="4"/>
  <c r="CN121" i="4"/>
  <c r="CN127" i="4"/>
  <c r="CM99" i="4"/>
  <c r="HW150" i="4" s="1"/>
  <c r="CD94" i="9"/>
  <c r="CD82" i="9"/>
  <c r="CD78" i="9"/>
  <c r="CD76" i="9"/>
  <c r="CD81" i="9"/>
  <c r="CD79" i="9"/>
  <c r="CD84" i="9"/>
  <c r="CD85" i="9"/>
  <c r="CO49" i="4"/>
  <c r="CG128" i="4"/>
  <c r="BW83" i="9" s="1"/>
  <c r="BW86" i="9" s="1"/>
  <c r="BW88" i="9" s="1"/>
  <c r="BW92" i="9" s="1"/>
  <c r="CG91" i="4"/>
  <c r="HZ117" i="4"/>
  <c r="HZ116" i="4" s="1"/>
  <c r="HZ94" i="4"/>
  <c r="HZ93" i="4" s="1"/>
  <c r="HZ126" i="4"/>
  <c r="HZ124" i="4"/>
  <c r="HZ123" i="4"/>
  <c r="HZ129" i="4"/>
  <c r="HZ122" i="4"/>
  <c r="HZ53" i="4"/>
  <c r="HZ201" i="4"/>
  <c r="HZ198" i="4"/>
  <c r="HT3" i="7"/>
  <c r="HZ89" i="4"/>
  <c r="HZ127" i="4"/>
  <c r="HZ121" i="4"/>
  <c r="HZ125" i="4"/>
  <c r="HZ57" i="4"/>
  <c r="HW98" i="4"/>
  <c r="CM139" i="4"/>
  <c r="CC90" i="9" s="1"/>
  <c r="CN136" i="4"/>
  <c r="HX92" i="4"/>
  <c r="HX97" i="4" s="1"/>
  <c r="CN137" i="4"/>
  <c r="CN105" i="4"/>
  <c r="CN107" i="4"/>
  <c r="HX118" i="4"/>
  <c r="CN96" i="4"/>
  <c r="CN98" i="4"/>
  <c r="CN138" i="4"/>
  <c r="CN102" i="4"/>
  <c r="CN106" i="4"/>
  <c r="CN123" i="4"/>
  <c r="HY95" i="4"/>
  <c r="HY120" i="4" s="1"/>
  <c r="HY130" i="4" s="1"/>
  <c r="CO130" i="4" s="1"/>
  <c r="HY119" i="4"/>
  <c r="HY91" i="4"/>
  <c r="HY90" i="4" s="1"/>
  <c r="CO90" i="4" s="1"/>
  <c r="CO97" i="4" s="1"/>
  <c r="HY151" i="4"/>
  <c r="HY154" i="4"/>
  <c r="HW146" i="4"/>
  <c r="HW147" i="4" s="1"/>
  <c r="HW148" i="4" s="1"/>
  <c r="HW149" i="4" s="1"/>
  <c r="HW96" i="4"/>
  <c r="CO31" i="4"/>
  <c r="HY23" i="4"/>
  <c r="CP23" i="4"/>
  <c r="CO89" i="4"/>
  <c r="CI5" i="7"/>
  <c r="HX44" i="4"/>
  <c r="HX27" i="4"/>
  <c r="HX26" i="4"/>
  <c r="HX37" i="4"/>
  <c r="CN37" i="4" s="1"/>
  <c r="HX43" i="4"/>
  <c r="HX47" i="4"/>
  <c r="HX30" i="4"/>
  <c r="HX28" i="4"/>
  <c r="HX34" i="4"/>
  <c r="CN34" i="4" s="1"/>
  <c r="HX41" i="4"/>
  <c r="HX42" i="4"/>
  <c r="HX48" i="4"/>
  <c r="BD56" i="4" l="1"/>
  <c r="BD76" i="4"/>
  <c r="BR56" i="4"/>
  <c r="BR76" i="4"/>
  <c r="BW56" i="4"/>
  <c r="BW76" i="4"/>
  <c r="AY56" i="4"/>
  <c r="AY76" i="4"/>
  <c r="BY76" i="4"/>
  <c r="BY56" i="4"/>
  <c r="BA76" i="4"/>
  <c r="BA56" i="4"/>
  <c r="CD56" i="4"/>
  <c r="CD76" i="4"/>
  <c r="BZ76" i="4"/>
  <c r="BZ56" i="4"/>
  <c r="AT76" i="4"/>
  <c r="AT56" i="4"/>
  <c r="BQ76" i="4"/>
  <c r="BQ56" i="4"/>
  <c r="AK76" i="4"/>
  <c r="AK56" i="4"/>
  <c r="BH76" i="4"/>
  <c r="BH56" i="4"/>
  <c r="AD76" i="4"/>
  <c r="AD56" i="4"/>
  <c r="BU56" i="4"/>
  <c r="BU76" i="4"/>
  <c r="AI56" i="4"/>
  <c r="AI76" i="4"/>
  <c r="AE56" i="4"/>
  <c r="AE76" i="4"/>
  <c r="AP56" i="4"/>
  <c r="AP76" i="4"/>
  <c r="CB56" i="4"/>
  <c r="CB76" i="4"/>
  <c r="BF56" i="4"/>
  <c r="BF76" i="4"/>
  <c r="BI56" i="4"/>
  <c r="BI76" i="4"/>
  <c r="AH56" i="4"/>
  <c r="AH76" i="4"/>
  <c r="CA76" i="4"/>
  <c r="CA56" i="4"/>
  <c r="BN76" i="4"/>
  <c r="BN56" i="4"/>
  <c r="AS56" i="4"/>
  <c r="AS76" i="4"/>
  <c r="BT56" i="4"/>
  <c r="BT76" i="4"/>
  <c r="AW56" i="4"/>
  <c r="AW76" i="4"/>
  <c r="AL76" i="4"/>
  <c r="AL56" i="4"/>
  <c r="AQ76" i="4"/>
  <c r="AQ56" i="4"/>
  <c r="AZ56" i="4"/>
  <c r="AZ76" i="4"/>
  <c r="BS56" i="4"/>
  <c r="BS76" i="4"/>
  <c r="FM77" i="4"/>
  <c r="FN77" i="4" s="1"/>
  <c r="FO77" i="4" s="1"/>
  <c r="FP77" i="4" s="1"/>
  <c r="FQ77" i="4" s="1"/>
  <c r="FR77" i="4" s="1"/>
  <c r="FS77" i="4" s="1"/>
  <c r="FT77" i="4" s="1"/>
  <c r="FU77" i="4" s="1"/>
  <c r="FV77" i="4" s="1"/>
  <c r="FW77" i="4" s="1"/>
  <c r="FX77" i="4" s="1"/>
  <c r="FY77" i="4" s="1"/>
  <c r="FZ77" i="4" s="1"/>
  <c r="GA77" i="4" s="1"/>
  <c r="GB77" i="4" s="1"/>
  <c r="GC77" i="4" s="1"/>
  <c r="GD77" i="4" s="1"/>
  <c r="GE77" i="4" s="1"/>
  <c r="GF77" i="4" s="1"/>
  <c r="GG77" i="4" s="1"/>
  <c r="GH77" i="4" s="1"/>
  <c r="GI77" i="4" s="1"/>
  <c r="GJ77" i="4" s="1"/>
  <c r="GK77" i="4" s="1"/>
  <c r="GL77" i="4" s="1"/>
  <c r="GM77" i="4" s="1"/>
  <c r="GN77" i="4" s="1"/>
  <c r="GO77" i="4" s="1"/>
  <c r="GP77" i="4" s="1"/>
  <c r="GQ77" i="4" s="1"/>
  <c r="GR77" i="4" s="1"/>
  <c r="GS77" i="4" s="1"/>
  <c r="GT77" i="4" s="1"/>
  <c r="GU77" i="4" s="1"/>
  <c r="GV77" i="4" s="1"/>
  <c r="GW77" i="4" s="1"/>
  <c r="GX77" i="4" s="1"/>
  <c r="GY77" i="4" s="1"/>
  <c r="GZ77" i="4" s="1"/>
  <c r="HA77" i="4" s="1"/>
  <c r="HB77" i="4" s="1"/>
  <c r="HC77" i="4" s="1"/>
  <c r="HD77" i="4" s="1"/>
  <c r="HE77" i="4" s="1"/>
  <c r="HF77" i="4" s="1"/>
  <c r="HG77" i="4" s="1"/>
  <c r="HH77" i="4" s="1"/>
  <c r="HI77" i="4" s="1"/>
  <c r="HJ77" i="4" s="1"/>
  <c r="HK77" i="4" s="1"/>
  <c r="HL77" i="4" s="1"/>
  <c r="HM77" i="4" s="1"/>
  <c r="HN77" i="4" s="1"/>
  <c r="HO77" i="4" s="1"/>
  <c r="HP77" i="4" s="1"/>
  <c r="BX56" i="4"/>
  <c r="BX76" i="4"/>
  <c r="BL76" i="4"/>
  <c r="BL56" i="4"/>
  <c r="AG76" i="4"/>
  <c r="AG56" i="4"/>
  <c r="BM56" i="4"/>
  <c r="BM76" i="4"/>
  <c r="BK56" i="4"/>
  <c r="BK76" i="4"/>
  <c r="BB56" i="4"/>
  <c r="BB76" i="4"/>
  <c r="BO56" i="4"/>
  <c r="BO76" i="4"/>
  <c r="AO56" i="4"/>
  <c r="AO76" i="4"/>
  <c r="AR56" i="4"/>
  <c r="AR76" i="4"/>
  <c r="AN56" i="4"/>
  <c r="AN76" i="4"/>
  <c r="AX56" i="4"/>
  <c r="AX76" i="4"/>
  <c r="AU76" i="4"/>
  <c r="AU56" i="4"/>
  <c r="AF76" i="4"/>
  <c r="AF56" i="4"/>
  <c r="AM76" i="4"/>
  <c r="AM56" i="4"/>
  <c r="BJ76" i="4"/>
  <c r="BJ56" i="4"/>
  <c r="AV76" i="4"/>
  <c r="AV56" i="4"/>
  <c r="BC76" i="4"/>
  <c r="BC56" i="4"/>
  <c r="AC56" i="4"/>
  <c r="AC76" i="4"/>
  <c r="BP56" i="4"/>
  <c r="BP76" i="4"/>
  <c r="BG56" i="4"/>
  <c r="BG76" i="4"/>
  <c r="BE76" i="4"/>
  <c r="BE56" i="4"/>
  <c r="AJ56" i="4"/>
  <c r="AJ76" i="4"/>
  <c r="BV76" i="4"/>
  <c r="BV56" i="4"/>
  <c r="CC56" i="4"/>
  <c r="CC76" i="4"/>
  <c r="CH32" i="7"/>
  <c r="CQ45" i="4"/>
  <c r="CQ46" i="4"/>
  <c r="HY36" i="4"/>
  <c r="CO36" i="4" s="1"/>
  <c r="HY46" i="4"/>
  <c r="CH30" i="7"/>
  <c r="CI112" i="4"/>
  <c r="CI114" i="4" s="1"/>
  <c r="CI91" i="4" s="1"/>
  <c r="H189" i="4"/>
  <c r="H193" i="4"/>
  <c r="H194" i="4" s="1"/>
  <c r="CC56" i="9"/>
  <c r="CC58" i="9" s="1"/>
  <c r="CM200" i="4"/>
  <c r="CE57" i="9"/>
  <c r="BX72" i="9"/>
  <c r="BX73" i="9" s="1"/>
  <c r="CH128" i="4"/>
  <c r="CH131" i="4" s="1"/>
  <c r="CH133" i="4" s="1"/>
  <c r="CH141" i="4" s="1"/>
  <c r="BZ70" i="9"/>
  <c r="BZ71" i="9" s="1"/>
  <c r="CJ111" i="4"/>
  <c r="CJ112" i="4" s="1"/>
  <c r="BY72" i="9"/>
  <c r="BY73" i="9" s="1"/>
  <c r="CE76" i="4"/>
  <c r="CE56" i="4"/>
  <c r="CF56" i="4"/>
  <c r="CF76" i="4"/>
  <c r="HX153" i="4"/>
  <c r="HX156" i="4" s="1"/>
  <c r="HX158" i="4" s="1"/>
  <c r="HX159" i="4" s="1"/>
  <c r="HX160" i="4" s="1"/>
  <c r="HY35" i="4"/>
  <c r="CO35" i="4" s="1"/>
  <c r="HY45" i="4"/>
  <c r="CM51" i="4"/>
  <c r="HW54" i="4"/>
  <c r="CE21" i="7"/>
  <c r="CE23" i="7" s="1"/>
  <c r="CE24" i="7" s="1"/>
  <c r="CE25" i="7" s="1"/>
  <c r="CE35" i="7" s="1"/>
  <c r="CK110" i="4" s="1"/>
  <c r="HX146" i="4"/>
  <c r="HX147" i="4" s="1"/>
  <c r="HX148" i="4" s="1"/>
  <c r="HX149" i="4" s="1"/>
  <c r="HY131" i="4"/>
  <c r="HY155" i="4"/>
  <c r="CO96" i="4"/>
  <c r="CO136" i="4"/>
  <c r="CO107" i="4"/>
  <c r="HY118" i="4"/>
  <c r="CO98" i="4"/>
  <c r="CO105" i="4"/>
  <c r="CO137" i="4"/>
  <c r="HY92" i="4"/>
  <c r="HY97" i="4" s="1"/>
  <c r="CO138" i="4"/>
  <c r="CO102" i="4"/>
  <c r="CO106" i="4"/>
  <c r="CO125" i="4"/>
  <c r="HY152" i="4"/>
  <c r="CO122" i="4"/>
  <c r="CE77" i="9" s="1"/>
  <c r="CO121" i="4"/>
  <c r="CE76" i="9" s="1"/>
  <c r="CO123" i="4"/>
  <c r="CO124" i="4"/>
  <c r="CE79" i="9" s="1"/>
  <c r="CO126" i="4"/>
  <c r="CE81" i="9" s="1"/>
  <c r="CO127" i="4"/>
  <c r="CE82" i="9" s="1"/>
  <c r="CO129" i="4"/>
  <c r="CE84" i="9" s="1"/>
  <c r="CP95" i="4"/>
  <c r="CP31" i="4"/>
  <c r="IA117" i="4"/>
  <c r="IA116" i="4" s="1"/>
  <c r="IA94" i="4"/>
  <c r="IA93" i="4" s="1"/>
  <c r="IA57" i="4"/>
  <c r="IA89" i="4"/>
  <c r="IA53" i="4"/>
  <c r="IA201" i="4"/>
  <c r="IA125" i="4"/>
  <c r="IA127" i="4"/>
  <c r="HU3" i="7"/>
  <c r="IA126" i="4"/>
  <c r="IA122" i="4"/>
  <c r="IA123" i="4"/>
  <c r="IA121" i="4"/>
  <c r="IA124" i="4"/>
  <c r="IA129" i="4"/>
  <c r="IA198" i="4"/>
  <c r="CF18" i="7"/>
  <c r="CF19" i="7"/>
  <c r="CF20" i="7"/>
  <c r="CQ44" i="4"/>
  <c r="CR22" i="4"/>
  <c r="CQ28" i="4"/>
  <c r="CQ43" i="4"/>
  <c r="CQ27" i="4"/>
  <c r="CQ26" i="4"/>
  <c r="IA22" i="4"/>
  <c r="CQ88" i="4"/>
  <c r="CQ30" i="4"/>
  <c r="CQ47" i="4"/>
  <c r="CQ41" i="4"/>
  <c r="CQ42" i="4"/>
  <c r="CQ48" i="4"/>
  <c r="CQ231" i="4"/>
  <c r="CG54" i="9"/>
  <c r="CQ199" i="4"/>
  <c r="IA2" i="4"/>
  <c r="CK2" i="7"/>
  <c r="HZ119" i="4"/>
  <c r="HZ95" i="4"/>
  <c r="HZ120" i="4" s="1"/>
  <c r="HZ130" i="4" s="1"/>
  <c r="CP130" i="4" s="1"/>
  <c r="HZ91" i="4"/>
  <c r="HZ90" i="4" s="1"/>
  <c r="CP90" i="4" s="1"/>
  <c r="CP97" i="4" s="1"/>
  <c r="HZ151" i="4"/>
  <c r="HZ154" i="4"/>
  <c r="CG33" i="7"/>
  <c r="CQ23" i="4"/>
  <c r="HZ23" i="4"/>
  <c r="CP89" i="4"/>
  <c r="CJ5" i="7"/>
  <c r="HX96" i="4"/>
  <c r="CN99" i="4"/>
  <c r="HX150" i="4" s="1"/>
  <c r="HT12" i="7"/>
  <c r="HT13" i="7"/>
  <c r="HT14" i="7"/>
  <c r="HS15" i="7"/>
  <c r="CI9" i="7" s="1"/>
  <c r="CE85" i="9"/>
  <c r="CE78" i="9"/>
  <c r="CE80" i="9"/>
  <c r="CE94" i="9"/>
  <c r="IB3" i="4"/>
  <c r="CS3" i="4"/>
  <c r="CR70" i="4"/>
  <c r="CR2" i="4"/>
  <c r="CL3" i="7"/>
  <c r="CR83" i="4"/>
  <c r="CR198" i="4"/>
  <c r="CG131" i="4"/>
  <c r="CG133" i="4" s="1"/>
  <c r="CG141" i="4" s="1"/>
  <c r="CN108" i="4"/>
  <c r="CD69" i="9" s="1"/>
  <c r="HX98" i="4"/>
  <c r="HY27" i="4"/>
  <c r="HY26" i="4"/>
  <c r="HY37" i="4"/>
  <c r="CO37" i="4" s="1"/>
  <c r="HY30" i="4"/>
  <c r="HY47" i="4"/>
  <c r="HY43" i="4"/>
  <c r="HY34" i="4"/>
  <c r="CO34" i="4" s="1"/>
  <c r="HY44" i="4"/>
  <c r="HY28" i="4"/>
  <c r="HY42" i="4"/>
  <c r="HY41" i="4"/>
  <c r="HY48" i="4"/>
  <c r="CP252" i="4"/>
  <c r="CF53" i="9"/>
  <c r="CF67" i="9"/>
  <c r="CF55" i="9"/>
  <c r="CK10" i="7"/>
  <c r="CK14" i="7"/>
  <c r="CK12" i="7"/>
  <c r="CK13" i="7"/>
  <c r="HW99" i="4"/>
  <c r="CM100" i="4" s="1"/>
  <c r="CM101" i="4" s="1"/>
  <c r="CM103" i="4" s="1"/>
  <c r="CC68" i="9" s="1"/>
  <c r="CP49" i="4"/>
  <c r="CN139" i="4"/>
  <c r="CD90" i="9" s="1"/>
  <c r="CN38" i="4"/>
  <c r="CJ15" i="7"/>
  <c r="C20" i="11" l="1"/>
  <c r="CH33" i="7"/>
  <c r="CH19" i="7" s="1"/>
  <c r="HZ36" i="4"/>
  <c r="CP36" i="4" s="1"/>
  <c r="HZ46" i="4"/>
  <c r="CR45" i="4"/>
  <c r="CR46" i="4"/>
  <c r="CJ113" i="4"/>
  <c r="CJ114" i="4" s="1"/>
  <c r="H195" i="4"/>
  <c r="H196" i="4" s="1"/>
  <c r="E178" i="4"/>
  <c r="J27" i="1"/>
  <c r="J29" i="1" s="1"/>
  <c r="CD56" i="9"/>
  <c r="CD58" i="9" s="1"/>
  <c r="CN200" i="4"/>
  <c r="BX83" i="9"/>
  <c r="BX86" i="9" s="1"/>
  <c r="BX88" i="9" s="1"/>
  <c r="BX92" i="9" s="1"/>
  <c r="CF57" i="9"/>
  <c r="CK111" i="4"/>
  <c r="CK113" i="4" s="1"/>
  <c r="CA70" i="9"/>
  <c r="CA71" i="9" s="1"/>
  <c r="HQ61" i="4"/>
  <c r="HQ77" i="4" s="1"/>
  <c r="CG206" i="4"/>
  <c r="BZ72" i="9"/>
  <c r="BZ73" i="9" s="1"/>
  <c r="HR61" i="4"/>
  <c r="CH206" i="4"/>
  <c r="CI128" i="4"/>
  <c r="HZ35" i="4"/>
  <c r="CP35" i="4" s="1"/>
  <c r="HZ45" i="4"/>
  <c r="CO108" i="4"/>
  <c r="CE69" i="9" s="1"/>
  <c r="HT15" i="7"/>
  <c r="CJ9" i="7" s="1"/>
  <c r="CQ31" i="4"/>
  <c r="HY146" i="4"/>
  <c r="HY147" i="4" s="1"/>
  <c r="HY148" i="4" s="1"/>
  <c r="HY149" i="4" s="1"/>
  <c r="CP136" i="4"/>
  <c r="CP107" i="4"/>
  <c r="HZ92" i="4"/>
  <c r="HZ97" i="4" s="1"/>
  <c r="CP96" i="4"/>
  <c r="CP98" i="4"/>
  <c r="CP105" i="4"/>
  <c r="CP137" i="4"/>
  <c r="HZ118" i="4"/>
  <c r="CP138" i="4"/>
  <c r="CP102" i="4"/>
  <c r="CP106" i="4"/>
  <c r="CP121" i="4"/>
  <c r="CP127" i="4"/>
  <c r="CP126" i="4"/>
  <c r="CF81" i="9" s="1"/>
  <c r="CP125" i="4"/>
  <c r="CP129" i="4"/>
  <c r="CP124" i="4"/>
  <c r="HZ152" i="4"/>
  <c r="CP122" i="4"/>
  <c r="CP123" i="4"/>
  <c r="CF78" i="9" s="1"/>
  <c r="CR23" i="4"/>
  <c r="IA23" i="4"/>
  <c r="CK5" i="7"/>
  <c r="CQ89" i="4"/>
  <c r="CG20" i="7"/>
  <c r="CG19" i="7"/>
  <c r="CG18" i="7"/>
  <c r="CQ95" i="4"/>
  <c r="HU14" i="7"/>
  <c r="HU12" i="7"/>
  <c r="HU13" i="7"/>
  <c r="CN51" i="4"/>
  <c r="HX54" i="4"/>
  <c r="HZ155" i="4"/>
  <c r="HY153" i="4"/>
  <c r="HY156" i="4" s="1"/>
  <c r="HY158" i="4" s="1"/>
  <c r="HY159" i="4" s="1"/>
  <c r="HY160" i="4" s="1"/>
  <c r="HZ28" i="4"/>
  <c r="HZ27" i="4"/>
  <c r="HZ37" i="4"/>
  <c r="CP37" i="4" s="1"/>
  <c r="HZ26" i="4"/>
  <c r="HZ43" i="4"/>
  <c r="HZ47" i="4"/>
  <c r="HZ30" i="4"/>
  <c r="HZ44" i="4"/>
  <c r="HZ34" i="4"/>
  <c r="CP34" i="4" s="1"/>
  <c r="HZ42" i="4"/>
  <c r="HZ41" i="4"/>
  <c r="HZ48" i="4"/>
  <c r="CH54" i="9"/>
  <c r="CR231" i="4"/>
  <c r="CR199" i="4"/>
  <c r="CK15" i="7"/>
  <c r="CL10" i="7"/>
  <c r="CL14" i="7"/>
  <c r="CL12" i="7"/>
  <c r="CL13" i="7"/>
  <c r="CR44" i="4"/>
  <c r="CS22" i="4"/>
  <c r="CR28" i="4"/>
  <c r="IB22" i="4"/>
  <c r="CR88" i="4"/>
  <c r="CR43" i="4"/>
  <c r="CR27" i="4"/>
  <c r="CR26" i="4"/>
  <c r="CR47" i="4"/>
  <c r="CR30" i="4"/>
  <c r="CR41" i="4"/>
  <c r="CR42" i="4"/>
  <c r="CR48" i="4"/>
  <c r="IA119" i="4"/>
  <c r="IA95" i="4"/>
  <c r="IA120" i="4" s="1"/>
  <c r="IA130" i="4" s="1"/>
  <c r="CQ130" i="4" s="1"/>
  <c r="IA91" i="4"/>
  <c r="IA90" i="4" s="1"/>
  <c r="CQ90" i="4" s="1"/>
  <c r="CQ97" i="4" s="1"/>
  <c r="IA151" i="4"/>
  <c r="IA154" i="4"/>
  <c r="IC3" i="4"/>
  <c r="CT3" i="4"/>
  <c r="CS70" i="4"/>
  <c r="CS2" i="4"/>
  <c r="CM3" i="7"/>
  <c r="CS83" i="4"/>
  <c r="CS198" i="4"/>
  <c r="IB117" i="4"/>
  <c r="IB116" i="4" s="1"/>
  <c r="IB94" i="4"/>
  <c r="IB93" i="4" s="1"/>
  <c r="IB201" i="4"/>
  <c r="IB129" i="4"/>
  <c r="IB198" i="4"/>
  <c r="IB57" i="4"/>
  <c r="IB125" i="4"/>
  <c r="IB124" i="4"/>
  <c r="IB123" i="4"/>
  <c r="HV3" i="7"/>
  <c r="IB89" i="4"/>
  <c r="IB127" i="4"/>
  <c r="IB126" i="4"/>
  <c r="IB122" i="4"/>
  <c r="IB121" i="4"/>
  <c r="IB53" i="4"/>
  <c r="IB2" i="4"/>
  <c r="CL2" i="7"/>
  <c r="CI32" i="7"/>
  <c r="CI31" i="7"/>
  <c r="CI30" i="7"/>
  <c r="CI29" i="7"/>
  <c r="CF21" i="7"/>
  <c r="CF23" i="7" s="1"/>
  <c r="CF24" i="7" s="1"/>
  <c r="CF25" i="7" s="1"/>
  <c r="CF35" i="7" s="1"/>
  <c r="CL110" i="4" s="1"/>
  <c r="HY98" i="4"/>
  <c r="CO38" i="4"/>
  <c r="CF94" i="9"/>
  <c r="CF84" i="9"/>
  <c r="CF79" i="9"/>
  <c r="CF82" i="9"/>
  <c r="CF80" i="9"/>
  <c r="CF76" i="9"/>
  <c r="CF77" i="9"/>
  <c r="CF85" i="9"/>
  <c r="CG67" i="9"/>
  <c r="CG53" i="9"/>
  <c r="CG55" i="9"/>
  <c r="CJ30" i="7"/>
  <c r="CJ32" i="7"/>
  <c r="CJ29" i="7"/>
  <c r="CJ31" i="7"/>
  <c r="HZ131" i="4"/>
  <c r="CQ252" i="4"/>
  <c r="CQ49" i="4"/>
  <c r="CO139" i="4"/>
  <c r="CE90" i="9" s="1"/>
  <c r="HX99" i="4"/>
  <c r="CN100" i="4" s="1"/>
  <c r="CN101" i="4" s="1"/>
  <c r="CN103" i="4" s="1"/>
  <c r="CD68" i="9" s="1"/>
  <c r="HY96" i="4"/>
  <c r="CO99" i="4"/>
  <c r="HY150" i="4" s="1"/>
  <c r="CH18" i="7" l="1"/>
  <c r="CH20" i="7"/>
  <c r="CS45" i="4"/>
  <c r="CS46" i="4"/>
  <c r="IA36" i="4"/>
  <c r="CQ36" i="4" s="1"/>
  <c r="IA46" i="4"/>
  <c r="CE56" i="9"/>
  <c r="CE58" i="9" s="1"/>
  <c r="CO200" i="4"/>
  <c r="CG57" i="9"/>
  <c r="CK112" i="4"/>
  <c r="CK114" i="4" s="1"/>
  <c r="CG56" i="4"/>
  <c r="CG76" i="4"/>
  <c r="HR77" i="4"/>
  <c r="CL111" i="4"/>
  <c r="CL113" i="4" s="1"/>
  <c r="CB70" i="9"/>
  <c r="CB71" i="9" s="1"/>
  <c r="CI131" i="4"/>
  <c r="CI133" i="4" s="1"/>
  <c r="CI141" i="4" s="1"/>
  <c r="BY83" i="9"/>
  <c r="BY86" i="9" s="1"/>
  <c r="BY88" i="9" s="1"/>
  <c r="BY92" i="9" s="1"/>
  <c r="CH56" i="4"/>
  <c r="CH76" i="4"/>
  <c r="HZ153" i="4"/>
  <c r="HZ156" i="4" s="1"/>
  <c r="HZ158" i="4" s="1"/>
  <c r="HZ159" i="4" s="1"/>
  <c r="HZ160" i="4" s="1"/>
  <c r="CP108" i="4"/>
  <c r="CF69" i="9" s="1"/>
  <c r="IA35" i="4"/>
  <c r="CQ35" i="4" s="1"/>
  <c r="IA45" i="4"/>
  <c r="HZ98" i="4"/>
  <c r="HU15" i="7"/>
  <c r="CK9" i="7" s="1"/>
  <c r="CK31" i="7" s="1"/>
  <c r="CR49" i="4"/>
  <c r="HZ146" i="4"/>
  <c r="HZ147" i="4" s="1"/>
  <c r="HZ148" i="4" s="1"/>
  <c r="HZ149" i="4" s="1"/>
  <c r="CQ98" i="4"/>
  <c r="CQ96" i="4"/>
  <c r="CQ107" i="4"/>
  <c r="IA92" i="4"/>
  <c r="IA97" i="4" s="1"/>
  <c r="CQ136" i="4"/>
  <c r="CQ137" i="4"/>
  <c r="CQ105" i="4"/>
  <c r="IA118" i="4"/>
  <c r="CQ138" i="4"/>
  <c r="CQ102" i="4"/>
  <c r="CQ106" i="4"/>
  <c r="IA152" i="4"/>
  <c r="CQ127" i="4"/>
  <c r="CG82" i="9" s="1"/>
  <c r="CQ129" i="4"/>
  <c r="CG84" i="9" s="1"/>
  <c r="CQ121" i="4"/>
  <c r="CG76" i="9" s="1"/>
  <c r="CQ123" i="4"/>
  <c r="CG78" i="9" s="1"/>
  <c r="CQ124" i="4"/>
  <c r="CG79" i="9" s="1"/>
  <c r="CQ126" i="4"/>
  <c r="CG81" i="9" s="1"/>
  <c r="CQ125" i="4"/>
  <c r="CG80" i="9" s="1"/>
  <c r="CQ122" i="4"/>
  <c r="CG77" i="9" s="1"/>
  <c r="CG21" i="7"/>
  <c r="CG23" i="7" s="1"/>
  <c r="CG24" i="7" s="1"/>
  <c r="CG25" i="7" s="1"/>
  <c r="CG35" i="7" s="1"/>
  <c r="CM110" i="4" s="1"/>
  <c r="CS231" i="4"/>
  <c r="CS199" i="4"/>
  <c r="CI54" i="9"/>
  <c r="CR31" i="4"/>
  <c r="HZ96" i="4"/>
  <c r="CP99" i="4"/>
  <c r="HZ150" i="4" s="1"/>
  <c r="HY54" i="4"/>
  <c r="CO51" i="4"/>
  <c r="CI33" i="7"/>
  <c r="CJ33" i="7"/>
  <c r="CM2" i="7"/>
  <c r="IC2" i="4"/>
  <c r="CJ91" i="4"/>
  <c r="CJ128" i="4"/>
  <c r="BZ83" i="9" s="1"/>
  <c r="BZ86" i="9" s="1"/>
  <c r="BZ88" i="9" s="1"/>
  <c r="BZ92" i="9" s="1"/>
  <c r="CU3" i="4"/>
  <c r="ID3" i="4"/>
  <c r="CT70" i="4"/>
  <c r="CN3" i="7"/>
  <c r="CT83" i="4"/>
  <c r="CT2" i="4"/>
  <c r="CT198" i="4"/>
  <c r="IC117" i="4"/>
  <c r="IC116" i="4" s="1"/>
  <c r="IC94" i="4"/>
  <c r="IC93" i="4" s="1"/>
  <c r="HW3" i="7"/>
  <c r="IC57" i="4"/>
  <c r="IC53" i="4"/>
  <c r="IC124" i="4"/>
  <c r="IC89" i="4"/>
  <c r="IC201" i="4"/>
  <c r="IC125" i="4"/>
  <c r="IC126" i="4"/>
  <c r="IC121" i="4"/>
  <c r="IC127" i="4"/>
  <c r="IC123" i="4"/>
  <c r="IC129" i="4"/>
  <c r="IC198" i="4"/>
  <c r="IC122" i="4"/>
  <c r="CR95" i="4"/>
  <c r="CP38" i="4"/>
  <c r="IA131" i="4"/>
  <c r="CM10" i="7"/>
  <c r="CM14" i="7"/>
  <c r="CM12" i="7"/>
  <c r="CM13" i="7"/>
  <c r="HY99" i="4"/>
  <c r="CO100" i="4" s="1"/>
  <c r="CO101" i="4" s="1"/>
  <c r="CO103" i="4" s="1"/>
  <c r="CE68" i="9" s="1"/>
  <c r="CS28" i="4"/>
  <c r="CS44" i="4"/>
  <c r="CT22" i="4"/>
  <c r="CS26" i="4"/>
  <c r="CS88" i="4"/>
  <c r="CS27" i="4"/>
  <c r="CS43" i="4"/>
  <c r="IC22" i="4"/>
  <c r="CS30" i="4"/>
  <c r="CS47" i="4"/>
  <c r="CS41" i="4"/>
  <c r="CS42" i="4"/>
  <c r="CS48" i="4"/>
  <c r="CR252" i="4"/>
  <c r="IA44" i="4"/>
  <c r="IA28" i="4"/>
  <c r="IA26" i="4"/>
  <c r="IA37" i="4"/>
  <c r="CQ37" i="4" s="1"/>
  <c r="IA27" i="4"/>
  <c r="IA30" i="4"/>
  <c r="IA43" i="4"/>
  <c r="IA47" i="4"/>
  <c r="IA34" i="4"/>
  <c r="CQ34" i="4" s="1"/>
  <c r="IA41" i="4"/>
  <c r="IA42" i="4"/>
  <c r="IA48" i="4"/>
  <c r="CP139" i="4"/>
  <c r="CF90" i="9" s="1"/>
  <c r="CG94" i="9"/>
  <c r="CG85" i="9"/>
  <c r="CH53" i="9"/>
  <c r="CH67" i="9"/>
  <c r="CH55" i="9"/>
  <c r="CS23" i="4"/>
  <c r="IB23" i="4"/>
  <c r="CR89" i="4"/>
  <c r="CL5" i="7"/>
  <c r="IB119" i="4"/>
  <c r="IB95" i="4"/>
  <c r="IB120" i="4" s="1"/>
  <c r="IB130" i="4" s="1"/>
  <c r="CR130" i="4" s="1"/>
  <c r="IB91" i="4"/>
  <c r="IB90" i="4" s="1"/>
  <c r="CR90" i="4" s="1"/>
  <c r="CR97" i="4" s="1"/>
  <c r="IB151" i="4"/>
  <c r="IB154" i="4"/>
  <c r="IA155" i="4"/>
  <c r="HV12" i="7"/>
  <c r="HV14" i="7"/>
  <c r="HV13" i="7"/>
  <c r="CL15" i="7"/>
  <c r="CH21" i="7" l="1"/>
  <c r="CH23" i="7" s="1"/>
  <c r="CH24" i="7" s="1"/>
  <c r="CH25" i="7" s="1"/>
  <c r="CH35" i="7" s="1"/>
  <c r="CN110" i="4" s="1"/>
  <c r="CN111" i="4" s="1"/>
  <c r="CN112" i="4" s="1"/>
  <c r="IB36" i="4"/>
  <c r="CR36" i="4" s="1"/>
  <c r="IB46" i="4"/>
  <c r="CT45" i="4"/>
  <c r="CT46" i="4"/>
  <c r="CF56" i="9"/>
  <c r="CF58" i="9" s="1"/>
  <c r="CP200" i="4"/>
  <c r="CH57" i="9"/>
  <c r="CK91" i="4"/>
  <c r="CK128" i="4"/>
  <c r="CA83" i="9" s="1"/>
  <c r="CA86" i="9" s="1"/>
  <c r="CA72" i="9"/>
  <c r="CA73" i="9" s="1"/>
  <c r="CL112" i="4"/>
  <c r="CB72" i="9" s="1"/>
  <c r="CB73" i="9" s="1"/>
  <c r="CM111" i="4"/>
  <c r="CM113" i="4" s="1"/>
  <c r="CC70" i="9"/>
  <c r="CC71" i="9" s="1"/>
  <c r="CD70" i="9"/>
  <c r="CD71" i="9" s="1"/>
  <c r="HS61" i="4"/>
  <c r="CI206" i="4"/>
  <c r="IA153" i="4"/>
  <c r="IA156" i="4" s="1"/>
  <c r="IA158" i="4" s="1"/>
  <c r="IA159" i="4" s="1"/>
  <c r="IA160" i="4" s="1"/>
  <c r="CK30" i="7"/>
  <c r="IB35" i="4"/>
  <c r="CR35" i="4" s="1"/>
  <c r="IB45" i="4"/>
  <c r="CK32" i="7"/>
  <c r="CK29" i="7"/>
  <c r="HZ99" i="4"/>
  <c r="CP100" i="4" s="1"/>
  <c r="CP101" i="4" s="1"/>
  <c r="CP103" i="4" s="1"/>
  <c r="CF68" i="9" s="1"/>
  <c r="CS31" i="4"/>
  <c r="IB155" i="4"/>
  <c r="CQ38" i="4"/>
  <c r="CS49" i="4"/>
  <c r="CQ108" i="4"/>
  <c r="CG69" i="9" s="1"/>
  <c r="IB92" i="4"/>
  <c r="IB97" i="4" s="1"/>
  <c r="CR137" i="4"/>
  <c r="CR96" i="4"/>
  <c r="CR98" i="4"/>
  <c r="CR107" i="4"/>
  <c r="IB118" i="4"/>
  <c r="CR136" i="4"/>
  <c r="CR105" i="4"/>
  <c r="CR138" i="4"/>
  <c r="CR102" i="4"/>
  <c r="CR106" i="4"/>
  <c r="CR123" i="4"/>
  <c r="CH78" i="9" s="1"/>
  <c r="CR126" i="4"/>
  <c r="CH81" i="9" s="1"/>
  <c r="CR125" i="4"/>
  <c r="CH80" i="9" s="1"/>
  <c r="CR121" i="4"/>
  <c r="CH76" i="9" s="1"/>
  <c r="CR129" i="4"/>
  <c r="CR124" i="4"/>
  <c r="CH79" i="9" s="1"/>
  <c r="CR127" i="4"/>
  <c r="CH82" i="9" s="1"/>
  <c r="IB152" i="4"/>
  <c r="CR122" i="4"/>
  <c r="CH77" i="9" s="1"/>
  <c r="CP51" i="4"/>
  <c r="HZ54" i="4"/>
  <c r="ID2" i="4"/>
  <c r="CN2" i="7"/>
  <c r="CN10" i="7"/>
  <c r="CN14" i="7"/>
  <c r="CN12" i="7"/>
  <c r="CN13" i="7"/>
  <c r="HW14" i="7"/>
  <c r="HW12" i="7"/>
  <c r="HW13" i="7"/>
  <c r="HV15" i="7"/>
  <c r="CL9" i="7" s="1"/>
  <c r="CM15" i="7"/>
  <c r="CJ131" i="4"/>
  <c r="CJ133" i="4" s="1"/>
  <c r="CJ141" i="4" s="1"/>
  <c r="CJ54" i="9"/>
  <c r="CT199" i="4"/>
  <c r="CT231" i="4"/>
  <c r="ID117" i="4"/>
  <c r="ID116" i="4" s="1"/>
  <c r="ID94" i="4"/>
  <c r="ID93" i="4" s="1"/>
  <c r="ID89" i="4"/>
  <c r="ID127" i="4"/>
  <c r="ID125" i="4"/>
  <c r="ID198" i="4"/>
  <c r="ID122" i="4"/>
  <c r="ID57" i="4"/>
  <c r="HX3" i="7"/>
  <c r="ID201" i="4"/>
  <c r="ID126" i="4"/>
  <c r="ID124" i="4"/>
  <c r="ID123" i="4"/>
  <c r="ID121" i="4"/>
  <c r="ID53" i="4"/>
  <c r="ID129" i="4"/>
  <c r="CJ18" i="7"/>
  <c r="CJ20" i="7"/>
  <c r="CJ19" i="7"/>
  <c r="CI53" i="9"/>
  <c r="CI55" i="9"/>
  <c r="CI67" i="9"/>
  <c r="CI57" i="9"/>
  <c r="CH94" i="9"/>
  <c r="CH84" i="9"/>
  <c r="CH85" i="9"/>
  <c r="CV3" i="4"/>
  <c r="IE3" i="4"/>
  <c r="CO3" i="7"/>
  <c r="CU83" i="4"/>
  <c r="CU2" i="4"/>
  <c r="CU70" i="4"/>
  <c r="CU198" i="4"/>
  <c r="IB28" i="4"/>
  <c r="IB44" i="4"/>
  <c r="IB37" i="4"/>
  <c r="CR37" i="4" s="1"/>
  <c r="IB27" i="4"/>
  <c r="IB26" i="4"/>
  <c r="IB43" i="4"/>
  <c r="IB30" i="4"/>
  <c r="IB47" i="4"/>
  <c r="IB34" i="4"/>
  <c r="CR34" i="4" s="1"/>
  <c r="IB42" i="4"/>
  <c r="IB41" i="4"/>
  <c r="IB48" i="4"/>
  <c r="CI18" i="7"/>
  <c r="CI19" i="7"/>
  <c r="CI20" i="7"/>
  <c r="CT23" i="4"/>
  <c r="IC23" i="4"/>
  <c r="CS89" i="4"/>
  <c r="CM5" i="7"/>
  <c r="CS95" i="4"/>
  <c r="CS252" i="4"/>
  <c r="CQ139" i="4"/>
  <c r="CG90" i="9" s="1"/>
  <c r="IB131" i="4"/>
  <c r="IA146" i="4"/>
  <c r="IA147" i="4" s="1"/>
  <c r="IA148" i="4" s="1"/>
  <c r="IA149" i="4" s="1"/>
  <c r="IA98" i="4"/>
  <c r="CT28" i="4"/>
  <c r="CU22" i="4"/>
  <c r="CT44" i="4"/>
  <c r="CT26" i="4"/>
  <c r="CT88" i="4"/>
  <c r="CT43" i="4"/>
  <c r="ID22" i="4"/>
  <c r="CT27" i="4"/>
  <c r="CT47" i="4"/>
  <c r="CT30" i="4"/>
  <c r="CT42" i="4"/>
  <c r="CT41" i="4"/>
  <c r="CT48" i="4"/>
  <c r="IC95" i="4"/>
  <c r="IC120" i="4" s="1"/>
  <c r="IC130" i="4" s="1"/>
  <c r="CS130" i="4" s="1"/>
  <c r="IC119" i="4"/>
  <c r="IC91" i="4"/>
  <c r="IC90" i="4" s="1"/>
  <c r="CS90" i="4" s="1"/>
  <c r="CS97" i="4" s="1"/>
  <c r="IC151" i="4"/>
  <c r="IC154" i="4"/>
  <c r="IA96" i="4"/>
  <c r="CQ99" i="4"/>
  <c r="IA150" i="4" s="1"/>
  <c r="CU45" i="4" l="1"/>
  <c r="CU46" i="4"/>
  <c r="IC36" i="4"/>
  <c r="CS36" i="4" s="1"/>
  <c r="IC46" i="4"/>
  <c r="CG56" i="9"/>
  <c r="CG58" i="9" s="1"/>
  <c r="CQ200" i="4"/>
  <c r="CM112" i="4"/>
  <c r="CM114" i="4" s="1"/>
  <c r="CM91" i="4" s="1"/>
  <c r="CA88" i="9"/>
  <c r="CA92" i="9" s="1"/>
  <c r="CK131" i="4"/>
  <c r="CK133" i="4" s="1"/>
  <c r="CK141" i="4" s="1"/>
  <c r="HU61" i="4" s="1"/>
  <c r="CL114" i="4"/>
  <c r="CL128" i="4" s="1"/>
  <c r="CB83" i="9" s="1"/>
  <c r="CB86" i="9" s="1"/>
  <c r="CB88" i="9" s="1"/>
  <c r="CB92" i="9" s="1"/>
  <c r="CN113" i="4"/>
  <c r="CD72" i="9" s="1"/>
  <c r="CD73" i="9" s="1"/>
  <c r="HT61" i="4"/>
  <c r="CJ56" i="4" s="1"/>
  <c r="CJ206" i="4"/>
  <c r="CI56" i="4"/>
  <c r="CI76" i="4"/>
  <c r="HS77" i="4"/>
  <c r="CK206" i="4"/>
  <c r="IC35" i="4"/>
  <c r="CS35" i="4" s="1"/>
  <c r="IC45" i="4"/>
  <c r="CK33" i="7"/>
  <c r="CK20" i="7" s="1"/>
  <c r="CR108" i="4"/>
  <c r="CH69" i="9" s="1"/>
  <c r="CT31" i="4"/>
  <c r="IC155" i="4"/>
  <c r="IA54" i="4"/>
  <c r="CQ51" i="4"/>
  <c r="CR38" i="4"/>
  <c r="CJ21" i="7"/>
  <c r="CJ23" i="7" s="1"/>
  <c r="CJ24" i="7" s="1"/>
  <c r="CJ25" i="7" s="1"/>
  <c r="CJ35" i="7" s="1"/>
  <c r="CP110" i="4" s="1"/>
  <c r="CS107" i="4"/>
  <c r="CS98" i="4"/>
  <c r="CS137" i="4"/>
  <c r="CS105" i="4"/>
  <c r="CS136" i="4"/>
  <c r="CS96" i="4"/>
  <c r="IC92" i="4"/>
  <c r="IC97" i="4" s="1"/>
  <c r="IC118" i="4"/>
  <c r="CS138" i="4"/>
  <c r="CS102" i="4"/>
  <c r="CS106" i="4"/>
  <c r="CS121" i="4"/>
  <c r="CI76" i="9" s="1"/>
  <c r="CS125" i="4"/>
  <c r="CS129" i="4"/>
  <c r="CS123" i="4"/>
  <c r="CI78" i="9" s="1"/>
  <c r="IC152" i="4"/>
  <c r="CS124" i="4"/>
  <c r="CI79" i="9" s="1"/>
  <c r="CS126" i="4"/>
  <c r="CI81" i="9" s="1"/>
  <c r="CS127" i="4"/>
  <c r="CI82" i="9" s="1"/>
  <c r="CS122" i="4"/>
  <c r="CI77" i="9" s="1"/>
  <c r="HW15" i="7"/>
  <c r="CM9" i="7" s="1"/>
  <c r="IB153" i="4"/>
  <c r="IB156" i="4" s="1"/>
  <c r="IF3" i="4"/>
  <c r="CW3" i="4"/>
  <c r="CV2" i="4"/>
  <c r="CV83" i="4"/>
  <c r="CV70" i="4"/>
  <c r="CP3" i="7"/>
  <c r="CV198" i="4"/>
  <c r="ID23" i="4"/>
  <c r="CU23" i="4"/>
  <c r="CT89" i="4"/>
  <c r="CN5" i="7"/>
  <c r="CL30" i="7"/>
  <c r="CL32" i="7"/>
  <c r="CL31" i="7"/>
  <c r="CL29" i="7"/>
  <c r="IE117" i="4"/>
  <c r="IE116" i="4" s="1"/>
  <c r="IE94" i="4"/>
  <c r="IE93" i="4" s="1"/>
  <c r="IE57" i="4"/>
  <c r="IE198" i="4"/>
  <c r="IE124" i="4"/>
  <c r="IE89" i="4"/>
  <c r="IE122" i="4"/>
  <c r="IE129" i="4"/>
  <c r="HY3" i="7"/>
  <c r="IE201" i="4"/>
  <c r="IE127" i="4"/>
  <c r="IE126" i="4"/>
  <c r="IE123" i="4"/>
  <c r="IE125" i="4"/>
  <c r="IE121" i="4"/>
  <c r="IE53" i="4"/>
  <c r="CT95" i="4"/>
  <c r="IA99" i="4"/>
  <c r="CQ100" i="4" s="1"/>
  <c r="CQ101" i="4" s="1"/>
  <c r="CQ103" i="4" s="1"/>
  <c r="CG68" i="9" s="1"/>
  <c r="CI94" i="9"/>
  <c r="CI85" i="9"/>
  <c r="CI84" i="9"/>
  <c r="CI80" i="9"/>
  <c r="CN15" i="7"/>
  <c r="CO10" i="7"/>
  <c r="CO14" i="7"/>
  <c r="CO12" i="7"/>
  <c r="CO13" i="7"/>
  <c r="CI21" i="7"/>
  <c r="CI23" i="7" s="1"/>
  <c r="CI24" i="7" s="1"/>
  <c r="CI25" i="7" s="1"/>
  <c r="CI35" i="7" s="1"/>
  <c r="CO110" i="4" s="1"/>
  <c r="CU28" i="4"/>
  <c r="CU44" i="4"/>
  <c r="CV22" i="4"/>
  <c r="CU43" i="4"/>
  <c r="CU27" i="4"/>
  <c r="IE22" i="4"/>
  <c r="CU88" i="4"/>
  <c r="CU26" i="4"/>
  <c r="CU30" i="4"/>
  <c r="CU47" i="4"/>
  <c r="CU42" i="4"/>
  <c r="CU41" i="4"/>
  <c r="CU48" i="4"/>
  <c r="CT252" i="4"/>
  <c r="HX13" i="7"/>
  <c r="HX14" i="7"/>
  <c r="HX12" i="7"/>
  <c r="CR139" i="4"/>
  <c r="CH90" i="9" s="1"/>
  <c r="CJ67" i="9"/>
  <c r="CJ53" i="9"/>
  <c r="CJ55" i="9"/>
  <c r="CT49" i="4"/>
  <c r="IC28" i="4"/>
  <c r="IC44" i="4"/>
  <c r="IC26" i="4"/>
  <c r="IC27" i="4"/>
  <c r="IC37" i="4"/>
  <c r="CS37" i="4" s="1"/>
  <c r="IC43" i="4"/>
  <c r="IC30" i="4"/>
  <c r="IC47" i="4"/>
  <c r="IC34" i="4"/>
  <c r="CS34" i="4" s="1"/>
  <c r="IC41" i="4"/>
  <c r="IC42" i="4"/>
  <c r="IC48" i="4"/>
  <c r="IB98" i="4"/>
  <c r="IC131" i="4"/>
  <c r="CR99" i="4"/>
  <c r="IB150" i="4" s="1"/>
  <c r="CU231" i="4"/>
  <c r="CU199" i="4"/>
  <c r="CK54" i="9"/>
  <c r="IB146" i="4"/>
  <c r="IB147" i="4" s="1"/>
  <c r="IB148" i="4" s="1"/>
  <c r="IB149" i="4" s="1"/>
  <c r="IB96" i="4"/>
  <c r="ID95" i="4"/>
  <c r="ID120" i="4" s="1"/>
  <c r="ID130" i="4" s="1"/>
  <c r="CT130" i="4" s="1"/>
  <c r="ID119" i="4"/>
  <c r="ID91" i="4"/>
  <c r="ID90" i="4" s="1"/>
  <c r="CT90" i="4" s="1"/>
  <c r="CT97" i="4" s="1"/>
  <c r="ID151" i="4"/>
  <c r="ID154" i="4"/>
  <c r="CO2" i="7"/>
  <c r="IE2" i="4"/>
  <c r="ID36" i="4" l="1"/>
  <c r="CT36" i="4" s="1"/>
  <c r="ID46" i="4"/>
  <c r="CV45" i="4"/>
  <c r="CV46" i="4"/>
  <c r="CR51" i="4"/>
  <c r="CH56" i="9"/>
  <c r="CH58" i="9" s="1"/>
  <c r="CR200" i="4"/>
  <c r="CL91" i="4"/>
  <c r="CC72" i="9"/>
  <c r="CC73" i="9" s="1"/>
  <c r="CL131" i="4"/>
  <c r="CL133" i="4" s="1"/>
  <c r="CL141" i="4" s="1"/>
  <c r="HV61" i="4" s="1"/>
  <c r="CN114" i="4"/>
  <c r="CN91" i="4" s="1"/>
  <c r="CJ57" i="9"/>
  <c r="HT77" i="4"/>
  <c r="HU77" i="4" s="1"/>
  <c r="CJ76" i="4"/>
  <c r="CO111" i="4"/>
  <c r="CO112" i="4" s="1"/>
  <c r="CE70" i="9"/>
  <c r="CE71" i="9" s="1"/>
  <c r="CP111" i="4"/>
  <c r="CP113" i="4" s="1"/>
  <c r="CF70" i="9"/>
  <c r="CF71" i="9" s="1"/>
  <c r="CL206" i="4"/>
  <c r="CK56" i="4"/>
  <c r="CK76" i="4"/>
  <c r="CK18" i="7"/>
  <c r="CK19" i="7"/>
  <c r="IC153" i="4"/>
  <c r="IC156" i="4" s="1"/>
  <c r="IC158" i="4" s="1"/>
  <c r="IC159" i="4" s="1"/>
  <c r="IC160" i="4" s="1"/>
  <c r="ID35" i="4"/>
  <c r="CT35" i="4" s="1"/>
  <c r="ID45" i="4"/>
  <c r="CS108" i="4"/>
  <c r="CI69" i="9" s="1"/>
  <c r="IB54" i="4"/>
  <c r="HX15" i="7"/>
  <c r="CN9" i="7" s="1"/>
  <c r="CN29" i="7" s="1"/>
  <c r="CM128" i="4"/>
  <c r="IB99" i="4"/>
  <c r="CR100" i="4" s="1"/>
  <c r="CL33" i="7"/>
  <c r="CL20" i="7" s="1"/>
  <c r="IC146" i="4"/>
  <c r="IC147" i="4" s="1"/>
  <c r="IC148" i="4" s="1"/>
  <c r="IC149" i="4" s="1"/>
  <c r="ID155" i="4"/>
  <c r="CT137" i="4"/>
  <c r="CT96" i="4"/>
  <c r="CT136" i="4"/>
  <c r="CT98" i="4"/>
  <c r="CT107" i="4"/>
  <c r="ID92" i="4"/>
  <c r="ID97" i="4" s="1"/>
  <c r="ID118" i="4"/>
  <c r="CT105" i="4"/>
  <c r="CT138" i="4"/>
  <c r="CT102" i="4"/>
  <c r="CT106" i="4"/>
  <c r="CT123" i="4"/>
  <c r="CJ78" i="9" s="1"/>
  <c r="CT124" i="4"/>
  <c r="CJ79" i="9" s="1"/>
  <c r="CT122" i="4"/>
  <c r="CJ77" i="9" s="1"/>
  <c r="ID152" i="4"/>
  <c r="CT121" i="4"/>
  <c r="CJ76" i="9" s="1"/>
  <c r="CT127" i="4"/>
  <c r="CJ82" i="9" s="1"/>
  <c r="CT126" i="4"/>
  <c r="CJ81" i="9" s="1"/>
  <c r="CT125" i="4"/>
  <c r="CJ80" i="9" s="1"/>
  <c r="CT129" i="4"/>
  <c r="CJ84" i="9" s="1"/>
  <c r="CO15" i="7"/>
  <c r="CV44" i="4"/>
  <c r="CW22" i="4"/>
  <c r="CV28" i="4"/>
  <c r="IF22" i="4"/>
  <c r="CV26" i="4"/>
  <c r="CV43" i="4"/>
  <c r="CV27" i="4"/>
  <c r="CV88" i="4"/>
  <c r="CV47" i="4"/>
  <c r="CV30" i="4"/>
  <c r="CV41" i="4"/>
  <c r="CV42" i="4"/>
  <c r="CV48" i="4"/>
  <c r="CU252" i="4"/>
  <c r="ID44" i="4"/>
  <c r="ID28" i="4"/>
  <c r="ID27" i="4"/>
  <c r="ID26" i="4"/>
  <c r="ID37" i="4"/>
  <c r="CT37" i="4" s="1"/>
  <c r="ID43" i="4"/>
  <c r="ID47" i="4"/>
  <c r="ID30" i="4"/>
  <c r="ID34" i="4"/>
  <c r="CT34" i="4" s="1"/>
  <c r="ID41" i="4"/>
  <c r="ID42" i="4"/>
  <c r="ID48" i="4"/>
  <c r="CU49" i="4"/>
  <c r="CL54" i="9"/>
  <c r="CV231" i="4"/>
  <c r="CV199" i="4"/>
  <c r="CV23" i="4"/>
  <c r="IE23" i="4"/>
  <c r="CO5" i="7"/>
  <c r="CU89" i="4"/>
  <c r="ID131" i="4"/>
  <c r="HY13" i="7"/>
  <c r="HY12" i="7"/>
  <c r="HY14" i="7"/>
  <c r="CP10" i="7"/>
  <c r="CP14" i="7"/>
  <c r="CP12" i="7"/>
  <c r="CP13" i="7"/>
  <c r="IC96" i="4"/>
  <c r="CS99" i="4"/>
  <c r="IC150" i="4" s="1"/>
  <c r="CK67" i="9"/>
  <c r="CK53" i="9"/>
  <c r="CK55" i="9"/>
  <c r="CK57" i="9"/>
  <c r="IG3" i="4"/>
  <c r="CX3" i="4"/>
  <c r="CW2" i="4"/>
  <c r="CW83" i="4"/>
  <c r="CW70" i="4"/>
  <c r="CQ3" i="7"/>
  <c r="CW198" i="4"/>
  <c r="IF2" i="4"/>
  <c r="CP2" i="7"/>
  <c r="CU31" i="4"/>
  <c r="IF94" i="4"/>
  <c r="IF93" i="4" s="1"/>
  <c r="IF117" i="4"/>
  <c r="IF116" i="4" s="1"/>
  <c r="IF121" i="4"/>
  <c r="IF57" i="4"/>
  <c r="IF201" i="4"/>
  <c r="IF126" i="4"/>
  <c r="IF125" i="4"/>
  <c r="IF129" i="4"/>
  <c r="IF124" i="4"/>
  <c r="IF127" i="4"/>
  <c r="IF198" i="4"/>
  <c r="HZ3" i="7"/>
  <c r="IF89" i="4"/>
  <c r="IF122" i="4"/>
  <c r="IF123" i="4"/>
  <c r="IF53" i="4"/>
  <c r="CS139" i="4"/>
  <c r="CI90" i="9" s="1"/>
  <c r="IB158" i="4"/>
  <c r="IB159" i="4" s="1"/>
  <c r="IB160" i="4" s="1"/>
  <c r="IE119" i="4"/>
  <c r="IE95" i="4"/>
  <c r="IE120" i="4" s="1"/>
  <c r="IE130" i="4" s="1"/>
  <c r="CU130" i="4" s="1"/>
  <c r="IE91" i="4"/>
  <c r="IE90" i="4" s="1"/>
  <c r="CU90" i="4" s="1"/>
  <c r="CU97" i="4" s="1"/>
  <c r="IE151" i="4"/>
  <c r="IE154" i="4"/>
  <c r="CU95" i="4"/>
  <c r="CJ94" i="9"/>
  <c r="CJ85" i="9"/>
  <c r="CM31" i="7"/>
  <c r="CM30" i="7"/>
  <c r="CM29" i="7"/>
  <c r="CM32" i="7"/>
  <c r="IC98" i="4"/>
  <c r="CS38" i="4"/>
  <c r="CN31" i="7" l="1"/>
  <c r="CN32" i="7"/>
  <c r="CN30" i="7"/>
  <c r="CW45" i="4"/>
  <c r="CW46" i="4"/>
  <c r="IE36" i="4"/>
  <c r="CU36" i="4" s="1"/>
  <c r="IE46" i="4"/>
  <c r="CI56" i="9"/>
  <c r="CI58" i="9" s="1"/>
  <c r="CS200" i="4"/>
  <c r="CN128" i="4"/>
  <c r="CD83" i="9" s="1"/>
  <c r="CD86" i="9" s="1"/>
  <c r="CD88" i="9" s="1"/>
  <c r="CD92" i="9" s="1"/>
  <c r="CO113" i="4"/>
  <c r="CO114" i="4" s="1"/>
  <c r="CO91" i="4" s="1"/>
  <c r="HV77" i="4"/>
  <c r="CP112" i="4"/>
  <c r="CP114" i="4" s="1"/>
  <c r="CP91" i="4" s="1"/>
  <c r="CM131" i="4"/>
  <c r="CM133" i="4" s="1"/>
  <c r="CM141" i="4" s="1"/>
  <c r="CC83" i="9"/>
  <c r="CC86" i="9" s="1"/>
  <c r="CC88" i="9" s="1"/>
  <c r="CC92" i="9" s="1"/>
  <c r="CL56" i="4"/>
  <c r="CL76" i="4"/>
  <c r="CK21" i="7"/>
  <c r="CK23" i="7" s="1"/>
  <c r="CK24" i="7" s="1"/>
  <c r="CK25" i="7" s="1"/>
  <c r="CK35" i="7" s="1"/>
  <c r="CQ110" i="4" s="1"/>
  <c r="ID153" i="4"/>
  <c r="ID156" i="4" s="1"/>
  <c r="ID158" i="4" s="1"/>
  <c r="ID159" i="4" s="1"/>
  <c r="ID160" i="4" s="1"/>
  <c r="IE35" i="4"/>
  <c r="CU35" i="4" s="1"/>
  <c r="IE45" i="4"/>
  <c r="CR101" i="4"/>
  <c r="CR103" i="4" s="1"/>
  <c r="CH68" i="9" s="1"/>
  <c r="CL18" i="7"/>
  <c r="CL19" i="7"/>
  <c r="CT108" i="4"/>
  <c r="CJ69" i="9" s="1"/>
  <c r="CT38" i="4"/>
  <c r="IE155" i="4"/>
  <c r="ID146" i="4"/>
  <c r="ID147" i="4" s="1"/>
  <c r="ID148" i="4" s="1"/>
  <c r="ID149" i="4" s="1"/>
  <c r="ID98" i="4"/>
  <c r="IC99" i="4"/>
  <c r="CS100" i="4" s="1"/>
  <c r="CS101" i="4" s="1"/>
  <c r="CS103" i="4" s="1"/>
  <c r="CI68" i="9" s="1"/>
  <c r="CU107" i="4"/>
  <c r="CU137" i="4"/>
  <c r="CU96" i="4"/>
  <c r="IE118" i="4"/>
  <c r="CU98" i="4"/>
  <c r="CU136" i="4"/>
  <c r="CU105" i="4"/>
  <c r="IE92" i="4"/>
  <c r="IE97" i="4" s="1"/>
  <c r="CU138" i="4"/>
  <c r="CU102" i="4"/>
  <c r="CU106" i="4"/>
  <c r="CU123" i="4"/>
  <c r="CK78" i="9" s="1"/>
  <c r="CU121" i="4"/>
  <c r="CK76" i="9" s="1"/>
  <c r="CU125" i="4"/>
  <c r="CK80" i="9" s="1"/>
  <c r="CU124" i="4"/>
  <c r="CK79" i="9" s="1"/>
  <c r="IE152" i="4"/>
  <c r="CU126" i="4"/>
  <c r="CK81" i="9" s="1"/>
  <c r="CU122" i="4"/>
  <c r="CK77" i="9" s="1"/>
  <c r="CU127" i="4"/>
  <c r="CK82" i="9" s="1"/>
  <c r="CU129" i="4"/>
  <c r="CK84" i="9" s="1"/>
  <c r="CW231" i="4"/>
  <c r="CW199" i="4"/>
  <c r="CM54" i="9"/>
  <c r="CV31" i="4"/>
  <c r="IF119" i="4"/>
  <c r="IF95" i="4"/>
  <c r="IF120" i="4" s="1"/>
  <c r="IF130" i="4" s="1"/>
  <c r="CV130" i="4" s="1"/>
  <c r="IF91" i="4"/>
  <c r="IF90" i="4" s="1"/>
  <c r="CV90" i="4" s="1"/>
  <c r="CV97" i="4" s="1"/>
  <c r="IF151" i="4"/>
  <c r="IF154" i="4"/>
  <c r="IH3" i="4"/>
  <c r="CY3" i="4"/>
  <c r="CX83" i="4"/>
  <c r="CX70" i="4"/>
  <c r="CX2" i="4"/>
  <c r="CR3" i="7"/>
  <c r="CX198" i="4"/>
  <c r="CW28" i="4"/>
  <c r="CX22" i="4"/>
  <c r="CW44" i="4"/>
  <c r="CW88" i="4"/>
  <c r="CW27" i="4"/>
  <c r="CW26" i="4"/>
  <c r="CW43" i="4"/>
  <c r="IG22" i="4"/>
  <c r="CW30" i="4"/>
  <c r="CW47" i="4"/>
  <c r="CW42" i="4"/>
  <c r="CW41" i="4"/>
  <c r="CW48" i="4"/>
  <c r="CP15" i="7"/>
  <c r="CQ10" i="7"/>
  <c r="CQ14" i="7"/>
  <c r="CQ12" i="7"/>
  <c r="CQ13" i="7"/>
  <c r="HZ13" i="7"/>
  <c r="HZ14" i="7"/>
  <c r="HZ12" i="7"/>
  <c r="CM33" i="7"/>
  <c r="IG117" i="4"/>
  <c r="IG116" i="4" s="1"/>
  <c r="IG94" i="4"/>
  <c r="IG93" i="4" s="1"/>
  <c r="IG126" i="4"/>
  <c r="IG124" i="4"/>
  <c r="IG129" i="4"/>
  <c r="IG198" i="4"/>
  <c r="IG89" i="4"/>
  <c r="IG57" i="4"/>
  <c r="IA3" i="7"/>
  <c r="IG122" i="4"/>
  <c r="IG53" i="4"/>
  <c r="IG201" i="4"/>
  <c r="IG127" i="4"/>
  <c r="IG123" i="4"/>
  <c r="IG121" i="4"/>
  <c r="IG125" i="4"/>
  <c r="CV252" i="4"/>
  <c r="HY15" i="7"/>
  <c r="CO9" i="7" s="1"/>
  <c r="CL53" i="9"/>
  <c r="CL67" i="9"/>
  <c r="CL55" i="9"/>
  <c r="CL57" i="9"/>
  <c r="IE131" i="4"/>
  <c r="IE28" i="4"/>
  <c r="IE44" i="4"/>
  <c r="IE37" i="4"/>
  <c r="CU37" i="4" s="1"/>
  <c r="IE26" i="4"/>
  <c r="IE27" i="4"/>
  <c r="IE43" i="4"/>
  <c r="IE47" i="4"/>
  <c r="IE30" i="4"/>
  <c r="IE34" i="4"/>
  <c r="CU34" i="4" s="1"/>
  <c r="IE41" i="4"/>
  <c r="IE42" i="4"/>
  <c r="IE48" i="4"/>
  <c r="CV95" i="4"/>
  <c r="CV49" i="4"/>
  <c r="IF23" i="4"/>
  <c r="CW23" i="4"/>
  <c r="CP5" i="7"/>
  <c r="CV89" i="4"/>
  <c r="CQ2" i="7"/>
  <c r="IG2" i="4"/>
  <c r="CT139" i="4"/>
  <c r="CJ90" i="9" s="1"/>
  <c r="IC54" i="4"/>
  <c r="CS51" i="4"/>
  <c r="CK94" i="9"/>
  <c r="CK85" i="9"/>
  <c r="ID96" i="4"/>
  <c r="CT99" i="4"/>
  <c r="ID150" i="4" s="1"/>
  <c r="CN33" i="7" l="1"/>
  <c r="CN18" i="7" s="1"/>
  <c r="IF36" i="4"/>
  <c r="CV36" i="4" s="1"/>
  <c r="IF46" i="4"/>
  <c r="CX45" i="4"/>
  <c r="CX46" i="4"/>
  <c r="ID54" i="4"/>
  <c r="CJ56" i="9"/>
  <c r="CJ58" i="9" s="1"/>
  <c r="CT200" i="4"/>
  <c r="CN131" i="4"/>
  <c r="CN133" i="4" s="1"/>
  <c r="CN141" i="4" s="1"/>
  <c r="CN206" i="4" s="1"/>
  <c r="CE72" i="9"/>
  <c r="CE73" i="9" s="1"/>
  <c r="CF72" i="9"/>
  <c r="CF73" i="9" s="1"/>
  <c r="CQ111" i="4"/>
  <c r="CQ113" i="4" s="1"/>
  <c r="CG70" i="9"/>
  <c r="CG71" i="9" s="1"/>
  <c r="HW61" i="4"/>
  <c r="CM206" i="4"/>
  <c r="IE153" i="4"/>
  <c r="IE156" i="4" s="1"/>
  <c r="IE158" i="4" s="1"/>
  <c r="IE159" i="4" s="1"/>
  <c r="IE160" i="4" s="1"/>
  <c r="IF35" i="4"/>
  <c r="CV35" i="4" s="1"/>
  <c r="IF45" i="4"/>
  <c r="CL21" i="7"/>
  <c r="CL23" i="7" s="1"/>
  <c r="CL24" i="7" s="1"/>
  <c r="CL25" i="7" s="1"/>
  <c r="CL35" i="7" s="1"/>
  <c r="CR110" i="4" s="1"/>
  <c r="HZ15" i="7"/>
  <c r="CP9" i="7" s="1"/>
  <c r="CP32" i="7" s="1"/>
  <c r="ID99" i="4"/>
  <c r="CT100" i="4" s="1"/>
  <c r="CT101" i="4" s="1"/>
  <c r="CT103" i="4" s="1"/>
  <c r="CJ68" i="9" s="1"/>
  <c r="CT51" i="4"/>
  <c r="CW31" i="4"/>
  <c r="CP128" i="4"/>
  <c r="CU108" i="4"/>
  <c r="CK69" i="9" s="1"/>
  <c r="CU38" i="4"/>
  <c r="CV124" i="4"/>
  <c r="CL79" i="9" s="1"/>
  <c r="IE146" i="4"/>
  <c r="IE147" i="4" s="1"/>
  <c r="IE148" i="4" s="1"/>
  <c r="IE149" i="4" s="1"/>
  <c r="IF155" i="4"/>
  <c r="CO128" i="4"/>
  <c r="CQ15" i="7"/>
  <c r="CX28" i="4"/>
  <c r="CY22" i="4"/>
  <c r="CX44" i="4"/>
  <c r="CX43" i="4"/>
  <c r="IH22" i="4"/>
  <c r="CX88" i="4"/>
  <c r="CX27" i="4"/>
  <c r="CX26" i="4"/>
  <c r="CX30" i="4"/>
  <c r="CX47" i="4"/>
  <c r="CX41" i="4"/>
  <c r="CX42" i="4"/>
  <c r="CX48" i="4"/>
  <c r="CV122" i="4"/>
  <c r="CL77" i="9" s="1"/>
  <c r="CN54" i="9"/>
  <c r="CX199" i="4"/>
  <c r="CX231" i="4"/>
  <c r="IF131" i="4"/>
  <c r="CV137" i="4"/>
  <c r="IF92" i="4"/>
  <c r="IF97" i="4" s="1"/>
  <c r="CV107" i="4"/>
  <c r="CV98" i="4"/>
  <c r="CV105" i="4"/>
  <c r="CV96" i="4"/>
  <c r="CV136" i="4"/>
  <c r="IF118" i="4"/>
  <c r="CV138" i="4"/>
  <c r="CV102" i="4"/>
  <c r="CV106" i="4"/>
  <c r="CW95" i="4"/>
  <c r="IA14" i="7"/>
  <c r="IA12" i="7"/>
  <c r="IA13" i="7"/>
  <c r="IG119" i="4"/>
  <c r="IG95" i="4"/>
  <c r="IG120" i="4" s="1"/>
  <c r="IG130" i="4" s="1"/>
  <c r="CW130" i="4" s="1"/>
  <c r="IG91" i="4"/>
  <c r="IG90" i="4" s="1"/>
  <c r="CW90" i="4" s="1"/>
  <c r="CW97" i="4" s="1"/>
  <c r="IG151" i="4"/>
  <c r="IG154" i="4"/>
  <c r="CV129" i="4"/>
  <c r="CL82" i="9"/>
  <c r="CL78" i="9"/>
  <c r="CL84" i="9"/>
  <c r="CL85" i="9"/>
  <c r="CL94" i="9"/>
  <c r="CV127" i="4"/>
  <c r="CR10" i="7"/>
  <c r="CR14" i="7"/>
  <c r="CR12" i="7"/>
  <c r="CR13" i="7"/>
  <c r="CO31" i="7"/>
  <c r="CO29" i="7"/>
  <c r="CO30" i="7"/>
  <c r="CO32" i="7"/>
  <c r="CW49" i="4"/>
  <c r="II3" i="4"/>
  <c r="CZ3" i="4"/>
  <c r="CY83" i="4"/>
  <c r="CY70" i="4"/>
  <c r="CS3" i="7"/>
  <c r="CY2" i="4"/>
  <c r="CY198" i="4"/>
  <c r="CM67" i="9"/>
  <c r="CM53" i="9"/>
  <c r="CM55" i="9"/>
  <c r="CU139" i="4"/>
  <c r="CK90" i="9" s="1"/>
  <c r="CV123" i="4"/>
  <c r="IH117" i="4"/>
  <c r="IH116" i="4" s="1"/>
  <c r="IH94" i="4"/>
  <c r="IH93" i="4" s="1"/>
  <c r="IH122" i="4"/>
  <c r="IH126" i="4"/>
  <c r="IH89" i="4"/>
  <c r="IH123" i="4"/>
  <c r="IH127" i="4"/>
  <c r="IH198" i="4"/>
  <c r="IH125" i="4"/>
  <c r="IH129" i="4"/>
  <c r="IH124" i="4"/>
  <c r="IH121" i="4"/>
  <c r="IH53" i="4"/>
  <c r="IH201" i="4"/>
  <c r="IH57" i="4"/>
  <c r="IB3" i="7"/>
  <c r="IE98" i="4"/>
  <c r="CV121" i="4"/>
  <c r="CL76" i="9" s="1"/>
  <c r="IH2" i="4"/>
  <c r="CR2" i="7"/>
  <c r="CW252" i="4"/>
  <c r="IF152" i="4"/>
  <c r="IE96" i="4"/>
  <c r="CU99" i="4"/>
  <c r="IE150" i="4" s="1"/>
  <c r="CV126" i="4"/>
  <c r="CL81" i="9" s="1"/>
  <c r="IG23" i="4"/>
  <c r="CX23" i="4"/>
  <c r="CW89" i="4"/>
  <c r="CQ5" i="7"/>
  <c r="CM18" i="7"/>
  <c r="CM19" i="7"/>
  <c r="CM20" i="7"/>
  <c r="IF28" i="4"/>
  <c r="IF44" i="4"/>
  <c r="IF27" i="4"/>
  <c r="IF26" i="4"/>
  <c r="IF37" i="4"/>
  <c r="CV37" i="4" s="1"/>
  <c r="IF30" i="4"/>
  <c r="IF47" i="4"/>
  <c r="IF43" i="4"/>
  <c r="IF34" i="4"/>
  <c r="CV34" i="4" s="1"/>
  <c r="IF42" i="4"/>
  <c r="IF41" i="4"/>
  <c r="IF48" i="4"/>
  <c r="CV125" i="4"/>
  <c r="CL80" i="9" s="1"/>
  <c r="HX61" i="4" l="1"/>
  <c r="CN56" i="4" s="1"/>
  <c r="CN19" i="7"/>
  <c r="CN20" i="7"/>
  <c r="IG36" i="4"/>
  <c r="CW36" i="4" s="1"/>
  <c r="IG46" i="4"/>
  <c r="CY45" i="4"/>
  <c r="CY46" i="4"/>
  <c r="IE54" i="4"/>
  <c r="CK56" i="9"/>
  <c r="CK58" i="9" s="1"/>
  <c r="CU200" i="4"/>
  <c r="CM57" i="9"/>
  <c r="CQ112" i="4"/>
  <c r="CG72" i="9" s="1"/>
  <c r="CG73" i="9" s="1"/>
  <c r="CR111" i="4"/>
  <c r="CR113" i="4" s="1"/>
  <c r="CH70" i="9"/>
  <c r="CH71" i="9" s="1"/>
  <c r="HW77" i="4"/>
  <c r="CM56" i="4"/>
  <c r="CM76" i="4"/>
  <c r="CP131" i="4"/>
  <c r="CP133" i="4" s="1"/>
  <c r="CP141" i="4" s="1"/>
  <c r="CF83" i="9"/>
  <c r="CF86" i="9" s="1"/>
  <c r="CF88" i="9" s="1"/>
  <c r="CF92" i="9" s="1"/>
  <c r="CO131" i="4"/>
  <c r="CO133" i="4" s="1"/>
  <c r="CO141" i="4" s="1"/>
  <c r="CE83" i="9"/>
  <c r="CE86" i="9" s="1"/>
  <c r="CE88" i="9" s="1"/>
  <c r="CE92" i="9" s="1"/>
  <c r="CP29" i="7"/>
  <c r="CP30" i="7"/>
  <c r="CP31" i="7"/>
  <c r="IF153" i="4"/>
  <c r="IF156" i="4" s="1"/>
  <c r="IF158" i="4" s="1"/>
  <c r="IF159" i="4" s="1"/>
  <c r="IF160" i="4" s="1"/>
  <c r="IG35" i="4"/>
  <c r="CW35" i="4" s="1"/>
  <c r="IG45" i="4"/>
  <c r="CU51" i="4"/>
  <c r="IF98" i="4"/>
  <c r="IG155" i="4"/>
  <c r="IG131" i="4"/>
  <c r="IF146" i="4"/>
  <c r="IF147" i="4" s="1"/>
  <c r="IF148" i="4" s="1"/>
  <c r="IF149" i="4" s="1"/>
  <c r="CV38" i="4"/>
  <c r="CO33" i="7"/>
  <c r="CO20" i="7" s="1"/>
  <c r="IG92" i="4"/>
  <c r="IG97" i="4" s="1"/>
  <c r="CW107" i="4"/>
  <c r="CW105" i="4"/>
  <c r="CW137" i="4"/>
  <c r="CW96" i="4"/>
  <c r="CW98" i="4"/>
  <c r="CW136" i="4"/>
  <c r="IG118" i="4"/>
  <c r="CW138" i="4"/>
  <c r="CW102" i="4"/>
  <c r="CW106" i="4"/>
  <c r="CW124" i="4"/>
  <c r="CM79" i="9" s="1"/>
  <c r="CW122" i="4"/>
  <c r="CM77" i="9" s="1"/>
  <c r="CW127" i="4"/>
  <c r="CM82" i="9" s="1"/>
  <c r="CW129" i="4"/>
  <c r="CW125" i="4"/>
  <c r="CM80" i="9" s="1"/>
  <c r="CW123" i="4"/>
  <c r="IG152" i="4"/>
  <c r="CW121" i="4"/>
  <c r="CW126" i="4"/>
  <c r="CX49" i="4"/>
  <c r="CR15" i="7"/>
  <c r="IA15" i="7"/>
  <c r="CQ9" i="7" s="1"/>
  <c r="CX31" i="4"/>
  <c r="CX95" i="4"/>
  <c r="IB14" i="7"/>
  <c r="IB13" i="7"/>
  <c r="IB12" i="7"/>
  <c r="IE99" i="4"/>
  <c r="CU100" i="4" s="1"/>
  <c r="CU101" i="4" s="1"/>
  <c r="CU103" i="4" s="1"/>
  <c r="CK68" i="9" s="1"/>
  <c r="II117" i="4"/>
  <c r="II116" i="4" s="1"/>
  <c r="II94" i="4"/>
  <c r="II93" i="4" s="1"/>
  <c r="II89" i="4"/>
  <c r="II57" i="4"/>
  <c r="II53" i="4"/>
  <c r="II127" i="4"/>
  <c r="II125" i="4"/>
  <c r="II122" i="4"/>
  <c r="II198" i="4"/>
  <c r="II124" i="4"/>
  <c r="II121" i="4"/>
  <c r="II123" i="4"/>
  <c r="II201" i="4"/>
  <c r="IC3" i="7"/>
  <c r="II129" i="4"/>
  <c r="II126" i="4"/>
  <c r="IH119" i="4"/>
  <c r="IH95" i="4"/>
  <c r="IH120" i="4" s="1"/>
  <c r="IH130" i="4" s="1"/>
  <c r="CX130" i="4" s="1"/>
  <c r="IH91" i="4"/>
  <c r="IH90" i="4" s="1"/>
  <c r="CX90" i="4" s="1"/>
  <c r="CX97" i="4" s="1"/>
  <c r="IH151" i="4"/>
  <c r="IH154" i="4"/>
  <c r="CV108" i="4"/>
  <c r="CL69" i="9" s="1"/>
  <c r="CM84" i="9"/>
  <c r="CM76" i="9"/>
  <c r="CM78" i="9"/>
  <c r="CM81" i="9"/>
  <c r="CM85" i="9"/>
  <c r="CM94" i="9"/>
  <c r="CY28" i="4"/>
  <c r="CY44" i="4"/>
  <c r="CZ22" i="4"/>
  <c r="CY43" i="4"/>
  <c r="CY88" i="4"/>
  <c r="II22" i="4"/>
  <c r="CY27" i="4"/>
  <c r="CY26" i="4"/>
  <c r="CY30" i="4"/>
  <c r="CY47" i="4"/>
  <c r="CY42" i="4"/>
  <c r="CY41" i="4"/>
  <c r="CY48" i="4"/>
  <c r="CX252" i="4"/>
  <c r="CS10" i="7"/>
  <c r="CS14" i="7"/>
  <c r="CS12" i="7"/>
  <c r="CS13" i="7"/>
  <c r="CV139" i="4"/>
  <c r="CL90" i="9" s="1"/>
  <c r="IF96" i="4"/>
  <c r="CV99" i="4"/>
  <c r="IF150" i="4" s="1"/>
  <c r="CN53" i="9"/>
  <c r="CN67" i="9"/>
  <c r="CN55" i="9"/>
  <c r="CY231" i="4"/>
  <c r="CY199" i="4"/>
  <c r="CO54" i="9"/>
  <c r="CM21" i="7"/>
  <c r="CM23" i="7" s="1"/>
  <c r="CM24" i="7" s="1"/>
  <c r="CM25" i="7" s="1"/>
  <c r="CM35" i="7" s="1"/>
  <c r="CS110" i="4" s="1"/>
  <c r="II2" i="4"/>
  <c r="CS2" i="7"/>
  <c r="IH23" i="4"/>
  <c r="CY23" i="4"/>
  <c r="CX89" i="4"/>
  <c r="CR5" i="7"/>
  <c r="IG44" i="4"/>
  <c r="IG37" i="4"/>
  <c r="CW37" i="4" s="1"/>
  <c r="IG26" i="4"/>
  <c r="IG27" i="4"/>
  <c r="IG30" i="4"/>
  <c r="IG43" i="4"/>
  <c r="IG47" i="4"/>
  <c r="IG34" i="4"/>
  <c r="CW34" i="4" s="1"/>
  <c r="IG28" i="4"/>
  <c r="IG41" i="4"/>
  <c r="IG42" i="4"/>
  <c r="IG48" i="4"/>
  <c r="IJ3" i="4"/>
  <c r="DA3" i="4"/>
  <c r="CT3" i="7"/>
  <c r="CZ83" i="4"/>
  <c r="CZ2" i="4"/>
  <c r="CZ70" i="4"/>
  <c r="CZ198" i="4"/>
  <c r="CN76" i="4" l="1"/>
  <c r="HX77" i="4"/>
  <c r="CN21" i="7"/>
  <c r="CN23" i="7" s="1"/>
  <c r="CN24" i="7" s="1"/>
  <c r="CN25" i="7" s="1"/>
  <c r="CN35" i="7" s="1"/>
  <c r="CT110" i="4" s="1"/>
  <c r="CT111" i="4" s="1"/>
  <c r="CT112" i="4" s="1"/>
  <c r="IH36" i="4"/>
  <c r="CX36" i="4" s="1"/>
  <c r="IH46" i="4"/>
  <c r="CZ45" i="4"/>
  <c r="CZ46" i="4"/>
  <c r="CV51" i="4"/>
  <c r="CL56" i="9"/>
  <c r="CL58" i="9" s="1"/>
  <c r="CV200" i="4"/>
  <c r="CR112" i="4"/>
  <c r="CH72" i="9" s="1"/>
  <c r="CH73" i="9" s="1"/>
  <c r="CN57" i="9"/>
  <c r="CQ114" i="4"/>
  <c r="CS111" i="4"/>
  <c r="CS112" i="4" s="1"/>
  <c r="CI70" i="9"/>
  <c r="CI71" i="9" s="1"/>
  <c r="CJ70" i="9"/>
  <c r="CJ71" i="9" s="1"/>
  <c r="HY61" i="4"/>
  <c r="CO206" i="4"/>
  <c r="HZ61" i="4"/>
  <c r="CP206" i="4"/>
  <c r="CP33" i="7"/>
  <c r="CP20" i="7" s="1"/>
  <c r="IG153" i="4"/>
  <c r="IG156" i="4" s="1"/>
  <c r="IG158" i="4" s="1"/>
  <c r="IG159" i="4" s="1"/>
  <c r="IG160" i="4" s="1"/>
  <c r="IH35" i="4"/>
  <c r="CX35" i="4" s="1"/>
  <c r="IH45" i="4"/>
  <c r="IF99" i="4"/>
  <c r="CV100" i="4" s="1"/>
  <c r="CV101" i="4" s="1"/>
  <c r="CV103" i="4" s="1"/>
  <c r="CL68" i="9" s="1"/>
  <c r="CO19" i="7"/>
  <c r="CS15" i="7"/>
  <c r="CO18" i="7"/>
  <c r="IG98" i="4"/>
  <c r="IF54" i="4"/>
  <c r="CW108" i="4"/>
  <c r="CM69" i="9" s="1"/>
  <c r="CW139" i="4"/>
  <c r="CM90" i="9" s="1"/>
  <c r="CW38" i="4"/>
  <c r="IG146" i="4"/>
  <c r="IG147" i="4" s="1"/>
  <c r="IG148" i="4" s="1"/>
  <c r="IG149" i="4" s="1"/>
  <c r="IH155" i="4"/>
  <c r="IH92" i="4"/>
  <c r="IH97" i="4" s="1"/>
  <c r="CX96" i="4"/>
  <c r="CX98" i="4"/>
  <c r="CX105" i="4"/>
  <c r="CX137" i="4"/>
  <c r="CX107" i="4"/>
  <c r="CX136" i="4"/>
  <c r="IH118" i="4"/>
  <c r="CX138" i="4"/>
  <c r="CX102" i="4"/>
  <c r="CX106" i="4"/>
  <c r="CX124" i="4"/>
  <c r="CN79" i="9" s="1"/>
  <c r="CX127" i="4"/>
  <c r="CN82" i="9" s="1"/>
  <c r="CX121" i="4"/>
  <c r="CN76" i="9" s="1"/>
  <c r="CX129" i="4"/>
  <c r="CN84" i="9" s="1"/>
  <c r="CX123" i="4"/>
  <c r="CN78" i="9" s="1"/>
  <c r="CX125" i="4"/>
  <c r="CN80" i="9" s="1"/>
  <c r="IH152" i="4"/>
  <c r="CX126" i="4"/>
  <c r="CX122" i="4"/>
  <c r="II23" i="4"/>
  <c r="CZ23" i="4"/>
  <c r="CY89" i="4"/>
  <c r="CS5" i="7"/>
  <c r="CT10" i="7"/>
  <c r="CT14" i="7"/>
  <c r="CT12" i="7"/>
  <c r="CT13" i="7"/>
  <c r="IJ117" i="4"/>
  <c r="IJ116" i="4" s="1"/>
  <c r="IJ94" i="4"/>
  <c r="IJ93" i="4" s="1"/>
  <c r="IJ89" i="4"/>
  <c r="IJ126" i="4"/>
  <c r="IJ121" i="4"/>
  <c r="IJ201" i="4"/>
  <c r="IJ123" i="4"/>
  <c r="IJ198" i="4"/>
  <c r="IJ53" i="4"/>
  <c r="IJ129" i="4"/>
  <c r="IJ122" i="4"/>
  <c r="IJ57" i="4"/>
  <c r="ID3" i="7"/>
  <c r="IJ125" i="4"/>
  <c r="IJ127" i="4"/>
  <c r="IJ124" i="4"/>
  <c r="IB15" i="7"/>
  <c r="CR9" i="7" s="1"/>
  <c r="CY95" i="4"/>
  <c r="IC13" i="7"/>
  <c r="IC14" i="7"/>
  <c r="IC12" i="7"/>
  <c r="CZ28" i="4"/>
  <c r="CZ44" i="4"/>
  <c r="DA22" i="4"/>
  <c r="CZ43" i="4"/>
  <c r="CZ27" i="4"/>
  <c r="CZ88" i="4"/>
  <c r="CZ26" i="4"/>
  <c r="IJ22" i="4"/>
  <c r="CZ30" i="4"/>
  <c r="CZ47" i="4"/>
  <c r="CZ41" i="4"/>
  <c r="CZ42" i="4"/>
  <c r="CZ48" i="4"/>
  <c r="CZ199" i="4"/>
  <c r="CZ231" i="4"/>
  <c r="CP54" i="9"/>
  <c r="CY252" i="4"/>
  <c r="CY49" i="4"/>
  <c r="II119" i="4"/>
  <c r="II95" i="4"/>
  <c r="II120" i="4" s="1"/>
  <c r="II130" i="4" s="1"/>
  <c r="CY130" i="4" s="1"/>
  <c r="II91" i="4"/>
  <c r="II90" i="4" s="1"/>
  <c r="CY90" i="4" s="1"/>
  <c r="CY97" i="4" s="1"/>
  <c r="II151" i="4"/>
  <c r="II154" i="4"/>
  <c r="IK3" i="4"/>
  <c r="DB3" i="4"/>
  <c r="CU3" i="7"/>
  <c r="DA83" i="4"/>
  <c r="DA70" i="4"/>
  <c r="DA2" i="4"/>
  <c r="DA198" i="4"/>
  <c r="CQ29" i="7"/>
  <c r="CQ31" i="7"/>
  <c r="CQ30" i="7"/>
  <c r="CQ32" i="7"/>
  <c r="IG96" i="4"/>
  <c r="CW99" i="4"/>
  <c r="IG150" i="4" s="1"/>
  <c r="IH28" i="4"/>
  <c r="IH44" i="4"/>
  <c r="IH27" i="4"/>
  <c r="IH37" i="4"/>
  <c r="CX37" i="4" s="1"/>
  <c r="IH26" i="4"/>
  <c r="IH43" i="4"/>
  <c r="IH47" i="4"/>
  <c r="IH30" i="4"/>
  <c r="IH34" i="4"/>
  <c r="CX34" i="4" s="1"/>
  <c r="IH41" i="4"/>
  <c r="IH42" i="4"/>
  <c r="IH48" i="4"/>
  <c r="IH131" i="4"/>
  <c r="CY31" i="4"/>
  <c r="CO67" i="9"/>
  <c r="CO53" i="9"/>
  <c r="CO55" i="9"/>
  <c r="IJ2" i="4"/>
  <c r="CT2" i="7"/>
  <c r="CN94" i="9"/>
  <c r="CN85" i="9"/>
  <c r="CN77" i="9"/>
  <c r="CN81" i="9"/>
  <c r="DA45" i="4" l="1"/>
  <c r="DA46" i="4"/>
  <c r="II36" i="4"/>
  <c r="CY36" i="4" s="1"/>
  <c r="II46" i="4"/>
  <c r="CR114" i="4"/>
  <c r="CR91" i="4" s="1"/>
  <c r="CW51" i="4"/>
  <c r="CM56" i="9"/>
  <c r="CM58" i="9" s="1"/>
  <c r="CW200" i="4"/>
  <c r="CO57" i="9"/>
  <c r="CQ128" i="4"/>
  <c r="CQ91" i="4"/>
  <c r="CT113" i="4"/>
  <c r="CT114" i="4" s="1"/>
  <c r="CT128" i="4" s="1"/>
  <c r="CJ83" i="9" s="1"/>
  <c r="CJ86" i="9" s="1"/>
  <c r="CS113" i="4"/>
  <c r="CI72" i="9" s="1"/>
  <c r="CI73" i="9" s="1"/>
  <c r="CP19" i="7"/>
  <c r="CP18" i="7"/>
  <c r="CP56" i="4"/>
  <c r="CP76" i="4"/>
  <c r="CO56" i="4"/>
  <c r="CO76" i="4"/>
  <c r="HY77" i="4"/>
  <c r="HZ77" i="4" s="1"/>
  <c r="IH153" i="4"/>
  <c r="IH156" i="4" s="1"/>
  <c r="IH158" i="4" s="1"/>
  <c r="IH159" i="4" s="1"/>
  <c r="IH160" i="4" s="1"/>
  <c r="II35" i="4"/>
  <c r="CY35" i="4" s="1"/>
  <c r="II45" i="4"/>
  <c r="CO21" i="7"/>
  <c r="CO23" i="7" s="1"/>
  <c r="CO24" i="7" s="1"/>
  <c r="CO25" i="7" s="1"/>
  <c r="CO35" i="7" s="1"/>
  <c r="CU110" i="4" s="1"/>
  <c r="CT15" i="7"/>
  <c r="IG54" i="4"/>
  <c r="II155" i="4"/>
  <c r="IH98" i="4"/>
  <c r="CX108" i="4"/>
  <c r="CN69" i="9" s="1"/>
  <c r="IG99" i="4"/>
  <c r="CW100" i="4" s="1"/>
  <c r="CW101" i="4" s="1"/>
  <c r="CW103" i="4" s="1"/>
  <c r="CM68" i="9" s="1"/>
  <c r="IH146" i="4"/>
  <c r="IH147" i="4" s="1"/>
  <c r="IH148" i="4" s="1"/>
  <c r="IH149" i="4" s="1"/>
  <c r="II131" i="4"/>
  <c r="CX139" i="4"/>
  <c r="CN90" i="9" s="1"/>
  <c r="CY96" i="4"/>
  <c r="II92" i="4"/>
  <c r="II97" i="4" s="1"/>
  <c r="CY105" i="4"/>
  <c r="CY137" i="4"/>
  <c r="CY107" i="4"/>
  <c r="CY98" i="4"/>
  <c r="CY136" i="4"/>
  <c r="II118" i="4"/>
  <c r="CY138" i="4"/>
  <c r="CY102" i="4"/>
  <c r="CY106" i="4"/>
  <c r="CY127" i="4"/>
  <c r="CO82" i="9" s="1"/>
  <c r="CY123" i="4"/>
  <c r="CO78" i="9" s="1"/>
  <c r="CY126" i="4"/>
  <c r="CO81" i="9" s="1"/>
  <c r="CY122" i="4"/>
  <c r="CO77" i="9" s="1"/>
  <c r="CY121" i="4"/>
  <c r="CO76" i="9" s="1"/>
  <c r="II152" i="4"/>
  <c r="CY125" i="4"/>
  <c r="CO80" i="9" s="1"/>
  <c r="CY129" i="4"/>
  <c r="CY124" i="4"/>
  <c r="IK2" i="4"/>
  <c r="CU2" i="7"/>
  <c r="IJ119" i="4"/>
  <c r="IJ95" i="4"/>
  <c r="IJ120" i="4" s="1"/>
  <c r="IJ130" i="4" s="1"/>
  <c r="CZ130" i="4" s="1"/>
  <c r="IJ91" i="4"/>
  <c r="IJ90" i="4" s="1"/>
  <c r="CZ90" i="4" s="1"/>
  <c r="CZ97" i="4" s="1"/>
  <c r="IJ151" i="4"/>
  <c r="IJ154" i="4"/>
  <c r="CR32" i="7"/>
  <c r="CR31" i="7"/>
  <c r="CR30" i="7"/>
  <c r="CR29" i="7"/>
  <c r="IL3" i="4"/>
  <c r="DC3" i="4"/>
  <c r="DB70" i="4"/>
  <c r="DB2" i="4"/>
  <c r="DB83" i="4"/>
  <c r="CV3" i="7"/>
  <c r="DB198" i="4"/>
  <c r="CO84" i="9"/>
  <c r="CO79" i="9"/>
  <c r="CO94" i="9"/>
  <c r="CO85" i="9"/>
  <c r="CU10" i="7"/>
  <c r="CU14" i="7"/>
  <c r="CU12" i="7"/>
  <c r="CU13" i="7"/>
  <c r="IH96" i="4"/>
  <c r="CX99" i="4"/>
  <c r="IH150" i="4" s="1"/>
  <c r="IK117" i="4"/>
  <c r="IK116" i="4" s="1"/>
  <c r="IK94" i="4"/>
  <c r="IK93" i="4" s="1"/>
  <c r="IK129" i="4"/>
  <c r="IK127" i="4"/>
  <c r="IE3" i="7"/>
  <c r="IK89" i="4"/>
  <c r="IK124" i="4"/>
  <c r="IK121" i="4"/>
  <c r="IK53" i="4"/>
  <c r="IK57" i="4"/>
  <c r="IK201" i="4"/>
  <c r="IK198" i="4"/>
  <c r="IK126" i="4"/>
  <c r="IK122" i="4"/>
  <c r="IK123" i="4"/>
  <c r="IK125" i="4"/>
  <c r="IJ23" i="4"/>
  <c r="DA23" i="4"/>
  <c r="CZ89" i="4"/>
  <c r="CT5" i="7"/>
  <c r="ID14" i="7"/>
  <c r="ID13" i="7"/>
  <c r="ID12" i="7"/>
  <c r="II44" i="4"/>
  <c r="II26" i="4"/>
  <c r="II37" i="4"/>
  <c r="CY37" i="4" s="1"/>
  <c r="II27" i="4"/>
  <c r="II43" i="4"/>
  <c r="II47" i="4"/>
  <c r="II30" i="4"/>
  <c r="II34" i="4"/>
  <c r="CY34" i="4" s="1"/>
  <c r="II28" i="4"/>
  <c r="II42" i="4"/>
  <c r="II41" i="4"/>
  <c r="II48" i="4"/>
  <c r="CZ252" i="4"/>
  <c r="CZ95" i="4"/>
  <c r="IC15" i="7"/>
  <c r="CS9" i="7" s="1"/>
  <c r="CZ49" i="4"/>
  <c r="CP53" i="9"/>
  <c r="CP67" i="9"/>
  <c r="CP55" i="9"/>
  <c r="CP57" i="9"/>
  <c r="CZ31" i="4"/>
  <c r="CQ33" i="7"/>
  <c r="CX38" i="4"/>
  <c r="CQ54" i="9"/>
  <c r="DA231" i="4"/>
  <c r="DA199" i="4"/>
  <c r="DB22" i="4"/>
  <c r="DA44" i="4"/>
  <c r="DA28" i="4"/>
  <c r="IK22" i="4"/>
  <c r="DA43" i="4"/>
  <c r="DA26" i="4"/>
  <c r="DA27" i="4"/>
  <c r="DA88" i="4"/>
  <c r="DA47" i="4"/>
  <c r="DA30" i="4"/>
  <c r="DA42" i="4"/>
  <c r="DA41" i="4"/>
  <c r="DA48" i="4"/>
  <c r="CR128" i="4" l="1"/>
  <c r="CR131" i="4" s="1"/>
  <c r="CR133" i="4" s="1"/>
  <c r="CR141" i="4" s="1"/>
  <c r="IJ36" i="4"/>
  <c r="CZ36" i="4" s="1"/>
  <c r="IJ46" i="4"/>
  <c r="DB45" i="4"/>
  <c r="DB46" i="4"/>
  <c r="CN56" i="9"/>
  <c r="CN58" i="9" s="1"/>
  <c r="CX200" i="4"/>
  <c r="CQ131" i="4"/>
  <c r="CQ133" i="4" s="1"/>
  <c r="CQ141" i="4" s="1"/>
  <c r="CG83" i="9"/>
  <c r="CG86" i="9" s="1"/>
  <c r="CG88" i="9" s="1"/>
  <c r="CG92" i="9" s="1"/>
  <c r="CS114" i="4"/>
  <c r="CS91" i="4" s="1"/>
  <c r="CP21" i="7"/>
  <c r="CP23" i="7" s="1"/>
  <c r="CP24" i="7" s="1"/>
  <c r="CP25" i="7" s="1"/>
  <c r="CP35" i="7" s="1"/>
  <c r="CV110" i="4" s="1"/>
  <c r="CV111" i="4" s="1"/>
  <c r="CV112" i="4" s="1"/>
  <c r="CJ72" i="9"/>
  <c r="CJ73" i="9" s="1"/>
  <c r="CJ88" i="9" s="1"/>
  <c r="CJ92" i="9" s="1"/>
  <c r="CT131" i="4"/>
  <c r="CT133" i="4" s="1"/>
  <c r="CT141" i="4" s="1"/>
  <c r="ID61" i="4" s="1"/>
  <c r="CT91" i="4"/>
  <c r="CU111" i="4"/>
  <c r="CU112" i="4" s="1"/>
  <c r="CK70" i="9"/>
  <c r="CK71" i="9" s="1"/>
  <c r="CH83" i="9"/>
  <c r="CH86" i="9" s="1"/>
  <c r="CH88" i="9" s="1"/>
  <c r="CH92" i="9" s="1"/>
  <c r="II153" i="4"/>
  <c r="II156" i="4" s="1"/>
  <c r="II158" i="4" s="1"/>
  <c r="II159" i="4" s="1"/>
  <c r="II160" i="4" s="1"/>
  <c r="II98" i="4"/>
  <c r="IJ35" i="4"/>
  <c r="CZ35" i="4" s="1"/>
  <c r="IJ45" i="4"/>
  <c r="IH99" i="4"/>
  <c r="CX100" i="4" s="1"/>
  <c r="CX101" i="4" s="1"/>
  <c r="CX103" i="4" s="1"/>
  <c r="CN68" i="9" s="1"/>
  <c r="ID15" i="7"/>
  <c r="CT9" i="7" s="1"/>
  <c r="CT30" i="7" s="1"/>
  <c r="IJ131" i="4"/>
  <c r="CY108" i="4"/>
  <c r="CO69" i="9" s="1"/>
  <c r="IJ155" i="4"/>
  <c r="II146" i="4"/>
  <c r="II147" i="4" s="1"/>
  <c r="II148" i="4" s="1"/>
  <c r="II149" i="4" s="1"/>
  <c r="DA49" i="4"/>
  <c r="CY38" i="4"/>
  <c r="CZ96" i="4"/>
  <c r="CZ136" i="4"/>
  <c r="CZ105" i="4"/>
  <c r="CZ137" i="4"/>
  <c r="CZ107" i="4"/>
  <c r="CZ98" i="4"/>
  <c r="IJ92" i="4"/>
  <c r="IJ97" i="4" s="1"/>
  <c r="IJ118" i="4"/>
  <c r="CZ138" i="4"/>
  <c r="CZ102" i="4"/>
  <c r="CZ106" i="4"/>
  <c r="CZ123" i="4"/>
  <c r="CP78" i="9" s="1"/>
  <c r="IJ152" i="4"/>
  <c r="CZ122" i="4"/>
  <c r="CP77" i="9" s="1"/>
  <c r="CZ121" i="4"/>
  <c r="CP76" i="9" s="1"/>
  <c r="CZ125" i="4"/>
  <c r="CP80" i="9" s="1"/>
  <c r="CZ126" i="4"/>
  <c r="CP81" i="9" s="1"/>
  <c r="CZ129" i="4"/>
  <c r="CP84" i="9" s="1"/>
  <c r="CZ124" i="4"/>
  <c r="CP79" i="9" s="1"/>
  <c r="CZ127" i="4"/>
  <c r="CR33" i="7"/>
  <c r="CU15" i="7"/>
  <c r="CY139" i="4"/>
  <c r="CO90" i="9" s="1"/>
  <c r="CP94" i="9"/>
  <c r="CP85" i="9"/>
  <c r="CP82" i="9"/>
  <c r="DA252" i="4"/>
  <c r="DA31" i="4"/>
  <c r="IL117" i="4"/>
  <c r="IL116" i="4" s="1"/>
  <c r="IL94" i="4"/>
  <c r="IL93" i="4" s="1"/>
  <c r="IL198" i="4"/>
  <c r="IL129" i="4"/>
  <c r="IL57" i="4"/>
  <c r="IL89" i="4"/>
  <c r="IL125" i="4"/>
  <c r="IL201" i="4"/>
  <c r="IL53" i="4"/>
  <c r="IL124" i="4"/>
  <c r="IL123" i="4"/>
  <c r="IL122" i="4"/>
  <c r="IL127" i="4"/>
  <c r="IL121" i="4"/>
  <c r="IL126" i="4"/>
  <c r="IF3" i="7"/>
  <c r="IJ44" i="4"/>
  <c r="IJ26" i="4"/>
  <c r="IJ27" i="4"/>
  <c r="IJ37" i="4"/>
  <c r="CZ37" i="4" s="1"/>
  <c r="IJ47" i="4"/>
  <c r="IJ43" i="4"/>
  <c r="IJ30" i="4"/>
  <c r="IJ28" i="4"/>
  <c r="IJ34" i="4"/>
  <c r="CZ34" i="4" s="1"/>
  <c r="IJ42" i="4"/>
  <c r="IJ41" i="4"/>
  <c r="IJ48" i="4"/>
  <c r="CX51" i="4"/>
  <c r="IH54" i="4"/>
  <c r="IM3" i="4"/>
  <c r="DD3" i="4"/>
  <c r="DC83" i="4"/>
  <c r="DC2" i="4"/>
  <c r="DC70" i="4"/>
  <c r="CW3" i="7"/>
  <c r="DC198" i="4"/>
  <c r="CV2" i="7"/>
  <c r="IL2" i="4"/>
  <c r="IK23" i="4"/>
  <c r="DB23" i="4"/>
  <c r="DA89" i="4"/>
  <c r="CU5" i="7"/>
  <c r="DA95" i="4"/>
  <c r="CQ18" i="7"/>
  <c r="CQ20" i="7"/>
  <c r="CQ19" i="7"/>
  <c r="CS29" i="7"/>
  <c r="CS32" i="7"/>
  <c r="CS31" i="7"/>
  <c r="CS30" i="7"/>
  <c r="CR54" i="9"/>
  <c r="DB231" i="4"/>
  <c r="DB199" i="4"/>
  <c r="II96" i="4"/>
  <c r="CY99" i="4"/>
  <c r="II150" i="4" s="1"/>
  <c r="CQ67" i="9"/>
  <c r="CQ53" i="9"/>
  <c r="CQ55" i="9"/>
  <c r="CQ57" i="9"/>
  <c r="DC22" i="4"/>
  <c r="DB44" i="4"/>
  <c r="DB28" i="4"/>
  <c r="IL22" i="4"/>
  <c r="DB88" i="4"/>
  <c r="DB43" i="4"/>
  <c r="DB27" i="4"/>
  <c r="DB26" i="4"/>
  <c r="DB47" i="4"/>
  <c r="DB30" i="4"/>
  <c r="DB42" i="4"/>
  <c r="DB41" i="4"/>
  <c r="DB48" i="4"/>
  <c r="IK95" i="4"/>
  <c r="IK120" i="4" s="1"/>
  <c r="IK130" i="4" s="1"/>
  <c r="DA130" i="4" s="1"/>
  <c r="IK119" i="4"/>
  <c r="IK91" i="4"/>
  <c r="IK90" i="4" s="1"/>
  <c r="DA90" i="4" s="1"/>
  <c r="DA97" i="4" s="1"/>
  <c r="IK151" i="4"/>
  <c r="IK154" i="4"/>
  <c r="CV10" i="7"/>
  <c r="CV14" i="7"/>
  <c r="CV12" i="7"/>
  <c r="CV13" i="7"/>
  <c r="IE13" i="7"/>
  <c r="IE14" i="7"/>
  <c r="IE12" i="7"/>
  <c r="IK36" i="4" l="1"/>
  <c r="DA36" i="4" s="1"/>
  <c r="IK46" i="4"/>
  <c r="DC45" i="4"/>
  <c r="DC46" i="4"/>
  <c r="II54" i="4"/>
  <c r="CO56" i="9"/>
  <c r="CO58" i="9" s="1"/>
  <c r="CY200" i="4"/>
  <c r="CL70" i="9"/>
  <c r="CL71" i="9" s="1"/>
  <c r="CT206" i="4"/>
  <c r="CV113" i="4"/>
  <c r="CV114" i="4" s="1"/>
  <c r="CV128" i="4" s="1"/>
  <c r="CS128" i="4"/>
  <c r="CS131" i="4" s="1"/>
  <c r="CS133" i="4" s="1"/>
  <c r="CS141" i="4" s="1"/>
  <c r="IA61" i="4"/>
  <c r="CQ206" i="4"/>
  <c r="CU113" i="4"/>
  <c r="CU114" i="4" s="1"/>
  <c r="CU91" i="4" s="1"/>
  <c r="IB61" i="4"/>
  <c r="CR206" i="4"/>
  <c r="CT76" i="4"/>
  <c r="CT56" i="4"/>
  <c r="CT31" i="7"/>
  <c r="IJ153" i="4"/>
  <c r="IJ156" i="4" s="1"/>
  <c r="IJ158" i="4" s="1"/>
  <c r="IJ159" i="4" s="1"/>
  <c r="IJ160" i="4" s="1"/>
  <c r="IK35" i="4"/>
  <c r="DA35" i="4" s="1"/>
  <c r="IK45" i="4"/>
  <c r="CT32" i="7"/>
  <c r="CT29" i="7"/>
  <c r="DB31" i="4"/>
  <c r="IK155" i="4"/>
  <c r="IJ98" i="4"/>
  <c r="II99" i="4"/>
  <c r="CY100" i="4" s="1"/>
  <c r="CY101" i="4" s="1"/>
  <c r="CY103" i="4" s="1"/>
  <c r="CO68" i="9" s="1"/>
  <c r="DA126" i="4"/>
  <c r="CQ81" i="9" s="1"/>
  <c r="IJ146" i="4"/>
  <c r="IJ147" i="4" s="1"/>
  <c r="IJ148" i="4" s="1"/>
  <c r="IJ149" i="4" s="1"/>
  <c r="CY51" i="4"/>
  <c r="CV15" i="7"/>
  <c r="IF13" i="7"/>
  <c r="IF12" i="7"/>
  <c r="IF14" i="7"/>
  <c r="CS33" i="7"/>
  <c r="DB95" i="4"/>
  <c r="DD22" i="4"/>
  <c r="DC44" i="4"/>
  <c r="DC28" i="4"/>
  <c r="IM22" i="4"/>
  <c r="DC88" i="4"/>
  <c r="DC43" i="4"/>
  <c r="DC26" i="4"/>
  <c r="DC27" i="4"/>
  <c r="DC30" i="4"/>
  <c r="DC47" i="4"/>
  <c r="DC41" i="4"/>
  <c r="DC42" i="4"/>
  <c r="DC48" i="4"/>
  <c r="CZ108" i="4"/>
  <c r="CP69" i="9" s="1"/>
  <c r="DC199" i="4"/>
  <c r="CS54" i="9"/>
  <c r="DC231" i="4"/>
  <c r="IM94" i="4"/>
  <c r="IM93" i="4" s="1"/>
  <c r="IM117" i="4"/>
  <c r="IM116" i="4" s="1"/>
  <c r="IM89" i="4"/>
  <c r="IM201" i="4"/>
  <c r="IM127" i="4"/>
  <c r="IM124" i="4"/>
  <c r="IM53" i="4"/>
  <c r="IG3" i="7"/>
  <c r="IM126" i="4"/>
  <c r="IM123" i="4"/>
  <c r="IM122" i="4"/>
  <c r="IM129" i="4"/>
  <c r="IM198" i="4"/>
  <c r="IM125" i="4"/>
  <c r="IM121" i="4"/>
  <c r="IM57" i="4"/>
  <c r="IK92" i="4"/>
  <c r="IK97" i="4" s="1"/>
  <c r="DA98" i="4"/>
  <c r="DA107" i="4"/>
  <c r="DA137" i="4"/>
  <c r="DA105" i="4"/>
  <c r="DA136" i="4"/>
  <c r="DA96" i="4"/>
  <c r="IK118" i="4"/>
  <c r="DA138" i="4"/>
  <c r="DA102" i="4"/>
  <c r="DA106" i="4"/>
  <c r="IK152" i="4"/>
  <c r="DA122" i="4"/>
  <c r="CQ77" i="9" s="1"/>
  <c r="DA123" i="4"/>
  <c r="CQ78" i="9" s="1"/>
  <c r="CW10" i="7"/>
  <c r="CW14" i="7"/>
  <c r="CW12" i="7"/>
  <c r="CW13" i="7"/>
  <c r="IK131" i="4"/>
  <c r="DA121" i="4"/>
  <c r="CQ76" i="9" s="1"/>
  <c r="CQ21" i="7"/>
  <c r="CQ23" i="7" s="1"/>
  <c r="CQ24" i="7" s="1"/>
  <c r="CQ25" i="7" s="1"/>
  <c r="CQ35" i="7" s="1"/>
  <c r="CW110" i="4" s="1"/>
  <c r="IL23" i="4"/>
  <c r="DC23" i="4"/>
  <c r="CV5" i="7"/>
  <c r="DB89" i="4"/>
  <c r="CQ84" i="9"/>
  <c r="CQ94" i="9"/>
  <c r="CQ85" i="9"/>
  <c r="IM2" i="4"/>
  <c r="CW2" i="7"/>
  <c r="IN3" i="4"/>
  <c r="DE3" i="4"/>
  <c r="DD83" i="4"/>
  <c r="CX3" i="7"/>
  <c r="DD70" i="4"/>
  <c r="DD2" i="4"/>
  <c r="DD198" i="4"/>
  <c r="IK44" i="4"/>
  <c r="IK28" i="4"/>
  <c r="IK26" i="4"/>
  <c r="IK37" i="4"/>
  <c r="DA37" i="4" s="1"/>
  <c r="IK27" i="4"/>
  <c r="IK43" i="4"/>
  <c r="IK30" i="4"/>
  <c r="IK47" i="4"/>
  <c r="IK34" i="4"/>
  <c r="DA34" i="4" s="1"/>
  <c r="IK42" i="4"/>
  <c r="IK41" i="4"/>
  <c r="IK48" i="4"/>
  <c r="DA129" i="4"/>
  <c r="DA124" i="4"/>
  <c r="CQ79" i="9" s="1"/>
  <c r="CZ38" i="4"/>
  <c r="DA125" i="4"/>
  <c r="CQ80" i="9" s="1"/>
  <c r="IL119" i="4"/>
  <c r="IL95" i="4"/>
  <c r="IL120" i="4" s="1"/>
  <c r="IL130" i="4" s="1"/>
  <c r="DB130" i="4" s="1"/>
  <c r="IL91" i="4"/>
  <c r="IL90" i="4" s="1"/>
  <c r="DB90" i="4" s="1"/>
  <c r="DB97" i="4" s="1"/>
  <c r="IL151" i="4"/>
  <c r="IL154" i="4"/>
  <c r="CR20" i="7"/>
  <c r="CR18" i="7"/>
  <c r="CR19" i="7"/>
  <c r="CZ139" i="4"/>
  <c r="CP90" i="9" s="1"/>
  <c r="DB49" i="4"/>
  <c r="DA127" i="4"/>
  <c r="CQ82" i="9" s="1"/>
  <c r="IJ96" i="4"/>
  <c r="CZ99" i="4"/>
  <c r="IJ150" i="4" s="1"/>
  <c r="IE15" i="7"/>
  <c r="CU9" i="7" s="1"/>
  <c r="DB252" i="4"/>
  <c r="CR67" i="9"/>
  <c r="CR53" i="9"/>
  <c r="CR55" i="9"/>
  <c r="DD45" i="4" l="1"/>
  <c r="DD46" i="4"/>
  <c r="IL36" i="4"/>
  <c r="DB36" i="4" s="1"/>
  <c r="IL46" i="4"/>
  <c r="CP56" i="9"/>
  <c r="CP58" i="9" s="1"/>
  <c r="CZ200" i="4"/>
  <c r="CK72" i="9"/>
  <c r="CK73" i="9" s="1"/>
  <c r="CI83" i="9"/>
  <c r="CI86" i="9" s="1"/>
  <c r="CI88" i="9" s="1"/>
  <c r="CI92" i="9" s="1"/>
  <c r="CR57" i="9"/>
  <c r="CL72" i="9"/>
  <c r="CL73" i="9" s="1"/>
  <c r="IA77" i="4"/>
  <c r="IB77" i="4" s="1"/>
  <c r="CQ76" i="4"/>
  <c r="CQ56" i="4"/>
  <c r="CU128" i="4"/>
  <c r="CK83" i="9" s="1"/>
  <c r="CK86" i="9" s="1"/>
  <c r="CW111" i="4"/>
  <c r="CW112" i="4" s="1"/>
  <c r="CM70" i="9"/>
  <c r="CM71" i="9" s="1"/>
  <c r="CV131" i="4"/>
  <c r="CV133" i="4" s="1"/>
  <c r="CV141" i="4" s="1"/>
  <c r="CL83" i="9"/>
  <c r="CL86" i="9" s="1"/>
  <c r="CR56" i="4"/>
  <c r="CR76" i="4"/>
  <c r="IC61" i="4"/>
  <c r="CS206" i="4"/>
  <c r="CT33" i="7"/>
  <c r="CT20" i="7" s="1"/>
  <c r="IK153" i="4"/>
  <c r="IK156" i="4" s="1"/>
  <c r="IK158" i="4" s="1"/>
  <c r="IK159" i="4" s="1"/>
  <c r="IK160" i="4" s="1"/>
  <c r="IL35" i="4"/>
  <c r="DB35" i="4" s="1"/>
  <c r="IL45" i="4"/>
  <c r="IJ99" i="4"/>
  <c r="CZ100" i="4" s="1"/>
  <c r="CZ101" i="4" s="1"/>
  <c r="CZ103" i="4" s="1"/>
  <c r="CP68" i="9" s="1"/>
  <c r="IL155" i="4"/>
  <c r="CV91" i="4"/>
  <c r="IK146" i="4"/>
  <c r="IK147" i="4" s="1"/>
  <c r="IK148" i="4" s="1"/>
  <c r="IK149" i="4" s="1"/>
  <c r="IL92" i="4"/>
  <c r="IL97" i="4" s="1"/>
  <c r="DB136" i="4"/>
  <c r="IL118" i="4"/>
  <c r="DB96" i="4"/>
  <c r="DB107" i="4"/>
  <c r="DB137" i="4"/>
  <c r="DB105" i="4"/>
  <c r="DB98" i="4"/>
  <c r="DB138" i="4"/>
  <c r="DB102" i="4"/>
  <c r="DB106" i="4"/>
  <c r="DB126" i="4"/>
  <c r="CR81" i="9" s="1"/>
  <c r="IL152" i="4"/>
  <c r="DB127" i="4"/>
  <c r="CR82" i="9" s="1"/>
  <c r="DB129" i="4"/>
  <c r="CR84" i="9" s="1"/>
  <c r="DB122" i="4"/>
  <c r="CR77" i="9" s="1"/>
  <c r="DB123" i="4"/>
  <c r="CR78" i="9" s="1"/>
  <c r="DB124" i="4"/>
  <c r="CR79" i="9" s="1"/>
  <c r="DB121" i="4"/>
  <c r="CR76" i="9" s="1"/>
  <c r="DB125" i="4"/>
  <c r="CR80" i="9" s="1"/>
  <c r="DC95" i="4"/>
  <c r="CW15" i="7"/>
  <c r="CU29" i="7"/>
  <c r="CU32" i="7"/>
  <c r="CU31" i="7"/>
  <c r="CU30" i="7"/>
  <c r="CX10" i="7"/>
  <c r="CX14" i="7"/>
  <c r="CX12" i="7"/>
  <c r="CX13" i="7"/>
  <c r="IL131" i="4"/>
  <c r="CS18" i="7"/>
  <c r="CS20" i="7"/>
  <c r="CS19" i="7"/>
  <c r="CX2" i="7"/>
  <c r="IN2" i="4"/>
  <c r="DE22" i="4"/>
  <c r="DD28" i="4"/>
  <c r="DD44" i="4"/>
  <c r="DD43" i="4"/>
  <c r="DD26" i="4"/>
  <c r="IN22" i="4"/>
  <c r="DD27" i="4"/>
  <c r="DD88" i="4"/>
  <c r="DD47" i="4"/>
  <c r="DD30" i="4"/>
  <c r="DD42" i="4"/>
  <c r="DD41" i="4"/>
  <c r="DD48" i="4"/>
  <c r="IJ54" i="4"/>
  <c r="CZ51" i="4"/>
  <c r="DF3" i="4"/>
  <c r="IO3" i="4"/>
  <c r="DE83" i="4"/>
  <c r="DE2" i="4"/>
  <c r="CY3" i="7"/>
  <c r="DE70" i="4"/>
  <c r="DE198" i="4"/>
  <c r="IN117" i="4"/>
  <c r="IN116" i="4" s="1"/>
  <c r="IN94" i="4"/>
  <c r="IN93" i="4" s="1"/>
  <c r="IN201" i="4"/>
  <c r="IN124" i="4"/>
  <c r="IN122" i="4"/>
  <c r="IN89" i="4"/>
  <c r="IN53" i="4"/>
  <c r="IN57" i="4"/>
  <c r="IN129" i="4"/>
  <c r="IN198" i="4"/>
  <c r="IH3" i="7"/>
  <c r="IN127" i="4"/>
  <c r="IN126" i="4"/>
  <c r="IN125" i="4"/>
  <c r="IN121" i="4"/>
  <c r="IN123" i="4"/>
  <c r="DC252" i="4"/>
  <c r="CS67" i="9"/>
  <c r="CS53" i="9"/>
  <c r="CS55" i="9"/>
  <c r="CS57" i="9"/>
  <c r="DA108" i="4"/>
  <c r="CQ69" i="9" s="1"/>
  <c r="IG14" i="7"/>
  <c r="IG13" i="7"/>
  <c r="IG12" i="7"/>
  <c r="IF15" i="7"/>
  <c r="CV9" i="7" s="1"/>
  <c r="CT54" i="9"/>
  <c r="DD231" i="4"/>
  <c r="DD199" i="4"/>
  <c r="DC49" i="4"/>
  <c r="DD23" i="4"/>
  <c r="IM23" i="4"/>
  <c r="DC89" i="4"/>
  <c r="CW5" i="7"/>
  <c r="DA38" i="4"/>
  <c r="IL44" i="4"/>
  <c r="IL28" i="4"/>
  <c r="IL26" i="4"/>
  <c r="IL37" i="4"/>
  <c r="DB37" i="4" s="1"/>
  <c r="IL27" i="4"/>
  <c r="IL43" i="4"/>
  <c r="IL30" i="4"/>
  <c r="IL47" i="4"/>
  <c r="IL34" i="4"/>
  <c r="DB34" i="4" s="1"/>
  <c r="IL41" i="4"/>
  <c r="IL42" i="4"/>
  <c r="IL48" i="4"/>
  <c r="IK96" i="4"/>
  <c r="DA99" i="4"/>
  <c r="IK150" i="4" s="1"/>
  <c r="DA139" i="4"/>
  <c r="CQ90" i="9" s="1"/>
  <c r="IM119" i="4"/>
  <c r="IM95" i="4"/>
  <c r="IM120" i="4" s="1"/>
  <c r="IM130" i="4" s="1"/>
  <c r="DC130" i="4" s="1"/>
  <c r="IM91" i="4"/>
  <c r="IM90" i="4" s="1"/>
  <c r="DC90" i="4" s="1"/>
  <c r="DC97" i="4" s="1"/>
  <c r="IM151" i="4"/>
  <c r="IM154" i="4"/>
  <c r="CR21" i="7"/>
  <c r="CR23" i="7" s="1"/>
  <c r="CR24" i="7" s="1"/>
  <c r="CR25" i="7" s="1"/>
  <c r="CR35" i="7" s="1"/>
  <c r="CX110" i="4" s="1"/>
  <c r="CR85" i="9"/>
  <c r="CR94" i="9"/>
  <c r="IK98" i="4"/>
  <c r="DC31" i="4"/>
  <c r="IM36" i="4" l="1"/>
  <c r="DC36" i="4" s="1"/>
  <c r="IM46" i="4"/>
  <c r="DE45" i="4"/>
  <c r="DE46" i="4"/>
  <c r="CU131" i="4"/>
  <c r="CU133" i="4" s="1"/>
  <c r="CU141" i="4" s="1"/>
  <c r="IE61" i="4" s="1"/>
  <c r="CK88" i="9"/>
  <c r="CK92" i="9" s="1"/>
  <c r="CQ56" i="9"/>
  <c r="CQ58" i="9" s="1"/>
  <c r="DA200" i="4"/>
  <c r="CL88" i="9"/>
  <c r="CL92" i="9" s="1"/>
  <c r="CW113" i="4"/>
  <c r="CM72" i="9" s="1"/>
  <c r="CM73" i="9" s="1"/>
  <c r="CT18" i="7"/>
  <c r="CX111" i="4"/>
  <c r="CX113" i="4" s="1"/>
  <c r="CN70" i="9"/>
  <c r="CN71" i="9" s="1"/>
  <c r="CT19" i="7"/>
  <c r="CU206" i="4"/>
  <c r="IF61" i="4"/>
  <c r="CV206" i="4"/>
  <c r="IC77" i="4"/>
  <c r="ID77" i="4" s="1"/>
  <c r="CS56" i="4"/>
  <c r="CS76" i="4"/>
  <c r="IL153" i="4"/>
  <c r="IL156" i="4" s="1"/>
  <c r="IL158" i="4" s="1"/>
  <c r="IL159" i="4" s="1"/>
  <c r="IL160" i="4" s="1"/>
  <c r="IL98" i="4"/>
  <c r="IM35" i="4"/>
  <c r="DC35" i="4" s="1"/>
  <c r="IM45" i="4"/>
  <c r="DB108" i="4"/>
  <c r="CR69" i="9" s="1"/>
  <c r="IM155" i="4"/>
  <c r="DD49" i="4"/>
  <c r="DB99" i="4"/>
  <c r="IL150" i="4" s="1"/>
  <c r="IK99" i="4"/>
  <c r="DA100" i="4" s="1"/>
  <c r="DA101" i="4" s="1"/>
  <c r="DA103" i="4" s="1"/>
  <c r="CQ68" i="9" s="1"/>
  <c r="IM92" i="4"/>
  <c r="IM97" i="4" s="1"/>
  <c r="DC107" i="4"/>
  <c r="DC137" i="4"/>
  <c r="DC98" i="4"/>
  <c r="DC136" i="4"/>
  <c r="DC105" i="4"/>
  <c r="DC96" i="4"/>
  <c r="IM118" i="4"/>
  <c r="DC138" i="4"/>
  <c r="DC102" i="4"/>
  <c r="DC106" i="4"/>
  <c r="DC121" i="4"/>
  <c r="CS76" i="9" s="1"/>
  <c r="DC125" i="4"/>
  <c r="CS80" i="9" s="1"/>
  <c r="DC124" i="4"/>
  <c r="CS79" i="9" s="1"/>
  <c r="DC123" i="4"/>
  <c r="CS78" i="9" s="1"/>
  <c r="DC127" i="4"/>
  <c r="CS82" i="9" s="1"/>
  <c r="DC126" i="4"/>
  <c r="CS81" i="9" s="1"/>
  <c r="IM152" i="4"/>
  <c r="DC129" i="4"/>
  <c r="CS84" i="9" s="1"/>
  <c r="DC122" i="4"/>
  <c r="CS77" i="9" s="1"/>
  <c r="IH14" i="7"/>
  <c r="IH12" i="7"/>
  <c r="IH13" i="7"/>
  <c r="CS21" i="7"/>
  <c r="CS23" i="7" s="1"/>
  <c r="CS24" i="7" s="1"/>
  <c r="CS25" i="7" s="1"/>
  <c r="CS35" i="7" s="1"/>
  <c r="CY110" i="4" s="1"/>
  <c r="IN95" i="4"/>
  <c r="IN120" i="4" s="1"/>
  <c r="IN130" i="4" s="1"/>
  <c r="DD130" i="4" s="1"/>
  <c r="IN119" i="4"/>
  <c r="IN91" i="4"/>
  <c r="IN90" i="4" s="1"/>
  <c r="DD90" i="4" s="1"/>
  <c r="DD97" i="4" s="1"/>
  <c r="IN151" i="4"/>
  <c r="IN154" i="4"/>
  <c r="CS94" i="9"/>
  <c r="CS85" i="9"/>
  <c r="IK54" i="4"/>
  <c r="DA51" i="4"/>
  <c r="CX15" i="7"/>
  <c r="DD95" i="4"/>
  <c r="DD252" i="4"/>
  <c r="CT53" i="9"/>
  <c r="CT67" i="9"/>
  <c r="CT55" i="9"/>
  <c r="DD31" i="4"/>
  <c r="CV31" i="7"/>
  <c r="CV30" i="7"/>
  <c r="CV29" i="7"/>
  <c r="CV32" i="7"/>
  <c r="CU54" i="9"/>
  <c r="DE231" i="4"/>
  <c r="DE199" i="4"/>
  <c r="IG15" i="7"/>
  <c r="CW9" i="7" s="1"/>
  <c r="IM28" i="4"/>
  <c r="IM44" i="4"/>
  <c r="IM26" i="4"/>
  <c r="IM27" i="4"/>
  <c r="IM37" i="4"/>
  <c r="DC37" i="4" s="1"/>
  <c r="IM47" i="4"/>
  <c r="IM30" i="4"/>
  <c r="IM43" i="4"/>
  <c r="IM34" i="4"/>
  <c r="DC34" i="4" s="1"/>
  <c r="IM41" i="4"/>
  <c r="IM42" i="4"/>
  <c r="IM48" i="4"/>
  <c r="CY10" i="7"/>
  <c r="CY14" i="7"/>
  <c r="CY12" i="7"/>
  <c r="CY13" i="7"/>
  <c r="DE23" i="4"/>
  <c r="IN23" i="4"/>
  <c r="DD89" i="4"/>
  <c r="CX5" i="7"/>
  <c r="IO2" i="4"/>
  <c r="CY2" i="7"/>
  <c r="DF22" i="4"/>
  <c r="DE28" i="4"/>
  <c r="DE44" i="4"/>
  <c r="DE88" i="4"/>
  <c r="DE27" i="4"/>
  <c r="IO22" i="4"/>
  <c r="DE43" i="4"/>
  <c r="DE26" i="4"/>
  <c r="DE47" i="4"/>
  <c r="DE30" i="4"/>
  <c r="DE41" i="4"/>
  <c r="DE42" i="4"/>
  <c r="DE48" i="4"/>
  <c r="IO94" i="4"/>
  <c r="IO93" i="4" s="1"/>
  <c r="IO117" i="4"/>
  <c r="IO116" i="4" s="1"/>
  <c r="II3" i="7"/>
  <c r="IO121" i="4"/>
  <c r="IO122" i="4"/>
  <c r="IO89" i="4"/>
  <c r="IO126" i="4"/>
  <c r="IO124" i="4"/>
  <c r="IO125" i="4"/>
  <c r="IO123" i="4"/>
  <c r="IO57" i="4"/>
  <c r="IO198" i="4"/>
  <c r="IO127" i="4"/>
  <c r="IO53" i="4"/>
  <c r="IO129" i="4"/>
  <c r="IO201" i="4"/>
  <c r="IM131" i="4"/>
  <c r="CU33" i="7"/>
  <c r="DB139" i="4"/>
  <c r="CR90" i="9" s="1"/>
  <c r="DG3" i="4"/>
  <c r="IP3" i="4"/>
  <c r="DF2" i="4"/>
  <c r="DF83" i="4"/>
  <c r="CZ3" i="7"/>
  <c r="DF70" i="4"/>
  <c r="DF198" i="4"/>
  <c r="IL146" i="4"/>
  <c r="IL147" i="4" s="1"/>
  <c r="IL148" i="4" s="1"/>
  <c r="IL149" i="4" s="1"/>
  <c r="IL96" i="4"/>
  <c r="DB38" i="4"/>
  <c r="DF45" i="4" l="1"/>
  <c r="DF46" i="4"/>
  <c r="IN36" i="4"/>
  <c r="DD36" i="4" s="1"/>
  <c r="IN46" i="4"/>
  <c r="CR56" i="9"/>
  <c r="CR58" i="9" s="1"/>
  <c r="DB200" i="4"/>
  <c r="CT57" i="9"/>
  <c r="CW114" i="4"/>
  <c r="CW128" i="4" s="1"/>
  <c r="CT21" i="7"/>
  <c r="CT23" i="7" s="1"/>
  <c r="CT24" i="7" s="1"/>
  <c r="CT25" i="7" s="1"/>
  <c r="CT35" i="7" s="1"/>
  <c r="CZ110" i="4" s="1"/>
  <c r="CZ111" i="4" s="1"/>
  <c r="CZ112" i="4" s="1"/>
  <c r="IL99" i="4"/>
  <c r="DB100" i="4" s="1"/>
  <c r="DB101" i="4" s="1"/>
  <c r="DB103" i="4" s="1"/>
  <c r="CR68" i="9" s="1"/>
  <c r="CX112" i="4"/>
  <c r="CN72" i="9" s="1"/>
  <c r="CN73" i="9" s="1"/>
  <c r="CY111" i="4"/>
  <c r="CY113" i="4" s="1"/>
  <c r="CO70" i="9"/>
  <c r="CO71" i="9" s="1"/>
  <c r="IE77" i="4"/>
  <c r="IF77" i="4" s="1"/>
  <c r="CU76" i="4"/>
  <c r="CU56" i="4"/>
  <c r="CV56" i="4"/>
  <c r="CV76" i="4"/>
  <c r="IM153" i="4"/>
  <c r="IM156" i="4" s="1"/>
  <c r="IM158" i="4" s="1"/>
  <c r="IM159" i="4" s="1"/>
  <c r="IM160" i="4" s="1"/>
  <c r="IN35" i="4"/>
  <c r="DD35" i="4" s="1"/>
  <c r="IN45" i="4"/>
  <c r="IM98" i="4"/>
  <c r="DC108" i="4"/>
  <c r="CS69" i="9" s="1"/>
  <c r="IH15" i="7"/>
  <c r="CX9" i="7" s="1"/>
  <c r="IN131" i="4"/>
  <c r="DD125" i="4"/>
  <c r="CT80" i="9" s="1"/>
  <c r="DD123" i="4"/>
  <c r="IN155" i="4"/>
  <c r="DC139" i="4"/>
  <c r="CS90" i="9" s="1"/>
  <c r="IM146" i="4"/>
  <c r="IM147" i="4" s="1"/>
  <c r="IM148" i="4" s="1"/>
  <c r="IM149" i="4" s="1"/>
  <c r="DE49" i="4"/>
  <c r="IN28" i="4"/>
  <c r="IN44" i="4"/>
  <c r="IN26" i="4"/>
  <c r="IN27" i="4"/>
  <c r="IN37" i="4"/>
  <c r="DD37" i="4" s="1"/>
  <c r="IN43" i="4"/>
  <c r="IN30" i="4"/>
  <c r="IN47" i="4"/>
  <c r="IN34" i="4"/>
  <c r="DD34" i="4" s="1"/>
  <c r="IN42" i="4"/>
  <c r="IN41" i="4"/>
  <c r="IN48" i="4"/>
  <c r="II12" i="7"/>
  <c r="II13" i="7"/>
  <c r="II14" i="7"/>
  <c r="DD124" i="4"/>
  <c r="CY15" i="7"/>
  <c r="DD127" i="4"/>
  <c r="DD122" i="4"/>
  <c r="IN152" i="4"/>
  <c r="DE252" i="4"/>
  <c r="DF23" i="4"/>
  <c r="IO23" i="4"/>
  <c r="DE89" i="4"/>
  <c r="CY5" i="7"/>
  <c r="CU18" i="7"/>
  <c r="CU20" i="7"/>
  <c r="CU19" i="7"/>
  <c r="CW30" i="7"/>
  <c r="CW32" i="7"/>
  <c r="CW31" i="7"/>
  <c r="CW29" i="7"/>
  <c r="CU53" i="9"/>
  <c r="CU67" i="9"/>
  <c r="CU55" i="9"/>
  <c r="IN92" i="4"/>
  <c r="IN97" i="4" s="1"/>
  <c r="DD136" i="4"/>
  <c r="DD98" i="4"/>
  <c r="DD107" i="4"/>
  <c r="DD137" i="4"/>
  <c r="DD105" i="4"/>
  <c r="DD96" i="4"/>
  <c r="IN118" i="4"/>
  <c r="DD138" i="4"/>
  <c r="DD102" i="4"/>
  <c r="DD106" i="4"/>
  <c r="DB51" i="4"/>
  <c r="IL54" i="4"/>
  <c r="DE31" i="4"/>
  <c r="DE95" i="4"/>
  <c r="DH3" i="4"/>
  <c r="IQ3" i="4"/>
  <c r="DA3" i="7"/>
  <c r="DG2" i="4"/>
  <c r="DG83" i="4"/>
  <c r="DG70" i="4"/>
  <c r="DG198" i="4"/>
  <c r="CV33" i="7"/>
  <c r="DD126" i="4"/>
  <c r="DD121" i="4"/>
  <c r="IM96" i="4"/>
  <c r="DC99" i="4"/>
  <c r="IM150" i="4" s="1"/>
  <c r="DF231" i="4"/>
  <c r="CV54" i="9"/>
  <c r="DF199" i="4"/>
  <c r="DC38" i="4"/>
  <c r="CT94" i="9"/>
  <c r="CT82" i="9"/>
  <c r="CT85" i="9"/>
  <c r="CT77" i="9"/>
  <c r="CT79" i="9"/>
  <c r="CT76" i="9"/>
  <c r="CT78" i="9"/>
  <c r="CT81" i="9"/>
  <c r="DD129" i="4"/>
  <c r="CT84" i="9" s="1"/>
  <c r="IO119" i="4"/>
  <c r="IO95" i="4"/>
  <c r="IO120" i="4" s="1"/>
  <c r="IO130" i="4" s="1"/>
  <c r="DE130" i="4" s="1"/>
  <c r="IO91" i="4"/>
  <c r="IO90" i="4" s="1"/>
  <c r="DE90" i="4" s="1"/>
  <c r="DE97" i="4" s="1"/>
  <c r="IO151" i="4"/>
  <c r="IO154" i="4"/>
  <c r="CX30" i="7"/>
  <c r="CX32" i="7"/>
  <c r="CX31" i="7"/>
  <c r="CX29" i="7"/>
  <c r="CZ10" i="7"/>
  <c r="CZ14" i="7"/>
  <c r="CZ12" i="7"/>
  <c r="CZ13" i="7"/>
  <c r="DG22" i="4"/>
  <c r="DF44" i="4"/>
  <c r="DF28" i="4"/>
  <c r="DF88" i="4"/>
  <c r="DF27" i="4"/>
  <c r="DF26" i="4"/>
  <c r="DF43" i="4"/>
  <c r="IP22" i="4"/>
  <c r="DF30" i="4"/>
  <c r="DF47" i="4"/>
  <c r="DF42" i="4"/>
  <c r="DF41" i="4"/>
  <c r="DF48" i="4"/>
  <c r="CZ2" i="7"/>
  <c r="IP2" i="4"/>
  <c r="IP94" i="4"/>
  <c r="IP93" i="4" s="1"/>
  <c r="IP117" i="4"/>
  <c r="IP116" i="4" s="1"/>
  <c r="IP201" i="4"/>
  <c r="IP122" i="4"/>
  <c r="IP121" i="4"/>
  <c r="IP129" i="4"/>
  <c r="IP57" i="4"/>
  <c r="IP127" i="4"/>
  <c r="IP126" i="4"/>
  <c r="IP124" i="4"/>
  <c r="IP198" i="4"/>
  <c r="IJ3" i="7"/>
  <c r="IP89" i="4"/>
  <c r="IP123" i="4"/>
  <c r="IP53" i="4"/>
  <c r="IP125" i="4"/>
  <c r="CW91" i="4" l="1"/>
  <c r="IO36" i="4"/>
  <c r="DE36" i="4" s="1"/>
  <c r="IO46" i="4"/>
  <c r="DG45" i="4"/>
  <c r="DG46" i="4"/>
  <c r="CS56" i="9"/>
  <c r="CS58" i="9" s="1"/>
  <c r="DC200" i="4"/>
  <c r="CP70" i="9"/>
  <c r="CP71" i="9" s="1"/>
  <c r="CU57" i="9"/>
  <c r="CX114" i="4"/>
  <c r="CX91" i="4" s="1"/>
  <c r="CZ113" i="4"/>
  <c r="CP72" i="9" s="1"/>
  <c r="CY112" i="4"/>
  <c r="CO72" i="9" s="1"/>
  <c r="CO73" i="9" s="1"/>
  <c r="CW131" i="4"/>
  <c r="CW133" i="4" s="1"/>
  <c r="CW141" i="4" s="1"/>
  <c r="CM83" i="9"/>
  <c r="CM86" i="9" s="1"/>
  <c r="CM88" i="9" s="1"/>
  <c r="CM92" i="9" s="1"/>
  <c r="IN153" i="4"/>
  <c r="IN156" i="4" s="1"/>
  <c r="IN158" i="4" s="1"/>
  <c r="IN159" i="4" s="1"/>
  <c r="IN160" i="4" s="1"/>
  <c r="IO35" i="4"/>
  <c r="DE35" i="4" s="1"/>
  <c r="IO45" i="4"/>
  <c r="CZ15" i="7"/>
  <c r="II15" i="7"/>
  <c r="CY9" i="7" s="1"/>
  <c r="CY31" i="7" s="1"/>
  <c r="DF31" i="4"/>
  <c r="DF49" i="4"/>
  <c r="DD38" i="4"/>
  <c r="IO131" i="4"/>
  <c r="IM99" i="4"/>
  <c r="DC100" i="4" s="1"/>
  <c r="DC101" i="4" s="1"/>
  <c r="DC103" i="4" s="1"/>
  <c r="CS68" i="9" s="1"/>
  <c r="DD139" i="4"/>
  <c r="CT90" i="9" s="1"/>
  <c r="CX33" i="7"/>
  <c r="CX18" i="7" s="1"/>
  <c r="DE96" i="4"/>
  <c r="IO118" i="4"/>
  <c r="DE107" i="4"/>
  <c r="DE137" i="4"/>
  <c r="DE136" i="4"/>
  <c r="DE105" i="4"/>
  <c r="DE98" i="4"/>
  <c r="IO92" i="4"/>
  <c r="IO97" i="4" s="1"/>
  <c r="DE138" i="4"/>
  <c r="DE102" i="4"/>
  <c r="DE106" i="4"/>
  <c r="DE123" i="4"/>
  <c r="CU78" i="9" s="1"/>
  <c r="DE124" i="4"/>
  <c r="CU79" i="9" s="1"/>
  <c r="DE125" i="4"/>
  <c r="CU80" i="9" s="1"/>
  <c r="DE126" i="4"/>
  <c r="CU81" i="9" s="1"/>
  <c r="DE122" i="4"/>
  <c r="CU77" i="9" s="1"/>
  <c r="DE127" i="4"/>
  <c r="CU82" i="9" s="1"/>
  <c r="IO152" i="4"/>
  <c r="DE129" i="4"/>
  <c r="CU84" i="9" s="1"/>
  <c r="DE121" i="4"/>
  <c r="CU76" i="9" s="1"/>
  <c r="DA2" i="7"/>
  <c r="IQ2" i="4"/>
  <c r="IP95" i="4"/>
  <c r="IP120" i="4" s="1"/>
  <c r="IP130" i="4" s="1"/>
  <c r="DF130" i="4" s="1"/>
  <c r="IP91" i="4"/>
  <c r="IP90" i="4" s="1"/>
  <c r="DF90" i="4" s="1"/>
  <c r="DF97" i="4" s="1"/>
  <c r="IP119" i="4"/>
  <c r="IP151" i="4"/>
  <c r="IP154" i="4"/>
  <c r="CU21" i="7"/>
  <c r="CU23" i="7" s="1"/>
  <c r="CU24" i="7" s="1"/>
  <c r="CU25" i="7" s="1"/>
  <c r="CU35" i="7" s="1"/>
  <c r="DA110" i="4" s="1"/>
  <c r="IJ12" i="7"/>
  <c r="IJ13" i="7"/>
  <c r="IJ14" i="7"/>
  <c r="IO155" i="4"/>
  <c r="IN146" i="4"/>
  <c r="IN147" i="4" s="1"/>
  <c r="IN148" i="4" s="1"/>
  <c r="IN149" i="4" s="1"/>
  <c r="IN98" i="4"/>
  <c r="IO28" i="4"/>
  <c r="IO44" i="4"/>
  <c r="IO26" i="4"/>
  <c r="IO27" i="4"/>
  <c r="IO37" i="4"/>
  <c r="DE37" i="4" s="1"/>
  <c r="IO47" i="4"/>
  <c r="IO43" i="4"/>
  <c r="IO30" i="4"/>
  <c r="IO34" i="4"/>
  <c r="DE34" i="4" s="1"/>
  <c r="IO42" i="4"/>
  <c r="IO41" i="4"/>
  <c r="IO48" i="4"/>
  <c r="IQ94" i="4"/>
  <c r="IQ93" i="4" s="1"/>
  <c r="IQ117" i="4"/>
  <c r="IQ116" i="4" s="1"/>
  <c r="IQ201" i="4"/>
  <c r="IQ125" i="4"/>
  <c r="IQ121" i="4"/>
  <c r="IQ57" i="4"/>
  <c r="IQ89" i="4"/>
  <c r="IQ53" i="4"/>
  <c r="IQ129" i="4"/>
  <c r="IQ198" i="4"/>
  <c r="IK3" i="7"/>
  <c r="IQ127" i="4"/>
  <c r="IQ122" i="4"/>
  <c r="IQ126" i="4"/>
  <c r="IQ123" i="4"/>
  <c r="IQ124" i="4"/>
  <c r="CW54" i="9"/>
  <c r="DG199" i="4"/>
  <c r="DG231" i="4"/>
  <c r="CV67" i="9"/>
  <c r="CV53" i="9"/>
  <c r="CV55" i="9"/>
  <c r="DD108" i="4"/>
  <c r="CT69" i="9" s="1"/>
  <c r="DA10" i="7"/>
  <c r="DA14" i="7"/>
  <c r="DA12" i="7"/>
  <c r="DA13" i="7"/>
  <c r="DI3" i="4"/>
  <c r="IR3" i="4"/>
  <c r="DH2" i="4"/>
  <c r="DB3" i="7"/>
  <c r="DH83" i="4"/>
  <c r="DH70" i="4"/>
  <c r="DH198" i="4"/>
  <c r="DG23" i="4"/>
  <c r="IP23" i="4"/>
  <c r="DF89" i="4"/>
  <c r="CZ5" i="7"/>
  <c r="DF252" i="4"/>
  <c r="IN96" i="4"/>
  <c r="DD99" i="4"/>
  <c r="IN150" i="4" s="1"/>
  <c r="DC51" i="4"/>
  <c r="IM54" i="4"/>
  <c r="CU94" i="9"/>
  <c r="CU85" i="9"/>
  <c r="DF95" i="4"/>
  <c r="CW33" i="7"/>
  <c r="DH22" i="4"/>
  <c r="DG44" i="4"/>
  <c r="DG28" i="4"/>
  <c r="DG27" i="4"/>
  <c r="IQ22" i="4"/>
  <c r="DG43" i="4"/>
  <c r="DG88" i="4"/>
  <c r="DG26" i="4"/>
  <c r="DG30" i="4"/>
  <c r="DG47" i="4"/>
  <c r="DG41" i="4"/>
  <c r="DG42" i="4"/>
  <c r="DG48" i="4"/>
  <c r="CV19" i="7"/>
  <c r="CV20" i="7"/>
  <c r="CV18" i="7"/>
  <c r="DH45" i="4" l="1"/>
  <c r="DH46" i="4"/>
  <c r="CY32" i="7"/>
  <c r="IP36" i="4"/>
  <c r="DF36" i="4" s="1"/>
  <c r="IP46" i="4"/>
  <c r="IN54" i="4"/>
  <c r="CT56" i="9"/>
  <c r="CT58" i="9" s="1"/>
  <c r="DD200" i="4"/>
  <c r="CP73" i="9"/>
  <c r="CV57" i="9"/>
  <c r="CY114" i="4"/>
  <c r="CY128" i="4" s="1"/>
  <c r="CO83" i="9" s="1"/>
  <c r="CO86" i="9" s="1"/>
  <c r="CO88" i="9" s="1"/>
  <c r="CO92" i="9" s="1"/>
  <c r="CX128" i="4"/>
  <c r="CX131" i="4" s="1"/>
  <c r="CX133" i="4" s="1"/>
  <c r="CX141" i="4" s="1"/>
  <c r="CZ114" i="4"/>
  <c r="CZ91" i="4" s="1"/>
  <c r="DA111" i="4"/>
  <c r="DA112" i="4" s="1"/>
  <c r="CQ70" i="9"/>
  <c r="CQ71" i="9" s="1"/>
  <c r="IG61" i="4"/>
  <c r="CW206" i="4"/>
  <c r="IO153" i="4"/>
  <c r="IO156" i="4" s="1"/>
  <c r="IO158" i="4" s="1"/>
  <c r="IO159" i="4" s="1"/>
  <c r="IO160" i="4" s="1"/>
  <c r="IP35" i="4"/>
  <c r="DF35" i="4" s="1"/>
  <c r="IP45" i="4"/>
  <c r="CY30" i="7"/>
  <c r="CY29" i="7"/>
  <c r="DE108" i="4"/>
  <c r="CU69" i="9" s="1"/>
  <c r="DD51" i="4"/>
  <c r="IP155" i="4"/>
  <c r="DE38" i="4"/>
  <c r="DE51" i="4" s="1"/>
  <c r="CX20" i="7"/>
  <c r="CX19" i="7"/>
  <c r="DG49" i="4"/>
  <c r="CV21" i="7"/>
  <c r="CV23" i="7" s="1"/>
  <c r="CV24" i="7" s="1"/>
  <c r="CV25" i="7" s="1"/>
  <c r="CV35" i="7" s="1"/>
  <c r="DB110" i="4" s="1"/>
  <c r="DF107" i="4"/>
  <c r="DF105" i="4"/>
  <c r="DF98" i="4"/>
  <c r="IP92" i="4"/>
  <c r="IP97" i="4" s="1"/>
  <c r="DF96" i="4"/>
  <c r="IP118" i="4"/>
  <c r="DF137" i="4"/>
  <c r="DF136" i="4"/>
  <c r="DF138" i="4"/>
  <c r="DF102" i="4"/>
  <c r="DF106" i="4"/>
  <c r="DF124" i="4"/>
  <c r="CV79" i="9" s="1"/>
  <c r="DF121" i="4"/>
  <c r="CV76" i="9" s="1"/>
  <c r="IP152" i="4"/>
  <c r="DF125" i="4"/>
  <c r="CV80" i="9" s="1"/>
  <c r="DF126" i="4"/>
  <c r="CV81" i="9" s="1"/>
  <c r="DF129" i="4"/>
  <c r="CV84" i="9" s="1"/>
  <c r="DF122" i="4"/>
  <c r="CV77" i="9" s="1"/>
  <c r="DF123" i="4"/>
  <c r="CV78" i="9" s="1"/>
  <c r="DF127" i="4"/>
  <c r="CV82" i="9" s="1"/>
  <c r="DG252" i="4"/>
  <c r="CW19" i="7"/>
  <c r="CW20" i="7"/>
  <c r="CW18" i="7"/>
  <c r="IK14" i="7"/>
  <c r="IK12" i="7"/>
  <c r="IK13" i="7"/>
  <c r="IP28" i="4"/>
  <c r="IP44" i="4"/>
  <c r="IP27" i="4"/>
  <c r="IP26" i="4"/>
  <c r="IP37" i="4"/>
  <c r="DF37" i="4" s="1"/>
  <c r="IP43" i="4"/>
  <c r="IP47" i="4"/>
  <c r="IP30" i="4"/>
  <c r="IP34" i="4"/>
  <c r="DF34" i="4" s="1"/>
  <c r="IP42" i="4"/>
  <c r="IP41" i="4"/>
  <c r="IP48" i="4"/>
  <c r="IO146" i="4"/>
  <c r="IO147" i="4" s="1"/>
  <c r="IO148" i="4" s="1"/>
  <c r="IO149" i="4" s="1"/>
  <c r="IO98" i="4"/>
  <c r="CW67" i="9"/>
  <c r="CW53" i="9"/>
  <c r="CW55" i="9"/>
  <c r="CW57" i="9"/>
  <c r="IR2" i="4"/>
  <c r="DB2" i="7"/>
  <c r="DG31" i="4"/>
  <c r="DG95" i="4"/>
  <c r="DA15" i="7"/>
  <c r="IN99" i="4"/>
  <c r="DD100" i="4" s="1"/>
  <c r="DD101" i="4" s="1"/>
  <c r="DD103" i="4" s="1"/>
  <c r="CT68" i="9" s="1"/>
  <c r="CX54" i="9"/>
  <c r="DH231" i="4"/>
  <c r="DH199" i="4"/>
  <c r="IR94" i="4"/>
  <c r="IR93" i="4" s="1"/>
  <c r="IR117" i="4"/>
  <c r="IR116" i="4" s="1"/>
  <c r="IR198" i="4"/>
  <c r="IR127" i="4"/>
  <c r="IR122" i="4"/>
  <c r="IR57" i="4"/>
  <c r="IR89" i="4"/>
  <c r="IR126" i="4"/>
  <c r="IR124" i="4"/>
  <c r="IR121" i="4"/>
  <c r="IR125" i="4"/>
  <c r="IR53" i="4"/>
  <c r="IR129" i="4"/>
  <c r="IL3" i="7"/>
  <c r="IR201" i="4"/>
  <c r="IR123" i="4"/>
  <c r="DJ3" i="4"/>
  <c r="IS3" i="4"/>
  <c r="DI2" i="4"/>
  <c r="DC3" i="7"/>
  <c r="DI70" i="4"/>
  <c r="DI83" i="4"/>
  <c r="DI198" i="4"/>
  <c r="IQ119" i="4"/>
  <c r="IQ95" i="4"/>
  <c r="IQ120" i="4" s="1"/>
  <c r="IQ130" i="4" s="1"/>
  <c r="DG130" i="4" s="1"/>
  <c r="IQ91" i="4"/>
  <c r="IQ90" i="4" s="1"/>
  <c r="DG90" i="4" s="1"/>
  <c r="DG97" i="4" s="1"/>
  <c r="IQ151" i="4"/>
  <c r="IQ154" i="4"/>
  <c r="DE139" i="4"/>
  <c r="CU90" i="9" s="1"/>
  <c r="DH23" i="4"/>
  <c r="IQ23" i="4"/>
  <c r="DA5" i="7"/>
  <c r="DG89" i="4"/>
  <c r="DH44" i="4"/>
  <c r="DI22" i="4"/>
  <c r="DH28" i="4"/>
  <c r="DH88" i="4"/>
  <c r="DH43" i="4"/>
  <c r="DH27" i="4"/>
  <c r="IR22" i="4"/>
  <c r="DH26" i="4"/>
  <c r="DH47" i="4"/>
  <c r="DH30" i="4"/>
  <c r="DH41" i="4"/>
  <c r="DH42" i="4"/>
  <c r="DH48" i="4"/>
  <c r="IJ15" i="7"/>
  <c r="CZ9" i="7" s="1"/>
  <c r="IP131" i="4"/>
  <c r="DB10" i="7"/>
  <c r="DB14" i="7"/>
  <c r="DB12" i="7"/>
  <c r="DB13" i="7"/>
  <c r="CV94" i="9"/>
  <c r="CV85" i="9"/>
  <c r="IO96" i="4"/>
  <c r="DE99" i="4"/>
  <c r="IO150" i="4" s="1"/>
  <c r="DI45" i="4" l="1"/>
  <c r="DI46" i="4"/>
  <c r="IQ36" i="4"/>
  <c r="DG36" i="4" s="1"/>
  <c r="IQ46" i="4"/>
  <c r="CY91" i="4"/>
  <c r="IO54" i="4"/>
  <c r="CU56" i="9"/>
  <c r="CU58" i="9" s="1"/>
  <c r="DE200" i="4"/>
  <c r="CY131" i="4"/>
  <c r="CY133" i="4" s="1"/>
  <c r="CY141" i="4" s="1"/>
  <c r="II61" i="4" s="1"/>
  <c r="CN83" i="9"/>
  <c r="CN86" i="9" s="1"/>
  <c r="CN88" i="9" s="1"/>
  <c r="CN92" i="9" s="1"/>
  <c r="CZ128" i="4"/>
  <c r="CZ131" i="4" s="1"/>
  <c r="CZ133" i="4" s="1"/>
  <c r="CZ141" i="4" s="1"/>
  <c r="DA113" i="4"/>
  <c r="CQ72" i="9" s="1"/>
  <c r="CQ73" i="9" s="1"/>
  <c r="DB111" i="4"/>
  <c r="DB112" i="4" s="1"/>
  <c r="CR70" i="9"/>
  <c r="CR71" i="9" s="1"/>
  <c r="CY206" i="4"/>
  <c r="CW76" i="4"/>
  <c r="IG77" i="4"/>
  <c r="CW56" i="4"/>
  <c r="IH61" i="4"/>
  <c r="CX206" i="4"/>
  <c r="IP153" i="4"/>
  <c r="IP156" i="4" s="1"/>
  <c r="IP158" i="4" s="1"/>
  <c r="IP159" i="4" s="1"/>
  <c r="IP160" i="4" s="1"/>
  <c r="IQ35" i="4"/>
  <c r="DG35" i="4" s="1"/>
  <c r="IQ45" i="4"/>
  <c r="CY33" i="7"/>
  <c r="CY19" i="7" s="1"/>
  <c r="DF108" i="4"/>
  <c r="CV69" i="9" s="1"/>
  <c r="CX21" i="7"/>
  <c r="CX23" i="7" s="1"/>
  <c r="CX24" i="7" s="1"/>
  <c r="CX25" i="7" s="1"/>
  <c r="CX35" i="7" s="1"/>
  <c r="DD110" i="4" s="1"/>
  <c r="IP98" i="4"/>
  <c r="DF139" i="4"/>
  <c r="CV90" i="9" s="1"/>
  <c r="IQ155" i="4"/>
  <c r="IP146" i="4"/>
  <c r="IP147" i="4" s="1"/>
  <c r="IP148" i="4" s="1"/>
  <c r="IP149" i="4" s="1"/>
  <c r="IQ92" i="4"/>
  <c r="IQ97" i="4" s="1"/>
  <c r="DG98" i="4"/>
  <c r="DG107" i="4"/>
  <c r="IQ118" i="4"/>
  <c r="DG137" i="4"/>
  <c r="DG105" i="4"/>
  <c r="DG136" i="4"/>
  <c r="DG96" i="4"/>
  <c r="DG138" i="4"/>
  <c r="DG102" i="4"/>
  <c r="DG106" i="4"/>
  <c r="DG125" i="4"/>
  <c r="CW80" i="9" s="1"/>
  <c r="DG126" i="4"/>
  <c r="CW81" i="9" s="1"/>
  <c r="DG122" i="4"/>
  <c r="CW77" i="9" s="1"/>
  <c r="IQ152" i="4"/>
  <c r="DG129" i="4"/>
  <c r="CW84" i="9" s="1"/>
  <c r="DG121" i="4"/>
  <c r="CW76" i="9" s="1"/>
  <c r="DG127" i="4"/>
  <c r="CW82" i="9" s="1"/>
  <c r="DG124" i="4"/>
  <c r="CW79" i="9" s="1"/>
  <c r="DG123" i="4"/>
  <c r="CW78" i="9" s="1"/>
  <c r="DH31" i="4"/>
  <c r="DB15" i="7"/>
  <c r="DH252" i="4"/>
  <c r="CW21" i="7"/>
  <c r="CW23" i="7" s="1"/>
  <c r="CW24" i="7" s="1"/>
  <c r="CW25" i="7" s="1"/>
  <c r="CW35" i="7" s="1"/>
  <c r="DC110" i="4" s="1"/>
  <c r="DH95" i="4"/>
  <c r="DJ22" i="4"/>
  <c r="DI28" i="4"/>
  <c r="DI44" i="4"/>
  <c r="DI88" i="4"/>
  <c r="DI26" i="4"/>
  <c r="IS22" i="4"/>
  <c r="DI43" i="4"/>
  <c r="DI27" i="4"/>
  <c r="DI47" i="4"/>
  <c r="DI30" i="4"/>
  <c r="DI42" i="4"/>
  <c r="DI41" i="4"/>
  <c r="DI48" i="4"/>
  <c r="CX53" i="9"/>
  <c r="CX67" i="9"/>
  <c r="CX55" i="9"/>
  <c r="IQ44" i="4"/>
  <c r="IQ28" i="4"/>
  <c r="IQ37" i="4"/>
  <c r="DG37" i="4" s="1"/>
  <c r="IQ27" i="4"/>
  <c r="IQ26" i="4"/>
  <c r="IQ43" i="4"/>
  <c r="IQ30" i="4"/>
  <c r="IQ47" i="4"/>
  <c r="IQ34" i="4"/>
  <c r="DG34" i="4" s="1"/>
  <c r="IQ42" i="4"/>
  <c r="IQ41" i="4"/>
  <c r="IQ48" i="4"/>
  <c r="IR119" i="4"/>
  <c r="IR95" i="4"/>
  <c r="IR120" i="4" s="1"/>
  <c r="IR130" i="4" s="1"/>
  <c r="DH130" i="4" s="1"/>
  <c r="IR91" i="4"/>
  <c r="IR90" i="4" s="1"/>
  <c r="DH90" i="4" s="1"/>
  <c r="DH97" i="4" s="1"/>
  <c r="IR151" i="4"/>
  <c r="IR154" i="4"/>
  <c r="IQ131" i="4"/>
  <c r="IO99" i="4"/>
  <c r="DE100" i="4" s="1"/>
  <c r="DE101" i="4" s="1"/>
  <c r="DE103" i="4" s="1"/>
  <c r="CU68" i="9" s="1"/>
  <c r="DI199" i="4"/>
  <c r="CY54" i="9"/>
  <c r="DI231" i="4"/>
  <c r="DF38" i="4"/>
  <c r="CW94" i="9"/>
  <c r="CW85" i="9"/>
  <c r="IP96" i="4"/>
  <c r="DF99" i="4"/>
  <c r="IP150" i="4" s="1"/>
  <c r="IR23" i="4"/>
  <c r="DI23" i="4"/>
  <c r="DH89" i="4"/>
  <c r="DB5" i="7"/>
  <c r="IL14" i="7"/>
  <c r="IL13" i="7"/>
  <c r="IL12" i="7"/>
  <c r="DC10" i="7"/>
  <c r="DC14" i="7"/>
  <c r="DC12" i="7"/>
  <c r="DC13" i="7"/>
  <c r="CZ29" i="7"/>
  <c r="CZ31" i="7"/>
  <c r="CZ32" i="7"/>
  <c r="CZ30" i="7"/>
  <c r="IS2" i="4"/>
  <c r="DC2" i="7"/>
  <c r="IS94" i="4"/>
  <c r="IS93" i="4" s="1"/>
  <c r="IS117" i="4"/>
  <c r="IS116" i="4" s="1"/>
  <c r="IS125" i="4"/>
  <c r="IS198" i="4"/>
  <c r="IS126" i="4"/>
  <c r="IS57" i="4"/>
  <c r="IS201" i="4"/>
  <c r="IS124" i="4"/>
  <c r="IS127" i="4"/>
  <c r="IS121" i="4"/>
  <c r="IS129" i="4"/>
  <c r="IM3" i="7"/>
  <c r="IS89" i="4"/>
  <c r="IS123" i="4"/>
  <c r="IS122" i="4"/>
  <c r="IS53" i="4"/>
  <c r="IK15" i="7"/>
  <c r="DA9" i="7" s="1"/>
  <c r="DH49" i="4"/>
  <c r="DK3" i="4"/>
  <c r="IT3" i="4"/>
  <c r="DJ2" i="4"/>
  <c r="DD3" i="7"/>
  <c r="DJ70" i="4"/>
  <c r="DJ83" i="4"/>
  <c r="DJ198" i="4"/>
  <c r="DJ45" i="4" l="1"/>
  <c r="DJ46" i="4"/>
  <c r="IR36" i="4"/>
  <c r="DH36" i="4" s="1"/>
  <c r="IR46" i="4"/>
  <c r="CV56" i="9"/>
  <c r="CV58" i="9" s="1"/>
  <c r="DF200" i="4"/>
  <c r="DB113" i="4"/>
  <c r="DB114" i="4" s="1"/>
  <c r="DB91" i="4" s="1"/>
  <c r="CP83" i="9"/>
  <c r="CP86" i="9" s="1"/>
  <c r="CP88" i="9" s="1"/>
  <c r="CP92" i="9" s="1"/>
  <c r="DA114" i="4"/>
  <c r="DA128" i="4" s="1"/>
  <c r="CX57" i="9"/>
  <c r="IP99" i="4"/>
  <c r="DF100" i="4" s="1"/>
  <c r="DF101" i="4" s="1"/>
  <c r="DF103" i="4" s="1"/>
  <c r="CV68" i="9" s="1"/>
  <c r="DD111" i="4"/>
  <c r="DD112" i="4" s="1"/>
  <c r="CT70" i="9"/>
  <c r="CT71" i="9" s="1"/>
  <c r="DC111" i="4"/>
  <c r="DC112" i="4" s="1"/>
  <c r="CS70" i="9"/>
  <c r="CS71" i="9" s="1"/>
  <c r="CX76" i="4"/>
  <c r="CX56" i="4"/>
  <c r="CR72" i="9"/>
  <c r="CR73" i="9" s="1"/>
  <c r="IH77" i="4"/>
  <c r="II77" i="4" s="1"/>
  <c r="CY76" i="4"/>
  <c r="CY56" i="4"/>
  <c r="IJ61" i="4"/>
  <c r="CZ206" i="4"/>
  <c r="IQ153" i="4"/>
  <c r="IQ156" i="4" s="1"/>
  <c r="IQ158" i="4" s="1"/>
  <c r="IQ159" i="4" s="1"/>
  <c r="IQ160" i="4" s="1"/>
  <c r="IR35" i="4"/>
  <c r="DH35" i="4" s="1"/>
  <c r="IR45" i="4"/>
  <c r="CY20" i="7"/>
  <c r="CY18" i="7"/>
  <c r="DG108" i="4"/>
  <c r="CW69" i="9" s="1"/>
  <c r="DG99" i="4"/>
  <c r="IQ150" i="4" s="1"/>
  <c r="DI31" i="4"/>
  <c r="IR155" i="4"/>
  <c r="DG38" i="4"/>
  <c r="IR92" i="4"/>
  <c r="IR97" i="4" s="1"/>
  <c r="DH107" i="4"/>
  <c r="DH98" i="4"/>
  <c r="DH137" i="4"/>
  <c r="IR118" i="4"/>
  <c r="DH136" i="4"/>
  <c r="DH105" i="4"/>
  <c r="DH96" i="4"/>
  <c r="DH138" i="4"/>
  <c r="DH102" i="4"/>
  <c r="DH106" i="4"/>
  <c r="DH122" i="4"/>
  <c r="CX77" i="9" s="1"/>
  <c r="IR152" i="4"/>
  <c r="DH125" i="4"/>
  <c r="CX80" i="9" s="1"/>
  <c r="DH127" i="4"/>
  <c r="CX82" i="9" s="1"/>
  <c r="DH124" i="4"/>
  <c r="CX79" i="9" s="1"/>
  <c r="DH123" i="4"/>
  <c r="CX78" i="9" s="1"/>
  <c r="DH129" i="4"/>
  <c r="CX84" i="9" s="1"/>
  <c r="DH126" i="4"/>
  <c r="CX81" i="9" s="1"/>
  <c r="DH121" i="4"/>
  <c r="CX76" i="9" s="1"/>
  <c r="IS119" i="4"/>
  <c r="IS95" i="4"/>
  <c r="IS120" i="4" s="1"/>
  <c r="IS130" i="4" s="1"/>
  <c r="DI130" i="4" s="1"/>
  <c r="IS91" i="4"/>
  <c r="IS90" i="4" s="1"/>
  <c r="DI90" i="4" s="1"/>
  <c r="DI97" i="4" s="1"/>
  <c r="IS151" i="4"/>
  <c r="IS154" i="4"/>
  <c r="DC15" i="7"/>
  <c r="DJ44" i="4"/>
  <c r="DJ28" i="4"/>
  <c r="DK22" i="4"/>
  <c r="DJ88" i="4"/>
  <c r="DJ43" i="4"/>
  <c r="DJ26" i="4"/>
  <c r="DJ27" i="4"/>
  <c r="IT22" i="4"/>
  <c r="DJ47" i="4"/>
  <c r="DJ30" i="4"/>
  <c r="DJ41" i="4"/>
  <c r="DJ42" i="4"/>
  <c r="DJ48" i="4"/>
  <c r="IL15" i="7"/>
  <c r="DB9" i="7" s="1"/>
  <c r="CX94" i="9"/>
  <c r="CX85" i="9"/>
  <c r="CZ54" i="9"/>
  <c r="DJ231" i="4"/>
  <c r="DJ199" i="4"/>
  <c r="DI252" i="4"/>
  <c r="DD10" i="7"/>
  <c r="DD14" i="7"/>
  <c r="DD12" i="7"/>
  <c r="DD13" i="7"/>
  <c r="IR44" i="4"/>
  <c r="IR37" i="4"/>
  <c r="DH37" i="4" s="1"/>
  <c r="IR27" i="4"/>
  <c r="IR26" i="4"/>
  <c r="IR43" i="4"/>
  <c r="IR30" i="4"/>
  <c r="IR47" i="4"/>
  <c r="IR28" i="4"/>
  <c r="IR34" i="4"/>
  <c r="DH34" i="4" s="1"/>
  <c r="IR41" i="4"/>
  <c r="IR42" i="4"/>
  <c r="IR48" i="4"/>
  <c r="CY53" i="9"/>
  <c r="CY67" i="9"/>
  <c r="CY55" i="9"/>
  <c r="DG139" i="4"/>
  <c r="CW90" i="9" s="1"/>
  <c r="IS23" i="4"/>
  <c r="DJ23" i="4"/>
  <c r="DI89" i="4"/>
  <c r="DC5" i="7"/>
  <c r="IT2" i="4"/>
  <c r="DD2" i="7"/>
  <c r="DI49" i="4"/>
  <c r="DI95" i="4"/>
  <c r="IR131" i="4"/>
  <c r="IT94" i="4"/>
  <c r="IT93" i="4" s="1"/>
  <c r="IT117" i="4"/>
  <c r="IT116" i="4" s="1"/>
  <c r="IT198" i="4"/>
  <c r="IT126" i="4"/>
  <c r="IT125" i="4"/>
  <c r="IT57" i="4"/>
  <c r="IT121" i="4"/>
  <c r="IT53" i="4"/>
  <c r="IT129" i="4"/>
  <c r="IN3" i="7"/>
  <c r="IT201" i="4"/>
  <c r="IT127" i="4"/>
  <c r="IT124" i="4"/>
  <c r="IT122" i="4"/>
  <c r="IT89" i="4"/>
  <c r="IT123" i="4"/>
  <c r="IQ54" i="4"/>
  <c r="DG51" i="4"/>
  <c r="IS131" i="4"/>
  <c r="DL3" i="4"/>
  <c r="IU3" i="4"/>
  <c r="DK83" i="4"/>
  <c r="DK70" i="4"/>
  <c r="DE3" i="7"/>
  <c r="DK2" i="4"/>
  <c r="DK198" i="4"/>
  <c r="IM14" i="7"/>
  <c r="IM12" i="7"/>
  <c r="IM13" i="7"/>
  <c r="DA30" i="7"/>
  <c r="DA32" i="7"/>
  <c r="DA31" i="7"/>
  <c r="DA29" i="7"/>
  <c r="IQ98" i="4"/>
  <c r="IP54" i="4"/>
  <c r="DF51" i="4"/>
  <c r="IQ146" i="4"/>
  <c r="IQ147" i="4" s="1"/>
  <c r="IQ148" i="4" s="1"/>
  <c r="IQ149" i="4" s="1"/>
  <c r="IQ96" i="4"/>
  <c r="CZ33" i="7"/>
  <c r="IS36" i="4" l="1"/>
  <c r="DI36" i="4" s="1"/>
  <c r="IS46" i="4"/>
  <c r="DK45" i="4"/>
  <c r="DK46" i="4"/>
  <c r="DB128" i="4"/>
  <c r="DB131" i="4" s="1"/>
  <c r="DB133" i="4" s="1"/>
  <c r="DB141" i="4" s="1"/>
  <c r="CW56" i="9"/>
  <c r="CW58" i="9" s="1"/>
  <c r="DG200" i="4"/>
  <c r="DA91" i="4"/>
  <c r="CY57" i="9"/>
  <c r="DC113" i="4"/>
  <c r="CS72" i="9" s="1"/>
  <c r="CS73" i="9" s="1"/>
  <c r="DD113" i="4"/>
  <c r="DD114" i="4" s="1"/>
  <c r="DD128" i="4" s="1"/>
  <c r="CY21" i="7"/>
  <c r="CY23" i="7" s="1"/>
  <c r="CY24" i="7" s="1"/>
  <c r="CY25" i="7" s="1"/>
  <c r="CY35" i="7" s="1"/>
  <c r="DE110" i="4" s="1"/>
  <c r="DE111" i="4" s="1"/>
  <c r="CZ56" i="4"/>
  <c r="CZ76" i="4"/>
  <c r="IJ77" i="4"/>
  <c r="DA131" i="4"/>
  <c r="DA133" i="4" s="1"/>
  <c r="DA141" i="4" s="1"/>
  <c r="CQ83" i="9"/>
  <c r="CQ86" i="9" s="1"/>
  <c r="CQ88" i="9" s="1"/>
  <c r="CQ92" i="9" s="1"/>
  <c r="CR83" i="9"/>
  <c r="CR86" i="9" s="1"/>
  <c r="CR88" i="9" s="1"/>
  <c r="CR92" i="9" s="1"/>
  <c r="IR153" i="4"/>
  <c r="IR156" i="4" s="1"/>
  <c r="IR158" i="4" s="1"/>
  <c r="IR159" i="4" s="1"/>
  <c r="IR160" i="4" s="1"/>
  <c r="IS35" i="4"/>
  <c r="DI35" i="4" s="1"/>
  <c r="IS45" i="4"/>
  <c r="DD15" i="7"/>
  <c r="DH108" i="4"/>
  <c r="CX69" i="9" s="1"/>
  <c r="IR98" i="4"/>
  <c r="IS155" i="4"/>
  <c r="DA33" i="7"/>
  <c r="DA20" i="7" s="1"/>
  <c r="IS152" i="4"/>
  <c r="DI122" i="4"/>
  <c r="CY77" i="9" s="1"/>
  <c r="DI124" i="4"/>
  <c r="DI121" i="4"/>
  <c r="DI127" i="4"/>
  <c r="DI126" i="4"/>
  <c r="IR146" i="4"/>
  <c r="IR147" i="4" s="1"/>
  <c r="IR148" i="4" s="1"/>
  <c r="IR149" i="4" s="1"/>
  <c r="IQ99" i="4"/>
  <c r="DG100" i="4" s="1"/>
  <c r="DG101" i="4" s="1"/>
  <c r="DG103" i="4" s="1"/>
  <c r="CW68" i="9" s="1"/>
  <c r="DJ31" i="4"/>
  <c r="IM15" i="7"/>
  <c r="DC9" i="7" s="1"/>
  <c r="DK44" i="4"/>
  <c r="DK28" i="4"/>
  <c r="DL22" i="4"/>
  <c r="DK88" i="4"/>
  <c r="DK43" i="4"/>
  <c r="DK26" i="4"/>
  <c r="IU22" i="4"/>
  <c r="DK27" i="4"/>
  <c r="DK30" i="4"/>
  <c r="DK47" i="4"/>
  <c r="DK42" i="4"/>
  <c r="DK41" i="4"/>
  <c r="DK48" i="4"/>
  <c r="IT95" i="4"/>
  <c r="IT120" i="4" s="1"/>
  <c r="IT130" i="4" s="1"/>
  <c r="DJ130" i="4" s="1"/>
  <c r="IT119" i="4"/>
  <c r="IT91" i="4"/>
  <c r="IT90" i="4" s="1"/>
  <c r="DJ90" i="4" s="1"/>
  <c r="DJ97" i="4" s="1"/>
  <c r="IT151" i="4"/>
  <c r="IT154" i="4"/>
  <c r="IR96" i="4"/>
  <c r="DH99" i="4"/>
  <c r="IR150" i="4" s="1"/>
  <c r="DK231" i="4"/>
  <c r="DK199" i="4"/>
  <c r="DA54" i="9"/>
  <c r="DE2" i="7"/>
  <c r="IU2" i="4"/>
  <c r="IU117" i="4"/>
  <c r="IU116" i="4" s="1"/>
  <c r="IU94" i="4"/>
  <c r="IU93" i="4" s="1"/>
  <c r="IO3" i="7"/>
  <c r="IU89" i="4"/>
  <c r="IU198" i="4"/>
  <c r="IU121" i="4"/>
  <c r="IU124" i="4"/>
  <c r="IU127" i="4"/>
  <c r="IU126" i="4"/>
  <c r="IU122" i="4"/>
  <c r="IU53" i="4"/>
  <c r="IU129" i="4"/>
  <c r="IU201" i="4"/>
  <c r="IU123" i="4"/>
  <c r="IU57" i="4"/>
  <c r="IU125" i="4"/>
  <c r="DI129" i="4"/>
  <c r="CZ18" i="7"/>
  <c r="CZ19" i="7"/>
  <c r="CZ20" i="7"/>
  <c r="DJ95" i="4"/>
  <c r="DH139" i="4"/>
  <c r="CX90" i="9" s="1"/>
  <c r="IS28" i="4"/>
  <c r="IS27" i="4"/>
  <c r="IS26" i="4"/>
  <c r="IS37" i="4"/>
  <c r="DI37" i="4" s="1"/>
  <c r="IS47" i="4"/>
  <c r="IS43" i="4"/>
  <c r="IS30" i="4"/>
  <c r="IS34" i="4"/>
  <c r="DI34" i="4" s="1"/>
  <c r="IS44" i="4"/>
  <c r="IS41" i="4"/>
  <c r="IS42" i="4"/>
  <c r="IS48" i="4"/>
  <c r="DE10" i="7"/>
  <c r="DE14" i="7"/>
  <c r="DE12" i="7"/>
  <c r="DE13" i="7"/>
  <c r="CZ67" i="9"/>
  <c r="CZ53" i="9"/>
  <c r="CZ55" i="9"/>
  <c r="DI125" i="4"/>
  <c r="DJ252" i="4"/>
  <c r="CY82" i="9"/>
  <c r="CY94" i="9"/>
  <c r="CY78" i="9"/>
  <c r="CY81" i="9"/>
  <c r="CY85" i="9"/>
  <c r="CY76" i="9"/>
  <c r="CY80" i="9"/>
  <c r="CY79" i="9"/>
  <c r="CY84" i="9"/>
  <c r="DI123" i="4"/>
  <c r="IV3" i="4"/>
  <c r="DM3" i="4"/>
  <c r="DL83" i="4"/>
  <c r="DL70" i="4"/>
  <c r="DL2" i="4"/>
  <c r="DL198" i="4"/>
  <c r="DF3" i="7"/>
  <c r="DB29" i="7"/>
  <c r="DB32" i="7"/>
  <c r="DB31" i="7"/>
  <c r="DB30" i="7"/>
  <c r="IT23" i="4"/>
  <c r="DK23" i="4"/>
  <c r="DD5" i="7"/>
  <c r="DJ89" i="4"/>
  <c r="IN13" i="7"/>
  <c r="IN12" i="7"/>
  <c r="IN14" i="7"/>
  <c r="DJ49" i="4"/>
  <c r="IS92" i="4"/>
  <c r="IS97" i="4" s="1"/>
  <c r="DI105" i="4"/>
  <c r="DI96" i="4"/>
  <c r="IS118" i="4"/>
  <c r="DI107" i="4"/>
  <c r="DI137" i="4"/>
  <c r="DI136" i="4"/>
  <c r="DI98" i="4"/>
  <c r="DI138" i="4"/>
  <c r="DI102" i="4"/>
  <c r="DI106" i="4"/>
  <c r="DH38" i="4"/>
  <c r="DL45" i="4" l="1"/>
  <c r="DL46" i="4"/>
  <c r="IT36" i="4"/>
  <c r="DJ36" i="4" s="1"/>
  <c r="IT46" i="4"/>
  <c r="IS98" i="4"/>
  <c r="CX56" i="9"/>
  <c r="CX58" i="9" s="1"/>
  <c r="DH200" i="4"/>
  <c r="DC114" i="4"/>
  <c r="DC128" i="4" s="1"/>
  <c r="CS83" i="9" s="1"/>
  <c r="CS86" i="9" s="1"/>
  <c r="CS88" i="9" s="1"/>
  <c r="CS92" i="9" s="1"/>
  <c r="CZ57" i="9"/>
  <c r="CT72" i="9"/>
  <c r="CT73" i="9" s="1"/>
  <c r="CU70" i="9"/>
  <c r="CU71" i="9" s="1"/>
  <c r="DE112" i="4"/>
  <c r="DE113" i="4"/>
  <c r="DD91" i="4"/>
  <c r="IK61" i="4"/>
  <c r="DA206" i="4"/>
  <c r="IL61" i="4"/>
  <c r="DB206" i="4"/>
  <c r="DD131" i="4"/>
  <c r="DD133" i="4" s="1"/>
  <c r="DD141" i="4" s="1"/>
  <c r="CT83" i="9"/>
  <c r="CT86" i="9" s="1"/>
  <c r="IS153" i="4"/>
  <c r="IS156" i="4" s="1"/>
  <c r="IS158" i="4" s="1"/>
  <c r="IS159" i="4" s="1"/>
  <c r="IS160" i="4" s="1"/>
  <c r="IT35" i="4"/>
  <c r="DJ35" i="4" s="1"/>
  <c r="IT45" i="4"/>
  <c r="IR99" i="4"/>
  <c r="DH100" i="4" s="1"/>
  <c r="DH101" i="4" s="1"/>
  <c r="DH103" i="4" s="1"/>
  <c r="CX68" i="9" s="1"/>
  <c r="DA18" i="7"/>
  <c r="DI38" i="4"/>
  <c r="DA19" i="7"/>
  <c r="IT131" i="4"/>
  <c r="DB33" i="7"/>
  <c r="DB18" i="7" s="1"/>
  <c r="IT155" i="4"/>
  <c r="IT92" i="4"/>
  <c r="IT97" i="4" s="1"/>
  <c r="DJ107" i="4"/>
  <c r="DJ136" i="4"/>
  <c r="DJ98" i="4"/>
  <c r="DJ105" i="4"/>
  <c r="IT118" i="4"/>
  <c r="DJ96" i="4"/>
  <c r="DJ137" i="4"/>
  <c r="DJ138" i="4"/>
  <c r="DJ102" i="4"/>
  <c r="DJ106" i="4"/>
  <c r="DJ123" i="4"/>
  <c r="CZ78" i="9" s="1"/>
  <c r="DJ124" i="4"/>
  <c r="CZ79" i="9" s="1"/>
  <c r="DJ126" i="4"/>
  <c r="CZ81" i="9" s="1"/>
  <c r="IT152" i="4"/>
  <c r="DJ122" i="4"/>
  <c r="CZ77" i="9" s="1"/>
  <c r="DJ125" i="4"/>
  <c r="CZ80" i="9" s="1"/>
  <c r="DJ127" i="4"/>
  <c r="CZ82" i="9" s="1"/>
  <c r="DJ121" i="4"/>
  <c r="CZ76" i="9" s="1"/>
  <c r="DJ129" i="4"/>
  <c r="IO14" i="7"/>
  <c r="IO12" i="7"/>
  <c r="IO13" i="7"/>
  <c r="CZ84" i="9"/>
  <c r="CZ94" i="9"/>
  <c r="CZ85" i="9"/>
  <c r="DI139" i="4"/>
  <c r="CY90" i="9" s="1"/>
  <c r="DA67" i="9"/>
  <c r="DA53" i="9"/>
  <c r="DA55" i="9"/>
  <c r="DA57" i="9"/>
  <c r="DE15" i="7"/>
  <c r="IU95" i="4"/>
  <c r="IU120" i="4" s="1"/>
  <c r="IU130" i="4" s="1"/>
  <c r="DK130" i="4" s="1"/>
  <c r="IU119" i="4"/>
  <c r="IU91" i="4"/>
  <c r="IU90" i="4" s="1"/>
  <c r="DK90" i="4" s="1"/>
  <c r="DK97" i="4" s="1"/>
  <c r="IU151" i="4"/>
  <c r="IU154" i="4"/>
  <c r="DI99" i="4"/>
  <c r="IS150" i="4" s="1"/>
  <c r="DK31" i="4"/>
  <c r="IS146" i="4"/>
  <c r="IS147" i="4" s="1"/>
  <c r="IS148" i="4" s="1"/>
  <c r="IS149" i="4" s="1"/>
  <c r="IS96" i="4"/>
  <c r="DK95" i="4"/>
  <c r="DB54" i="9"/>
  <c r="DL231" i="4"/>
  <c r="DL199" i="4"/>
  <c r="CZ21" i="7"/>
  <c r="CZ23" i="7" s="1"/>
  <c r="DL44" i="4"/>
  <c r="DM22" i="4"/>
  <c r="DL28" i="4"/>
  <c r="DL26" i="4"/>
  <c r="DL27" i="4"/>
  <c r="DL43" i="4"/>
  <c r="DL88" i="4"/>
  <c r="IV22" i="4"/>
  <c r="DL47" i="4"/>
  <c r="DL30" i="4"/>
  <c r="DL41" i="4"/>
  <c r="DL42" i="4"/>
  <c r="DL48" i="4"/>
  <c r="IV2" i="4"/>
  <c r="DF2" i="7"/>
  <c r="DK252" i="4"/>
  <c r="IW3" i="4"/>
  <c r="DN3" i="4"/>
  <c r="DG3" i="7"/>
  <c r="DM83" i="4"/>
  <c r="DM70" i="4"/>
  <c r="DM2" i="4"/>
  <c r="DM198" i="4"/>
  <c r="IV117" i="4"/>
  <c r="IV116" i="4" s="1"/>
  <c r="IV94" i="4"/>
  <c r="IV93" i="4" s="1"/>
  <c r="IV126" i="4"/>
  <c r="IV124" i="4"/>
  <c r="IV201" i="4"/>
  <c r="IV198" i="4"/>
  <c r="IP3" i="7"/>
  <c r="IV89" i="4"/>
  <c r="IV127" i="4"/>
  <c r="IV125" i="4"/>
  <c r="IV123" i="4"/>
  <c r="IV121" i="4"/>
  <c r="IV129" i="4"/>
  <c r="IV57" i="4"/>
  <c r="IV122" i="4"/>
  <c r="IV53" i="4"/>
  <c r="IR54" i="4"/>
  <c r="DH51" i="4"/>
  <c r="IN15" i="7"/>
  <c r="DD9" i="7" s="1"/>
  <c r="DC32" i="7"/>
  <c r="DC30" i="7"/>
  <c r="DC31" i="7"/>
  <c r="DC29" i="7"/>
  <c r="DF10" i="7"/>
  <c r="DF14" i="7"/>
  <c r="DF12" i="7"/>
  <c r="DF13" i="7"/>
  <c r="IU23" i="4"/>
  <c r="DL23" i="4"/>
  <c r="DE5" i="7"/>
  <c r="DK89" i="4"/>
  <c r="IT44" i="4"/>
  <c r="IT27" i="4"/>
  <c r="IT26" i="4"/>
  <c r="IT37" i="4"/>
  <c r="DJ37" i="4" s="1"/>
  <c r="IT43" i="4"/>
  <c r="IT30" i="4"/>
  <c r="IT47" i="4"/>
  <c r="IT34" i="4"/>
  <c r="DJ34" i="4" s="1"/>
  <c r="IT28" i="4"/>
  <c r="IT42" i="4"/>
  <c r="IT41" i="4"/>
  <c r="IT48" i="4"/>
  <c r="DI108" i="4"/>
  <c r="CY69" i="9" s="1"/>
  <c r="DK49" i="4"/>
  <c r="DM45" i="4" l="1"/>
  <c r="DM46" i="4"/>
  <c r="IU36" i="4"/>
  <c r="DK36" i="4" s="1"/>
  <c r="IU46" i="4"/>
  <c r="DI51" i="4"/>
  <c r="CY56" i="9"/>
  <c r="CY58" i="9" s="1"/>
  <c r="DI200" i="4"/>
  <c r="DC131" i="4"/>
  <c r="DC133" i="4" s="1"/>
  <c r="DC141" i="4" s="1"/>
  <c r="IM61" i="4" s="1"/>
  <c r="DC91" i="4"/>
  <c r="CT88" i="9"/>
  <c r="CT92" i="9" s="1"/>
  <c r="CU72" i="9"/>
  <c r="CU73" i="9" s="1"/>
  <c r="DE114" i="4"/>
  <c r="DE91" i="4" s="1"/>
  <c r="DC206" i="4"/>
  <c r="DB76" i="4"/>
  <c r="DB56" i="4"/>
  <c r="DA56" i="4"/>
  <c r="IK77" i="4"/>
  <c r="IL77" i="4" s="1"/>
  <c r="DA76" i="4"/>
  <c r="IN61" i="4"/>
  <c r="DD206" i="4"/>
  <c r="IS54" i="4"/>
  <c r="IT153" i="4"/>
  <c r="IT156" i="4" s="1"/>
  <c r="IT158" i="4" s="1"/>
  <c r="IT159" i="4" s="1"/>
  <c r="IT160" i="4" s="1"/>
  <c r="IT98" i="4"/>
  <c r="IU35" i="4"/>
  <c r="DK35" i="4" s="1"/>
  <c r="IU45" i="4"/>
  <c r="DB19" i="7"/>
  <c r="DB20" i="7"/>
  <c r="DA21" i="7"/>
  <c r="DA23" i="7" s="1"/>
  <c r="DA24" i="7" s="1"/>
  <c r="DA25" i="7" s="1"/>
  <c r="DA35" i="7" s="1"/>
  <c r="DG110" i="4" s="1"/>
  <c r="IS99" i="4"/>
  <c r="DI100" i="4" s="1"/>
  <c r="DI101" i="4" s="1"/>
  <c r="DI103" i="4" s="1"/>
  <c r="CY68" i="9" s="1"/>
  <c r="IO15" i="7"/>
  <c r="DE9" i="7" s="1"/>
  <c r="DE30" i="7" s="1"/>
  <c r="DF15" i="7"/>
  <c r="IU155" i="4"/>
  <c r="DK127" i="4"/>
  <c r="DA82" i="9" s="1"/>
  <c r="IT146" i="4"/>
  <c r="IT147" i="4" s="1"/>
  <c r="IT148" i="4" s="1"/>
  <c r="IT149" i="4" s="1"/>
  <c r="DK121" i="4"/>
  <c r="DA76" i="9" s="1"/>
  <c r="IU152" i="4"/>
  <c r="DK124" i="4"/>
  <c r="DA79" i="9" s="1"/>
  <c r="DK129" i="4"/>
  <c r="DA84" i="9" s="1"/>
  <c r="DK123" i="4"/>
  <c r="DA78" i="9" s="1"/>
  <c r="DK125" i="4"/>
  <c r="DA80" i="9" s="1"/>
  <c r="DK126" i="4"/>
  <c r="DA81" i="9" s="1"/>
  <c r="IW2" i="4"/>
  <c r="DG2" i="7"/>
  <c r="DG10" i="7"/>
  <c r="DG14" i="7"/>
  <c r="DG12" i="7"/>
  <c r="DG13" i="7"/>
  <c r="IU131" i="4"/>
  <c r="IX3" i="4"/>
  <c r="DO3" i="4"/>
  <c r="DN70" i="4"/>
  <c r="DN83" i="4"/>
  <c r="DH3" i="7"/>
  <c r="DN2" i="4"/>
  <c r="DN198" i="4"/>
  <c r="IV95" i="4"/>
  <c r="IV120" i="4" s="1"/>
  <c r="IV130" i="4" s="1"/>
  <c r="DL130" i="4" s="1"/>
  <c r="IV119" i="4"/>
  <c r="IV91" i="4"/>
  <c r="IV90" i="4" s="1"/>
  <c r="DL90" i="4" s="1"/>
  <c r="DL97" i="4" s="1"/>
  <c r="IV151" i="4"/>
  <c r="IV154" i="4"/>
  <c r="IW117" i="4"/>
  <c r="IW116" i="4" s="1"/>
  <c r="IW94" i="4"/>
  <c r="IW93" i="4" s="1"/>
  <c r="IW129" i="4"/>
  <c r="IW89" i="4"/>
  <c r="IW198" i="4"/>
  <c r="IW124" i="4"/>
  <c r="IW126" i="4"/>
  <c r="IW122" i="4"/>
  <c r="IW53" i="4"/>
  <c r="IW57" i="4"/>
  <c r="IW201" i="4"/>
  <c r="IW123" i="4"/>
  <c r="IW121" i="4"/>
  <c r="IQ3" i="7"/>
  <c r="IW127" i="4"/>
  <c r="IW125" i="4"/>
  <c r="DL95" i="4"/>
  <c r="DL252" i="4"/>
  <c r="DB53" i="9"/>
  <c r="DB67" i="9"/>
  <c r="DB57" i="9"/>
  <c r="DB55" i="9"/>
  <c r="DJ108" i="4"/>
  <c r="CZ69" i="9" s="1"/>
  <c r="DJ38" i="4"/>
  <c r="DL31" i="4"/>
  <c r="DM44" i="4"/>
  <c r="DN22" i="4"/>
  <c r="DM28" i="4"/>
  <c r="IW22" i="4"/>
  <c r="DM27" i="4"/>
  <c r="DM43" i="4"/>
  <c r="DM88" i="4"/>
  <c r="DM26" i="4"/>
  <c r="DM47" i="4"/>
  <c r="DM30" i="4"/>
  <c r="DM41" i="4"/>
  <c r="DM42" i="4"/>
  <c r="DM48" i="4"/>
  <c r="IU92" i="4"/>
  <c r="IU97" i="4" s="1"/>
  <c r="DK107" i="4"/>
  <c r="DK136" i="4"/>
  <c r="DK96" i="4"/>
  <c r="DK137" i="4"/>
  <c r="DK105" i="4"/>
  <c r="DK98" i="4"/>
  <c r="IU118" i="4"/>
  <c r="DK138" i="4"/>
  <c r="DK102" i="4"/>
  <c r="DK106" i="4"/>
  <c r="IT96" i="4"/>
  <c r="DJ99" i="4"/>
  <c r="IT150" i="4" s="1"/>
  <c r="IP13" i="7"/>
  <c r="IP14" i="7"/>
  <c r="IP12" i="7"/>
  <c r="DA94" i="9"/>
  <c r="DA77" i="9"/>
  <c r="DA85" i="9"/>
  <c r="DC33" i="7"/>
  <c r="DJ139" i="4"/>
  <c r="CZ90" i="9" s="1"/>
  <c r="DL49" i="4"/>
  <c r="CZ24" i="7"/>
  <c r="CZ25" i="7" s="1"/>
  <c r="CZ35" i="7" s="1"/>
  <c r="DF110" i="4" s="1"/>
  <c r="DK122" i="4"/>
  <c r="DM23" i="4"/>
  <c r="IV23" i="4"/>
  <c r="DL89" i="4"/>
  <c r="DF5" i="7"/>
  <c r="IU26" i="4"/>
  <c r="IU37" i="4"/>
  <c r="DK37" i="4" s="1"/>
  <c r="IU27" i="4"/>
  <c r="IU43" i="4"/>
  <c r="IU30" i="4"/>
  <c r="IU47" i="4"/>
  <c r="IU44" i="4"/>
  <c r="IU34" i="4"/>
  <c r="DK34" i="4" s="1"/>
  <c r="IU28" i="4"/>
  <c r="IU41" i="4"/>
  <c r="IU42" i="4"/>
  <c r="IU48" i="4"/>
  <c r="DD31" i="7"/>
  <c r="DD32" i="7"/>
  <c r="DD30" i="7"/>
  <c r="DD29" i="7"/>
  <c r="DC54" i="9"/>
  <c r="DM199" i="4"/>
  <c r="DM231" i="4"/>
  <c r="DN45" i="4" l="1"/>
  <c r="DN46" i="4"/>
  <c r="IV36" i="4"/>
  <c r="DL36" i="4" s="1"/>
  <c r="IV46" i="4"/>
  <c r="CZ56" i="9"/>
  <c r="CZ58" i="9" s="1"/>
  <c r="DJ200" i="4"/>
  <c r="DE128" i="4"/>
  <c r="DE131" i="4" s="1"/>
  <c r="DE133" i="4" s="1"/>
  <c r="DE141" i="4" s="1"/>
  <c r="IM77" i="4"/>
  <c r="IN77" i="4" s="1"/>
  <c r="DF111" i="4"/>
  <c r="DF112" i="4" s="1"/>
  <c r="CV70" i="9"/>
  <c r="CV71" i="9" s="1"/>
  <c r="DG111" i="4"/>
  <c r="DG113" i="4" s="1"/>
  <c r="CW70" i="9"/>
  <c r="CW71" i="9" s="1"/>
  <c r="DD76" i="4"/>
  <c r="DD56" i="4"/>
  <c r="DC56" i="4"/>
  <c r="DC76" i="4"/>
  <c r="IP15" i="7"/>
  <c r="DF9" i="7" s="1"/>
  <c r="DF32" i="7" s="1"/>
  <c r="DE29" i="7"/>
  <c r="DE31" i="7"/>
  <c r="DE32" i="7"/>
  <c r="DB21" i="7"/>
  <c r="DB23" i="7" s="1"/>
  <c r="DB24" i="7" s="1"/>
  <c r="DB25" i="7" s="1"/>
  <c r="DB35" i="7" s="1"/>
  <c r="DH110" i="4" s="1"/>
  <c r="IU153" i="4"/>
  <c r="IU156" i="4" s="1"/>
  <c r="IU158" i="4" s="1"/>
  <c r="IU159" i="4" s="1"/>
  <c r="IU160" i="4" s="1"/>
  <c r="IT99" i="4"/>
  <c r="DJ100" i="4" s="1"/>
  <c r="DJ101" i="4" s="1"/>
  <c r="DJ103" i="4" s="1"/>
  <c r="CZ68" i="9" s="1"/>
  <c r="IV35" i="4"/>
  <c r="DL35" i="4" s="1"/>
  <c r="IV45" i="4"/>
  <c r="DK108" i="4"/>
  <c r="DA69" i="9" s="1"/>
  <c r="IU98" i="4"/>
  <c r="DK38" i="4"/>
  <c r="IV131" i="4"/>
  <c r="IU146" i="4"/>
  <c r="IU147" i="4" s="1"/>
  <c r="IU148" i="4" s="1"/>
  <c r="IU149" i="4" s="1"/>
  <c r="IV155" i="4"/>
  <c r="DL98" i="4"/>
  <c r="IV92" i="4"/>
  <c r="IV97" i="4" s="1"/>
  <c r="DL107" i="4"/>
  <c r="DL137" i="4"/>
  <c r="DL105" i="4"/>
  <c r="IV118" i="4"/>
  <c r="DL96" i="4"/>
  <c r="DL136" i="4"/>
  <c r="DL138" i="4"/>
  <c r="DL102" i="4"/>
  <c r="DL106" i="4"/>
  <c r="DL125" i="4"/>
  <c r="DB80" i="9" s="1"/>
  <c r="DL123" i="4"/>
  <c r="DB78" i="9" s="1"/>
  <c r="DL122" i="4"/>
  <c r="DB77" i="9" s="1"/>
  <c r="DL121" i="4"/>
  <c r="DB76" i="9" s="1"/>
  <c r="IV152" i="4"/>
  <c r="DL127" i="4"/>
  <c r="DB82" i="9" s="1"/>
  <c r="DL124" i="4"/>
  <c r="DB79" i="9" s="1"/>
  <c r="DL129" i="4"/>
  <c r="DB84" i="9" s="1"/>
  <c r="DL126" i="4"/>
  <c r="DF29" i="7"/>
  <c r="DC67" i="9"/>
  <c r="DC53" i="9"/>
  <c r="DC57" i="9"/>
  <c r="DC55" i="9"/>
  <c r="DB94" i="9"/>
  <c r="DB81" i="9"/>
  <c r="DB85" i="9"/>
  <c r="IW95" i="4"/>
  <c r="IW120" i="4" s="1"/>
  <c r="IW130" i="4" s="1"/>
  <c r="DM130" i="4" s="1"/>
  <c r="IW119" i="4"/>
  <c r="IW91" i="4"/>
  <c r="IW90" i="4" s="1"/>
  <c r="DM90" i="4" s="1"/>
  <c r="DM97" i="4" s="1"/>
  <c r="IW151" i="4"/>
  <c r="IW154" i="4"/>
  <c r="DG15" i="7"/>
  <c r="IY3" i="4"/>
  <c r="DP3" i="4"/>
  <c r="DO83" i="4"/>
  <c r="DO2" i="4"/>
  <c r="DI3" i="7"/>
  <c r="DO70" i="4"/>
  <c r="DO198" i="4"/>
  <c r="DC18" i="7"/>
  <c r="DC20" i="7"/>
  <c r="DC19" i="7"/>
  <c r="DM252" i="4"/>
  <c r="IV28" i="4"/>
  <c r="IV27" i="4"/>
  <c r="IV37" i="4"/>
  <c r="DL37" i="4" s="1"/>
  <c r="IV26" i="4"/>
  <c r="IV43" i="4"/>
  <c r="IV47" i="4"/>
  <c r="IV30" i="4"/>
  <c r="IV34" i="4"/>
  <c r="DL34" i="4" s="1"/>
  <c r="IV44" i="4"/>
  <c r="IV42" i="4"/>
  <c r="IV41" i="4"/>
  <c r="IV48" i="4"/>
  <c r="IW23" i="4"/>
  <c r="DN23" i="4"/>
  <c r="DM89" i="4"/>
  <c r="DG5" i="7"/>
  <c r="DM31" i="4"/>
  <c r="DD33" i="7"/>
  <c r="IU96" i="4"/>
  <c r="DK99" i="4"/>
  <c r="IU150" i="4" s="1"/>
  <c r="DH10" i="7"/>
  <c r="DH14" i="7"/>
  <c r="DH12" i="7"/>
  <c r="DH13" i="7"/>
  <c r="DM95" i="4"/>
  <c r="DN28" i="4"/>
  <c r="DO22" i="4"/>
  <c r="DN44" i="4"/>
  <c r="DN88" i="4"/>
  <c r="IX22" i="4"/>
  <c r="DN43" i="4"/>
  <c r="DN27" i="4"/>
  <c r="DN26" i="4"/>
  <c r="DN47" i="4"/>
  <c r="DN30" i="4"/>
  <c r="DN41" i="4"/>
  <c r="DN42" i="4"/>
  <c r="DN48" i="4"/>
  <c r="DK139" i="4"/>
  <c r="DA90" i="9" s="1"/>
  <c r="DJ51" i="4"/>
  <c r="IT54" i="4"/>
  <c r="IX117" i="4"/>
  <c r="IX116" i="4" s="1"/>
  <c r="IX94" i="4"/>
  <c r="IX93" i="4" s="1"/>
  <c r="IX57" i="4"/>
  <c r="IX129" i="4"/>
  <c r="IX125" i="4"/>
  <c r="IX198" i="4"/>
  <c r="IX126" i="4"/>
  <c r="IX122" i="4"/>
  <c r="IX127" i="4"/>
  <c r="IR3" i="7"/>
  <c r="IX123" i="4"/>
  <c r="IX53" i="4"/>
  <c r="IX201" i="4"/>
  <c r="IX89" i="4"/>
  <c r="IX124" i="4"/>
  <c r="IX121" i="4"/>
  <c r="IQ13" i="7"/>
  <c r="IQ12" i="7"/>
  <c r="IQ14" i="7"/>
  <c r="DD54" i="9"/>
  <c r="DN231" i="4"/>
  <c r="DN199" i="4"/>
  <c r="DM49" i="4"/>
  <c r="DH2" i="7"/>
  <c r="IX2" i="4"/>
  <c r="DF31" i="7" l="1"/>
  <c r="DO45" i="4"/>
  <c r="DO46" i="4"/>
  <c r="DF30" i="7"/>
  <c r="IW36" i="4"/>
  <c r="DM36" i="4" s="1"/>
  <c r="IW46" i="4"/>
  <c r="IU54" i="4"/>
  <c r="DA56" i="9"/>
  <c r="DA58" i="9" s="1"/>
  <c r="DK200" i="4"/>
  <c r="DF113" i="4"/>
  <c r="CV72" i="9" s="1"/>
  <c r="CV73" i="9" s="1"/>
  <c r="CU83" i="9"/>
  <c r="CU86" i="9" s="1"/>
  <c r="CU88" i="9" s="1"/>
  <c r="CU92" i="9" s="1"/>
  <c r="DG112" i="4"/>
  <c r="CW72" i="9" s="1"/>
  <c r="CW73" i="9" s="1"/>
  <c r="DE33" i="7"/>
  <c r="DE20" i="7" s="1"/>
  <c r="DH111" i="4"/>
  <c r="DH113" i="4" s="1"/>
  <c r="CX70" i="9"/>
  <c r="CX71" i="9" s="1"/>
  <c r="IO61" i="4"/>
  <c r="DE206" i="4"/>
  <c r="IV153" i="4"/>
  <c r="IV156" i="4" s="1"/>
  <c r="IV158" i="4" s="1"/>
  <c r="IV159" i="4" s="1"/>
  <c r="IV160" i="4" s="1"/>
  <c r="IW35" i="4"/>
  <c r="DM35" i="4" s="1"/>
  <c r="IW45" i="4"/>
  <c r="DK51" i="4"/>
  <c r="DH15" i="7"/>
  <c r="IU99" i="4"/>
  <c r="DK100" i="4" s="1"/>
  <c r="DK101" i="4" s="1"/>
  <c r="DK103" i="4" s="1"/>
  <c r="DA68" i="9" s="1"/>
  <c r="DL108" i="4"/>
  <c r="DB69" i="9" s="1"/>
  <c r="DL99" i="4"/>
  <c r="IV150" i="4" s="1"/>
  <c r="IW155" i="4"/>
  <c r="IW131" i="4"/>
  <c r="DL38" i="4"/>
  <c r="DM137" i="4"/>
  <c r="DM136" i="4"/>
  <c r="DM105" i="4"/>
  <c r="DM107" i="4"/>
  <c r="IW118" i="4"/>
  <c r="DM98" i="4"/>
  <c r="IW92" i="4"/>
  <c r="IW97" i="4" s="1"/>
  <c r="DM96" i="4"/>
  <c r="DM138" i="4"/>
  <c r="DM102" i="4"/>
  <c r="DM106" i="4"/>
  <c r="DM124" i="4"/>
  <c r="DM125" i="4"/>
  <c r="DC80" i="9" s="1"/>
  <c r="DM129" i="4"/>
  <c r="IW152" i="4"/>
  <c r="DM127" i="4"/>
  <c r="DC82" i="9" s="1"/>
  <c r="DM122" i="4"/>
  <c r="DC77" i="9" s="1"/>
  <c r="DM126" i="4"/>
  <c r="DM123" i="4"/>
  <c r="DC78" i="9" s="1"/>
  <c r="DM121" i="4"/>
  <c r="DC76" i="9" s="1"/>
  <c r="DI2" i="7"/>
  <c r="IY2" i="4"/>
  <c r="DD20" i="7"/>
  <c r="DD19" i="7"/>
  <c r="DD18" i="7"/>
  <c r="IQ15" i="7"/>
  <c r="DG9" i="7" s="1"/>
  <c r="DN95" i="4"/>
  <c r="DN31" i="4"/>
  <c r="DO28" i="4"/>
  <c r="DO44" i="4"/>
  <c r="DP22" i="4"/>
  <c r="DO26" i="4"/>
  <c r="DO27" i="4"/>
  <c r="IY22" i="4"/>
  <c r="DO43" i="4"/>
  <c r="DO88" i="4"/>
  <c r="DO30" i="4"/>
  <c r="DO47" i="4"/>
  <c r="DO41" i="4"/>
  <c r="DO42" i="4"/>
  <c r="DO48" i="4"/>
  <c r="DC21" i="7"/>
  <c r="DC23" i="7" s="1"/>
  <c r="DC24" i="7" s="1"/>
  <c r="DC25" i="7" s="1"/>
  <c r="DC35" i="7" s="1"/>
  <c r="DI110" i="4" s="1"/>
  <c r="DL139" i="4"/>
  <c r="DB90" i="9" s="1"/>
  <c r="DO23" i="4"/>
  <c r="IX23" i="4"/>
  <c r="DN89" i="4"/>
  <c r="DH5" i="7"/>
  <c r="IW44" i="4"/>
  <c r="IW28" i="4"/>
  <c r="IW27" i="4"/>
  <c r="IW37" i="4"/>
  <c r="DM37" i="4" s="1"/>
  <c r="IW26" i="4"/>
  <c r="IW43" i="4"/>
  <c r="IW47" i="4"/>
  <c r="IW30" i="4"/>
  <c r="IW34" i="4"/>
  <c r="DM34" i="4" s="1"/>
  <c r="IW42" i="4"/>
  <c r="IW41" i="4"/>
  <c r="IW48" i="4"/>
  <c r="DO199" i="4"/>
  <c r="DE54" i="9"/>
  <c r="DO231" i="4"/>
  <c r="DC81" i="9"/>
  <c r="DC84" i="9"/>
  <c r="DC79" i="9"/>
  <c r="DC94" i="9"/>
  <c r="DC85" i="9"/>
  <c r="IX95" i="4"/>
  <c r="IX120" i="4" s="1"/>
  <c r="IX130" i="4" s="1"/>
  <c r="DN130" i="4" s="1"/>
  <c r="IX119" i="4"/>
  <c r="IX91" i="4"/>
  <c r="IX90" i="4" s="1"/>
  <c r="DN90" i="4" s="1"/>
  <c r="DN97" i="4" s="1"/>
  <c r="IX151" i="4"/>
  <c r="IX154" i="4"/>
  <c r="DI10" i="7"/>
  <c r="DI14" i="7"/>
  <c r="DI12" i="7"/>
  <c r="DI13" i="7"/>
  <c r="IZ3" i="4"/>
  <c r="DQ3" i="4"/>
  <c r="DP83" i="4"/>
  <c r="DP70" i="4"/>
  <c r="DJ3" i="7"/>
  <c r="DP2" i="4"/>
  <c r="DP198" i="4"/>
  <c r="DN49" i="4"/>
  <c r="DN252" i="4"/>
  <c r="IR14" i="7"/>
  <c r="IR12" i="7"/>
  <c r="IR13" i="7"/>
  <c r="IY117" i="4"/>
  <c r="IY116" i="4" s="1"/>
  <c r="IY94" i="4"/>
  <c r="IY93" i="4" s="1"/>
  <c r="IY122" i="4"/>
  <c r="IY126" i="4"/>
  <c r="IY127" i="4"/>
  <c r="IY121" i="4"/>
  <c r="IS3" i="7"/>
  <c r="IY201" i="4"/>
  <c r="IY198" i="4"/>
  <c r="IY53" i="4"/>
  <c r="IY89" i="4"/>
  <c r="IY125" i="4"/>
  <c r="IY57" i="4"/>
  <c r="IY124" i="4"/>
  <c r="IY123" i="4"/>
  <c r="IY129" i="4"/>
  <c r="IV146" i="4"/>
  <c r="IV147" i="4" s="1"/>
  <c r="IV148" i="4" s="1"/>
  <c r="IV149" i="4" s="1"/>
  <c r="IV96" i="4"/>
  <c r="DD67" i="9"/>
  <c r="DD53" i="9"/>
  <c r="DD55" i="9"/>
  <c r="IV98" i="4"/>
  <c r="DF33" i="7" l="1"/>
  <c r="DF18" i="7" s="1"/>
  <c r="DP45" i="4"/>
  <c r="DP46" i="4"/>
  <c r="IX36" i="4"/>
  <c r="DN36" i="4" s="1"/>
  <c r="IX46" i="4"/>
  <c r="DL51" i="4"/>
  <c r="DB56" i="9"/>
  <c r="DB58" i="9" s="1"/>
  <c r="DL200" i="4"/>
  <c r="DE19" i="7"/>
  <c r="DD57" i="9"/>
  <c r="DF114" i="4"/>
  <c r="DF128" i="4" s="1"/>
  <c r="DH112" i="4"/>
  <c r="DH114" i="4" s="1"/>
  <c r="DH91" i="4" s="1"/>
  <c r="DG114" i="4"/>
  <c r="DE18" i="7"/>
  <c r="DI111" i="4"/>
  <c r="DI112" i="4" s="1"/>
  <c r="CY70" i="9"/>
  <c r="CY71" i="9" s="1"/>
  <c r="IO77" i="4"/>
  <c r="DE76" i="4"/>
  <c r="DE56" i="4"/>
  <c r="IV54" i="4"/>
  <c r="IW153" i="4"/>
  <c r="IW156" i="4" s="1"/>
  <c r="IW158" i="4" s="1"/>
  <c r="IW159" i="4" s="1"/>
  <c r="IW160" i="4" s="1"/>
  <c r="IX35" i="4"/>
  <c r="DN35" i="4" s="1"/>
  <c r="IX45" i="4"/>
  <c r="DM108" i="4"/>
  <c r="DC69" i="9" s="1"/>
  <c r="DM38" i="4"/>
  <c r="IV99" i="4"/>
  <c r="DL100" i="4" s="1"/>
  <c r="DL101" i="4" s="1"/>
  <c r="DL103" i="4" s="1"/>
  <c r="DB68" i="9" s="1"/>
  <c r="IX155" i="4"/>
  <c r="DN136" i="4"/>
  <c r="DN105" i="4"/>
  <c r="DN98" i="4"/>
  <c r="DN96" i="4"/>
  <c r="DN107" i="4"/>
  <c r="DN137" i="4"/>
  <c r="IX118" i="4"/>
  <c r="IX92" i="4"/>
  <c r="IX97" i="4" s="1"/>
  <c r="DN138" i="4"/>
  <c r="DN102" i="4"/>
  <c r="DN106" i="4"/>
  <c r="DN127" i="4"/>
  <c r="DN121" i="4"/>
  <c r="DN124" i="4"/>
  <c r="IX152" i="4"/>
  <c r="DN123" i="4"/>
  <c r="DD78" i="9" s="1"/>
  <c r="DN125" i="4"/>
  <c r="DN122" i="4"/>
  <c r="DN129" i="4"/>
  <c r="DD84" i="9" s="1"/>
  <c r="DN126" i="4"/>
  <c r="DG29" i="7"/>
  <c r="DG32" i="7"/>
  <c r="DG31" i="7"/>
  <c r="DG30" i="7"/>
  <c r="IX28" i="4"/>
  <c r="IX44" i="4"/>
  <c r="IX37" i="4"/>
  <c r="DN37" i="4" s="1"/>
  <c r="IX27" i="4"/>
  <c r="IX26" i="4"/>
  <c r="IX43" i="4"/>
  <c r="IX30" i="4"/>
  <c r="IX47" i="4"/>
  <c r="IX34" i="4"/>
  <c r="DN34" i="4" s="1"/>
  <c r="IX41" i="4"/>
  <c r="IX42" i="4"/>
  <c r="IX48" i="4"/>
  <c r="DD85" i="9"/>
  <c r="DD79" i="9"/>
  <c r="DD94" i="9"/>
  <c r="DD82" i="9"/>
  <c r="DD77" i="9"/>
  <c r="DD76" i="9"/>
  <c r="DD80" i="9"/>
  <c r="DD81" i="9"/>
  <c r="DE53" i="9"/>
  <c r="DE67" i="9"/>
  <c r="DE55" i="9"/>
  <c r="IW146" i="4"/>
  <c r="IW147" i="4" s="1"/>
  <c r="IW148" i="4" s="1"/>
  <c r="IW149" i="4" s="1"/>
  <c r="IW98" i="4"/>
  <c r="IR15" i="7"/>
  <c r="DH9" i="7" s="1"/>
  <c r="IZ2" i="4"/>
  <c r="DJ2" i="7"/>
  <c r="IY119" i="4"/>
  <c r="IY95" i="4"/>
  <c r="IY120" i="4" s="1"/>
  <c r="IY130" i="4" s="1"/>
  <c r="DO130" i="4" s="1"/>
  <c r="IY91" i="4"/>
  <c r="IY90" i="4" s="1"/>
  <c r="DO90" i="4" s="1"/>
  <c r="DO97" i="4" s="1"/>
  <c r="IY151" i="4"/>
  <c r="IY154" i="4"/>
  <c r="DJ10" i="7"/>
  <c r="DJ14" i="7"/>
  <c r="DJ12" i="7"/>
  <c r="DJ13" i="7"/>
  <c r="DP23" i="4"/>
  <c r="IY23" i="4"/>
  <c r="DO89" i="4"/>
  <c r="DI5" i="7"/>
  <c r="DO95" i="4"/>
  <c r="DD21" i="7"/>
  <c r="DD23" i="7" s="1"/>
  <c r="DD24" i="7" s="1"/>
  <c r="DD25" i="7" s="1"/>
  <c r="DD35" i="7" s="1"/>
  <c r="DJ110" i="4" s="1"/>
  <c r="IS14" i="7"/>
  <c r="IS13" i="7"/>
  <c r="IS12" i="7"/>
  <c r="DM139" i="4"/>
  <c r="DC90" i="9" s="1"/>
  <c r="DO49" i="4"/>
  <c r="IW96" i="4"/>
  <c r="DM99" i="4"/>
  <c r="IW150" i="4" s="1"/>
  <c r="IZ117" i="4"/>
  <c r="IZ116" i="4" s="1"/>
  <c r="IZ94" i="4"/>
  <c r="IZ93" i="4" s="1"/>
  <c r="IZ122" i="4"/>
  <c r="IZ198" i="4"/>
  <c r="IZ127" i="4"/>
  <c r="IZ125" i="4"/>
  <c r="IZ124" i="4"/>
  <c r="IZ53" i="4"/>
  <c r="IZ201" i="4"/>
  <c r="IZ57" i="4"/>
  <c r="IT3" i="7"/>
  <c r="IZ126" i="4"/>
  <c r="IZ121" i="4"/>
  <c r="IZ89" i="4"/>
  <c r="IZ123" i="4"/>
  <c r="IZ129" i="4"/>
  <c r="DI15" i="7"/>
  <c r="DP231" i="4"/>
  <c r="DP199" i="4"/>
  <c r="DF54" i="9"/>
  <c r="DR3" i="4"/>
  <c r="JA3" i="4"/>
  <c r="DQ2" i="4"/>
  <c r="DQ83" i="4"/>
  <c r="DQ70" i="4"/>
  <c r="DK3" i="7"/>
  <c r="DQ198" i="4"/>
  <c r="DO252" i="4"/>
  <c r="IX131" i="4"/>
  <c r="DO31" i="4"/>
  <c r="DP28" i="4"/>
  <c r="DQ22" i="4"/>
  <c r="DP44" i="4"/>
  <c r="DP43" i="4"/>
  <c r="IZ22" i="4"/>
  <c r="DP27" i="4"/>
  <c r="DP26" i="4"/>
  <c r="DP88" i="4"/>
  <c r="DP47" i="4"/>
  <c r="DP30" i="4"/>
  <c r="DP41" i="4"/>
  <c r="DP42" i="4"/>
  <c r="DP48" i="4"/>
  <c r="DF19" i="7" l="1"/>
  <c r="DF20" i="7"/>
  <c r="DE21" i="7"/>
  <c r="DE23" i="7" s="1"/>
  <c r="DE24" i="7" s="1"/>
  <c r="DE25" i="7" s="1"/>
  <c r="DE35" i="7" s="1"/>
  <c r="DK110" i="4" s="1"/>
  <c r="DA70" i="9" s="1"/>
  <c r="DA71" i="9" s="1"/>
  <c r="IY36" i="4"/>
  <c r="DO36" i="4" s="1"/>
  <c r="IY46" i="4"/>
  <c r="DQ45" i="4"/>
  <c r="DQ46" i="4"/>
  <c r="DM51" i="4"/>
  <c r="DC56" i="9"/>
  <c r="DC58" i="9" s="1"/>
  <c r="DM200" i="4"/>
  <c r="DE57" i="9"/>
  <c r="CX72" i="9"/>
  <c r="CX73" i="9" s="1"/>
  <c r="DF91" i="4"/>
  <c r="DH128" i="4"/>
  <c r="DH131" i="4" s="1"/>
  <c r="DH133" i="4" s="1"/>
  <c r="DH141" i="4" s="1"/>
  <c r="DG128" i="4"/>
  <c r="DG91" i="4"/>
  <c r="DI113" i="4"/>
  <c r="DI114" i="4" s="1"/>
  <c r="DI128" i="4" s="1"/>
  <c r="DJ111" i="4"/>
  <c r="DJ113" i="4" s="1"/>
  <c r="CZ70" i="9"/>
  <c r="CZ71" i="9" s="1"/>
  <c r="CX83" i="9"/>
  <c r="CX86" i="9" s="1"/>
  <c r="DF131" i="4"/>
  <c r="DF133" i="4" s="1"/>
  <c r="DF141" i="4" s="1"/>
  <c r="CV83" i="9"/>
  <c r="CV86" i="9" s="1"/>
  <c r="CV88" i="9" s="1"/>
  <c r="CV92" i="9" s="1"/>
  <c r="IX153" i="4"/>
  <c r="IX156" i="4" s="1"/>
  <c r="IX158" i="4" s="1"/>
  <c r="IX159" i="4" s="1"/>
  <c r="IX160" i="4" s="1"/>
  <c r="IY35" i="4"/>
  <c r="DO35" i="4" s="1"/>
  <c r="IY45" i="4"/>
  <c r="IW54" i="4"/>
  <c r="IS15" i="7"/>
  <c r="DI9" i="7" s="1"/>
  <c r="DI32" i="7" s="1"/>
  <c r="DN38" i="4"/>
  <c r="DJ15" i="7"/>
  <c r="DN108" i="4"/>
  <c r="DD69" i="9" s="1"/>
  <c r="DP49" i="4"/>
  <c r="IX146" i="4"/>
  <c r="IX147" i="4" s="1"/>
  <c r="IX148" i="4" s="1"/>
  <c r="IX149" i="4" s="1"/>
  <c r="IY131" i="4"/>
  <c r="DO105" i="4"/>
  <c r="IY118" i="4"/>
  <c r="DO136" i="4"/>
  <c r="DO98" i="4"/>
  <c r="DO107" i="4"/>
  <c r="DO137" i="4"/>
  <c r="DO96" i="4"/>
  <c r="IY92" i="4"/>
  <c r="IY97" i="4" s="1"/>
  <c r="DO138" i="4"/>
  <c r="DO102" i="4"/>
  <c r="DO106" i="4"/>
  <c r="DO122" i="4"/>
  <c r="DE77" i="9" s="1"/>
  <c r="IY152" i="4"/>
  <c r="DO129" i="4"/>
  <c r="DE84" i="9" s="1"/>
  <c r="DO121" i="4"/>
  <c r="DE76" i="9" s="1"/>
  <c r="DO123" i="4"/>
  <c r="DE78" i="9" s="1"/>
  <c r="DO124" i="4"/>
  <c r="DE79" i="9" s="1"/>
  <c r="DO125" i="4"/>
  <c r="DE80" i="9" s="1"/>
  <c r="DO127" i="4"/>
  <c r="DE82" i="9" s="1"/>
  <c r="DO126" i="4"/>
  <c r="DE81" i="9" s="1"/>
  <c r="DE94" i="9"/>
  <c r="DE85" i="9"/>
  <c r="DF53" i="9"/>
  <c r="DF67" i="9"/>
  <c r="DF55" i="9"/>
  <c r="DF57" i="9"/>
  <c r="DH30" i="7"/>
  <c r="DH32" i="7"/>
  <c r="DH31" i="7"/>
  <c r="DH29" i="7"/>
  <c r="IY28" i="4"/>
  <c r="IY44" i="4"/>
  <c r="IY27" i="4"/>
  <c r="IY37" i="4"/>
  <c r="DO37" i="4" s="1"/>
  <c r="IY26" i="4"/>
  <c r="IY30" i="4"/>
  <c r="IY43" i="4"/>
  <c r="IY47" i="4"/>
  <c r="IY34" i="4"/>
  <c r="DO34" i="4" s="1"/>
  <c r="IY41" i="4"/>
  <c r="IY42" i="4"/>
  <c r="IY48" i="4"/>
  <c r="IZ119" i="4"/>
  <c r="IZ95" i="4"/>
  <c r="IZ120" i="4" s="1"/>
  <c r="IZ130" i="4" s="1"/>
  <c r="DP130" i="4" s="1"/>
  <c r="IZ91" i="4"/>
  <c r="IZ90" i="4" s="1"/>
  <c r="DP90" i="4" s="1"/>
  <c r="DP97" i="4" s="1"/>
  <c r="IZ151" i="4"/>
  <c r="IZ154" i="4"/>
  <c r="DP31" i="4"/>
  <c r="DP252" i="4"/>
  <c r="IZ23" i="4"/>
  <c r="DQ23" i="4"/>
  <c r="DP89" i="4"/>
  <c r="DJ5" i="7"/>
  <c r="DP95" i="4"/>
  <c r="DG54" i="9"/>
  <c r="DQ199" i="4"/>
  <c r="DQ231" i="4"/>
  <c r="IW99" i="4"/>
  <c r="DM100" i="4" s="1"/>
  <c r="DM101" i="4" s="1"/>
  <c r="DM103" i="4" s="1"/>
  <c r="DC68" i="9" s="1"/>
  <c r="DK10" i="7"/>
  <c r="DK14" i="7"/>
  <c r="DK12" i="7"/>
  <c r="DK13" i="7"/>
  <c r="IX96" i="4"/>
  <c r="DN99" i="4"/>
  <c r="IX150" i="4" s="1"/>
  <c r="IT14" i="7"/>
  <c r="IT12" i="7"/>
  <c r="IT13" i="7"/>
  <c r="IX98" i="4"/>
  <c r="JA2" i="4"/>
  <c r="DK2" i="7"/>
  <c r="IY155" i="4"/>
  <c r="DN139" i="4"/>
  <c r="DD90" i="9" s="1"/>
  <c r="DQ28" i="4"/>
  <c r="DQ44" i="4"/>
  <c r="DR22" i="4"/>
  <c r="DQ26" i="4"/>
  <c r="DQ43" i="4"/>
  <c r="DQ27" i="4"/>
  <c r="DQ88" i="4"/>
  <c r="JA22" i="4"/>
  <c r="DQ47" i="4"/>
  <c r="DQ30" i="4"/>
  <c r="DQ42" i="4"/>
  <c r="DQ41" i="4"/>
  <c r="DQ48" i="4"/>
  <c r="JA94" i="4"/>
  <c r="JA93" i="4" s="1"/>
  <c r="JA117" i="4"/>
  <c r="JA116" i="4" s="1"/>
  <c r="JA122" i="4"/>
  <c r="JA127" i="4"/>
  <c r="JA126" i="4"/>
  <c r="JA125" i="4"/>
  <c r="JA129" i="4"/>
  <c r="JA198" i="4"/>
  <c r="IU3" i="7"/>
  <c r="JA57" i="4"/>
  <c r="JA124" i="4"/>
  <c r="JA121" i="4"/>
  <c r="JA123" i="4"/>
  <c r="JA201" i="4"/>
  <c r="JA53" i="4"/>
  <c r="JA89" i="4"/>
  <c r="DS3" i="4"/>
  <c r="JB3" i="4"/>
  <c r="DR70" i="4"/>
  <c r="DR83" i="4"/>
  <c r="DR2" i="4"/>
  <c r="DL3" i="7"/>
  <c r="DR198" i="4"/>
  <c r="DG33" i="7"/>
  <c r="DF21" i="7" l="1"/>
  <c r="DF23" i="7" s="1"/>
  <c r="DF24" i="7" s="1"/>
  <c r="DF25" i="7" s="1"/>
  <c r="DF35" i="7" s="1"/>
  <c r="DL110" i="4" s="1"/>
  <c r="DL111" i="4" s="1"/>
  <c r="DL113" i="4" s="1"/>
  <c r="DK111" i="4"/>
  <c r="DK112" i="4" s="1"/>
  <c r="DR45" i="4"/>
  <c r="DR46" i="4"/>
  <c r="IZ36" i="4"/>
  <c r="DP36" i="4" s="1"/>
  <c r="IZ46" i="4"/>
  <c r="IX54" i="4"/>
  <c r="DD56" i="9"/>
  <c r="DD58" i="9" s="1"/>
  <c r="DN200" i="4"/>
  <c r="CX88" i="9"/>
  <c r="CX92" i="9" s="1"/>
  <c r="DJ112" i="4"/>
  <c r="CZ72" i="9" s="1"/>
  <c r="CZ73" i="9" s="1"/>
  <c r="CY72" i="9"/>
  <c r="CY73" i="9" s="1"/>
  <c r="CW83" i="9"/>
  <c r="CW86" i="9" s="1"/>
  <c r="CW88" i="9" s="1"/>
  <c r="CW92" i="9" s="1"/>
  <c r="DG131" i="4"/>
  <c r="DG133" i="4" s="1"/>
  <c r="DG141" i="4" s="1"/>
  <c r="DB70" i="9"/>
  <c r="DB71" i="9" s="1"/>
  <c r="IP61" i="4"/>
  <c r="DF206" i="4"/>
  <c r="IR61" i="4"/>
  <c r="DH206" i="4"/>
  <c r="DA72" i="9"/>
  <c r="DA73" i="9" s="1"/>
  <c r="DI131" i="4"/>
  <c r="DI133" i="4" s="1"/>
  <c r="DI141" i="4" s="1"/>
  <c r="CY83" i="9"/>
  <c r="CY86" i="9" s="1"/>
  <c r="IY153" i="4"/>
  <c r="IY156" i="4" s="1"/>
  <c r="IY158" i="4" s="1"/>
  <c r="IY159" i="4" s="1"/>
  <c r="IY160" i="4" s="1"/>
  <c r="IZ35" i="4"/>
  <c r="DP35" i="4" s="1"/>
  <c r="IZ45" i="4"/>
  <c r="DI29" i="7"/>
  <c r="DI30" i="7"/>
  <c r="DI31" i="7"/>
  <c r="DN51" i="4"/>
  <c r="DO108" i="4"/>
  <c r="DE69" i="9" s="1"/>
  <c r="IT15" i="7"/>
  <c r="DJ9" i="7" s="1"/>
  <c r="DJ32" i="7" s="1"/>
  <c r="DK15" i="7"/>
  <c r="DI91" i="4"/>
  <c r="IY146" i="4"/>
  <c r="IY147" i="4" s="1"/>
  <c r="IY148" i="4" s="1"/>
  <c r="IY149" i="4" s="1"/>
  <c r="DH33" i="7"/>
  <c r="DH20" i="7" s="1"/>
  <c r="DP96" i="4"/>
  <c r="DP107" i="4"/>
  <c r="DP105" i="4"/>
  <c r="DP98" i="4"/>
  <c r="IZ92" i="4"/>
  <c r="IZ97" i="4" s="1"/>
  <c r="DP137" i="4"/>
  <c r="IZ118" i="4"/>
  <c r="DP136" i="4"/>
  <c r="DP138" i="4"/>
  <c r="DP102" i="4"/>
  <c r="DP106" i="4"/>
  <c r="DP122" i="4"/>
  <c r="DF77" i="9" s="1"/>
  <c r="DP123" i="4"/>
  <c r="DF78" i="9" s="1"/>
  <c r="DP129" i="4"/>
  <c r="DF84" i="9" s="1"/>
  <c r="DP124" i="4"/>
  <c r="DF79" i="9" s="1"/>
  <c r="DP126" i="4"/>
  <c r="DF81" i="9" s="1"/>
  <c r="DP125" i="4"/>
  <c r="DF80" i="9" s="1"/>
  <c r="DP121" i="4"/>
  <c r="DP127" i="4"/>
  <c r="IZ152" i="4"/>
  <c r="DQ31" i="4"/>
  <c r="IZ155" i="4"/>
  <c r="DR28" i="4"/>
  <c r="DR44" i="4"/>
  <c r="DS22" i="4"/>
  <c r="DR43" i="4"/>
  <c r="DR26" i="4"/>
  <c r="DR27" i="4"/>
  <c r="JB22" i="4"/>
  <c r="DR88" i="4"/>
  <c r="DR30" i="4"/>
  <c r="DR47" i="4"/>
  <c r="DR41" i="4"/>
  <c r="DR42" i="4"/>
  <c r="DR48" i="4"/>
  <c r="IX99" i="4"/>
  <c r="DN100" i="4" s="1"/>
  <c r="DN101" i="4" s="1"/>
  <c r="DN103" i="4" s="1"/>
  <c r="DD68" i="9" s="1"/>
  <c r="DQ95" i="4"/>
  <c r="DQ252" i="4"/>
  <c r="IZ131" i="4"/>
  <c r="IY96" i="4"/>
  <c r="DO99" i="4"/>
  <c r="IY150" i="4" s="1"/>
  <c r="DG18" i="7"/>
  <c r="DG19" i="7"/>
  <c r="DG20" i="7"/>
  <c r="DR231" i="4"/>
  <c r="DR199" i="4"/>
  <c r="DH54" i="9"/>
  <c r="DG67" i="9"/>
  <c r="DG53" i="9"/>
  <c r="DG57" i="9"/>
  <c r="DG55" i="9"/>
  <c r="IY98" i="4"/>
  <c r="DL10" i="7"/>
  <c r="DL14" i="7"/>
  <c r="DL12" i="7"/>
  <c r="DL13" i="7"/>
  <c r="DL2" i="7"/>
  <c r="JB2" i="4"/>
  <c r="DO38" i="4"/>
  <c r="DO139" i="4"/>
  <c r="DE90" i="9" s="1"/>
  <c r="DF85" i="9"/>
  <c r="DF82" i="9"/>
  <c r="DF94" i="9"/>
  <c r="DF76" i="9"/>
  <c r="IZ44" i="4"/>
  <c r="IZ28" i="4"/>
  <c r="IZ26" i="4"/>
  <c r="IZ37" i="4"/>
  <c r="DP37" i="4" s="1"/>
  <c r="IZ27" i="4"/>
  <c r="IZ30" i="4"/>
  <c r="IZ43" i="4"/>
  <c r="IZ47" i="4"/>
  <c r="IZ34" i="4"/>
  <c r="DP34" i="4" s="1"/>
  <c r="IZ42" i="4"/>
  <c r="IZ41" i="4"/>
  <c r="IZ48" i="4"/>
  <c r="JA95" i="4"/>
  <c r="JA120" i="4" s="1"/>
  <c r="JA130" i="4" s="1"/>
  <c r="DQ130" i="4" s="1"/>
  <c r="JA119" i="4"/>
  <c r="JA91" i="4"/>
  <c r="JA90" i="4" s="1"/>
  <c r="DQ90" i="4" s="1"/>
  <c r="DQ97" i="4" s="1"/>
  <c r="JA151" i="4"/>
  <c r="JA154" i="4"/>
  <c r="IU14" i="7"/>
  <c r="IU12" i="7"/>
  <c r="IU13" i="7"/>
  <c r="DQ49" i="4"/>
  <c r="JB94" i="4"/>
  <c r="JB93" i="4" s="1"/>
  <c r="JB117" i="4"/>
  <c r="JB116" i="4" s="1"/>
  <c r="JB121" i="4"/>
  <c r="JB57" i="4"/>
  <c r="JB89" i="4"/>
  <c r="JB201" i="4"/>
  <c r="IV3" i="7"/>
  <c r="JB125" i="4"/>
  <c r="JB122" i="4"/>
  <c r="JB126" i="4"/>
  <c r="JB198" i="4"/>
  <c r="JB127" i="4"/>
  <c r="JB123" i="4"/>
  <c r="JB53" i="4"/>
  <c r="JB129" i="4"/>
  <c r="JB124" i="4"/>
  <c r="JA23" i="4"/>
  <c r="DR23" i="4"/>
  <c r="DK5" i="7"/>
  <c r="DQ89" i="4"/>
  <c r="DT3" i="4"/>
  <c r="JC3" i="4"/>
  <c r="DM3" i="7"/>
  <c r="DS70" i="4"/>
  <c r="DS2" i="4"/>
  <c r="DS83" i="4"/>
  <c r="DS198" i="4"/>
  <c r="DK113" i="4" l="1"/>
  <c r="DK114" i="4" s="1"/>
  <c r="DK91" i="4" s="1"/>
  <c r="DJ114" i="4"/>
  <c r="DJ128" i="4" s="1"/>
  <c r="DJ29" i="7"/>
  <c r="DJ30" i="7"/>
  <c r="DS45" i="4"/>
  <c r="DS46" i="4"/>
  <c r="DJ31" i="7"/>
  <c r="JA36" i="4"/>
  <c r="DQ36" i="4" s="1"/>
  <c r="JA46" i="4"/>
  <c r="DE56" i="9"/>
  <c r="DE58" i="9" s="1"/>
  <c r="DO200" i="4"/>
  <c r="CY88" i="9"/>
  <c r="CY92" i="9" s="1"/>
  <c r="DL112" i="4"/>
  <c r="DL114" i="4" s="1"/>
  <c r="DG206" i="4"/>
  <c r="IQ61" i="4"/>
  <c r="DH76" i="4"/>
  <c r="DH56" i="4"/>
  <c r="IS61" i="4"/>
  <c r="DI206" i="4"/>
  <c r="DF76" i="4"/>
  <c r="DF56" i="4"/>
  <c r="IP77" i="4"/>
  <c r="IZ153" i="4"/>
  <c r="IZ156" i="4" s="1"/>
  <c r="IZ158" i="4" s="1"/>
  <c r="IZ159" i="4" s="1"/>
  <c r="IZ160" i="4" s="1"/>
  <c r="JA35" i="4"/>
  <c r="DQ35" i="4" s="1"/>
  <c r="JA45" i="4"/>
  <c r="DI33" i="7"/>
  <c r="DI18" i="7" s="1"/>
  <c r="DP108" i="4"/>
  <c r="DF69" i="9" s="1"/>
  <c r="IU15" i="7"/>
  <c r="DK9" i="7" s="1"/>
  <c r="DK30" i="7" s="1"/>
  <c r="DP38" i="4"/>
  <c r="IZ54" i="4" s="1"/>
  <c r="IZ98" i="4"/>
  <c r="DH18" i="7"/>
  <c r="JA155" i="4"/>
  <c r="DH19" i="7"/>
  <c r="DP139" i="4"/>
  <c r="DF90" i="9" s="1"/>
  <c r="DQ136" i="4"/>
  <c r="JA92" i="4"/>
  <c r="JA97" i="4" s="1"/>
  <c r="DQ96" i="4"/>
  <c r="JA118" i="4"/>
  <c r="DQ137" i="4"/>
  <c r="DQ107" i="4"/>
  <c r="DQ98" i="4"/>
  <c r="DQ105" i="4"/>
  <c r="DQ138" i="4"/>
  <c r="DQ102" i="4"/>
  <c r="DQ106" i="4"/>
  <c r="DQ122" i="4"/>
  <c r="DG77" i="9" s="1"/>
  <c r="JA152" i="4"/>
  <c r="DQ121" i="4"/>
  <c r="DG76" i="9" s="1"/>
  <c r="DQ123" i="4"/>
  <c r="DG78" i="9" s="1"/>
  <c r="DQ124" i="4"/>
  <c r="DG79" i="9" s="1"/>
  <c r="DQ125" i="4"/>
  <c r="DG80" i="9" s="1"/>
  <c r="DQ126" i="4"/>
  <c r="DG81" i="9" s="1"/>
  <c r="DQ129" i="4"/>
  <c r="DQ127" i="4"/>
  <c r="DM10" i="7"/>
  <c r="DM14" i="7"/>
  <c r="DM12" i="7"/>
  <c r="DM13" i="7"/>
  <c r="DL15" i="7"/>
  <c r="JC94" i="4"/>
  <c r="JC93" i="4" s="1"/>
  <c r="JC117" i="4"/>
  <c r="JC116" i="4" s="1"/>
  <c r="JC124" i="4"/>
  <c r="JC122" i="4"/>
  <c r="JC89" i="4"/>
  <c r="JC201" i="4"/>
  <c r="JC123" i="4"/>
  <c r="JC127" i="4"/>
  <c r="JC121" i="4"/>
  <c r="JC57" i="4"/>
  <c r="JC125" i="4"/>
  <c r="JC53" i="4"/>
  <c r="JC198" i="4"/>
  <c r="IW3" i="7"/>
  <c r="JC129" i="4"/>
  <c r="JC126" i="4"/>
  <c r="DR31" i="4"/>
  <c r="JB23" i="4"/>
  <c r="DS23" i="4"/>
  <c r="DL5" i="7"/>
  <c r="DR89" i="4"/>
  <c r="JA28" i="4"/>
  <c r="JA44" i="4"/>
  <c r="JA26" i="4"/>
  <c r="JA27" i="4"/>
  <c r="JA37" i="4"/>
  <c r="DQ37" i="4" s="1"/>
  <c r="JA47" i="4"/>
  <c r="JA30" i="4"/>
  <c r="JA43" i="4"/>
  <c r="JA34" i="4"/>
  <c r="DQ34" i="4" s="1"/>
  <c r="JA41" i="4"/>
  <c r="JA42" i="4"/>
  <c r="JA48" i="4"/>
  <c r="DR95" i="4"/>
  <c r="DU3" i="4"/>
  <c r="JD3" i="4"/>
  <c r="DN3" i="7"/>
  <c r="DT83" i="4"/>
  <c r="DT2" i="4"/>
  <c r="DT70" i="4"/>
  <c r="DT198" i="4"/>
  <c r="DH53" i="9"/>
  <c r="DH67" i="9"/>
  <c r="DH57" i="9"/>
  <c r="DH55" i="9"/>
  <c r="DS199" i="4"/>
  <c r="DS231" i="4"/>
  <c r="DI54" i="9"/>
  <c r="DR252" i="4"/>
  <c r="JC2" i="4"/>
  <c r="DM2" i="7"/>
  <c r="DK31" i="7"/>
  <c r="DK29" i="7"/>
  <c r="JA131" i="4"/>
  <c r="IZ146" i="4"/>
  <c r="IZ147" i="4" s="1"/>
  <c r="IZ148" i="4" s="1"/>
  <c r="IZ149" i="4" s="1"/>
  <c r="IZ96" i="4"/>
  <c r="JB95" i="4"/>
  <c r="JB120" i="4" s="1"/>
  <c r="JB130" i="4" s="1"/>
  <c r="DR130" i="4" s="1"/>
  <c r="JB119" i="4"/>
  <c r="JB91" i="4"/>
  <c r="JB90" i="4" s="1"/>
  <c r="DR90" i="4" s="1"/>
  <c r="DR97" i="4" s="1"/>
  <c r="JB151" i="4"/>
  <c r="JB154" i="4"/>
  <c r="DS28" i="4"/>
  <c r="DS44" i="4"/>
  <c r="DT22" i="4"/>
  <c r="DS27" i="4"/>
  <c r="JC22" i="4"/>
  <c r="DS26" i="4"/>
  <c r="DS43" i="4"/>
  <c r="DS88" i="4"/>
  <c r="DS30" i="4"/>
  <c r="DS47" i="4"/>
  <c r="DS41" i="4"/>
  <c r="DS42" i="4"/>
  <c r="DS48" i="4"/>
  <c r="IY54" i="4"/>
  <c r="DO51" i="4"/>
  <c r="IV12" i="7"/>
  <c r="IV14" i="7"/>
  <c r="IV13" i="7"/>
  <c r="DG21" i="7"/>
  <c r="DG23" i="7" s="1"/>
  <c r="DG24" i="7" s="1"/>
  <c r="DG25" i="7" s="1"/>
  <c r="DG35" i="7" s="1"/>
  <c r="DM110" i="4" s="1"/>
  <c r="DR49" i="4"/>
  <c r="DG94" i="9"/>
  <c r="DG82" i="9"/>
  <c r="DG85" i="9"/>
  <c r="DG84" i="9"/>
  <c r="IY99" i="4"/>
  <c r="DO100" i="4" s="1"/>
  <c r="DO101" i="4" s="1"/>
  <c r="DO103" i="4" s="1"/>
  <c r="DE68" i="9" s="1"/>
  <c r="DP99" i="4"/>
  <c r="IZ150" i="4" s="1"/>
  <c r="DK32" i="7" l="1"/>
  <c r="DK33" i="7" s="1"/>
  <c r="DK128" i="4"/>
  <c r="DK131" i="4" s="1"/>
  <c r="DK133" i="4" s="1"/>
  <c r="DK141" i="4" s="1"/>
  <c r="DJ33" i="7"/>
  <c r="DJ19" i="7" s="1"/>
  <c r="DJ91" i="4"/>
  <c r="DT45" i="4"/>
  <c r="DT46" i="4"/>
  <c r="JB36" i="4"/>
  <c r="DR36" i="4" s="1"/>
  <c r="JB46" i="4"/>
  <c r="DP51" i="4"/>
  <c r="DF56" i="9"/>
  <c r="DF58" i="9" s="1"/>
  <c r="DP200" i="4"/>
  <c r="IQ77" i="4"/>
  <c r="IR77" i="4" s="1"/>
  <c r="IS77" i="4" s="1"/>
  <c r="DL91" i="4"/>
  <c r="DL128" i="4"/>
  <c r="DL131" i="4" s="1"/>
  <c r="DL133" i="4" s="1"/>
  <c r="DL141" i="4" s="1"/>
  <c r="DB72" i="9"/>
  <c r="DB73" i="9" s="1"/>
  <c r="DG56" i="4"/>
  <c r="DG76" i="4"/>
  <c r="DM111" i="4"/>
  <c r="DM112" i="4" s="1"/>
  <c r="DC70" i="9"/>
  <c r="DC71" i="9" s="1"/>
  <c r="DI20" i="7"/>
  <c r="DI19" i="7"/>
  <c r="DI76" i="4"/>
  <c r="DI56" i="4"/>
  <c r="DJ131" i="4"/>
  <c r="DJ133" i="4" s="1"/>
  <c r="DJ141" i="4" s="1"/>
  <c r="CZ83" i="9"/>
  <c r="CZ86" i="9" s="1"/>
  <c r="CZ88" i="9" s="1"/>
  <c r="CZ92" i="9" s="1"/>
  <c r="DA83" i="9"/>
  <c r="DA86" i="9" s="1"/>
  <c r="DA88" i="9" s="1"/>
  <c r="DA92" i="9" s="1"/>
  <c r="IZ99" i="4"/>
  <c r="DP100" i="4" s="1"/>
  <c r="DP101" i="4" s="1"/>
  <c r="DP103" i="4" s="1"/>
  <c r="DF68" i="9" s="1"/>
  <c r="JA153" i="4"/>
  <c r="JA156" i="4" s="1"/>
  <c r="JA158" i="4" s="1"/>
  <c r="JA159" i="4" s="1"/>
  <c r="JA160" i="4" s="1"/>
  <c r="JB35" i="4"/>
  <c r="DR35" i="4" s="1"/>
  <c r="JB45" i="4"/>
  <c r="JA98" i="4"/>
  <c r="DQ108" i="4"/>
  <c r="DG69" i="9" s="1"/>
  <c r="DQ38" i="4"/>
  <c r="DH21" i="7"/>
  <c r="DH23" i="7" s="1"/>
  <c r="DH24" i="7" s="1"/>
  <c r="DH25" i="7" s="1"/>
  <c r="DH35" i="7" s="1"/>
  <c r="DN110" i="4" s="1"/>
  <c r="JB131" i="4"/>
  <c r="DR107" i="4"/>
  <c r="DR96" i="4"/>
  <c r="JB92" i="4"/>
  <c r="JB97" i="4" s="1"/>
  <c r="JB118" i="4"/>
  <c r="DR137" i="4"/>
  <c r="DR136" i="4"/>
  <c r="DR105" i="4"/>
  <c r="DR98" i="4"/>
  <c r="DR138" i="4"/>
  <c r="DR102" i="4"/>
  <c r="DR106" i="4"/>
  <c r="DR121" i="4"/>
  <c r="DH76" i="9" s="1"/>
  <c r="DR125" i="4"/>
  <c r="DH80" i="9" s="1"/>
  <c r="DR122" i="4"/>
  <c r="DH77" i="9" s="1"/>
  <c r="DR127" i="4"/>
  <c r="DH82" i="9" s="1"/>
  <c r="DR129" i="4"/>
  <c r="DH84" i="9" s="1"/>
  <c r="DR126" i="4"/>
  <c r="DH81" i="9" s="1"/>
  <c r="DR123" i="4"/>
  <c r="DH78" i="9" s="1"/>
  <c r="JB152" i="4"/>
  <c r="DR124" i="4"/>
  <c r="DS252" i="4"/>
  <c r="DT199" i="4"/>
  <c r="DT231" i="4"/>
  <c r="DJ54" i="9"/>
  <c r="JB155" i="4"/>
  <c r="JC95" i="4"/>
  <c r="JC120" i="4" s="1"/>
  <c r="JC130" i="4" s="1"/>
  <c r="DS130" i="4" s="1"/>
  <c r="JC119" i="4"/>
  <c r="JC91" i="4"/>
  <c r="JC90" i="4" s="1"/>
  <c r="DS90" i="4" s="1"/>
  <c r="DS97" i="4" s="1"/>
  <c r="JC151" i="4"/>
  <c r="JC154" i="4"/>
  <c r="DI67" i="9"/>
  <c r="DI53" i="9"/>
  <c r="DI55" i="9"/>
  <c r="DN10" i="7"/>
  <c r="DN14" i="7"/>
  <c r="DN12" i="7"/>
  <c r="DN13" i="7"/>
  <c r="JC23" i="4"/>
  <c r="DT23" i="4"/>
  <c r="DM5" i="7"/>
  <c r="DS89" i="4"/>
  <c r="JD117" i="4"/>
  <c r="JD116" i="4" s="1"/>
  <c r="JD94" i="4"/>
  <c r="JD93" i="4" s="1"/>
  <c r="JD122" i="4"/>
  <c r="JD57" i="4"/>
  <c r="IX3" i="7"/>
  <c r="JD127" i="4"/>
  <c r="JD89" i="4"/>
  <c r="JD126" i="4"/>
  <c r="JD124" i="4"/>
  <c r="JD123" i="4"/>
  <c r="JD53" i="4"/>
  <c r="JD129" i="4"/>
  <c r="JD201" i="4"/>
  <c r="JD125" i="4"/>
  <c r="JD121" i="4"/>
  <c r="JD198" i="4"/>
  <c r="JB44" i="4"/>
  <c r="JB28" i="4"/>
  <c r="JB26" i="4"/>
  <c r="JB37" i="4"/>
  <c r="DR37" i="4" s="1"/>
  <c r="JB27" i="4"/>
  <c r="JB47" i="4"/>
  <c r="JB43" i="4"/>
  <c r="JB30" i="4"/>
  <c r="JB34" i="4"/>
  <c r="DR34" i="4" s="1"/>
  <c r="JB41" i="4"/>
  <c r="JB42" i="4"/>
  <c r="JB48" i="4"/>
  <c r="JE3" i="4"/>
  <c r="DV3" i="4"/>
  <c r="DU83" i="4"/>
  <c r="DU2" i="4"/>
  <c r="DO3" i="7"/>
  <c r="DU70" i="4"/>
  <c r="DU198" i="4"/>
  <c r="IV15" i="7"/>
  <c r="DL9" i="7" s="1"/>
  <c r="DN2" i="7"/>
  <c r="JD2" i="4"/>
  <c r="DS49" i="4"/>
  <c r="DS95" i="4"/>
  <c r="DM15" i="7"/>
  <c r="DS31" i="4"/>
  <c r="DH79" i="9"/>
  <c r="DH94" i="9"/>
  <c r="DH85" i="9"/>
  <c r="DQ99" i="4"/>
  <c r="JA150" i="4" s="1"/>
  <c r="IW13" i="7"/>
  <c r="IW12" i="7"/>
  <c r="IW14" i="7"/>
  <c r="JA146" i="4"/>
  <c r="JA147" i="4" s="1"/>
  <c r="JA148" i="4" s="1"/>
  <c r="JA149" i="4" s="1"/>
  <c r="JA96" i="4"/>
  <c r="DT28" i="4"/>
  <c r="DU22" i="4"/>
  <c r="DT44" i="4"/>
  <c r="DT43" i="4"/>
  <c r="DT27" i="4"/>
  <c r="DT88" i="4"/>
  <c r="DT26" i="4"/>
  <c r="JD22" i="4"/>
  <c r="DT30" i="4"/>
  <c r="DT47" i="4"/>
  <c r="DT42" i="4"/>
  <c r="DT41" i="4"/>
  <c r="DT48" i="4"/>
  <c r="DQ139" i="4"/>
  <c r="DG90" i="9" s="1"/>
  <c r="DJ20" i="7" l="1"/>
  <c r="DJ18" i="7"/>
  <c r="JC36" i="4"/>
  <c r="DS36" i="4" s="1"/>
  <c r="JC46" i="4"/>
  <c r="DU45" i="4"/>
  <c r="DU46" i="4"/>
  <c r="JA54" i="4"/>
  <c r="DG56" i="9"/>
  <c r="DG58" i="9" s="1"/>
  <c r="DQ200" i="4"/>
  <c r="DQ51" i="4"/>
  <c r="DI57" i="9"/>
  <c r="DB83" i="9"/>
  <c r="DB86" i="9" s="1"/>
  <c r="DB88" i="9" s="1"/>
  <c r="DB92" i="9" s="1"/>
  <c r="DM113" i="4"/>
  <c r="DC72" i="9" s="1"/>
  <c r="DC73" i="9" s="1"/>
  <c r="DI21" i="7"/>
  <c r="DI23" i="7" s="1"/>
  <c r="DI24" i="7" s="1"/>
  <c r="DI25" i="7" s="1"/>
  <c r="DI35" i="7" s="1"/>
  <c r="DO110" i="4" s="1"/>
  <c r="DO111" i="4" s="1"/>
  <c r="DN111" i="4"/>
  <c r="DN113" i="4" s="1"/>
  <c r="DD70" i="9"/>
  <c r="DD71" i="9" s="1"/>
  <c r="IU61" i="4"/>
  <c r="DK206" i="4"/>
  <c r="IT61" i="4"/>
  <c r="DJ206" i="4"/>
  <c r="IV61" i="4"/>
  <c r="DL206" i="4"/>
  <c r="JB98" i="4"/>
  <c r="JA99" i="4"/>
  <c r="DQ100" i="4" s="1"/>
  <c r="DQ101" i="4" s="1"/>
  <c r="DQ103" i="4" s="1"/>
  <c r="DG68" i="9" s="1"/>
  <c r="JB153" i="4"/>
  <c r="JB156" i="4" s="1"/>
  <c r="JB158" i="4" s="1"/>
  <c r="JB159" i="4" s="1"/>
  <c r="JB160" i="4" s="1"/>
  <c r="JC35" i="4"/>
  <c r="DS35" i="4" s="1"/>
  <c r="JC45" i="4"/>
  <c r="DR108" i="4"/>
  <c r="DH69" i="9" s="1"/>
  <c r="DR38" i="4"/>
  <c r="JC131" i="4"/>
  <c r="JB146" i="4"/>
  <c r="JB147" i="4" s="1"/>
  <c r="JB148" i="4" s="1"/>
  <c r="JB149" i="4" s="1"/>
  <c r="JC155" i="4"/>
  <c r="DS96" i="4"/>
  <c r="DS98" i="4"/>
  <c r="JC92" i="4"/>
  <c r="JC97" i="4" s="1"/>
  <c r="JC118" i="4"/>
  <c r="DS107" i="4"/>
  <c r="DS137" i="4"/>
  <c r="DS105" i="4"/>
  <c r="DS136" i="4"/>
  <c r="DS138" i="4"/>
  <c r="DS102" i="4"/>
  <c r="DS106" i="4"/>
  <c r="DS126" i="4"/>
  <c r="DS129" i="4"/>
  <c r="DS121" i="4"/>
  <c r="DI76" i="9" s="1"/>
  <c r="DS122" i="4"/>
  <c r="DI77" i="9" s="1"/>
  <c r="DS125" i="4"/>
  <c r="DI80" i="9" s="1"/>
  <c r="DS124" i="4"/>
  <c r="DI79" i="9" s="1"/>
  <c r="JC152" i="4"/>
  <c r="DS127" i="4"/>
  <c r="DI82" i="9" s="1"/>
  <c r="DS123" i="4"/>
  <c r="DI78" i="9" s="1"/>
  <c r="JD23" i="4"/>
  <c r="DU23" i="4"/>
  <c r="DN5" i="7"/>
  <c r="DT89" i="4"/>
  <c r="DT252" i="4"/>
  <c r="JC44" i="4"/>
  <c r="JC26" i="4"/>
  <c r="JC27" i="4"/>
  <c r="JC37" i="4"/>
  <c r="DS37" i="4" s="1"/>
  <c r="JC43" i="4"/>
  <c r="JC30" i="4"/>
  <c r="JC47" i="4"/>
  <c r="JC28" i="4"/>
  <c r="JC34" i="4"/>
  <c r="DS34" i="4" s="1"/>
  <c r="JC41" i="4"/>
  <c r="JC42" i="4"/>
  <c r="JC48" i="4"/>
  <c r="IW15" i="7"/>
  <c r="DM9" i="7" s="1"/>
  <c r="JF3" i="4"/>
  <c r="DW3" i="4"/>
  <c r="DV83" i="4"/>
  <c r="DV2" i="4"/>
  <c r="DP3" i="7"/>
  <c r="DV70" i="4"/>
  <c r="DV198" i="4"/>
  <c r="DL31" i="7"/>
  <c r="DL29" i="7"/>
  <c r="DL30" i="7"/>
  <c r="DL32" i="7"/>
  <c r="DU28" i="4"/>
  <c r="DV22" i="4"/>
  <c r="DU44" i="4"/>
  <c r="DU43" i="4"/>
  <c r="DU88" i="4"/>
  <c r="DU27" i="4"/>
  <c r="DU26" i="4"/>
  <c r="JE22" i="4"/>
  <c r="DU30" i="4"/>
  <c r="DU47" i="4"/>
  <c r="DU42" i="4"/>
  <c r="DU41" i="4"/>
  <c r="DU48" i="4"/>
  <c r="JE117" i="4"/>
  <c r="JE116" i="4" s="1"/>
  <c r="JE94" i="4"/>
  <c r="JE93" i="4" s="1"/>
  <c r="JE124" i="4"/>
  <c r="JE123" i="4"/>
  <c r="IY3" i="7"/>
  <c r="JE125" i="4"/>
  <c r="JE53" i="4"/>
  <c r="JE201" i="4"/>
  <c r="JE89" i="4"/>
  <c r="JE126" i="4"/>
  <c r="JE121" i="4"/>
  <c r="JE122" i="4"/>
  <c r="JE57" i="4"/>
  <c r="JE129" i="4"/>
  <c r="JE198" i="4"/>
  <c r="JE127" i="4"/>
  <c r="DI81" i="9"/>
  <c r="DI84" i="9"/>
  <c r="DI94" i="9"/>
  <c r="DI85" i="9"/>
  <c r="DJ67" i="9"/>
  <c r="DJ55" i="9"/>
  <c r="DJ53" i="9"/>
  <c r="DU231" i="4"/>
  <c r="DU199" i="4"/>
  <c r="DK54" i="9"/>
  <c r="DO10" i="7"/>
  <c r="DO14" i="7"/>
  <c r="DO12" i="7"/>
  <c r="DO13" i="7"/>
  <c r="DO2" i="7"/>
  <c r="JE2" i="4"/>
  <c r="JD119" i="4"/>
  <c r="JD95" i="4"/>
  <c r="JD120" i="4" s="1"/>
  <c r="JD130" i="4" s="1"/>
  <c r="DT130" i="4" s="1"/>
  <c r="JD91" i="4"/>
  <c r="JD90" i="4" s="1"/>
  <c r="DT90" i="4" s="1"/>
  <c r="DT97" i="4" s="1"/>
  <c r="JD151" i="4"/>
  <c r="JD154" i="4"/>
  <c r="DR139" i="4"/>
  <c r="DH90" i="9" s="1"/>
  <c r="DT49" i="4"/>
  <c r="DT95" i="4"/>
  <c r="DN15" i="7"/>
  <c r="DK20" i="7"/>
  <c r="DK19" i="7"/>
  <c r="DK18" i="7"/>
  <c r="IX14" i="7"/>
  <c r="IX12" i="7"/>
  <c r="IX13" i="7"/>
  <c r="JB96" i="4"/>
  <c r="DR99" i="4"/>
  <c r="JB150" i="4" s="1"/>
  <c r="DT31" i="4"/>
  <c r="DJ21" i="7" l="1"/>
  <c r="DJ23" i="7" s="1"/>
  <c r="DJ24" i="7" s="1"/>
  <c r="DJ25" i="7" s="1"/>
  <c r="DJ35" i="7" s="1"/>
  <c r="DP110" i="4" s="1"/>
  <c r="DP111" i="4" s="1"/>
  <c r="DP112" i="4" s="1"/>
  <c r="DV45" i="4"/>
  <c r="DV46" i="4"/>
  <c r="JD36" i="4"/>
  <c r="DT36" i="4" s="1"/>
  <c r="JD46" i="4"/>
  <c r="DR51" i="4"/>
  <c r="DH56" i="9"/>
  <c r="DH58" i="9" s="1"/>
  <c r="DR200" i="4"/>
  <c r="DJ57" i="9"/>
  <c r="DN112" i="4"/>
  <c r="DD72" i="9" s="1"/>
  <c r="DD73" i="9" s="1"/>
  <c r="DO112" i="4"/>
  <c r="DO113" i="4"/>
  <c r="DE70" i="9"/>
  <c r="DE71" i="9" s="1"/>
  <c r="DM114" i="4"/>
  <c r="DM128" i="4" s="1"/>
  <c r="DF70" i="9"/>
  <c r="DF71" i="9" s="1"/>
  <c r="DL76" i="4"/>
  <c r="DL56" i="4"/>
  <c r="DJ76" i="4"/>
  <c r="DJ56" i="4"/>
  <c r="IT77" i="4"/>
  <c r="IU77" i="4" s="1"/>
  <c r="IV77" i="4" s="1"/>
  <c r="DK76" i="4"/>
  <c r="DK56" i="4"/>
  <c r="JC153" i="4"/>
  <c r="JC156" i="4" s="1"/>
  <c r="JC158" i="4" s="1"/>
  <c r="JC159" i="4" s="1"/>
  <c r="JC160" i="4" s="1"/>
  <c r="JD35" i="4"/>
  <c r="DT35" i="4" s="1"/>
  <c r="JD45" i="4"/>
  <c r="DS108" i="4"/>
  <c r="DI69" i="9" s="1"/>
  <c r="JB99" i="4"/>
  <c r="DR100" i="4" s="1"/>
  <c r="DR101" i="4" s="1"/>
  <c r="DR103" i="4" s="1"/>
  <c r="DH68" i="9" s="1"/>
  <c r="JB54" i="4"/>
  <c r="IX15" i="7"/>
  <c r="DN9" i="7" s="1"/>
  <c r="DN31" i="7" s="1"/>
  <c r="DU31" i="4"/>
  <c r="DS38" i="4"/>
  <c r="DK21" i="7"/>
  <c r="DK23" i="7" s="1"/>
  <c r="DK24" i="7" s="1"/>
  <c r="DK25" i="7" s="1"/>
  <c r="DK35" i="7" s="1"/>
  <c r="DQ110" i="4" s="1"/>
  <c r="JC146" i="4"/>
  <c r="JC147" i="4" s="1"/>
  <c r="JC148" i="4" s="1"/>
  <c r="JC149" i="4" s="1"/>
  <c r="DT107" i="4"/>
  <c r="DT137" i="4"/>
  <c r="DT136" i="4"/>
  <c r="JD92" i="4"/>
  <c r="JD97" i="4" s="1"/>
  <c r="DT96" i="4"/>
  <c r="DT105" i="4"/>
  <c r="JD118" i="4"/>
  <c r="DT98" i="4"/>
  <c r="DT138" i="4"/>
  <c r="DT102" i="4"/>
  <c r="DT106" i="4"/>
  <c r="DT123" i="4"/>
  <c r="DJ78" i="9" s="1"/>
  <c r="DT124" i="4"/>
  <c r="DJ79" i="9" s="1"/>
  <c r="DT121" i="4"/>
  <c r="DJ76" i="9" s="1"/>
  <c r="DT125" i="4"/>
  <c r="DJ80" i="9" s="1"/>
  <c r="JD152" i="4"/>
  <c r="DT122" i="4"/>
  <c r="DJ77" i="9" s="1"/>
  <c r="DT126" i="4"/>
  <c r="DT129" i="4"/>
  <c r="DT127" i="4"/>
  <c r="DJ82" i="9" s="1"/>
  <c r="DL33" i="7"/>
  <c r="JE95" i="4"/>
  <c r="JE120" i="4" s="1"/>
  <c r="JE130" i="4" s="1"/>
  <c r="DU130" i="4" s="1"/>
  <c r="JE119" i="4"/>
  <c r="JE91" i="4"/>
  <c r="JE90" i="4" s="1"/>
  <c r="DU90" i="4" s="1"/>
  <c r="DU97" i="4" s="1"/>
  <c r="JE151" i="4"/>
  <c r="JE154" i="4"/>
  <c r="DV28" i="4"/>
  <c r="DW22" i="4"/>
  <c r="DV44" i="4"/>
  <c r="DV43" i="4"/>
  <c r="DV26" i="4"/>
  <c r="DV27" i="4"/>
  <c r="DV88" i="4"/>
  <c r="JF22" i="4"/>
  <c r="DV30" i="4"/>
  <c r="DV47" i="4"/>
  <c r="DV42" i="4"/>
  <c r="DV41" i="4"/>
  <c r="DV48" i="4"/>
  <c r="DJ94" i="9"/>
  <c r="DJ84" i="9"/>
  <c r="DJ81" i="9"/>
  <c r="DJ85" i="9"/>
  <c r="DO15" i="7"/>
  <c r="DS139" i="4"/>
  <c r="DI90" i="9" s="1"/>
  <c r="DU252" i="4"/>
  <c r="DU49" i="4"/>
  <c r="IY12" i="7"/>
  <c r="IY13" i="7"/>
  <c r="IY14" i="7"/>
  <c r="DL54" i="9"/>
  <c r="DV231" i="4"/>
  <c r="DV199" i="4"/>
  <c r="JD155" i="4"/>
  <c r="DP10" i="7"/>
  <c r="DP14" i="7"/>
  <c r="DP12" i="7"/>
  <c r="DP13" i="7"/>
  <c r="JD131" i="4"/>
  <c r="JF2" i="4"/>
  <c r="DP2" i="7"/>
  <c r="DU95" i="4"/>
  <c r="JG3" i="4"/>
  <c r="DX3" i="4"/>
  <c r="DW83" i="4"/>
  <c r="DW2" i="4"/>
  <c r="DQ3" i="7"/>
  <c r="DW198" i="4"/>
  <c r="DW70" i="4"/>
  <c r="JF94" i="4"/>
  <c r="JF93" i="4" s="1"/>
  <c r="JF117" i="4"/>
  <c r="JF116" i="4" s="1"/>
  <c r="JF124" i="4"/>
  <c r="JF53" i="4"/>
  <c r="JF201" i="4"/>
  <c r="JF126" i="4"/>
  <c r="JF121" i="4"/>
  <c r="JF129" i="4"/>
  <c r="JF125" i="4"/>
  <c r="JF57" i="4"/>
  <c r="JF198" i="4"/>
  <c r="IZ3" i="7"/>
  <c r="JF89" i="4"/>
  <c r="JF127" i="4"/>
  <c r="JF123" i="4"/>
  <c r="JF122" i="4"/>
  <c r="DK53" i="9"/>
  <c r="DK67" i="9"/>
  <c r="DK55" i="9"/>
  <c r="DM29" i="7"/>
  <c r="DM32" i="7"/>
  <c r="DM30" i="7"/>
  <c r="DM31" i="7"/>
  <c r="JE23" i="4"/>
  <c r="DV23" i="4"/>
  <c r="DU89" i="4"/>
  <c r="DO5" i="7"/>
  <c r="JC98" i="4"/>
  <c r="DN32" i="7"/>
  <c r="JD44" i="4"/>
  <c r="JD28" i="4"/>
  <c r="JD37" i="4"/>
  <c r="DT37" i="4" s="1"/>
  <c r="JD26" i="4"/>
  <c r="JD27" i="4"/>
  <c r="JD43" i="4"/>
  <c r="JD30" i="4"/>
  <c r="JD47" i="4"/>
  <c r="JD34" i="4"/>
  <c r="DT34" i="4" s="1"/>
  <c r="JD42" i="4"/>
  <c r="JD41" i="4"/>
  <c r="JD48" i="4"/>
  <c r="JC96" i="4"/>
  <c r="DS99" i="4"/>
  <c r="JC150" i="4" s="1"/>
  <c r="DW45" i="4" l="1"/>
  <c r="DW46" i="4"/>
  <c r="JE36" i="4"/>
  <c r="DU36" i="4" s="1"/>
  <c r="JE46" i="4"/>
  <c r="JC54" i="4"/>
  <c r="DI56" i="9"/>
  <c r="DI58" i="9" s="1"/>
  <c r="DS200" i="4"/>
  <c r="DP113" i="4"/>
  <c r="DP114" i="4" s="1"/>
  <c r="DP128" i="4" s="1"/>
  <c r="DK57" i="9"/>
  <c r="DN114" i="4"/>
  <c r="DN128" i="4" s="1"/>
  <c r="DN131" i="4" s="1"/>
  <c r="DN133" i="4" s="1"/>
  <c r="DN141" i="4" s="1"/>
  <c r="DM91" i="4"/>
  <c r="DO114" i="4"/>
  <c r="DO91" i="4" s="1"/>
  <c r="DE72" i="9"/>
  <c r="DE73" i="9" s="1"/>
  <c r="DQ111" i="4"/>
  <c r="DQ113" i="4" s="1"/>
  <c r="DG70" i="9"/>
  <c r="DG71" i="9" s="1"/>
  <c r="DM131" i="4"/>
  <c r="DM133" i="4" s="1"/>
  <c r="DM141" i="4" s="1"/>
  <c r="DC83" i="9"/>
  <c r="DC86" i="9" s="1"/>
  <c r="DC88" i="9" s="1"/>
  <c r="DC92" i="9" s="1"/>
  <c r="DD83" i="9"/>
  <c r="DD86" i="9" s="1"/>
  <c r="DD88" i="9" s="1"/>
  <c r="DD92" i="9" s="1"/>
  <c r="DN29" i="7"/>
  <c r="DN30" i="7"/>
  <c r="JD153" i="4"/>
  <c r="JD156" i="4" s="1"/>
  <c r="JD158" i="4" s="1"/>
  <c r="JD159" i="4" s="1"/>
  <c r="JD160" i="4" s="1"/>
  <c r="JE35" i="4"/>
  <c r="DU35" i="4" s="1"/>
  <c r="JE45" i="4"/>
  <c r="DS51" i="4"/>
  <c r="JE131" i="4"/>
  <c r="DT108" i="4"/>
  <c r="DJ69" i="9" s="1"/>
  <c r="DT38" i="4"/>
  <c r="DU123" i="4"/>
  <c r="DK78" i="9" s="1"/>
  <c r="DU129" i="4"/>
  <c r="DK84" i="9" s="1"/>
  <c r="DU122" i="4"/>
  <c r="JE155" i="4"/>
  <c r="JD98" i="4"/>
  <c r="JD146" i="4"/>
  <c r="JD147" i="4" s="1"/>
  <c r="JD148" i="4" s="1"/>
  <c r="JD149" i="4" s="1"/>
  <c r="DU121" i="4"/>
  <c r="DK76" i="9" s="1"/>
  <c r="DV31" i="4"/>
  <c r="JC99" i="4"/>
  <c r="DS100" i="4" s="1"/>
  <c r="DS101" i="4" s="1"/>
  <c r="DS103" i="4" s="1"/>
  <c r="DI68" i="9" s="1"/>
  <c r="IZ13" i="7"/>
  <c r="IZ12" i="7"/>
  <c r="IZ14" i="7"/>
  <c r="JH3" i="4"/>
  <c r="DY3" i="4"/>
  <c r="DX2" i="4"/>
  <c r="DX70" i="4"/>
  <c r="DR3" i="7"/>
  <c r="DX83" i="4"/>
  <c r="DX198" i="4"/>
  <c r="DV95" i="4"/>
  <c r="JG94" i="4"/>
  <c r="JG93" i="4" s="1"/>
  <c r="JG117" i="4"/>
  <c r="JG116" i="4" s="1"/>
  <c r="JG129" i="4"/>
  <c r="JG89" i="4"/>
  <c r="JG198" i="4"/>
  <c r="JG127" i="4"/>
  <c r="JG125" i="4"/>
  <c r="JG123" i="4"/>
  <c r="JG121" i="4"/>
  <c r="JG124" i="4"/>
  <c r="JG53" i="4"/>
  <c r="JA3" i="7"/>
  <c r="JG201" i="4"/>
  <c r="JG122" i="4"/>
  <c r="JG57" i="4"/>
  <c r="JG126" i="4"/>
  <c r="JE152" i="4"/>
  <c r="JG2" i="4"/>
  <c r="DQ2" i="7"/>
  <c r="DU127" i="4"/>
  <c r="DK82" i="9" s="1"/>
  <c r="DU124" i="4"/>
  <c r="DK79" i="9" s="1"/>
  <c r="DL53" i="9"/>
  <c r="DL67" i="9"/>
  <c r="DL55" i="9"/>
  <c r="JF23" i="4"/>
  <c r="DW23" i="4"/>
  <c r="DV89" i="4"/>
  <c r="DP5" i="7"/>
  <c r="DW44" i="4"/>
  <c r="DX22" i="4"/>
  <c r="DW28" i="4"/>
  <c r="JG22" i="4"/>
  <c r="DW26" i="4"/>
  <c r="DW43" i="4"/>
  <c r="DW27" i="4"/>
  <c r="DW88" i="4"/>
  <c r="DW47" i="4"/>
  <c r="DW30" i="4"/>
  <c r="DW42" i="4"/>
  <c r="DW41" i="4"/>
  <c r="DW48" i="4"/>
  <c r="DV252" i="4"/>
  <c r="DP15" i="7"/>
  <c r="JF95" i="4"/>
  <c r="JF120" i="4" s="1"/>
  <c r="JF130" i="4" s="1"/>
  <c r="DV130" i="4" s="1"/>
  <c r="JF119" i="4"/>
  <c r="JF91" i="4"/>
  <c r="JF90" i="4" s="1"/>
  <c r="DV90" i="4" s="1"/>
  <c r="DV97" i="4" s="1"/>
  <c r="JF151" i="4"/>
  <c r="JF154" i="4"/>
  <c r="DM33" i="7"/>
  <c r="JD96" i="4"/>
  <c r="DT99" i="4"/>
  <c r="JD150" i="4" s="1"/>
  <c r="JE92" i="4"/>
  <c r="JE97" i="4" s="1"/>
  <c r="DU98" i="4"/>
  <c r="JE118" i="4"/>
  <c r="DU107" i="4"/>
  <c r="DU137" i="4"/>
  <c r="DU136" i="4"/>
  <c r="DU105" i="4"/>
  <c r="DU96" i="4"/>
  <c r="DU138" i="4"/>
  <c r="DU102" i="4"/>
  <c r="DU106" i="4"/>
  <c r="DV49" i="4"/>
  <c r="DL19" i="7"/>
  <c r="DL20" i="7"/>
  <c r="DL18" i="7"/>
  <c r="DT139" i="4"/>
  <c r="DJ90" i="9" s="1"/>
  <c r="IY15" i="7"/>
  <c r="DO9" i="7" s="1"/>
  <c r="DU125" i="4"/>
  <c r="DK80" i="9" s="1"/>
  <c r="DW231" i="4"/>
  <c r="DW199" i="4"/>
  <c r="DM54" i="9"/>
  <c r="DU126" i="4"/>
  <c r="DK81" i="9" s="1"/>
  <c r="JE44" i="4"/>
  <c r="JE26" i="4"/>
  <c r="JE27" i="4"/>
  <c r="JE37" i="4"/>
  <c r="DU37" i="4" s="1"/>
  <c r="JE43" i="4"/>
  <c r="JE30" i="4"/>
  <c r="JE47" i="4"/>
  <c r="JE28" i="4"/>
  <c r="JE34" i="4"/>
  <c r="DU34" i="4" s="1"/>
  <c r="JE41" i="4"/>
  <c r="JE42" i="4"/>
  <c r="JE48" i="4"/>
  <c r="DK77" i="9"/>
  <c r="DK85" i="9"/>
  <c r="DK94" i="9"/>
  <c r="DQ10" i="7"/>
  <c r="DQ14" i="7"/>
  <c r="DQ12" i="7"/>
  <c r="DQ13" i="7"/>
  <c r="DN91" i="4" l="1"/>
  <c r="DX45" i="4"/>
  <c r="DX46" i="4"/>
  <c r="JF36" i="4"/>
  <c r="DV36" i="4" s="1"/>
  <c r="JF46" i="4"/>
  <c r="DT51" i="4"/>
  <c r="DJ56" i="9"/>
  <c r="DJ58" i="9" s="1"/>
  <c r="DT200" i="4"/>
  <c r="DF72" i="9"/>
  <c r="DF73" i="9" s="1"/>
  <c r="DQ112" i="4"/>
  <c r="DQ114" i="4" s="1"/>
  <c r="DQ91" i="4" s="1"/>
  <c r="DL57" i="9"/>
  <c r="DO128" i="4"/>
  <c r="DO131" i="4" s="1"/>
  <c r="DO133" i="4" s="1"/>
  <c r="DO141" i="4" s="1"/>
  <c r="IX61" i="4"/>
  <c r="DN206" i="4"/>
  <c r="DP131" i="4"/>
  <c r="DP133" i="4" s="1"/>
  <c r="DP141" i="4" s="1"/>
  <c r="DF83" i="9"/>
  <c r="DF86" i="9" s="1"/>
  <c r="IW61" i="4"/>
  <c r="DM206" i="4"/>
  <c r="DN33" i="7"/>
  <c r="DN20" i="7" s="1"/>
  <c r="JE153" i="4"/>
  <c r="JE156" i="4" s="1"/>
  <c r="JE158" i="4" s="1"/>
  <c r="JE159" i="4" s="1"/>
  <c r="JE160" i="4" s="1"/>
  <c r="JF35" i="4"/>
  <c r="DV35" i="4" s="1"/>
  <c r="JF45" i="4"/>
  <c r="JE98" i="4"/>
  <c r="DP91" i="4"/>
  <c r="JD54" i="4"/>
  <c r="DU38" i="4"/>
  <c r="DQ15" i="7"/>
  <c r="DW31" i="4"/>
  <c r="JF155" i="4"/>
  <c r="JD99" i="4"/>
  <c r="DT100" i="4" s="1"/>
  <c r="DT101" i="4" s="1"/>
  <c r="DT103" i="4" s="1"/>
  <c r="DJ68" i="9" s="1"/>
  <c r="DU139" i="4"/>
  <c r="DK90" i="9" s="1"/>
  <c r="JE146" i="4"/>
  <c r="JE147" i="4" s="1"/>
  <c r="JE148" i="4" s="1"/>
  <c r="JE149" i="4" s="1"/>
  <c r="JF131" i="4"/>
  <c r="DV107" i="4"/>
  <c r="DV136" i="4"/>
  <c r="DV105" i="4"/>
  <c r="JF118" i="4"/>
  <c r="DV98" i="4"/>
  <c r="DV96" i="4"/>
  <c r="DV137" i="4"/>
  <c r="JF92" i="4"/>
  <c r="JF97" i="4" s="1"/>
  <c r="DV138" i="4"/>
  <c r="DV102" i="4"/>
  <c r="DV106" i="4"/>
  <c r="DV124" i="4"/>
  <c r="DL79" i="9" s="1"/>
  <c r="DV122" i="4"/>
  <c r="DL77" i="9" s="1"/>
  <c r="DV127" i="4"/>
  <c r="DL82" i="9" s="1"/>
  <c r="JF152" i="4"/>
  <c r="DV121" i="4"/>
  <c r="DL76" i="9" s="1"/>
  <c r="DV126" i="4"/>
  <c r="DL81" i="9" s="1"/>
  <c r="DV123" i="4"/>
  <c r="DL78" i="9" s="1"/>
  <c r="DV125" i="4"/>
  <c r="DL80" i="9" s="1"/>
  <c r="DV129" i="4"/>
  <c r="DL21" i="7"/>
  <c r="DL23" i="7" s="1"/>
  <c r="DL24" i="7" s="1"/>
  <c r="DL25" i="7" s="1"/>
  <c r="DL35" i="7" s="1"/>
  <c r="DR110" i="4" s="1"/>
  <c r="JF44" i="4"/>
  <c r="JF27" i="4"/>
  <c r="JF26" i="4"/>
  <c r="JF37" i="4"/>
  <c r="DV37" i="4" s="1"/>
  <c r="JF47" i="4"/>
  <c r="JF43" i="4"/>
  <c r="JF30" i="4"/>
  <c r="JF34" i="4"/>
  <c r="DV34" i="4" s="1"/>
  <c r="JF28" i="4"/>
  <c r="JF42" i="4"/>
  <c r="JF41" i="4"/>
  <c r="JF48" i="4"/>
  <c r="JI3" i="4"/>
  <c r="DZ3" i="4"/>
  <c r="DY83" i="4"/>
  <c r="DY2" i="4"/>
  <c r="DS3" i="7"/>
  <c r="DY70" i="4"/>
  <c r="DY198" i="4"/>
  <c r="JG95" i="4"/>
  <c r="JG120" i="4" s="1"/>
  <c r="JG130" i="4" s="1"/>
  <c r="DW130" i="4" s="1"/>
  <c r="JG119" i="4"/>
  <c r="JG91" i="4"/>
  <c r="JG90" i="4" s="1"/>
  <c r="DW90" i="4" s="1"/>
  <c r="DW97" i="4" s="1"/>
  <c r="JG151" i="4"/>
  <c r="JG154" i="4"/>
  <c r="DM53" i="9"/>
  <c r="DM55" i="9"/>
  <c r="DM67" i="9"/>
  <c r="DW252" i="4"/>
  <c r="DW49" i="4"/>
  <c r="JH117" i="4"/>
  <c r="JH116" i="4" s="1"/>
  <c r="JH94" i="4"/>
  <c r="JH93" i="4" s="1"/>
  <c r="JH53" i="4"/>
  <c r="JH124" i="4"/>
  <c r="JH201" i="4"/>
  <c r="JH198" i="4"/>
  <c r="JH89" i="4"/>
  <c r="JH129" i="4"/>
  <c r="JH127" i="4"/>
  <c r="JH126" i="4"/>
  <c r="JH125" i="4"/>
  <c r="JH123" i="4"/>
  <c r="JH122" i="4"/>
  <c r="JH57" i="4"/>
  <c r="JB3" i="7"/>
  <c r="JH121" i="4"/>
  <c r="DM18" i="7"/>
  <c r="DM20" i="7"/>
  <c r="DM19" i="7"/>
  <c r="DO30" i="7"/>
  <c r="DO31" i="7"/>
  <c r="DO32" i="7"/>
  <c r="DO29" i="7"/>
  <c r="JA13" i="7"/>
  <c r="JA14" i="7"/>
  <c r="JA12" i="7"/>
  <c r="IZ15" i="7"/>
  <c r="DP9" i="7" s="1"/>
  <c r="DR10" i="7"/>
  <c r="DR14" i="7"/>
  <c r="DR12" i="7"/>
  <c r="DR13" i="7"/>
  <c r="DR2" i="7"/>
  <c r="JH2" i="4"/>
  <c r="DX23" i="4"/>
  <c r="JG23" i="4"/>
  <c r="DW89" i="4"/>
  <c r="DQ5" i="7"/>
  <c r="DU108" i="4"/>
  <c r="DK69" i="9" s="1"/>
  <c r="DN54" i="9"/>
  <c r="DX231" i="4"/>
  <c r="DX199" i="4"/>
  <c r="DW95" i="4"/>
  <c r="DY22" i="4"/>
  <c r="DX44" i="4"/>
  <c r="DX28" i="4"/>
  <c r="DX26" i="4"/>
  <c r="JH22" i="4"/>
  <c r="DX27" i="4"/>
  <c r="DX88" i="4"/>
  <c r="DX43" i="4"/>
  <c r="DX47" i="4"/>
  <c r="DX30" i="4"/>
  <c r="DX42" i="4"/>
  <c r="DX41" i="4"/>
  <c r="DX48" i="4"/>
  <c r="JE96" i="4"/>
  <c r="DU99" i="4"/>
  <c r="JE150" i="4" s="1"/>
  <c r="DL94" i="9"/>
  <c r="DL85" i="9"/>
  <c r="DL84" i="9"/>
  <c r="DY45" i="4" l="1"/>
  <c r="DY46" i="4"/>
  <c r="JG36" i="4"/>
  <c r="DW36" i="4" s="1"/>
  <c r="JG46" i="4"/>
  <c r="JE54" i="4"/>
  <c r="DK56" i="9"/>
  <c r="DK58" i="9" s="1"/>
  <c r="DU200" i="4"/>
  <c r="DG72" i="9"/>
  <c r="DG73" i="9" s="1"/>
  <c r="DF88" i="9"/>
  <c r="DF92" i="9" s="1"/>
  <c r="DM57" i="9"/>
  <c r="DE83" i="9"/>
  <c r="DE86" i="9" s="1"/>
  <c r="DE88" i="9" s="1"/>
  <c r="DE92" i="9" s="1"/>
  <c r="DQ128" i="4"/>
  <c r="DQ131" i="4" s="1"/>
  <c r="DQ133" i="4" s="1"/>
  <c r="DQ141" i="4" s="1"/>
  <c r="DN18" i="7"/>
  <c r="DN19" i="7"/>
  <c r="DR111" i="4"/>
  <c r="DR112" i="4" s="1"/>
  <c r="DH70" i="9"/>
  <c r="DH71" i="9" s="1"/>
  <c r="IZ61" i="4"/>
  <c r="DP206" i="4"/>
  <c r="DN76" i="4"/>
  <c r="DN56" i="4"/>
  <c r="IY61" i="4"/>
  <c r="DO206" i="4"/>
  <c r="DM76" i="4"/>
  <c r="DM56" i="4"/>
  <c r="IW77" i="4"/>
  <c r="IX77" i="4" s="1"/>
  <c r="JF153" i="4"/>
  <c r="JF156" i="4" s="1"/>
  <c r="JF158" i="4" s="1"/>
  <c r="JF159" i="4" s="1"/>
  <c r="JF160" i="4" s="1"/>
  <c r="JG35" i="4"/>
  <c r="DW35" i="4" s="1"/>
  <c r="JG45" i="4"/>
  <c r="DV108" i="4"/>
  <c r="DL69" i="9" s="1"/>
  <c r="DU51" i="4"/>
  <c r="JE99" i="4"/>
  <c r="DU100" i="4" s="1"/>
  <c r="DU101" i="4" s="1"/>
  <c r="DU103" i="4" s="1"/>
  <c r="DK68" i="9" s="1"/>
  <c r="JA15" i="7"/>
  <c r="DQ9" i="7" s="1"/>
  <c r="DQ31" i="7" s="1"/>
  <c r="DV38" i="4"/>
  <c r="JG155" i="4"/>
  <c r="DO33" i="7"/>
  <c r="DO20" i="7" s="1"/>
  <c r="JF146" i="4"/>
  <c r="JF147" i="4" s="1"/>
  <c r="JF148" i="4" s="1"/>
  <c r="JF149" i="4" s="1"/>
  <c r="JG131" i="4"/>
  <c r="DW96" i="4"/>
  <c r="DW137" i="4"/>
  <c r="DW98" i="4"/>
  <c r="JG118" i="4"/>
  <c r="DW107" i="4"/>
  <c r="DW136" i="4"/>
  <c r="DW105" i="4"/>
  <c r="JG92" i="4"/>
  <c r="JG97" i="4" s="1"/>
  <c r="DW138" i="4"/>
  <c r="DW102" i="4"/>
  <c r="DW106" i="4"/>
  <c r="DW126" i="4"/>
  <c r="DM81" i="9" s="1"/>
  <c r="DW123" i="4"/>
  <c r="DM78" i="9" s="1"/>
  <c r="DW122" i="4"/>
  <c r="DM77" i="9" s="1"/>
  <c r="DW127" i="4"/>
  <c r="DM82" i="9" s="1"/>
  <c r="JG152" i="4"/>
  <c r="DW124" i="4"/>
  <c r="DW125" i="4"/>
  <c r="DW129" i="4"/>
  <c r="DW121" i="4"/>
  <c r="DS10" i="7"/>
  <c r="DS14" i="7"/>
  <c r="DS12" i="7"/>
  <c r="DS13" i="7"/>
  <c r="JI117" i="4"/>
  <c r="JI116" i="4" s="1"/>
  <c r="JI94" i="4"/>
  <c r="JI93" i="4" s="1"/>
  <c r="JI122" i="4"/>
  <c r="JI127" i="4"/>
  <c r="JI125" i="4"/>
  <c r="JI126" i="4"/>
  <c r="JI121" i="4"/>
  <c r="JI53" i="4"/>
  <c r="JI201" i="4"/>
  <c r="JI198" i="4"/>
  <c r="JI57" i="4"/>
  <c r="JC3" i="7"/>
  <c r="JI89" i="4"/>
  <c r="JI124" i="4"/>
  <c r="JI129" i="4"/>
  <c r="JI123" i="4"/>
  <c r="JI2" i="4"/>
  <c r="DS2" i="7"/>
  <c r="JH119" i="4"/>
  <c r="JH95" i="4"/>
  <c r="JH120" i="4" s="1"/>
  <c r="JH130" i="4" s="1"/>
  <c r="DX130" i="4" s="1"/>
  <c r="JH91" i="4"/>
  <c r="JH90" i="4" s="1"/>
  <c r="DX90" i="4" s="1"/>
  <c r="DX97" i="4" s="1"/>
  <c r="JH151" i="4"/>
  <c r="JH154" i="4"/>
  <c r="DX31" i="4"/>
  <c r="DM79" i="9"/>
  <c r="DM94" i="9"/>
  <c r="DM76" i="9"/>
  <c r="DM84" i="9"/>
  <c r="DM80" i="9"/>
  <c r="DM85" i="9"/>
  <c r="DM21" i="7"/>
  <c r="DM23" i="7" s="1"/>
  <c r="DM24" i="7" s="1"/>
  <c r="DM25" i="7" s="1"/>
  <c r="DM35" i="7" s="1"/>
  <c r="DS110" i="4" s="1"/>
  <c r="JB14" i="7"/>
  <c r="JB13" i="7"/>
  <c r="JB12" i="7"/>
  <c r="DX252" i="4"/>
  <c r="JF96" i="4"/>
  <c r="DV99" i="4"/>
  <c r="JF150" i="4" s="1"/>
  <c r="JJ3" i="4"/>
  <c r="EA3" i="4"/>
  <c r="DZ83" i="4"/>
  <c r="DT3" i="7"/>
  <c r="DZ70" i="4"/>
  <c r="DZ198" i="4"/>
  <c r="DZ2" i="4"/>
  <c r="DX49" i="4"/>
  <c r="DN57" i="9" s="1"/>
  <c r="JF98" i="4"/>
  <c r="JG44" i="4"/>
  <c r="JG28" i="4"/>
  <c r="JG26" i="4"/>
  <c r="JG27" i="4"/>
  <c r="JG37" i="4"/>
  <c r="DW37" i="4" s="1"/>
  <c r="JG43" i="4"/>
  <c r="JG30" i="4"/>
  <c r="JG47" i="4"/>
  <c r="JG34" i="4"/>
  <c r="DW34" i="4" s="1"/>
  <c r="JG41" i="4"/>
  <c r="JG42" i="4"/>
  <c r="JG48" i="4"/>
  <c r="DY23" i="4"/>
  <c r="JH23" i="4"/>
  <c r="DR5" i="7"/>
  <c r="DX89" i="4"/>
  <c r="DN67" i="9"/>
  <c r="DN55" i="9"/>
  <c r="DN53" i="9"/>
  <c r="DR15" i="7"/>
  <c r="DV139" i="4"/>
  <c r="DL90" i="9" s="1"/>
  <c r="DP32" i="7"/>
  <c r="DP30" i="7"/>
  <c r="DP31" i="7"/>
  <c r="DP29" i="7"/>
  <c r="DZ22" i="4"/>
  <c r="DY44" i="4"/>
  <c r="DY28" i="4"/>
  <c r="DY27" i="4"/>
  <c r="DY88" i="4"/>
  <c r="DY43" i="4"/>
  <c r="JI22" i="4"/>
  <c r="DY26" i="4"/>
  <c r="DY30" i="4"/>
  <c r="DY47" i="4"/>
  <c r="DY42" i="4"/>
  <c r="DY41" i="4"/>
  <c r="DY48" i="4"/>
  <c r="DX95" i="4"/>
  <c r="DO54" i="9"/>
  <c r="DY199" i="4"/>
  <c r="DY231" i="4"/>
  <c r="JH36" i="4" l="1"/>
  <c r="DX36" i="4" s="1"/>
  <c r="JH46" i="4"/>
  <c r="DZ45" i="4"/>
  <c r="DZ46" i="4"/>
  <c r="DR113" i="4"/>
  <c r="DR114" i="4" s="1"/>
  <c r="DR128" i="4" s="1"/>
  <c r="JF54" i="4"/>
  <c r="DL56" i="9"/>
  <c r="DL58" i="9" s="1"/>
  <c r="DV200" i="4"/>
  <c r="DG83" i="9"/>
  <c r="DG86" i="9" s="1"/>
  <c r="DG88" i="9" s="1"/>
  <c r="DG92" i="9" s="1"/>
  <c r="DN21" i="7"/>
  <c r="DN23" i="7" s="1"/>
  <c r="DN24" i="7" s="1"/>
  <c r="DN25" i="7" s="1"/>
  <c r="DN35" i="7" s="1"/>
  <c r="DT110" i="4" s="1"/>
  <c r="DT111" i="4" s="1"/>
  <c r="DT113" i="4" s="1"/>
  <c r="IY77" i="4"/>
  <c r="IZ77" i="4" s="1"/>
  <c r="DS111" i="4"/>
  <c r="DS112" i="4" s="1"/>
  <c r="DI70" i="9"/>
  <c r="DI71" i="9" s="1"/>
  <c r="DH72" i="9"/>
  <c r="DH73" i="9" s="1"/>
  <c r="DO76" i="4"/>
  <c r="DO56" i="4"/>
  <c r="JA61" i="4"/>
  <c r="DQ206" i="4"/>
  <c r="DP76" i="4"/>
  <c r="DP56" i="4"/>
  <c r="JG153" i="4"/>
  <c r="JG156" i="4" s="1"/>
  <c r="JG158" i="4" s="1"/>
  <c r="JG159" i="4" s="1"/>
  <c r="JG160" i="4" s="1"/>
  <c r="JH35" i="4"/>
  <c r="DX35" i="4" s="1"/>
  <c r="JH45" i="4"/>
  <c r="DO19" i="7"/>
  <c r="DY31" i="4"/>
  <c r="DO18" i="7"/>
  <c r="DQ29" i="7"/>
  <c r="DQ30" i="7"/>
  <c r="DQ32" i="7"/>
  <c r="DW108" i="4"/>
  <c r="DM69" i="9" s="1"/>
  <c r="JH155" i="4"/>
  <c r="DV51" i="4"/>
  <c r="DW38" i="4"/>
  <c r="DY49" i="4"/>
  <c r="JF99" i="4"/>
  <c r="DV100" i="4" s="1"/>
  <c r="DV101" i="4" s="1"/>
  <c r="DV103" i="4" s="1"/>
  <c r="DL68" i="9" s="1"/>
  <c r="DX107" i="4"/>
  <c r="DX105" i="4"/>
  <c r="JH118" i="4"/>
  <c r="JH92" i="4"/>
  <c r="JH97" i="4" s="1"/>
  <c r="DX137" i="4"/>
  <c r="DX96" i="4"/>
  <c r="DX136" i="4"/>
  <c r="DX98" i="4"/>
  <c r="DX138" i="4"/>
  <c r="DX102" i="4"/>
  <c r="DX106" i="4"/>
  <c r="DX129" i="4"/>
  <c r="DX125" i="4"/>
  <c r="DN80" i="9" s="1"/>
  <c r="DX124" i="4"/>
  <c r="DN79" i="9" s="1"/>
  <c r="DX122" i="4"/>
  <c r="DN77" i="9" s="1"/>
  <c r="DX121" i="4"/>
  <c r="DN76" i="9" s="1"/>
  <c r="DX126" i="4"/>
  <c r="DX123" i="4"/>
  <c r="DN78" i="9" s="1"/>
  <c r="DX127" i="4"/>
  <c r="DN82" i="9" s="1"/>
  <c r="JH152" i="4"/>
  <c r="JH44" i="4"/>
  <c r="JH28" i="4"/>
  <c r="JH26" i="4"/>
  <c r="JH27" i="4"/>
  <c r="JH37" i="4"/>
  <c r="DX37" i="4" s="1"/>
  <c r="JH47" i="4"/>
  <c r="JH43" i="4"/>
  <c r="JH30" i="4"/>
  <c r="JH34" i="4"/>
  <c r="DX34" i="4" s="1"/>
  <c r="JH41" i="4"/>
  <c r="JH42" i="4"/>
  <c r="JH48" i="4"/>
  <c r="DZ199" i="4"/>
  <c r="DP54" i="9"/>
  <c r="DZ231" i="4"/>
  <c r="JI95" i="4"/>
  <c r="JI120" i="4" s="1"/>
  <c r="JI130" i="4" s="1"/>
  <c r="DY130" i="4" s="1"/>
  <c r="JI119" i="4"/>
  <c r="JI91" i="4"/>
  <c r="JI90" i="4" s="1"/>
  <c r="DY90" i="4" s="1"/>
  <c r="DY97" i="4" s="1"/>
  <c r="JI151" i="4"/>
  <c r="JI154" i="4"/>
  <c r="JK3" i="4"/>
  <c r="EB3" i="4"/>
  <c r="EA70" i="4"/>
  <c r="EA2" i="4"/>
  <c r="EA83" i="4"/>
  <c r="EA198" i="4"/>
  <c r="DU3" i="7"/>
  <c r="JH131" i="4"/>
  <c r="JG146" i="4"/>
  <c r="JG147" i="4" s="1"/>
  <c r="JG148" i="4" s="1"/>
  <c r="JG149" i="4" s="1"/>
  <c r="JG98" i="4"/>
  <c r="JJ117" i="4"/>
  <c r="JJ116" i="4" s="1"/>
  <c r="JJ94" i="4"/>
  <c r="JJ93" i="4" s="1"/>
  <c r="JJ124" i="4"/>
  <c r="JJ129" i="4"/>
  <c r="JJ125" i="4"/>
  <c r="JJ53" i="4"/>
  <c r="JJ127" i="4"/>
  <c r="JD3" i="7"/>
  <c r="JJ201" i="4"/>
  <c r="JJ126" i="4"/>
  <c r="JJ122" i="4"/>
  <c r="JJ198" i="4"/>
  <c r="JJ89" i="4"/>
  <c r="JJ123" i="4"/>
  <c r="JJ121" i="4"/>
  <c r="JJ57" i="4"/>
  <c r="DW139" i="4"/>
  <c r="DM90" i="9" s="1"/>
  <c r="DT10" i="7"/>
  <c r="DT14" i="7"/>
  <c r="DT12" i="7"/>
  <c r="DT13" i="7"/>
  <c r="DY95" i="4"/>
  <c r="DS15" i="7"/>
  <c r="DZ23" i="4"/>
  <c r="JI23" i="4"/>
  <c r="DY89" i="4"/>
  <c r="DS5" i="7"/>
  <c r="DY252" i="4"/>
  <c r="DN94" i="9"/>
  <c r="DN85" i="9"/>
  <c r="DN84" i="9"/>
  <c r="DN81" i="9"/>
  <c r="DO53" i="9"/>
  <c r="DO67" i="9"/>
  <c r="DO55" i="9"/>
  <c r="DO57" i="9"/>
  <c r="EA22" i="4"/>
  <c r="DZ44" i="4"/>
  <c r="DZ28" i="4"/>
  <c r="DZ43" i="4"/>
  <c r="DZ27" i="4"/>
  <c r="JJ22" i="4"/>
  <c r="DZ88" i="4"/>
  <c r="DZ26" i="4"/>
  <c r="DZ30" i="4"/>
  <c r="DZ47" i="4"/>
  <c r="DZ41" i="4"/>
  <c r="DZ42" i="4"/>
  <c r="DZ48" i="4"/>
  <c r="JB15" i="7"/>
  <c r="DR9" i="7" s="1"/>
  <c r="JG96" i="4"/>
  <c r="DW99" i="4"/>
  <c r="JG150" i="4" s="1"/>
  <c r="JC14" i="7"/>
  <c r="JC12" i="7"/>
  <c r="JC13" i="7"/>
  <c r="DP33" i="7"/>
  <c r="JJ2" i="4"/>
  <c r="DT2" i="7"/>
  <c r="EA45" i="4" l="1"/>
  <c r="EA46" i="4"/>
  <c r="JI36" i="4"/>
  <c r="DY36" i="4" s="1"/>
  <c r="JI46" i="4"/>
  <c r="DW51" i="4"/>
  <c r="DM56" i="9"/>
  <c r="DM58" i="9" s="1"/>
  <c r="DW200" i="4"/>
  <c r="DJ70" i="9"/>
  <c r="DJ71" i="9" s="1"/>
  <c r="DS113" i="4"/>
  <c r="DI72" i="9" s="1"/>
  <c r="DI73" i="9" s="1"/>
  <c r="DT112" i="4"/>
  <c r="DT114" i="4" s="1"/>
  <c r="DQ56" i="4"/>
  <c r="DQ76" i="4"/>
  <c r="JA77" i="4"/>
  <c r="DR131" i="4"/>
  <c r="DR133" i="4" s="1"/>
  <c r="DR141" i="4" s="1"/>
  <c r="DH83" i="9"/>
  <c r="DH86" i="9" s="1"/>
  <c r="DH88" i="9" s="1"/>
  <c r="DH92" i="9" s="1"/>
  <c r="JH153" i="4"/>
  <c r="JH156" i="4" s="1"/>
  <c r="JH158" i="4" s="1"/>
  <c r="JH159" i="4" s="1"/>
  <c r="JH160" i="4" s="1"/>
  <c r="JI35" i="4"/>
  <c r="DY35" i="4" s="1"/>
  <c r="JI45" i="4"/>
  <c r="DO21" i="7"/>
  <c r="DO23" i="7" s="1"/>
  <c r="DO24" i="7" s="1"/>
  <c r="DO25" i="7" s="1"/>
  <c r="DO35" i="7" s="1"/>
  <c r="DU110" i="4" s="1"/>
  <c r="JG54" i="4"/>
  <c r="DQ33" i="7"/>
  <c r="DQ19" i="7" s="1"/>
  <c r="DX108" i="4"/>
  <c r="DN69" i="9" s="1"/>
  <c r="DT15" i="7"/>
  <c r="DZ49" i="4"/>
  <c r="DX38" i="4"/>
  <c r="DY126" i="4"/>
  <c r="DO81" i="9" s="1"/>
  <c r="JH98" i="4"/>
  <c r="JI131" i="4"/>
  <c r="JH146" i="4"/>
  <c r="JH147" i="4" s="1"/>
  <c r="JH148" i="4" s="1"/>
  <c r="JH149" i="4" s="1"/>
  <c r="DR91" i="4"/>
  <c r="JI155" i="4"/>
  <c r="DY121" i="4"/>
  <c r="JI152" i="4"/>
  <c r="DP67" i="9"/>
  <c r="DP53" i="9"/>
  <c r="DP55" i="9"/>
  <c r="JG99" i="4"/>
  <c r="DW100" i="4" s="1"/>
  <c r="DW101" i="4" s="1"/>
  <c r="DW103" i="4" s="1"/>
  <c r="DM68" i="9" s="1"/>
  <c r="DR29" i="7"/>
  <c r="DR30" i="7"/>
  <c r="DR32" i="7"/>
  <c r="DR31" i="7"/>
  <c r="JK2" i="4"/>
  <c r="DU2" i="7"/>
  <c r="DY123" i="4"/>
  <c r="DO78" i="9" s="1"/>
  <c r="DY127" i="4"/>
  <c r="DO82" i="9" s="1"/>
  <c r="DY124" i="4"/>
  <c r="DO79" i="9" s="1"/>
  <c r="DX139" i="4"/>
  <c r="DN90" i="9" s="1"/>
  <c r="DY129" i="4"/>
  <c r="DO84" i="9" s="1"/>
  <c r="JJ95" i="4"/>
  <c r="JJ120" i="4" s="1"/>
  <c r="JJ130" i="4" s="1"/>
  <c r="DZ130" i="4" s="1"/>
  <c r="JJ119" i="4"/>
  <c r="JJ91" i="4"/>
  <c r="JJ90" i="4" s="1"/>
  <c r="DZ90" i="4" s="1"/>
  <c r="DZ97" i="4" s="1"/>
  <c r="JJ151" i="4"/>
  <c r="JJ154" i="4"/>
  <c r="DY125" i="4"/>
  <c r="JH96" i="4"/>
  <c r="DX99" i="4"/>
  <c r="JH150" i="4" s="1"/>
  <c r="DZ252" i="4"/>
  <c r="DY122" i="4"/>
  <c r="DZ31" i="4"/>
  <c r="DZ95" i="4"/>
  <c r="DP20" i="7"/>
  <c r="DP19" i="7"/>
  <c r="DP18" i="7"/>
  <c r="EB22" i="4"/>
  <c r="EA44" i="4"/>
  <c r="EA28" i="4"/>
  <c r="JK22" i="4"/>
  <c r="EA27" i="4"/>
  <c r="EA26" i="4"/>
  <c r="EA88" i="4"/>
  <c r="EA43" i="4"/>
  <c r="EA47" i="4"/>
  <c r="EA30" i="4"/>
  <c r="EA42" i="4"/>
  <c r="EA41" i="4"/>
  <c r="EA48" i="4"/>
  <c r="JI118" i="4"/>
  <c r="JI92" i="4"/>
  <c r="JI97" i="4" s="1"/>
  <c r="DY107" i="4"/>
  <c r="DY137" i="4"/>
  <c r="DY96" i="4"/>
  <c r="DY105" i="4"/>
  <c r="DY136" i="4"/>
  <c r="DY138" i="4"/>
  <c r="DY98" i="4"/>
  <c r="DY102" i="4"/>
  <c r="DY106" i="4"/>
  <c r="JK94" i="4"/>
  <c r="JK93" i="4" s="1"/>
  <c r="JK117" i="4"/>
  <c r="JK116" i="4" s="1"/>
  <c r="JK121" i="4"/>
  <c r="JK123" i="4"/>
  <c r="JK201" i="4"/>
  <c r="JK127" i="4"/>
  <c r="JK53" i="4"/>
  <c r="JK129" i="4"/>
  <c r="JK198" i="4"/>
  <c r="JE3" i="7"/>
  <c r="JK89" i="4"/>
  <c r="JK126" i="4"/>
  <c r="JK124" i="4"/>
  <c r="JK122" i="4"/>
  <c r="JK125" i="4"/>
  <c r="JK57" i="4"/>
  <c r="JI28" i="4"/>
  <c r="JI44" i="4"/>
  <c r="JI26" i="4"/>
  <c r="JI27" i="4"/>
  <c r="JI37" i="4"/>
  <c r="DY37" i="4" s="1"/>
  <c r="JI43" i="4"/>
  <c r="JI30" i="4"/>
  <c r="JI47" i="4"/>
  <c r="JI34" i="4"/>
  <c r="DY34" i="4" s="1"/>
  <c r="JI41" i="4"/>
  <c r="JI42" i="4"/>
  <c r="JI48" i="4"/>
  <c r="EA23" i="4"/>
  <c r="JJ23" i="4"/>
  <c r="DT5" i="7"/>
  <c r="DZ89" i="4"/>
  <c r="JD13" i="7"/>
  <c r="JD12" i="7"/>
  <c r="JD14" i="7"/>
  <c r="DO94" i="9"/>
  <c r="DO80" i="9"/>
  <c r="DO76" i="9"/>
  <c r="DO77" i="9"/>
  <c r="DO85" i="9"/>
  <c r="EC3" i="4"/>
  <c r="JL3" i="4"/>
  <c r="EB2" i="4"/>
  <c r="EB70" i="4"/>
  <c r="DV3" i="7"/>
  <c r="EB83" i="4"/>
  <c r="EB198" i="4"/>
  <c r="DU10" i="7"/>
  <c r="DU14" i="7"/>
  <c r="DU12" i="7"/>
  <c r="DU13" i="7"/>
  <c r="JC15" i="7"/>
  <c r="DS9" i="7" s="1"/>
  <c r="DQ54" i="9"/>
  <c r="EA231" i="4"/>
  <c r="EA199" i="4"/>
  <c r="JJ36" i="4" l="1"/>
  <c r="DZ36" i="4" s="1"/>
  <c r="JJ46" i="4"/>
  <c r="EB45" i="4"/>
  <c r="EB46" i="4"/>
  <c r="DX51" i="4"/>
  <c r="DN56" i="9"/>
  <c r="DN58" i="9" s="1"/>
  <c r="DX200" i="4"/>
  <c r="DP57" i="9"/>
  <c r="DS114" i="4"/>
  <c r="DS91" i="4" s="1"/>
  <c r="DJ72" i="9"/>
  <c r="DJ73" i="9" s="1"/>
  <c r="DT128" i="4"/>
  <c r="DT131" i="4" s="1"/>
  <c r="DT133" i="4" s="1"/>
  <c r="DT141" i="4" s="1"/>
  <c r="DT91" i="4"/>
  <c r="DU111" i="4"/>
  <c r="DU112" i="4" s="1"/>
  <c r="DK70" i="9"/>
  <c r="DK71" i="9" s="1"/>
  <c r="JB61" i="4"/>
  <c r="DR206" i="4"/>
  <c r="DQ20" i="7"/>
  <c r="DQ18" i="7"/>
  <c r="JI153" i="4"/>
  <c r="JI156" i="4" s="1"/>
  <c r="JI158" i="4" s="1"/>
  <c r="JI159" i="4" s="1"/>
  <c r="JI160" i="4" s="1"/>
  <c r="JJ35" i="4"/>
  <c r="DZ35" i="4" s="1"/>
  <c r="JJ45" i="4"/>
  <c r="JH54" i="4"/>
  <c r="DY38" i="4"/>
  <c r="JI146" i="4"/>
  <c r="JI147" i="4" s="1"/>
  <c r="JI148" i="4" s="1"/>
  <c r="JI149" i="4" s="1"/>
  <c r="EA49" i="4"/>
  <c r="JH99" i="4"/>
  <c r="DX100" i="4" s="1"/>
  <c r="DX101" i="4" s="1"/>
  <c r="DX103" i="4" s="1"/>
  <c r="DN68" i="9" s="1"/>
  <c r="DP21" i="7"/>
  <c r="DP23" i="7" s="1"/>
  <c r="DP24" i="7" s="1"/>
  <c r="DP25" i="7" s="1"/>
  <c r="DP35" i="7" s="1"/>
  <c r="DV110" i="4" s="1"/>
  <c r="DZ105" i="4"/>
  <c r="DZ98" i="4"/>
  <c r="JJ118" i="4"/>
  <c r="JJ92" i="4"/>
  <c r="JJ97" i="4" s="1"/>
  <c r="DZ107" i="4"/>
  <c r="DZ137" i="4"/>
  <c r="DZ136" i="4"/>
  <c r="DZ96" i="4"/>
  <c r="DZ138" i="4"/>
  <c r="DZ102" i="4"/>
  <c r="DZ106" i="4"/>
  <c r="DZ121" i="4"/>
  <c r="DP76" i="9" s="1"/>
  <c r="DZ129" i="4"/>
  <c r="DP84" i="9" s="1"/>
  <c r="DZ125" i="4"/>
  <c r="DZ126" i="4"/>
  <c r="DP81" i="9" s="1"/>
  <c r="DZ123" i="4"/>
  <c r="DP78" i="9" s="1"/>
  <c r="DZ127" i="4"/>
  <c r="DP82" i="9" s="1"/>
  <c r="DZ122" i="4"/>
  <c r="DZ124" i="4"/>
  <c r="DP79" i="9" s="1"/>
  <c r="JJ152" i="4"/>
  <c r="JJ28" i="4"/>
  <c r="JJ44" i="4"/>
  <c r="JJ26" i="4"/>
  <c r="JJ27" i="4"/>
  <c r="JJ37" i="4"/>
  <c r="DZ37" i="4" s="1"/>
  <c r="JJ43" i="4"/>
  <c r="JJ30" i="4"/>
  <c r="JJ47" i="4"/>
  <c r="JJ34" i="4"/>
  <c r="DZ34" i="4" s="1"/>
  <c r="JJ41" i="4"/>
  <c r="JJ42" i="4"/>
  <c r="JJ48" i="4"/>
  <c r="DU15" i="7"/>
  <c r="JE13" i="7"/>
  <c r="JE14" i="7"/>
  <c r="JE12" i="7"/>
  <c r="DS30" i="7"/>
  <c r="DS31" i="7"/>
  <c r="DS32" i="7"/>
  <c r="DS29" i="7"/>
  <c r="JJ131" i="4"/>
  <c r="DY108" i="4"/>
  <c r="DO69" i="9" s="1"/>
  <c r="DP77" i="9"/>
  <c r="DP94" i="9"/>
  <c r="DP80" i="9"/>
  <c r="DP85" i="9"/>
  <c r="EA95" i="4"/>
  <c r="JI98" i="4"/>
  <c r="JK119" i="4"/>
  <c r="JK95" i="4"/>
  <c r="JK120" i="4" s="1"/>
  <c r="JK130" i="4" s="1"/>
  <c r="EA130" i="4" s="1"/>
  <c r="JK91" i="4"/>
  <c r="JK90" i="4" s="1"/>
  <c r="EA90" i="4" s="1"/>
  <c r="EA97" i="4" s="1"/>
  <c r="JK151" i="4"/>
  <c r="JK154" i="4"/>
  <c r="DR54" i="9"/>
  <c r="EB231" i="4"/>
  <c r="EB199" i="4"/>
  <c r="EA31" i="4"/>
  <c r="JL2" i="4"/>
  <c r="DV2" i="7"/>
  <c r="JJ155" i="4"/>
  <c r="DV10" i="7"/>
  <c r="DV14" i="7"/>
  <c r="DV12" i="7"/>
  <c r="DV13" i="7"/>
  <c r="JL94" i="4"/>
  <c r="JL93" i="4" s="1"/>
  <c r="JL117" i="4"/>
  <c r="JL116" i="4" s="1"/>
  <c r="JL198" i="4"/>
  <c r="JL126" i="4"/>
  <c r="JL53" i="4"/>
  <c r="JF3" i="7"/>
  <c r="JL129" i="4"/>
  <c r="JL123" i="4"/>
  <c r="JL121" i="4"/>
  <c r="JL125" i="4"/>
  <c r="JL124" i="4"/>
  <c r="JL122" i="4"/>
  <c r="JL57" i="4"/>
  <c r="JL89" i="4"/>
  <c r="JL127" i="4"/>
  <c r="JL201" i="4"/>
  <c r="ED3" i="4"/>
  <c r="JM3" i="4"/>
  <c r="EC2" i="4"/>
  <c r="EC70" i="4"/>
  <c r="EC83" i="4"/>
  <c r="EC198" i="4"/>
  <c r="DW3" i="7"/>
  <c r="DY139" i="4"/>
  <c r="DO90" i="9" s="1"/>
  <c r="EB23" i="4"/>
  <c r="JK23" i="4"/>
  <c r="EA89" i="4"/>
  <c r="DU5" i="7"/>
  <c r="JD15" i="7"/>
  <c r="DT9" i="7" s="1"/>
  <c r="EB28" i="4"/>
  <c r="EC22" i="4"/>
  <c r="EB44" i="4"/>
  <c r="JL22" i="4"/>
  <c r="EB88" i="4"/>
  <c r="EB43" i="4"/>
  <c r="EB26" i="4"/>
  <c r="EB27" i="4"/>
  <c r="EB30" i="4"/>
  <c r="EB47" i="4"/>
  <c r="EB41" i="4"/>
  <c r="EB42" i="4"/>
  <c r="EB48" i="4"/>
  <c r="DR33" i="7"/>
  <c r="EA252" i="4"/>
  <c r="DQ53" i="9"/>
  <c r="DQ67" i="9"/>
  <c r="DQ55" i="9"/>
  <c r="JI96" i="4"/>
  <c r="DY99" i="4"/>
  <c r="JI150" i="4" s="1"/>
  <c r="EC45" i="4" l="1"/>
  <c r="EC46" i="4"/>
  <c r="JK36" i="4"/>
  <c r="EA36" i="4" s="1"/>
  <c r="JK46" i="4"/>
  <c r="DY51" i="4"/>
  <c r="DO56" i="9"/>
  <c r="DO58" i="9" s="1"/>
  <c r="DY200" i="4"/>
  <c r="DU113" i="4"/>
  <c r="DU114" i="4" s="1"/>
  <c r="DU128" i="4" s="1"/>
  <c r="DQ57" i="9"/>
  <c r="DS128" i="4"/>
  <c r="DS131" i="4" s="1"/>
  <c r="DS133" i="4" s="1"/>
  <c r="DS141" i="4" s="1"/>
  <c r="DJ83" i="9"/>
  <c r="DJ86" i="9" s="1"/>
  <c r="DJ88" i="9" s="1"/>
  <c r="DJ92" i="9" s="1"/>
  <c r="DV111" i="4"/>
  <c r="DV112" i="4" s="1"/>
  <c r="DL70" i="9"/>
  <c r="DL71" i="9" s="1"/>
  <c r="JB77" i="4"/>
  <c r="DR76" i="4"/>
  <c r="DR56" i="4"/>
  <c r="JD61" i="4"/>
  <c r="DT206" i="4"/>
  <c r="DQ21" i="7"/>
  <c r="DQ23" i="7" s="1"/>
  <c r="DQ24" i="7" s="1"/>
  <c r="DQ25" i="7" s="1"/>
  <c r="DQ35" i="7" s="1"/>
  <c r="DW110" i="4" s="1"/>
  <c r="JJ153" i="4"/>
  <c r="JJ156" i="4" s="1"/>
  <c r="JJ158" i="4" s="1"/>
  <c r="JJ159" i="4" s="1"/>
  <c r="JJ160" i="4" s="1"/>
  <c r="JK35" i="4"/>
  <c r="EA35" i="4" s="1"/>
  <c r="JK45" i="4"/>
  <c r="DZ108" i="4"/>
  <c r="DP69" i="9" s="1"/>
  <c r="JI54" i="4"/>
  <c r="JE15" i="7"/>
  <c r="DU9" i="7" s="1"/>
  <c r="JJ146" i="4"/>
  <c r="JJ147" i="4" s="1"/>
  <c r="JJ148" i="4" s="1"/>
  <c r="JJ149" i="4" s="1"/>
  <c r="EB49" i="4"/>
  <c r="DS33" i="7"/>
  <c r="DS20" i="7" s="1"/>
  <c r="EA107" i="4"/>
  <c r="EA136" i="4"/>
  <c r="EA98" i="4"/>
  <c r="EA137" i="4"/>
  <c r="EA105" i="4"/>
  <c r="EA96" i="4"/>
  <c r="JK118" i="4"/>
  <c r="JK92" i="4"/>
  <c r="JK97" i="4" s="1"/>
  <c r="EA138" i="4"/>
  <c r="EA102" i="4"/>
  <c r="EA106" i="4"/>
  <c r="JK152" i="4"/>
  <c r="EA127" i="4"/>
  <c r="DQ82" i="9" s="1"/>
  <c r="EA123" i="4"/>
  <c r="EA121" i="4"/>
  <c r="DQ76" i="9" s="1"/>
  <c r="EA124" i="4"/>
  <c r="DQ79" i="9" s="1"/>
  <c r="EA129" i="4"/>
  <c r="EA125" i="4"/>
  <c r="DQ80" i="9" s="1"/>
  <c r="EA122" i="4"/>
  <c r="DQ77" i="9" s="1"/>
  <c r="EA126" i="4"/>
  <c r="DQ81" i="9" s="1"/>
  <c r="DW10" i="7"/>
  <c r="DW14" i="7"/>
  <c r="DW12" i="7"/>
  <c r="DW13" i="7"/>
  <c r="JM2" i="4"/>
  <c r="DW2" i="7"/>
  <c r="DV15" i="7"/>
  <c r="DZ38" i="4"/>
  <c r="EC23" i="4"/>
  <c r="JL23" i="4"/>
  <c r="EB89" i="4"/>
  <c r="DV5" i="7"/>
  <c r="JJ96" i="4"/>
  <c r="DZ99" i="4"/>
  <c r="JJ150" i="4" s="1"/>
  <c r="DU32" i="7"/>
  <c r="DU31" i="7"/>
  <c r="DU29" i="7"/>
  <c r="DU30" i="7"/>
  <c r="DZ139" i="4"/>
  <c r="DP90" i="9" s="1"/>
  <c r="JI99" i="4"/>
  <c r="DY100" i="4" s="1"/>
  <c r="DY101" i="4" s="1"/>
  <c r="DY103" i="4" s="1"/>
  <c r="DO68" i="9" s="1"/>
  <c r="EC199" i="4"/>
  <c r="DS54" i="9"/>
  <c r="EC231" i="4"/>
  <c r="JM117" i="4"/>
  <c r="JM116" i="4" s="1"/>
  <c r="JM94" i="4"/>
  <c r="JM93" i="4" s="1"/>
  <c r="JM201" i="4"/>
  <c r="JM129" i="4"/>
  <c r="JM124" i="4"/>
  <c r="JM198" i="4"/>
  <c r="JM122" i="4"/>
  <c r="JM89" i="4"/>
  <c r="JM125" i="4"/>
  <c r="JM127" i="4"/>
  <c r="JM123" i="4"/>
  <c r="JM121" i="4"/>
  <c r="JM53" i="4"/>
  <c r="JG3" i="7"/>
  <c r="JM126" i="4"/>
  <c r="JM57" i="4"/>
  <c r="EB31" i="4"/>
  <c r="JF13" i="7"/>
  <c r="JF12" i="7"/>
  <c r="JF14" i="7"/>
  <c r="EE3" i="4"/>
  <c r="JN3" i="4"/>
  <c r="DX3" i="7"/>
  <c r="ED83" i="4"/>
  <c r="ED2" i="4"/>
  <c r="ED198" i="4"/>
  <c r="ED70" i="4"/>
  <c r="EB95" i="4"/>
  <c r="JK131" i="4"/>
  <c r="DR19" i="7"/>
  <c r="DR18" i="7"/>
  <c r="DR20" i="7"/>
  <c r="DR53" i="9"/>
  <c r="DR67" i="9"/>
  <c r="DR57" i="9"/>
  <c r="DR55" i="9"/>
  <c r="EB252" i="4"/>
  <c r="DQ78" i="9"/>
  <c r="DQ84" i="9"/>
  <c r="DQ94" i="9"/>
  <c r="DQ85" i="9"/>
  <c r="JL95" i="4"/>
  <c r="JL120" i="4" s="1"/>
  <c r="JL130" i="4" s="1"/>
  <c r="EB130" i="4" s="1"/>
  <c r="JL119" i="4"/>
  <c r="JL91" i="4"/>
  <c r="JL90" i="4" s="1"/>
  <c r="EB90" i="4" s="1"/>
  <c r="EB97" i="4" s="1"/>
  <c r="JL151" i="4"/>
  <c r="JL154" i="4"/>
  <c r="ED22" i="4"/>
  <c r="EC28" i="4"/>
  <c r="EC44" i="4"/>
  <c r="JM22" i="4"/>
  <c r="EC43" i="4"/>
  <c r="EC26" i="4"/>
  <c r="EC88" i="4"/>
  <c r="EC27" i="4"/>
  <c r="EC30" i="4"/>
  <c r="EC47" i="4"/>
  <c r="EC41" i="4"/>
  <c r="EC42" i="4"/>
  <c r="EC48" i="4"/>
  <c r="JJ98" i="4"/>
  <c r="JK28" i="4"/>
  <c r="JK44" i="4"/>
  <c r="JK27" i="4"/>
  <c r="JK26" i="4"/>
  <c r="JK37" i="4"/>
  <c r="EA37" i="4" s="1"/>
  <c r="JK43" i="4"/>
  <c r="JK47" i="4"/>
  <c r="JK30" i="4"/>
  <c r="JK34" i="4"/>
  <c r="EA34" i="4" s="1"/>
  <c r="JK41" i="4"/>
  <c r="JK42" i="4"/>
  <c r="JK48" i="4"/>
  <c r="JK155" i="4"/>
  <c r="DT30" i="7"/>
  <c r="DT31" i="7"/>
  <c r="DT32" i="7"/>
  <c r="DT29" i="7"/>
  <c r="JL36" i="4" l="1"/>
  <c r="EB36" i="4" s="1"/>
  <c r="JL46" i="4"/>
  <c r="ED45" i="4"/>
  <c r="ED46" i="4"/>
  <c r="DP56" i="9"/>
  <c r="DP58" i="9" s="1"/>
  <c r="DZ200" i="4"/>
  <c r="DI83" i="9"/>
  <c r="DI86" i="9" s="1"/>
  <c r="DI88" i="9" s="1"/>
  <c r="DI92" i="9" s="1"/>
  <c r="DU91" i="4"/>
  <c r="DK72" i="9"/>
  <c r="DK73" i="9" s="1"/>
  <c r="DV113" i="4"/>
  <c r="DV114" i="4" s="1"/>
  <c r="DV128" i="4" s="1"/>
  <c r="DV131" i="4" s="1"/>
  <c r="DV133" i="4" s="1"/>
  <c r="DV141" i="4" s="1"/>
  <c r="DW111" i="4"/>
  <c r="DW113" i="4" s="1"/>
  <c r="DM70" i="9"/>
  <c r="DM71" i="9" s="1"/>
  <c r="DT56" i="4"/>
  <c r="DT76" i="4"/>
  <c r="JC61" i="4"/>
  <c r="DS206" i="4"/>
  <c r="DL83" i="9"/>
  <c r="DL86" i="9" s="1"/>
  <c r="DU131" i="4"/>
  <c r="DU133" i="4" s="1"/>
  <c r="DU141" i="4" s="1"/>
  <c r="DK83" i="9"/>
  <c r="DK86" i="9" s="1"/>
  <c r="JK153" i="4"/>
  <c r="JK156" i="4" s="1"/>
  <c r="JK158" i="4" s="1"/>
  <c r="JK159" i="4" s="1"/>
  <c r="JK160" i="4" s="1"/>
  <c r="JL35" i="4"/>
  <c r="EB35" i="4" s="1"/>
  <c r="JL45" i="4"/>
  <c r="DW15" i="7"/>
  <c r="EC49" i="4"/>
  <c r="JL155" i="4"/>
  <c r="DS19" i="7"/>
  <c r="DS18" i="7"/>
  <c r="JK146" i="4"/>
  <c r="JK147" i="4" s="1"/>
  <c r="JK148" i="4" s="1"/>
  <c r="JK149" i="4" s="1"/>
  <c r="EA38" i="4"/>
  <c r="JK98" i="4"/>
  <c r="EB136" i="4"/>
  <c r="EB96" i="4"/>
  <c r="EB107" i="4"/>
  <c r="EB137" i="4"/>
  <c r="JL118" i="4"/>
  <c r="JL92" i="4"/>
  <c r="JL97" i="4" s="1"/>
  <c r="EB98" i="4"/>
  <c r="EB105" i="4"/>
  <c r="EB138" i="4"/>
  <c r="EB102" i="4"/>
  <c r="EB106" i="4"/>
  <c r="EB124" i="4"/>
  <c r="DR79" i="9" s="1"/>
  <c r="EB123" i="4"/>
  <c r="DR78" i="9" s="1"/>
  <c r="JL152" i="4"/>
  <c r="EB126" i="4"/>
  <c r="DR81" i="9" s="1"/>
  <c r="EB121" i="4"/>
  <c r="DR76" i="9" s="1"/>
  <c r="EB125" i="4"/>
  <c r="DR80" i="9" s="1"/>
  <c r="EB129" i="4"/>
  <c r="DR84" i="9" s="1"/>
  <c r="EB122" i="4"/>
  <c r="DR77" i="9" s="1"/>
  <c r="EB127" i="4"/>
  <c r="DR82" i="9" s="1"/>
  <c r="EC252" i="4"/>
  <c r="DZ51" i="4"/>
  <c r="JJ54" i="4"/>
  <c r="JL131" i="4"/>
  <c r="DS53" i="9"/>
  <c r="DS67" i="9"/>
  <c r="DS55" i="9"/>
  <c r="JM95" i="4"/>
  <c r="JM120" i="4" s="1"/>
  <c r="JM130" i="4" s="1"/>
  <c r="EC130" i="4" s="1"/>
  <c r="JM119" i="4"/>
  <c r="JM91" i="4"/>
  <c r="JM90" i="4" s="1"/>
  <c r="EC90" i="4" s="1"/>
  <c r="EC97" i="4" s="1"/>
  <c r="JM151" i="4"/>
  <c r="JM154" i="4"/>
  <c r="ED231" i="4"/>
  <c r="ED199" i="4"/>
  <c r="DT54" i="9"/>
  <c r="EC31" i="4"/>
  <c r="JN2" i="4"/>
  <c r="DX2" i="7"/>
  <c r="EA108" i="4"/>
  <c r="DQ69" i="9" s="1"/>
  <c r="EC95" i="4"/>
  <c r="DX10" i="7"/>
  <c r="DX14" i="7"/>
  <c r="DX12" i="7"/>
  <c r="DX13" i="7"/>
  <c r="JN94" i="4"/>
  <c r="JN93" i="4" s="1"/>
  <c r="JN117" i="4"/>
  <c r="JN116" i="4" s="1"/>
  <c r="JN201" i="4"/>
  <c r="JN127" i="4"/>
  <c r="JN57" i="4"/>
  <c r="JN129" i="4"/>
  <c r="JN53" i="4"/>
  <c r="JH3" i="7"/>
  <c r="JN125" i="4"/>
  <c r="JN122" i="4"/>
  <c r="JN121" i="4"/>
  <c r="JN89" i="4"/>
  <c r="JN124" i="4"/>
  <c r="JN198" i="4"/>
  <c r="JN126" i="4"/>
  <c r="JN123" i="4"/>
  <c r="DT33" i="7"/>
  <c r="DR21" i="7"/>
  <c r="DR23" i="7" s="1"/>
  <c r="DR24" i="7" s="1"/>
  <c r="DR25" i="7" s="1"/>
  <c r="DR35" i="7" s="1"/>
  <c r="DX110" i="4" s="1"/>
  <c r="EF3" i="4"/>
  <c r="JO3" i="4"/>
  <c r="EE83" i="4"/>
  <c r="EE2" i="4"/>
  <c r="DY3" i="7"/>
  <c r="EE70" i="4"/>
  <c r="EE198" i="4"/>
  <c r="DU33" i="7"/>
  <c r="ED44" i="4"/>
  <c r="EE22" i="4"/>
  <c r="ED28" i="4"/>
  <c r="ED88" i="4"/>
  <c r="JN22" i="4"/>
  <c r="ED43" i="4"/>
  <c r="ED27" i="4"/>
  <c r="ED26" i="4"/>
  <c r="ED30" i="4"/>
  <c r="ED47" i="4"/>
  <c r="ED41" i="4"/>
  <c r="ED42" i="4"/>
  <c r="ED48" i="4"/>
  <c r="JK96" i="4"/>
  <c r="EA99" i="4"/>
  <c r="JK150" i="4" s="1"/>
  <c r="DR85" i="9"/>
  <c r="DR94" i="9"/>
  <c r="JF15" i="7"/>
  <c r="DV9" i="7" s="1"/>
  <c r="JJ99" i="4"/>
  <c r="DZ100" i="4" s="1"/>
  <c r="DZ101" i="4" s="1"/>
  <c r="DZ103" i="4" s="1"/>
  <c r="DP68" i="9" s="1"/>
  <c r="JG13" i="7"/>
  <c r="JG14" i="7"/>
  <c r="JG12" i="7"/>
  <c r="ED23" i="4"/>
  <c r="JM23" i="4"/>
  <c r="DW5" i="7"/>
  <c r="EC89" i="4"/>
  <c r="EA139" i="4"/>
  <c r="DQ90" i="9" s="1"/>
  <c r="JL28" i="4"/>
  <c r="JL44" i="4"/>
  <c r="JL27" i="4"/>
  <c r="JL26" i="4"/>
  <c r="JL37" i="4"/>
  <c r="EB37" i="4" s="1"/>
  <c r="JL43" i="4"/>
  <c r="JL30" i="4"/>
  <c r="JL47" i="4"/>
  <c r="JL34" i="4"/>
  <c r="EB34" i="4" s="1"/>
  <c r="JL42" i="4"/>
  <c r="JL41" i="4"/>
  <c r="JL48" i="4"/>
  <c r="JM36" i="4" l="1"/>
  <c r="EC36" i="4" s="1"/>
  <c r="JM46" i="4"/>
  <c r="EE45" i="4"/>
  <c r="EE46" i="4"/>
  <c r="DL72" i="9"/>
  <c r="DL73" i="9" s="1"/>
  <c r="DL88" i="9" s="1"/>
  <c r="DL92" i="9" s="1"/>
  <c r="EA51" i="4"/>
  <c r="DQ56" i="9"/>
  <c r="DQ58" i="9" s="1"/>
  <c r="EA200" i="4"/>
  <c r="JK54" i="4"/>
  <c r="DK88" i="9"/>
  <c r="DK92" i="9" s="1"/>
  <c r="DV91" i="4"/>
  <c r="DS57" i="9"/>
  <c r="JK99" i="4"/>
  <c r="EA100" i="4" s="1"/>
  <c r="EA101" i="4" s="1"/>
  <c r="EA103" i="4" s="1"/>
  <c r="DQ68" i="9" s="1"/>
  <c r="DW112" i="4"/>
  <c r="DM72" i="9" s="1"/>
  <c r="DM73" i="9" s="1"/>
  <c r="DX111" i="4"/>
  <c r="DX113" i="4" s="1"/>
  <c r="DN70" i="9"/>
  <c r="DN71" i="9" s="1"/>
  <c r="JF61" i="4"/>
  <c r="DV206" i="4"/>
  <c r="JC77" i="4"/>
  <c r="JD77" i="4" s="1"/>
  <c r="DS56" i="4"/>
  <c r="DS76" i="4"/>
  <c r="JE61" i="4"/>
  <c r="DU206" i="4"/>
  <c r="JM131" i="4"/>
  <c r="JL153" i="4"/>
  <c r="JL156" i="4" s="1"/>
  <c r="JL158" i="4" s="1"/>
  <c r="JL159" i="4" s="1"/>
  <c r="JL160" i="4" s="1"/>
  <c r="JM35" i="4"/>
  <c r="EC35" i="4" s="1"/>
  <c r="JM45" i="4"/>
  <c r="DS21" i="7"/>
  <c r="DS23" i="7" s="1"/>
  <c r="DS24" i="7" s="1"/>
  <c r="DS25" i="7" s="1"/>
  <c r="DS35" i="7" s="1"/>
  <c r="DY110" i="4" s="1"/>
  <c r="JG15" i="7"/>
  <c r="DW9" i="7" s="1"/>
  <c r="EB108" i="4"/>
  <c r="DR69" i="9" s="1"/>
  <c r="ED49" i="4"/>
  <c r="JL98" i="4"/>
  <c r="JL146" i="4"/>
  <c r="JL147" i="4" s="1"/>
  <c r="JL148" i="4" s="1"/>
  <c r="JL149" i="4" s="1"/>
  <c r="EB38" i="4"/>
  <c r="EB139" i="4"/>
  <c r="DR90" i="9" s="1"/>
  <c r="JM92" i="4"/>
  <c r="JM97" i="4" s="1"/>
  <c r="EC107" i="4"/>
  <c r="EC96" i="4"/>
  <c r="EC137" i="4"/>
  <c r="JM118" i="4"/>
  <c r="EC105" i="4"/>
  <c r="EC98" i="4"/>
  <c r="EC136" i="4"/>
  <c r="EC138" i="4"/>
  <c r="EC102" i="4"/>
  <c r="EC106" i="4"/>
  <c r="EC127" i="4"/>
  <c r="DS82" i="9" s="1"/>
  <c r="EC123" i="4"/>
  <c r="DS78" i="9" s="1"/>
  <c r="EC124" i="4"/>
  <c r="DS79" i="9" s="1"/>
  <c r="JM152" i="4"/>
  <c r="EC126" i="4"/>
  <c r="DS81" i="9" s="1"/>
  <c r="EC122" i="4"/>
  <c r="DS77" i="9" s="1"/>
  <c r="EC129" i="4"/>
  <c r="DS84" i="9" s="1"/>
  <c r="EC121" i="4"/>
  <c r="EC125" i="4"/>
  <c r="DS94" i="9"/>
  <c r="DS80" i="9"/>
  <c r="DS85" i="9"/>
  <c r="DS76" i="9"/>
  <c r="DW31" i="7"/>
  <c r="DW29" i="7"/>
  <c r="DW30" i="7"/>
  <c r="DW32" i="7"/>
  <c r="ED31" i="4"/>
  <c r="DT53" i="9"/>
  <c r="DT67" i="9"/>
  <c r="DT55" i="9"/>
  <c r="ED252" i="4"/>
  <c r="JM44" i="4"/>
  <c r="JM28" i="4"/>
  <c r="JM26" i="4"/>
  <c r="JM27" i="4"/>
  <c r="JM37" i="4"/>
  <c r="EC37" i="4" s="1"/>
  <c r="JM43" i="4"/>
  <c r="JM47" i="4"/>
  <c r="JM30" i="4"/>
  <c r="JM34" i="4"/>
  <c r="EC34" i="4" s="1"/>
  <c r="JM41" i="4"/>
  <c r="JM42" i="4"/>
  <c r="JM48" i="4"/>
  <c r="JN23" i="4"/>
  <c r="EE23" i="4"/>
  <c r="ED89" i="4"/>
  <c r="DX5" i="7"/>
  <c r="ED95" i="4"/>
  <c r="JN119" i="4"/>
  <c r="JN95" i="4"/>
  <c r="JN120" i="4" s="1"/>
  <c r="JN130" i="4" s="1"/>
  <c r="ED130" i="4" s="1"/>
  <c r="JN91" i="4"/>
  <c r="JN90" i="4" s="1"/>
  <c r="ED90" i="4" s="1"/>
  <c r="ED97" i="4" s="1"/>
  <c r="JN151" i="4"/>
  <c r="JN154" i="4"/>
  <c r="JP3" i="4"/>
  <c r="EG3" i="4"/>
  <c r="EF83" i="4"/>
  <c r="DZ3" i="7"/>
  <c r="EF70" i="4"/>
  <c r="EF198" i="4"/>
  <c r="EF2" i="4"/>
  <c r="DV32" i="7"/>
  <c r="DV31" i="7"/>
  <c r="DV29" i="7"/>
  <c r="DV30" i="7"/>
  <c r="EF22" i="4"/>
  <c r="EE28" i="4"/>
  <c r="EE44" i="4"/>
  <c r="EE88" i="4"/>
  <c r="EE26" i="4"/>
  <c r="EE43" i="4"/>
  <c r="JO22" i="4"/>
  <c r="EE27" i="4"/>
  <c r="EE30" i="4"/>
  <c r="EE47" i="4"/>
  <c r="EE42" i="4"/>
  <c r="EE41" i="4"/>
  <c r="EE48" i="4"/>
  <c r="JM155" i="4"/>
  <c r="DX15" i="7"/>
  <c r="DU18" i="7"/>
  <c r="DU19" i="7"/>
  <c r="DU20" i="7"/>
  <c r="EE231" i="4"/>
  <c r="DU54" i="9"/>
  <c r="EE199" i="4"/>
  <c r="JH14" i="7"/>
  <c r="JH13" i="7"/>
  <c r="JH12" i="7"/>
  <c r="JO94" i="4"/>
  <c r="JO93" i="4" s="1"/>
  <c r="JO117" i="4"/>
  <c r="JO116" i="4" s="1"/>
  <c r="JO125" i="4"/>
  <c r="JO129" i="4"/>
  <c r="JO123" i="4"/>
  <c r="JO201" i="4"/>
  <c r="JO127" i="4"/>
  <c r="JO124" i="4"/>
  <c r="JO122" i="4"/>
  <c r="JO53" i="4"/>
  <c r="JO89" i="4"/>
  <c r="JO198" i="4"/>
  <c r="JI3" i="7"/>
  <c r="JO126" i="4"/>
  <c r="JO121" i="4"/>
  <c r="JO57" i="4"/>
  <c r="DT18" i="7"/>
  <c r="DT19" i="7"/>
  <c r="DT20" i="7"/>
  <c r="JL96" i="4"/>
  <c r="EB99" i="4"/>
  <c r="JL150" i="4" s="1"/>
  <c r="DY10" i="7"/>
  <c r="DY14" i="7"/>
  <c r="DY12" i="7"/>
  <c r="DY13" i="7"/>
  <c r="DY2" i="7"/>
  <c r="JO2" i="4"/>
  <c r="EF45" i="4" l="1"/>
  <c r="EF46" i="4"/>
  <c r="JN36" i="4"/>
  <c r="ED36" i="4" s="1"/>
  <c r="JN46" i="4"/>
  <c r="EB51" i="4"/>
  <c r="DR56" i="9"/>
  <c r="DR58" i="9" s="1"/>
  <c r="EB200" i="4"/>
  <c r="DW114" i="4"/>
  <c r="DW128" i="4" s="1"/>
  <c r="DM83" i="9" s="1"/>
  <c r="DM86" i="9" s="1"/>
  <c r="DM88" i="9" s="1"/>
  <c r="DM92" i="9" s="1"/>
  <c r="DT57" i="9"/>
  <c r="DX112" i="4"/>
  <c r="DX114" i="4" s="1"/>
  <c r="DX91" i="4" s="1"/>
  <c r="DY111" i="4"/>
  <c r="DY112" i="4" s="1"/>
  <c r="DO70" i="9"/>
  <c r="DO71" i="9" s="1"/>
  <c r="DU76" i="4"/>
  <c r="DU56" i="4"/>
  <c r="JE77" i="4"/>
  <c r="JF77" i="4" s="1"/>
  <c r="DV76" i="4"/>
  <c r="DV56" i="4"/>
  <c r="JM98" i="4"/>
  <c r="JN131" i="4"/>
  <c r="JM153" i="4"/>
  <c r="JM156" i="4" s="1"/>
  <c r="JM158" i="4" s="1"/>
  <c r="JM159" i="4" s="1"/>
  <c r="JM160" i="4" s="1"/>
  <c r="JN35" i="4"/>
  <c r="ED35" i="4" s="1"/>
  <c r="JN45" i="4"/>
  <c r="EE49" i="4"/>
  <c r="JL99" i="4"/>
  <c r="EB100" i="4" s="1"/>
  <c r="EB101" i="4" s="1"/>
  <c r="EB103" i="4" s="1"/>
  <c r="DR68" i="9" s="1"/>
  <c r="EC108" i="4"/>
  <c r="DS69" i="9" s="1"/>
  <c r="JL54" i="4"/>
  <c r="JN155" i="4"/>
  <c r="ED107" i="4"/>
  <c r="ED137" i="4"/>
  <c r="JN92" i="4"/>
  <c r="JN97" i="4" s="1"/>
  <c r="JN118" i="4"/>
  <c r="ED105" i="4"/>
  <c r="ED136" i="4"/>
  <c r="ED98" i="4"/>
  <c r="ED96" i="4"/>
  <c r="ED138" i="4"/>
  <c r="ED102" i="4"/>
  <c r="ED106" i="4"/>
  <c r="ED123" i="4"/>
  <c r="DT78" i="9" s="1"/>
  <c r="ED127" i="4"/>
  <c r="DT82" i="9" s="1"/>
  <c r="ED122" i="4"/>
  <c r="DT77" i="9" s="1"/>
  <c r="JN152" i="4"/>
  <c r="ED129" i="4"/>
  <c r="DT84" i="9" s="1"/>
  <c r="ED124" i="4"/>
  <c r="DT79" i="9" s="1"/>
  <c r="ED125" i="4"/>
  <c r="DT80" i="9" s="1"/>
  <c r="ED126" i="4"/>
  <c r="DT81" i="9" s="1"/>
  <c r="ED121" i="4"/>
  <c r="DT76" i="9" s="1"/>
  <c r="JP2" i="4"/>
  <c r="DZ2" i="7"/>
  <c r="DY15" i="7"/>
  <c r="EE252" i="4"/>
  <c r="EC139" i="4"/>
  <c r="DS90" i="9" s="1"/>
  <c r="JO119" i="4"/>
  <c r="JO95" i="4"/>
  <c r="JO120" i="4" s="1"/>
  <c r="JO130" i="4" s="1"/>
  <c r="EE130" i="4" s="1"/>
  <c r="JO91" i="4"/>
  <c r="JO90" i="4" s="1"/>
  <c r="EE90" i="4" s="1"/>
  <c r="EE97" i="4" s="1"/>
  <c r="JO151" i="4"/>
  <c r="JO154" i="4"/>
  <c r="DU53" i="9"/>
  <c r="DU67" i="9"/>
  <c r="DU55" i="9"/>
  <c r="DZ10" i="7"/>
  <c r="DZ14" i="7"/>
  <c r="DZ12" i="7"/>
  <c r="DZ13" i="7"/>
  <c r="EH3" i="4"/>
  <c r="JQ3" i="4"/>
  <c r="EG83" i="4"/>
  <c r="EG2" i="4"/>
  <c r="EA3" i="7"/>
  <c r="EG70" i="4"/>
  <c r="EG198" i="4"/>
  <c r="EE31" i="4"/>
  <c r="EE95" i="4"/>
  <c r="EC38" i="4"/>
  <c r="DU21" i="7"/>
  <c r="DU23" i="7" s="1"/>
  <c r="DU24" i="7" s="1"/>
  <c r="DU25" i="7" s="1"/>
  <c r="DU35" i="7" s="1"/>
  <c r="EA110" i="4" s="1"/>
  <c r="DW33" i="7"/>
  <c r="JI13" i="7"/>
  <c r="JI12" i="7"/>
  <c r="JI14" i="7"/>
  <c r="DT94" i="9"/>
  <c r="DT85" i="9"/>
  <c r="JH15" i="7"/>
  <c r="DX9" i="7" s="1"/>
  <c r="EF44" i="4"/>
  <c r="EG22" i="4"/>
  <c r="EF28" i="4"/>
  <c r="JP22" i="4"/>
  <c r="EF26" i="4"/>
  <c r="EF88" i="4"/>
  <c r="EF43" i="4"/>
  <c r="EF27" i="4"/>
  <c r="EF47" i="4"/>
  <c r="EF30" i="4"/>
  <c r="EF41" i="4"/>
  <c r="EF42" i="4"/>
  <c r="EF48" i="4"/>
  <c r="EC99" i="4"/>
  <c r="JM150" i="4" s="1"/>
  <c r="DV54" i="9"/>
  <c r="EF231" i="4"/>
  <c r="EF199" i="4"/>
  <c r="JP94" i="4"/>
  <c r="JP93" i="4" s="1"/>
  <c r="JP117" i="4"/>
  <c r="JP116" i="4" s="1"/>
  <c r="JP198" i="4"/>
  <c r="JP124" i="4"/>
  <c r="JP126" i="4"/>
  <c r="JP129" i="4"/>
  <c r="JP121" i="4"/>
  <c r="JP53" i="4"/>
  <c r="JJ3" i="7"/>
  <c r="JP201" i="4"/>
  <c r="JP89" i="4"/>
  <c r="JP127" i="4"/>
  <c r="JP122" i="4"/>
  <c r="JP57" i="4"/>
  <c r="JP123" i="4"/>
  <c r="JP125" i="4"/>
  <c r="DV33" i="7"/>
  <c r="JO23" i="4"/>
  <c r="EF23" i="4"/>
  <c r="EE89" i="4"/>
  <c r="DY5" i="7"/>
  <c r="DT21" i="7"/>
  <c r="DT23" i="7" s="1"/>
  <c r="DT24" i="7" s="1"/>
  <c r="DT25" i="7" s="1"/>
  <c r="DT35" i="7" s="1"/>
  <c r="DZ110" i="4" s="1"/>
  <c r="JN44" i="4"/>
  <c r="JN27" i="4"/>
  <c r="JN37" i="4"/>
  <c r="ED37" i="4" s="1"/>
  <c r="JN26" i="4"/>
  <c r="JN43" i="4"/>
  <c r="JN30" i="4"/>
  <c r="JN47" i="4"/>
  <c r="JN28" i="4"/>
  <c r="JN34" i="4"/>
  <c r="ED34" i="4" s="1"/>
  <c r="JN42" i="4"/>
  <c r="JN41" i="4"/>
  <c r="JN48" i="4"/>
  <c r="JM146" i="4"/>
  <c r="JM147" i="4" s="1"/>
  <c r="JM148" i="4" s="1"/>
  <c r="JM149" i="4" s="1"/>
  <c r="JM96" i="4"/>
  <c r="EG45" i="4" l="1"/>
  <c r="EG46" i="4"/>
  <c r="JO36" i="4"/>
  <c r="EE36" i="4" s="1"/>
  <c r="JO46" i="4"/>
  <c r="DY113" i="4"/>
  <c r="DY114" i="4" s="1"/>
  <c r="DY128" i="4" s="1"/>
  <c r="DS56" i="9"/>
  <c r="DS58" i="9" s="1"/>
  <c r="EC200" i="4"/>
  <c r="DW131" i="4"/>
  <c r="DW133" i="4" s="1"/>
  <c r="DW141" i="4" s="1"/>
  <c r="DW206" i="4" s="1"/>
  <c r="DW91" i="4"/>
  <c r="DU57" i="9"/>
  <c r="DN72" i="9"/>
  <c r="DN73" i="9" s="1"/>
  <c r="EA111" i="4"/>
  <c r="EA113" i="4" s="1"/>
  <c r="DQ70" i="9"/>
  <c r="DQ71" i="9" s="1"/>
  <c r="DZ111" i="4"/>
  <c r="DZ113" i="4" s="1"/>
  <c r="DP70" i="9"/>
  <c r="DP71" i="9" s="1"/>
  <c r="DO72" i="9"/>
  <c r="DO73" i="9" s="1"/>
  <c r="JM99" i="4"/>
  <c r="EC100" i="4" s="1"/>
  <c r="EC101" i="4" s="1"/>
  <c r="EC103" i="4" s="1"/>
  <c r="DS68" i="9" s="1"/>
  <c r="JN153" i="4"/>
  <c r="JN156" i="4" s="1"/>
  <c r="JN158" i="4" s="1"/>
  <c r="JN159" i="4" s="1"/>
  <c r="JN160" i="4" s="1"/>
  <c r="JO35" i="4"/>
  <c r="EE35" i="4" s="1"/>
  <c r="JO45" i="4"/>
  <c r="JN98" i="4"/>
  <c r="ED108" i="4"/>
  <c r="DT69" i="9" s="1"/>
  <c r="JI15" i="7"/>
  <c r="DY9" i="7" s="1"/>
  <c r="DY30" i="7" s="1"/>
  <c r="EF31" i="4"/>
  <c r="ED38" i="4"/>
  <c r="DX128" i="4"/>
  <c r="JN146" i="4"/>
  <c r="JN147" i="4" s="1"/>
  <c r="JN148" i="4" s="1"/>
  <c r="JN149" i="4" s="1"/>
  <c r="EE107" i="4"/>
  <c r="EE136" i="4"/>
  <c r="EE105" i="4"/>
  <c r="EE98" i="4"/>
  <c r="EE96" i="4"/>
  <c r="JO118" i="4"/>
  <c r="EE137" i="4"/>
  <c r="JO92" i="4"/>
  <c r="JO97" i="4" s="1"/>
  <c r="EE138" i="4"/>
  <c r="EE102" i="4"/>
  <c r="EE106" i="4"/>
  <c r="EE124" i="4"/>
  <c r="DU79" i="9" s="1"/>
  <c r="EE126" i="4"/>
  <c r="DU81" i="9" s="1"/>
  <c r="EE127" i="4"/>
  <c r="DU82" i="9" s="1"/>
  <c r="EE121" i="4"/>
  <c r="DU76" i="9" s="1"/>
  <c r="EE129" i="4"/>
  <c r="DU84" i="9" s="1"/>
  <c r="EE125" i="4"/>
  <c r="DU80" i="9" s="1"/>
  <c r="EE122" i="4"/>
  <c r="DU77" i="9" s="1"/>
  <c r="JO152" i="4"/>
  <c r="EE123" i="4"/>
  <c r="DU78" i="9" s="1"/>
  <c r="JQ124" i="4"/>
  <c r="JQ129" i="4"/>
  <c r="JQ121" i="4"/>
  <c r="JQ122" i="4"/>
  <c r="JQ127" i="4"/>
  <c r="JQ123" i="4"/>
  <c r="JQ94" i="4"/>
  <c r="JQ93" i="4" s="1"/>
  <c r="JQ126" i="4"/>
  <c r="JQ117" i="4"/>
  <c r="JQ116" i="4" s="1"/>
  <c r="JQ125" i="4"/>
  <c r="JQ198" i="4"/>
  <c r="JQ53" i="4"/>
  <c r="JQ201" i="4"/>
  <c r="JQ89" i="4"/>
  <c r="JK3" i="7"/>
  <c r="JQ57" i="4"/>
  <c r="JO155" i="4"/>
  <c r="EF252" i="4"/>
  <c r="JR3" i="4"/>
  <c r="EI3" i="4"/>
  <c r="EH70" i="4"/>
  <c r="EH2" i="4"/>
  <c r="EB3" i="7"/>
  <c r="EH83" i="4"/>
  <c r="EH198" i="4"/>
  <c r="EG231" i="4"/>
  <c r="EG199" i="4"/>
  <c r="DW54" i="9"/>
  <c r="DX30" i="7"/>
  <c r="DX31" i="7"/>
  <c r="DX29" i="7"/>
  <c r="DX32" i="7"/>
  <c r="JJ12" i="7"/>
  <c r="JJ14" i="7"/>
  <c r="JJ13" i="7"/>
  <c r="DZ15" i="7"/>
  <c r="EF49" i="4"/>
  <c r="DW18" i="7"/>
  <c r="DW19" i="7"/>
  <c r="DW20" i="7"/>
  <c r="JN96" i="4"/>
  <c r="ED99" i="4"/>
  <c r="JN150" i="4" s="1"/>
  <c r="EA10" i="7"/>
  <c r="EA14" i="7"/>
  <c r="EA12" i="7"/>
  <c r="EA13" i="7"/>
  <c r="JQ2" i="4"/>
  <c r="EA2" i="7"/>
  <c r="JP23" i="4"/>
  <c r="EG23" i="4"/>
  <c r="DZ5" i="7"/>
  <c r="EF89" i="4"/>
  <c r="DV18" i="7"/>
  <c r="DV19" i="7"/>
  <c r="DV20" i="7"/>
  <c r="ED139" i="4"/>
  <c r="DT90" i="9" s="1"/>
  <c r="JO131" i="4"/>
  <c r="JO28" i="4"/>
  <c r="JO27" i="4"/>
  <c r="JO26" i="4"/>
  <c r="JO37" i="4"/>
  <c r="EE37" i="4" s="1"/>
  <c r="JO43" i="4"/>
  <c r="JO30" i="4"/>
  <c r="JO47" i="4"/>
  <c r="JO34" i="4"/>
  <c r="EE34" i="4" s="1"/>
  <c r="JO44" i="4"/>
  <c r="JO42" i="4"/>
  <c r="JO41" i="4"/>
  <c r="JO48" i="4"/>
  <c r="DV67" i="9"/>
  <c r="DV53" i="9"/>
  <c r="DV55" i="9"/>
  <c r="DU94" i="9"/>
  <c r="DU85" i="9"/>
  <c r="JM54" i="4"/>
  <c r="EC51" i="4"/>
  <c r="EG44" i="4"/>
  <c r="EG28" i="4"/>
  <c r="EH22" i="4"/>
  <c r="EG88" i="4"/>
  <c r="EG26" i="4"/>
  <c r="JQ22" i="4"/>
  <c r="EG43" i="4"/>
  <c r="EG27" i="4"/>
  <c r="EG30" i="4"/>
  <c r="EG47" i="4"/>
  <c r="EG41" i="4"/>
  <c r="EG42" i="4"/>
  <c r="EG48" i="4"/>
  <c r="JP95" i="4"/>
  <c r="JP120" i="4" s="1"/>
  <c r="JP130" i="4" s="1"/>
  <c r="EF130" i="4" s="1"/>
  <c r="JP119" i="4"/>
  <c r="JP91" i="4"/>
  <c r="JP90" i="4" s="1"/>
  <c r="EF90" i="4" s="1"/>
  <c r="EF97" i="4" s="1"/>
  <c r="JP151" i="4"/>
  <c r="JP154" i="4"/>
  <c r="EF95" i="4"/>
  <c r="JG61" i="4" l="1"/>
  <c r="DW76" i="4" s="1"/>
  <c r="EH45" i="4"/>
  <c r="EH46" i="4"/>
  <c r="JP36" i="4"/>
  <c r="EF36" i="4" s="1"/>
  <c r="JP46" i="4"/>
  <c r="DY91" i="4"/>
  <c r="ED51" i="4"/>
  <c r="DT56" i="9"/>
  <c r="DT58" i="9" s="1"/>
  <c r="ED200" i="4"/>
  <c r="DV57" i="9"/>
  <c r="EA112" i="4"/>
  <c r="DQ72" i="9" s="1"/>
  <c r="DQ73" i="9" s="1"/>
  <c r="DZ112" i="4"/>
  <c r="DP72" i="9" s="1"/>
  <c r="DP73" i="9" s="1"/>
  <c r="DY131" i="4"/>
  <c r="DY133" i="4" s="1"/>
  <c r="DY141" i="4" s="1"/>
  <c r="DO83" i="9"/>
  <c r="DO86" i="9" s="1"/>
  <c r="DO88" i="9" s="1"/>
  <c r="DO92" i="9" s="1"/>
  <c r="DX131" i="4"/>
  <c r="DX133" i="4" s="1"/>
  <c r="DX141" i="4" s="1"/>
  <c r="DN83" i="9"/>
  <c r="DN86" i="9" s="1"/>
  <c r="DN88" i="9" s="1"/>
  <c r="DN92" i="9" s="1"/>
  <c r="JN54" i="4"/>
  <c r="JO153" i="4"/>
  <c r="JO156" i="4" s="1"/>
  <c r="JO158" i="4" s="1"/>
  <c r="JO159" i="4" s="1"/>
  <c r="JO160" i="4" s="1"/>
  <c r="JP35" i="4"/>
  <c r="EF35" i="4" s="1"/>
  <c r="JP45" i="4"/>
  <c r="DY31" i="7"/>
  <c r="DY29" i="7"/>
  <c r="DY32" i="7"/>
  <c r="EE108" i="4"/>
  <c r="DU69" i="9" s="1"/>
  <c r="EE38" i="4"/>
  <c r="JN99" i="4"/>
  <c r="ED100" i="4" s="1"/>
  <c r="ED101" i="4" s="1"/>
  <c r="ED103" i="4" s="1"/>
  <c r="DT68" i="9" s="1"/>
  <c r="JO146" i="4"/>
  <c r="JO147" i="4" s="1"/>
  <c r="JO148" i="4" s="1"/>
  <c r="JO149" i="4" s="1"/>
  <c r="DW21" i="7"/>
  <c r="DW23" i="7" s="1"/>
  <c r="DW24" i="7" s="1"/>
  <c r="DW25" i="7" s="1"/>
  <c r="DW35" i="7" s="1"/>
  <c r="EC110" i="4" s="1"/>
  <c r="DV21" i="7"/>
  <c r="DV23" i="7" s="1"/>
  <c r="DV24" i="7" s="1"/>
  <c r="DV25" i="7" s="1"/>
  <c r="DV35" i="7" s="1"/>
  <c r="EB110" i="4" s="1"/>
  <c r="JP118" i="4"/>
  <c r="JP92" i="4"/>
  <c r="JP97" i="4" s="1"/>
  <c r="EF137" i="4"/>
  <c r="EF107" i="4"/>
  <c r="EF136" i="4"/>
  <c r="EF105" i="4"/>
  <c r="EF98" i="4"/>
  <c r="EF96" i="4"/>
  <c r="EF138" i="4"/>
  <c r="EF102" i="4"/>
  <c r="EF106" i="4"/>
  <c r="EF127" i="4"/>
  <c r="DV82" i="9" s="1"/>
  <c r="EF126" i="4"/>
  <c r="DV81" i="9" s="1"/>
  <c r="EF122" i="4"/>
  <c r="DV77" i="9" s="1"/>
  <c r="EF129" i="4"/>
  <c r="DV84" i="9" s="1"/>
  <c r="EF124" i="4"/>
  <c r="DV79" i="9" s="1"/>
  <c r="EF125" i="4"/>
  <c r="DV80" i="9" s="1"/>
  <c r="JP152" i="4"/>
  <c r="EF123" i="4"/>
  <c r="DV78" i="9" s="1"/>
  <c r="EF121" i="4"/>
  <c r="DV76" i="9" s="1"/>
  <c r="JJ15" i="7"/>
  <c r="DZ9" i="7" s="1"/>
  <c r="JQ119" i="4"/>
  <c r="JQ95" i="4"/>
  <c r="JQ120" i="4" s="1"/>
  <c r="JQ130" i="4" s="1"/>
  <c r="EG130" i="4" s="1"/>
  <c r="JQ91" i="4"/>
  <c r="JQ90" i="4" s="1"/>
  <c r="EG90" i="4" s="1"/>
  <c r="EG97" i="4" s="1"/>
  <c r="JQ151" i="4"/>
  <c r="JQ154" i="4"/>
  <c r="DW67" i="9"/>
  <c r="DW53" i="9"/>
  <c r="DW55" i="9"/>
  <c r="DW57" i="9"/>
  <c r="DX33" i="7"/>
  <c r="EH44" i="4"/>
  <c r="EI22" i="4"/>
  <c r="EH28" i="4"/>
  <c r="JR22" i="4"/>
  <c r="EH43" i="4"/>
  <c r="EH27" i="4"/>
  <c r="EH26" i="4"/>
  <c r="EH88" i="4"/>
  <c r="EH30" i="4"/>
  <c r="EH47" i="4"/>
  <c r="EH41" i="4"/>
  <c r="EH42" i="4"/>
  <c r="EH48" i="4"/>
  <c r="EA15" i="7"/>
  <c r="JP155" i="4"/>
  <c r="JP44" i="4"/>
  <c r="JP26" i="4"/>
  <c r="JP37" i="4"/>
  <c r="EF37" i="4" s="1"/>
  <c r="JP27" i="4"/>
  <c r="JP43" i="4"/>
  <c r="JP47" i="4"/>
  <c r="JP30" i="4"/>
  <c r="JP28" i="4"/>
  <c r="JP34" i="4"/>
  <c r="EF34" i="4" s="1"/>
  <c r="JP42" i="4"/>
  <c r="JP41" i="4"/>
  <c r="JP48" i="4"/>
  <c r="EB10" i="7"/>
  <c r="EB14" i="7"/>
  <c r="EB12" i="7"/>
  <c r="EB13" i="7"/>
  <c r="EB2" i="7"/>
  <c r="JR2" i="4"/>
  <c r="JS3" i="4"/>
  <c r="EJ3" i="4"/>
  <c r="EI70" i="4"/>
  <c r="EI2" i="4"/>
  <c r="EI83" i="4"/>
  <c r="EC3" i="7"/>
  <c r="EI198" i="4"/>
  <c r="JR124" i="4"/>
  <c r="JR129" i="4"/>
  <c r="JR125" i="4"/>
  <c r="JR126" i="4"/>
  <c r="JR122" i="4"/>
  <c r="JR127" i="4"/>
  <c r="JR94" i="4"/>
  <c r="JR93" i="4" s="1"/>
  <c r="JR123" i="4"/>
  <c r="JR117" i="4"/>
  <c r="JR116" i="4" s="1"/>
  <c r="JR121" i="4"/>
  <c r="JR198" i="4"/>
  <c r="JR53" i="4"/>
  <c r="JR201" i="4"/>
  <c r="JR57" i="4"/>
  <c r="JL3" i="7"/>
  <c r="JR89" i="4"/>
  <c r="JO96" i="4"/>
  <c r="EE99" i="4"/>
  <c r="JO150" i="4" s="1"/>
  <c r="JK13" i="7"/>
  <c r="JK14" i="7"/>
  <c r="JK12" i="7"/>
  <c r="EG49" i="4"/>
  <c r="JO98" i="4"/>
  <c r="EG252" i="4"/>
  <c r="EH210" i="4"/>
  <c r="EH212" i="4"/>
  <c r="EH207" i="4"/>
  <c r="EH201" i="4"/>
  <c r="EH211" i="4"/>
  <c r="EH215" i="4"/>
  <c r="EH209" i="4"/>
  <c r="DX54" i="9"/>
  <c r="EH204" i="4"/>
  <c r="EH231" i="4"/>
  <c r="EH203" i="4"/>
  <c r="EH216" i="4"/>
  <c r="JR200" i="4" s="1"/>
  <c r="EH206" i="4"/>
  <c r="EH200" i="4"/>
  <c r="EH199" i="4"/>
  <c r="EG31" i="4"/>
  <c r="EE139" i="4"/>
  <c r="DU90" i="9" s="1"/>
  <c r="EG95" i="4"/>
  <c r="DV94" i="9"/>
  <c r="DV85" i="9"/>
  <c r="JP131" i="4"/>
  <c r="JQ23" i="4"/>
  <c r="EH23" i="4"/>
  <c r="EG89" i="4"/>
  <c r="EA5" i="7"/>
  <c r="JG77" i="4" l="1"/>
  <c r="DW56" i="4"/>
  <c r="EI45" i="4"/>
  <c r="EI46" i="4"/>
  <c r="JQ36" i="4"/>
  <c r="EG36" i="4" s="1"/>
  <c r="JQ46" i="4"/>
  <c r="EE51" i="4"/>
  <c r="DU56" i="9"/>
  <c r="DU58" i="9" s="1"/>
  <c r="EE200" i="4"/>
  <c r="DZ114" i="4"/>
  <c r="DZ91" i="4" s="1"/>
  <c r="EA114" i="4"/>
  <c r="EA91" i="4" s="1"/>
  <c r="EB111" i="4"/>
  <c r="EB112" i="4" s="1"/>
  <c r="DR70" i="9"/>
  <c r="DR71" i="9" s="1"/>
  <c r="EC111" i="4"/>
  <c r="EC113" i="4" s="1"/>
  <c r="DS70" i="9"/>
  <c r="DS71" i="9" s="1"/>
  <c r="JH61" i="4"/>
  <c r="DX206" i="4"/>
  <c r="JI61" i="4"/>
  <c r="DY206" i="4"/>
  <c r="DY33" i="7"/>
  <c r="DY19" i="7" s="1"/>
  <c r="JO54" i="4"/>
  <c r="JP153" i="4"/>
  <c r="JP156" i="4" s="1"/>
  <c r="JP158" i="4" s="1"/>
  <c r="JP159" i="4" s="1"/>
  <c r="JP160" i="4" s="1"/>
  <c r="JQ35" i="4"/>
  <c r="EG35" i="4" s="1"/>
  <c r="JQ45" i="4"/>
  <c r="EF108" i="4"/>
  <c r="DV69" i="9" s="1"/>
  <c r="JK15" i="7"/>
  <c r="EA9" i="7" s="1"/>
  <c r="EA30" i="7" s="1"/>
  <c r="EB15" i="7"/>
  <c r="JQ155" i="4"/>
  <c r="JQ131" i="4"/>
  <c r="EF38" i="4"/>
  <c r="JO99" i="4"/>
  <c r="EE100" i="4" s="1"/>
  <c r="EE101" i="4" s="1"/>
  <c r="EE103" i="4" s="1"/>
  <c r="DU68" i="9" s="1"/>
  <c r="EG96" i="4"/>
  <c r="EG98" i="4"/>
  <c r="EG136" i="4"/>
  <c r="EG107" i="4"/>
  <c r="EG137" i="4"/>
  <c r="JQ118" i="4"/>
  <c r="JQ92" i="4"/>
  <c r="JQ97" i="4" s="1"/>
  <c r="EG105" i="4"/>
  <c r="EG138" i="4"/>
  <c r="EG102" i="4"/>
  <c r="EG106" i="4"/>
  <c r="EG126" i="4"/>
  <c r="DW81" i="9" s="1"/>
  <c r="EG124" i="4"/>
  <c r="DW79" i="9" s="1"/>
  <c r="EG125" i="4"/>
  <c r="EG127" i="4"/>
  <c r="DW82" i="9" s="1"/>
  <c r="JQ152" i="4"/>
  <c r="EG122" i="4"/>
  <c r="EG123" i="4"/>
  <c r="DW78" i="9" s="1"/>
  <c r="EG121" i="4"/>
  <c r="DW76" i="9" s="1"/>
  <c r="EG129" i="4"/>
  <c r="DZ32" i="7"/>
  <c r="DZ31" i="7"/>
  <c r="DZ30" i="7"/>
  <c r="DZ29" i="7"/>
  <c r="EI206" i="4"/>
  <c r="EI211" i="4"/>
  <c r="EI210" i="4"/>
  <c r="EI212" i="4"/>
  <c r="EI215" i="4"/>
  <c r="EI199" i="4"/>
  <c r="EI200" i="4"/>
  <c r="DY54" i="9"/>
  <c r="EI204" i="4"/>
  <c r="EI216" i="4"/>
  <c r="JS200" i="4" s="1"/>
  <c r="EI201" i="4"/>
  <c r="EI231" i="4"/>
  <c r="EI209" i="4"/>
  <c r="EI207" i="4"/>
  <c r="EI203" i="4"/>
  <c r="JP96" i="4"/>
  <c r="EF99" i="4"/>
  <c r="JP150" i="4" s="1"/>
  <c r="EC10" i="7"/>
  <c r="EC14" i="7"/>
  <c r="EC12" i="7"/>
  <c r="EC13" i="7"/>
  <c r="DW94" i="9"/>
  <c r="DW85" i="9"/>
  <c r="DW84" i="9"/>
  <c r="EA31" i="7"/>
  <c r="EA32" i="7"/>
  <c r="EA29" i="7"/>
  <c r="EH95" i="4"/>
  <c r="DX65" i="9"/>
  <c r="DX67" i="9"/>
  <c r="DX55" i="9"/>
  <c r="DX56" i="9"/>
  <c r="DX57" i="9"/>
  <c r="DX62" i="9"/>
  <c r="DX60" i="9"/>
  <c r="DX58" i="9"/>
  <c r="DX64" i="9"/>
  <c r="DX53" i="9"/>
  <c r="JQ27" i="4"/>
  <c r="JQ26" i="4"/>
  <c r="JQ37" i="4"/>
  <c r="EG37" i="4" s="1"/>
  <c r="JQ43" i="4"/>
  <c r="JQ30" i="4"/>
  <c r="JQ47" i="4"/>
  <c r="JQ44" i="4"/>
  <c r="JQ28" i="4"/>
  <c r="JQ34" i="4"/>
  <c r="EG34" i="4" s="1"/>
  <c r="JQ41" i="4"/>
  <c r="JQ42" i="4"/>
  <c r="JQ48" i="4"/>
  <c r="EC2" i="7"/>
  <c r="JS2" i="4"/>
  <c r="EH31" i="4"/>
  <c r="EF139" i="4"/>
  <c r="DV90" i="9" s="1"/>
  <c r="EI44" i="4"/>
  <c r="EJ22" i="4"/>
  <c r="EI28" i="4"/>
  <c r="EI26" i="4"/>
  <c r="EI88" i="4"/>
  <c r="EI43" i="4"/>
  <c r="EI27" i="4"/>
  <c r="JS22" i="4"/>
  <c r="EI30" i="4"/>
  <c r="EI47" i="4"/>
  <c r="EI42" i="4"/>
  <c r="EI41" i="4"/>
  <c r="EI48" i="4"/>
  <c r="DX19" i="7"/>
  <c r="DX18" i="7"/>
  <c r="DX20" i="7"/>
  <c r="EI23" i="4"/>
  <c r="JR23" i="4"/>
  <c r="EH89" i="4"/>
  <c r="EB5" i="7"/>
  <c r="JT3" i="4"/>
  <c r="EK3" i="4"/>
  <c r="ED3" i="7"/>
  <c r="EJ83" i="4"/>
  <c r="EJ70" i="4"/>
  <c r="EJ2" i="4"/>
  <c r="EJ198" i="4"/>
  <c r="EH244" i="4"/>
  <c r="EH260" i="4"/>
  <c r="EH250" i="4"/>
  <c r="EH239" i="4"/>
  <c r="EH234" i="4"/>
  <c r="EH254" i="4"/>
  <c r="JR244" i="4" s="1"/>
  <c r="EH255" i="4"/>
  <c r="EH265" i="4"/>
  <c r="EH237" i="4"/>
  <c r="EH270" i="4"/>
  <c r="EH232" i="4"/>
  <c r="JR210" i="4" s="1"/>
  <c r="EH233" i="4"/>
  <c r="JR204" i="4" s="1"/>
  <c r="EH252" i="4"/>
  <c r="EH253" i="4"/>
  <c r="EH264" i="4"/>
  <c r="EH269" i="4"/>
  <c r="EH271" i="4"/>
  <c r="EH266" i="4"/>
  <c r="EH259" i="4"/>
  <c r="EH243" i="4"/>
  <c r="EH245" i="4"/>
  <c r="EH258" i="4"/>
  <c r="EH261" i="4"/>
  <c r="EH249" i="4"/>
  <c r="EH248" i="4"/>
  <c r="EH240" i="4"/>
  <c r="EH238" i="4"/>
  <c r="JR119" i="4"/>
  <c r="JR95" i="4"/>
  <c r="JR120" i="4" s="1"/>
  <c r="JR130" i="4" s="1"/>
  <c r="EH130" i="4" s="1"/>
  <c r="JR91" i="4"/>
  <c r="JR90" i="4" s="1"/>
  <c r="EH90" i="4" s="1"/>
  <c r="EH97" i="4" s="1"/>
  <c r="JR151" i="4"/>
  <c r="JR154" i="4"/>
  <c r="JS124" i="4"/>
  <c r="JS129" i="4"/>
  <c r="JS121" i="4"/>
  <c r="JS126" i="4"/>
  <c r="JS122" i="4"/>
  <c r="JS94" i="4"/>
  <c r="JS93" i="4" s="1"/>
  <c r="JS123" i="4"/>
  <c r="JS127" i="4"/>
  <c r="JS125" i="4"/>
  <c r="JS117" i="4"/>
  <c r="JS116" i="4" s="1"/>
  <c r="JS89" i="4"/>
  <c r="JS53" i="4"/>
  <c r="JS198" i="4"/>
  <c r="JS201" i="4"/>
  <c r="JM3" i="7"/>
  <c r="JS57" i="4"/>
  <c r="EH49" i="4"/>
  <c r="JL13" i="7"/>
  <c r="JL12" i="7"/>
  <c r="JL14" i="7"/>
  <c r="JP146" i="4"/>
  <c r="JP147" i="4" s="1"/>
  <c r="JP148" i="4" s="1"/>
  <c r="JP149" i="4" s="1"/>
  <c r="JP98" i="4"/>
  <c r="JR36" i="4" l="1"/>
  <c r="EH36" i="4" s="1"/>
  <c r="JR46" i="4"/>
  <c r="EJ45" i="4"/>
  <c r="EJ46" i="4"/>
  <c r="DV56" i="9"/>
  <c r="DV58" i="9" s="1"/>
  <c r="EF200" i="4"/>
  <c r="EA128" i="4"/>
  <c r="EA131" i="4" s="1"/>
  <c r="EA133" i="4" s="1"/>
  <c r="EA141" i="4" s="1"/>
  <c r="DZ128" i="4"/>
  <c r="DZ131" i="4" s="1"/>
  <c r="DZ133" i="4" s="1"/>
  <c r="DZ141" i="4" s="1"/>
  <c r="DW80" i="9"/>
  <c r="DW77" i="9"/>
  <c r="EB113" i="4"/>
  <c r="EB114" i="4" s="1"/>
  <c r="EB128" i="4" s="1"/>
  <c r="EB131" i="4" s="1"/>
  <c r="EB133" i="4" s="1"/>
  <c r="EB141" i="4" s="1"/>
  <c r="EC112" i="4"/>
  <c r="DS72" i="9" s="1"/>
  <c r="DS73" i="9" s="1"/>
  <c r="DQ83" i="9"/>
  <c r="DQ86" i="9" s="1"/>
  <c r="DQ88" i="9" s="1"/>
  <c r="DQ92" i="9" s="1"/>
  <c r="DY76" i="4"/>
  <c r="DY56" i="4"/>
  <c r="DX56" i="4"/>
  <c r="DX76" i="4"/>
  <c r="JH77" i="4"/>
  <c r="JI77" i="4" s="1"/>
  <c r="DY18" i="7"/>
  <c r="DY20" i="7"/>
  <c r="JQ153" i="4"/>
  <c r="JQ156" i="4" s="1"/>
  <c r="JQ158" i="4" s="1"/>
  <c r="JQ159" i="4" s="1"/>
  <c r="JQ160" i="4" s="1"/>
  <c r="JR35" i="4"/>
  <c r="EH35" i="4" s="1"/>
  <c r="JR45" i="4"/>
  <c r="EG38" i="4"/>
  <c r="EI31" i="4"/>
  <c r="JR155" i="4"/>
  <c r="EA33" i="7"/>
  <c r="EA19" i="7" s="1"/>
  <c r="EG108" i="4"/>
  <c r="DW69" i="9" s="1"/>
  <c r="EF51" i="4"/>
  <c r="JP54" i="4"/>
  <c r="DX21" i="7"/>
  <c r="DX23" i="7" s="1"/>
  <c r="DX24" i="7" s="1"/>
  <c r="DX25" i="7" s="1"/>
  <c r="DX35" i="7" s="1"/>
  <c r="ED110" i="4" s="1"/>
  <c r="JP99" i="4"/>
  <c r="EF100" i="4" s="1"/>
  <c r="EF101" i="4" s="1"/>
  <c r="EF103" i="4" s="1"/>
  <c r="DV68" i="9" s="1"/>
  <c r="EH98" i="4"/>
  <c r="EH96" i="4"/>
  <c r="EH107" i="4"/>
  <c r="EH137" i="4"/>
  <c r="EH136" i="4"/>
  <c r="JR118" i="4"/>
  <c r="JR92" i="4"/>
  <c r="JR97" i="4" s="1"/>
  <c r="EH138" i="4"/>
  <c r="EH105" i="4"/>
  <c r="EH102" i="4"/>
  <c r="EH106" i="4"/>
  <c r="EH122" i="4"/>
  <c r="EH126" i="4"/>
  <c r="EH127" i="4"/>
  <c r="EH125" i="4"/>
  <c r="EH123" i="4"/>
  <c r="EH124" i="4"/>
  <c r="EH129" i="4"/>
  <c r="EH121" i="4"/>
  <c r="JR152" i="4"/>
  <c r="EC15" i="7"/>
  <c r="EJ23" i="4"/>
  <c r="JS23" i="4"/>
  <c r="EI89" i="4"/>
  <c r="EC5" i="7"/>
  <c r="JR131" i="4"/>
  <c r="EK22" i="4"/>
  <c r="EJ44" i="4"/>
  <c r="EJ28" i="4"/>
  <c r="EJ27" i="4"/>
  <c r="EJ88" i="4"/>
  <c r="EJ43" i="4"/>
  <c r="EJ26" i="4"/>
  <c r="JT22" i="4"/>
  <c r="EJ30" i="4"/>
  <c r="EJ47" i="4"/>
  <c r="EJ41" i="4"/>
  <c r="EJ42" i="4"/>
  <c r="EJ48" i="4"/>
  <c r="JR28" i="4"/>
  <c r="JR26" i="4"/>
  <c r="JR37" i="4"/>
  <c r="EH37" i="4" s="1"/>
  <c r="JR27" i="4"/>
  <c r="JR43" i="4"/>
  <c r="JR30" i="4"/>
  <c r="JR47" i="4"/>
  <c r="JR44" i="4"/>
  <c r="JR34" i="4"/>
  <c r="EH34" i="4" s="1"/>
  <c r="JR42" i="4"/>
  <c r="JR41" i="4"/>
  <c r="JR48" i="4"/>
  <c r="JM13" i="7"/>
  <c r="JM14" i="7"/>
  <c r="JM12" i="7"/>
  <c r="JR250" i="4"/>
  <c r="JR240" i="4"/>
  <c r="DX71" i="9"/>
  <c r="DX81" i="9"/>
  <c r="DX79" i="9"/>
  <c r="DX88" i="9"/>
  <c r="DX80" i="9"/>
  <c r="DX68" i="9"/>
  <c r="DX77" i="9"/>
  <c r="DX82" i="9"/>
  <c r="DX83" i="9"/>
  <c r="DX72" i="9"/>
  <c r="DX85" i="9"/>
  <c r="DX69" i="9"/>
  <c r="DX78" i="9"/>
  <c r="DX92" i="9"/>
  <c r="DX73" i="9"/>
  <c r="DX76" i="9"/>
  <c r="DX94" i="9"/>
  <c r="DX86" i="9"/>
  <c r="DX90" i="9"/>
  <c r="DX84" i="9"/>
  <c r="DX70" i="9"/>
  <c r="DZ33" i="7"/>
  <c r="JQ146" i="4"/>
  <c r="JQ147" i="4" s="1"/>
  <c r="JQ148" i="4" s="1"/>
  <c r="JQ149" i="4" s="1"/>
  <c r="JQ98" i="4"/>
  <c r="JL15" i="7"/>
  <c r="EB9" i="7" s="1"/>
  <c r="EJ212" i="4"/>
  <c r="EJ204" i="4"/>
  <c r="DZ54" i="9"/>
  <c r="EJ216" i="4"/>
  <c r="JT200" i="4" s="1"/>
  <c r="EJ201" i="4"/>
  <c r="EJ231" i="4"/>
  <c r="EJ211" i="4"/>
  <c r="EJ210" i="4"/>
  <c r="EJ209" i="4"/>
  <c r="EJ215" i="4"/>
  <c r="EJ200" i="4"/>
  <c r="EJ199" i="4"/>
  <c r="EJ206" i="4"/>
  <c r="EJ207" i="4"/>
  <c r="EJ203" i="4"/>
  <c r="ED2" i="7"/>
  <c r="JT2" i="4"/>
  <c r="DY67" i="9"/>
  <c r="DY65" i="9"/>
  <c r="DY60" i="9"/>
  <c r="DY53" i="9"/>
  <c r="DY64" i="9"/>
  <c r="DY55" i="9"/>
  <c r="DY62" i="9"/>
  <c r="DY58" i="9"/>
  <c r="DY56" i="9"/>
  <c r="DY57" i="9"/>
  <c r="JS95" i="4"/>
  <c r="JS120" i="4" s="1"/>
  <c r="JS130" i="4" s="1"/>
  <c r="EI130" i="4" s="1"/>
  <c r="JS119" i="4"/>
  <c r="JS91" i="4"/>
  <c r="JS90" i="4" s="1"/>
  <c r="EI90" i="4" s="1"/>
  <c r="EI97" i="4" s="1"/>
  <c r="JS151" i="4"/>
  <c r="JS154" i="4"/>
  <c r="EI49" i="4"/>
  <c r="ED10" i="7"/>
  <c r="ED14" i="7"/>
  <c r="ED12" i="7"/>
  <c r="ED13" i="7"/>
  <c r="EI95" i="4"/>
  <c r="EL3" i="4"/>
  <c r="JU3" i="4"/>
  <c r="EK2" i="4"/>
  <c r="EE3" i="7"/>
  <c r="EK83" i="4"/>
  <c r="EK70" i="4"/>
  <c r="EK198" i="4"/>
  <c r="EI253" i="4"/>
  <c r="EI245" i="4"/>
  <c r="EI255" i="4"/>
  <c r="EI270" i="4"/>
  <c r="EI259" i="4"/>
  <c r="EI271" i="4"/>
  <c r="EI261" i="4"/>
  <c r="EI250" i="4"/>
  <c r="EI249" i="4"/>
  <c r="EI238" i="4"/>
  <c r="EI233" i="4"/>
  <c r="JS204" i="4" s="1"/>
  <c r="EI244" i="4"/>
  <c r="EI237" i="4"/>
  <c r="EI240" i="4"/>
  <c r="EI252" i="4"/>
  <c r="EI266" i="4"/>
  <c r="EI264" i="4"/>
  <c r="EI254" i="4"/>
  <c r="JS244" i="4" s="1"/>
  <c r="EI258" i="4"/>
  <c r="EI265" i="4"/>
  <c r="EI260" i="4"/>
  <c r="EI269" i="4"/>
  <c r="EI243" i="4"/>
  <c r="EI239" i="4"/>
  <c r="EI248" i="4"/>
  <c r="EI232" i="4"/>
  <c r="JS210" i="4" s="1"/>
  <c r="EI234" i="4"/>
  <c r="EG139" i="4"/>
  <c r="DW90" i="9" s="1"/>
  <c r="JT123" i="4"/>
  <c r="JT124" i="4"/>
  <c r="JT125" i="4"/>
  <c r="JT126" i="4"/>
  <c r="JT122" i="4"/>
  <c r="JT121" i="4"/>
  <c r="JT94" i="4"/>
  <c r="JT93" i="4" s="1"/>
  <c r="JT129" i="4"/>
  <c r="JT127" i="4"/>
  <c r="JT117" i="4"/>
  <c r="JT116" i="4" s="1"/>
  <c r="JT198" i="4"/>
  <c r="JT201" i="4"/>
  <c r="JN3" i="7"/>
  <c r="JT89" i="4"/>
  <c r="JT57" i="4"/>
  <c r="JT53" i="4"/>
  <c r="JQ96" i="4"/>
  <c r="EG99" i="4"/>
  <c r="EK45" i="4" l="1"/>
  <c r="EK46" i="4"/>
  <c r="JS36" i="4"/>
  <c r="EI36" i="4" s="1"/>
  <c r="JS46" i="4"/>
  <c r="JQ54" i="4"/>
  <c r="DW56" i="9"/>
  <c r="DW58" i="9" s="1"/>
  <c r="EG200" i="4"/>
  <c r="DP83" i="9"/>
  <c r="DP86" i="9" s="1"/>
  <c r="DP88" i="9" s="1"/>
  <c r="DP92" i="9" s="1"/>
  <c r="EB91" i="4"/>
  <c r="DR72" i="9"/>
  <c r="DR73" i="9" s="1"/>
  <c r="DR83" i="9"/>
  <c r="DR86" i="9" s="1"/>
  <c r="EC114" i="4"/>
  <c r="EC91" i="4" s="1"/>
  <c r="DY21" i="7"/>
  <c r="DY23" i="7" s="1"/>
  <c r="DY24" i="7" s="1"/>
  <c r="DY25" i="7" s="1"/>
  <c r="DY35" i="7" s="1"/>
  <c r="EE110" i="4" s="1"/>
  <c r="EE111" i="4" s="1"/>
  <c r="EE113" i="4" s="1"/>
  <c r="JQ150" i="4"/>
  <c r="ED111" i="4"/>
  <c r="ED113" i="4" s="1"/>
  <c r="DT70" i="9"/>
  <c r="DT71" i="9" s="1"/>
  <c r="JL61" i="4"/>
  <c r="EB206" i="4"/>
  <c r="JJ61" i="4"/>
  <c r="DZ206" i="4"/>
  <c r="JK61" i="4"/>
  <c r="EA206" i="4"/>
  <c r="JR153" i="4"/>
  <c r="JR156" i="4" s="1"/>
  <c r="JR158" i="4" s="1"/>
  <c r="JR159" i="4" s="1"/>
  <c r="JR160" i="4" s="1"/>
  <c r="EG51" i="4"/>
  <c r="JS35" i="4"/>
  <c r="EI35" i="4" s="1"/>
  <c r="JS45" i="4"/>
  <c r="EA18" i="7"/>
  <c r="EA20" i="7"/>
  <c r="ED15" i="7"/>
  <c r="EH108" i="4"/>
  <c r="JS155" i="4"/>
  <c r="EH99" i="4"/>
  <c r="JR150" i="4" s="1"/>
  <c r="EI96" i="4"/>
  <c r="EI98" i="4"/>
  <c r="EI105" i="4"/>
  <c r="JS92" i="4"/>
  <c r="JS97" i="4" s="1"/>
  <c r="EI107" i="4"/>
  <c r="EI137" i="4"/>
  <c r="EI136" i="4"/>
  <c r="JS118" i="4"/>
  <c r="EI138" i="4"/>
  <c r="EI102" i="4"/>
  <c r="EI106" i="4"/>
  <c r="JS152" i="4"/>
  <c r="EI127" i="4"/>
  <c r="EI125" i="4"/>
  <c r="EI121" i="4"/>
  <c r="EI124" i="4"/>
  <c r="EI126" i="4"/>
  <c r="EI129" i="4"/>
  <c r="EI123" i="4"/>
  <c r="EI122" i="4"/>
  <c r="EE2" i="7"/>
  <c r="JU2" i="4"/>
  <c r="EJ234" i="4"/>
  <c r="EJ252" i="4"/>
  <c r="EJ248" i="4"/>
  <c r="EJ253" i="4"/>
  <c r="EJ244" i="4"/>
  <c r="EJ265" i="4"/>
  <c r="EJ243" i="4"/>
  <c r="EJ254" i="4"/>
  <c r="JT244" i="4" s="1"/>
  <c r="EJ232" i="4"/>
  <c r="JT210" i="4" s="1"/>
  <c r="EJ271" i="4"/>
  <c r="EJ269" i="4"/>
  <c r="EJ237" i="4"/>
  <c r="EJ250" i="4"/>
  <c r="EJ260" i="4"/>
  <c r="EJ249" i="4"/>
  <c r="EJ233" i="4"/>
  <c r="JT204" i="4" s="1"/>
  <c r="EJ266" i="4"/>
  <c r="EJ255" i="4"/>
  <c r="EJ270" i="4"/>
  <c r="EJ264" i="4"/>
  <c r="EJ259" i="4"/>
  <c r="EJ245" i="4"/>
  <c r="EJ258" i="4"/>
  <c r="EJ261" i="4"/>
  <c r="EJ239" i="4"/>
  <c r="EJ240" i="4"/>
  <c r="EJ238" i="4"/>
  <c r="EH38" i="4"/>
  <c r="EJ31" i="4"/>
  <c r="EJ95" i="4"/>
  <c r="EK28" i="4"/>
  <c r="EL22" i="4"/>
  <c r="EK44" i="4"/>
  <c r="JU22" i="4"/>
  <c r="EK88" i="4"/>
  <c r="EK26" i="4"/>
  <c r="EK27" i="4"/>
  <c r="EK43" i="4"/>
  <c r="EK30" i="4"/>
  <c r="EK47" i="4"/>
  <c r="EK42" i="4"/>
  <c r="EK41" i="4"/>
  <c r="EK48" i="4"/>
  <c r="DZ65" i="9"/>
  <c r="DZ58" i="9"/>
  <c r="DZ56" i="9"/>
  <c r="DZ55" i="9"/>
  <c r="DZ62" i="9"/>
  <c r="DZ67" i="9"/>
  <c r="DZ53" i="9"/>
  <c r="DZ57" i="9"/>
  <c r="DZ60" i="9"/>
  <c r="DZ64" i="9"/>
  <c r="JT95" i="4"/>
  <c r="JT120" i="4" s="1"/>
  <c r="JT130" i="4" s="1"/>
  <c r="EJ130" i="4" s="1"/>
  <c r="JT119" i="4"/>
  <c r="JT91" i="4"/>
  <c r="JT90" i="4" s="1"/>
  <c r="EJ90" i="4" s="1"/>
  <c r="EJ97" i="4" s="1"/>
  <c r="JT151" i="4"/>
  <c r="JT154" i="4"/>
  <c r="EE10" i="7"/>
  <c r="EE14" i="7"/>
  <c r="EE12" i="7"/>
  <c r="EE13" i="7"/>
  <c r="JR146" i="4"/>
  <c r="JR147" i="4" s="1"/>
  <c r="JR148" i="4" s="1"/>
  <c r="JR149" i="4" s="1"/>
  <c r="JR96" i="4"/>
  <c r="EB32" i="7"/>
  <c r="EB30" i="7"/>
  <c r="EB29" i="7"/>
  <c r="EB31" i="7"/>
  <c r="JU127" i="4"/>
  <c r="JU117" i="4"/>
  <c r="JU116" i="4" s="1"/>
  <c r="JU123" i="4"/>
  <c r="JU124" i="4"/>
  <c r="JU129" i="4"/>
  <c r="JU121" i="4"/>
  <c r="JU126" i="4"/>
  <c r="JU125" i="4"/>
  <c r="JU94" i="4"/>
  <c r="JU93" i="4" s="1"/>
  <c r="JU122" i="4"/>
  <c r="JU53" i="4"/>
  <c r="JU89" i="4"/>
  <c r="JU198" i="4"/>
  <c r="JO3" i="7"/>
  <c r="JU57" i="4"/>
  <c r="JU201" i="4"/>
  <c r="JQ99" i="4"/>
  <c r="EG100" i="4" s="1"/>
  <c r="EH139" i="4"/>
  <c r="JN14" i="7"/>
  <c r="JN13" i="7"/>
  <c r="JN12" i="7"/>
  <c r="JS131" i="4"/>
  <c r="JS44" i="4"/>
  <c r="JS28" i="4"/>
  <c r="JS26" i="4"/>
  <c r="JS34" i="4"/>
  <c r="EI34" i="4" s="1"/>
  <c r="JS37" i="4"/>
  <c r="EI37" i="4" s="1"/>
  <c r="JS27" i="4"/>
  <c r="JS43" i="4"/>
  <c r="JS30" i="4"/>
  <c r="JS47" i="4"/>
  <c r="JS42" i="4"/>
  <c r="JS41" i="4"/>
  <c r="JS48" i="4"/>
  <c r="JM15" i="7"/>
  <c r="EC9" i="7" s="1"/>
  <c r="DZ20" i="7"/>
  <c r="DZ18" i="7"/>
  <c r="DZ19" i="7"/>
  <c r="EK23" i="4"/>
  <c r="JT23" i="4"/>
  <c r="EJ89" i="4"/>
  <c r="ED5" i="7"/>
  <c r="DY86" i="9"/>
  <c r="DY94" i="9"/>
  <c r="DY71" i="9"/>
  <c r="DY78" i="9"/>
  <c r="DY72" i="9"/>
  <c r="DY80" i="9"/>
  <c r="DY73" i="9"/>
  <c r="DY68" i="9"/>
  <c r="DY69" i="9"/>
  <c r="DY82" i="9"/>
  <c r="DY88" i="9"/>
  <c r="DY84" i="9"/>
  <c r="DY77" i="9"/>
  <c r="DY79" i="9"/>
  <c r="DY92" i="9"/>
  <c r="DY85" i="9"/>
  <c r="DY81" i="9"/>
  <c r="DY76" i="9"/>
  <c r="DY83" i="9"/>
  <c r="DY70" i="9"/>
  <c r="DY90" i="9"/>
  <c r="EJ49" i="4"/>
  <c r="EM3" i="4"/>
  <c r="JV3" i="4"/>
  <c r="EF3" i="7"/>
  <c r="EL83" i="4"/>
  <c r="EL70" i="4"/>
  <c r="EL2" i="4"/>
  <c r="EL198" i="4"/>
  <c r="JS240" i="4"/>
  <c r="JS250" i="4"/>
  <c r="JR98" i="4"/>
  <c r="EA54" i="9"/>
  <c r="EK201" i="4"/>
  <c r="EK206" i="4"/>
  <c r="EK203" i="4"/>
  <c r="EK200" i="4"/>
  <c r="EK207" i="4"/>
  <c r="EK216" i="4"/>
  <c r="JU200" i="4" s="1"/>
  <c r="EK211" i="4"/>
  <c r="EK210" i="4"/>
  <c r="EK212" i="4"/>
  <c r="EK231" i="4"/>
  <c r="EK215" i="4"/>
  <c r="EK204" i="4"/>
  <c r="EK199" i="4"/>
  <c r="EK209" i="4"/>
  <c r="DX96" i="9"/>
  <c r="DX97" i="9"/>
  <c r="EL45" i="4" l="1"/>
  <c r="EL46" i="4"/>
  <c r="JT36" i="4"/>
  <c r="EJ36" i="4" s="1"/>
  <c r="JT46" i="4"/>
  <c r="DU70" i="9"/>
  <c r="DU71" i="9" s="1"/>
  <c r="DR88" i="9"/>
  <c r="DR92" i="9" s="1"/>
  <c r="EC128" i="4"/>
  <c r="EC131" i="4" s="1"/>
  <c r="EC133" i="4" s="1"/>
  <c r="EC141" i="4" s="1"/>
  <c r="ED112" i="4"/>
  <c r="ED114" i="4" s="1"/>
  <c r="ED91" i="4" s="1"/>
  <c r="EA21" i="7"/>
  <c r="EA23" i="7" s="1"/>
  <c r="EA24" i="7" s="1"/>
  <c r="EA25" i="7" s="1"/>
  <c r="EA35" i="7" s="1"/>
  <c r="EG110" i="4" s="1"/>
  <c r="DW70" i="9" s="1"/>
  <c r="EE112" i="4"/>
  <c r="EE114" i="4" s="1"/>
  <c r="EE128" i="4" s="1"/>
  <c r="EG101" i="4"/>
  <c r="EG103" i="4" s="1"/>
  <c r="EA56" i="4"/>
  <c r="EA76" i="4"/>
  <c r="DT72" i="9"/>
  <c r="DT73" i="9" s="1"/>
  <c r="JJ77" i="4"/>
  <c r="JK77" i="4" s="1"/>
  <c r="JL77" i="4" s="1"/>
  <c r="DZ56" i="4"/>
  <c r="DZ76" i="4"/>
  <c r="EB56" i="4"/>
  <c r="EB76" i="4"/>
  <c r="JS153" i="4"/>
  <c r="JS156" i="4" s="1"/>
  <c r="JS158" i="4" s="1"/>
  <c r="JS159" i="4" s="1"/>
  <c r="JS160" i="4" s="1"/>
  <c r="JT35" i="4"/>
  <c r="EJ35" i="4" s="1"/>
  <c r="JT45" i="4"/>
  <c r="JN15" i="7"/>
  <c r="ED9" i="7" s="1"/>
  <c r="EE15" i="7"/>
  <c r="JR99" i="4"/>
  <c r="EH100" i="4" s="1"/>
  <c r="EH101" i="4" s="1"/>
  <c r="EH103" i="4" s="1"/>
  <c r="JT155" i="4"/>
  <c r="JT131" i="4"/>
  <c r="EJ129" i="4"/>
  <c r="EJ124" i="4"/>
  <c r="EJ122" i="4"/>
  <c r="EJ127" i="4"/>
  <c r="EJ121" i="4"/>
  <c r="EJ123" i="4"/>
  <c r="EI38" i="4"/>
  <c r="EI99" i="4"/>
  <c r="JS150" i="4" s="1"/>
  <c r="EL28" i="4"/>
  <c r="EM22" i="4"/>
  <c r="EL44" i="4"/>
  <c r="EL43" i="4"/>
  <c r="EL26" i="4"/>
  <c r="EL88" i="4"/>
  <c r="JV22" i="4"/>
  <c r="EL27" i="4"/>
  <c r="EL47" i="4"/>
  <c r="EL30" i="4"/>
  <c r="EL41" i="4"/>
  <c r="EL42" i="4"/>
  <c r="EL48" i="4"/>
  <c r="EC32" i="7"/>
  <c r="EC30" i="7"/>
  <c r="EC31" i="7"/>
  <c r="EC29" i="7"/>
  <c r="JO14" i="7"/>
  <c r="JO12" i="7"/>
  <c r="JO13" i="7"/>
  <c r="JU119" i="4"/>
  <c r="JU95" i="4"/>
  <c r="JU120" i="4" s="1"/>
  <c r="JU130" i="4" s="1"/>
  <c r="EK130" i="4" s="1"/>
  <c r="JU91" i="4"/>
  <c r="JU90" i="4" s="1"/>
  <c r="EK90" i="4" s="1"/>
  <c r="EK97" i="4" s="1"/>
  <c r="JU151" i="4"/>
  <c r="JU154" i="4"/>
  <c r="EJ126" i="4"/>
  <c r="JR54" i="4"/>
  <c r="EH51" i="4"/>
  <c r="EL216" i="4"/>
  <c r="JV200" i="4" s="1"/>
  <c r="EB54" i="9"/>
  <c r="EL204" i="4"/>
  <c r="EL231" i="4"/>
  <c r="EL210" i="4"/>
  <c r="EL209" i="4"/>
  <c r="EL212" i="4"/>
  <c r="EL215" i="4"/>
  <c r="EL199" i="4"/>
  <c r="EL201" i="4"/>
  <c r="EL203" i="4"/>
  <c r="EL206" i="4"/>
  <c r="EL200" i="4"/>
  <c r="EL211" i="4"/>
  <c r="EL207" i="4"/>
  <c r="EK49" i="4"/>
  <c r="EI108" i="4"/>
  <c r="JV2" i="4"/>
  <c r="EF2" i="7"/>
  <c r="JT240" i="4"/>
  <c r="JT250" i="4"/>
  <c r="EK252" i="4"/>
  <c r="EK233" i="4"/>
  <c r="JU204" i="4" s="1"/>
  <c r="EK254" i="4"/>
  <c r="JU244" i="4" s="1"/>
  <c r="EK238" i="4"/>
  <c r="EK266" i="4"/>
  <c r="EK232" i="4"/>
  <c r="JU210" i="4" s="1"/>
  <c r="EK255" i="4"/>
  <c r="EK249" i="4"/>
  <c r="EK253" i="4"/>
  <c r="EK234" i="4"/>
  <c r="EK270" i="4"/>
  <c r="EK258" i="4"/>
  <c r="EK250" i="4"/>
  <c r="EK237" i="4"/>
  <c r="EK261" i="4"/>
  <c r="EK245" i="4"/>
  <c r="EK269" i="4"/>
  <c r="EK244" i="4"/>
  <c r="EK243" i="4"/>
  <c r="EK239" i="4"/>
  <c r="EK264" i="4"/>
  <c r="EK260" i="4"/>
  <c r="EK271" i="4"/>
  <c r="EK259" i="4"/>
  <c r="EK240" i="4"/>
  <c r="EK265" i="4"/>
  <c r="EK248" i="4"/>
  <c r="EJ125" i="4"/>
  <c r="EF10" i="7"/>
  <c r="EF14" i="7"/>
  <c r="EF12" i="7"/>
  <c r="EF13" i="7"/>
  <c r="JT152" i="4"/>
  <c r="EI139" i="4"/>
  <c r="DZ21" i="7"/>
  <c r="DZ23" i="7" s="1"/>
  <c r="DZ24" i="7" s="1"/>
  <c r="DZ25" i="7" s="1"/>
  <c r="DZ35" i="7" s="1"/>
  <c r="EF110" i="4" s="1"/>
  <c r="DY96" i="9"/>
  <c r="DY97" i="9"/>
  <c r="EN3" i="4"/>
  <c r="JW3" i="4"/>
  <c r="EM2" i="4"/>
  <c r="EG3" i="7"/>
  <c r="EM83" i="4"/>
  <c r="EM70" i="4"/>
  <c r="EM198" i="4"/>
  <c r="JS146" i="4"/>
  <c r="JS147" i="4" s="1"/>
  <c r="JS148" i="4" s="1"/>
  <c r="JS149" i="4" s="1"/>
  <c r="JS96" i="4"/>
  <c r="EJ96" i="4"/>
  <c r="EJ98" i="4"/>
  <c r="EJ136" i="4"/>
  <c r="EJ107" i="4"/>
  <c r="EJ137" i="4"/>
  <c r="JT118" i="4"/>
  <c r="EJ105" i="4"/>
  <c r="JT92" i="4"/>
  <c r="JT97" i="4" s="1"/>
  <c r="EJ138" i="4"/>
  <c r="EJ102" i="4"/>
  <c r="EJ106" i="4"/>
  <c r="JV122" i="4"/>
  <c r="JV127" i="4"/>
  <c r="JV129" i="4"/>
  <c r="JV125" i="4"/>
  <c r="JV121" i="4"/>
  <c r="JV124" i="4"/>
  <c r="JV123" i="4"/>
  <c r="JV117" i="4"/>
  <c r="JV116" i="4" s="1"/>
  <c r="JV94" i="4"/>
  <c r="JV93" i="4" s="1"/>
  <c r="JV126" i="4"/>
  <c r="JV53" i="4"/>
  <c r="JP3" i="7"/>
  <c r="JV198" i="4"/>
  <c r="JV57" i="4"/>
  <c r="JV201" i="4"/>
  <c r="JV89" i="4"/>
  <c r="EK95" i="4"/>
  <c r="JS98" i="4"/>
  <c r="DZ82" i="9"/>
  <c r="DZ71" i="9"/>
  <c r="DZ78" i="9"/>
  <c r="DZ73" i="9"/>
  <c r="DZ86" i="9"/>
  <c r="DZ85" i="9"/>
  <c r="DZ76" i="9"/>
  <c r="DZ88" i="9"/>
  <c r="DZ70" i="9"/>
  <c r="DZ69" i="9"/>
  <c r="DZ92" i="9"/>
  <c r="DZ81" i="9"/>
  <c r="DZ83" i="9"/>
  <c r="DZ79" i="9"/>
  <c r="DZ77" i="9"/>
  <c r="DZ84" i="9"/>
  <c r="DZ94" i="9"/>
  <c r="DZ68" i="9"/>
  <c r="DZ80" i="9"/>
  <c r="DZ72" i="9"/>
  <c r="DZ90" i="9"/>
  <c r="EK31" i="4"/>
  <c r="ED29" i="7"/>
  <c r="ED31" i="7"/>
  <c r="ED32" i="7"/>
  <c r="ED30" i="7"/>
  <c r="JT28" i="4"/>
  <c r="JT44" i="4"/>
  <c r="JT27" i="4"/>
  <c r="JT37" i="4"/>
  <c r="EJ37" i="4" s="1"/>
  <c r="JT26" i="4"/>
  <c r="JT30" i="4"/>
  <c r="JT47" i="4"/>
  <c r="JT43" i="4"/>
  <c r="JT34" i="4"/>
  <c r="EJ34" i="4" s="1"/>
  <c r="JT41" i="4"/>
  <c r="JT42" i="4"/>
  <c r="JT48" i="4"/>
  <c r="EA57" i="9"/>
  <c r="EA53" i="9"/>
  <c r="EA56" i="9"/>
  <c r="EA65" i="9"/>
  <c r="EA55" i="9"/>
  <c r="EA60" i="9"/>
  <c r="EA62" i="9"/>
  <c r="EA67" i="9"/>
  <c r="EA64" i="9"/>
  <c r="EA58" i="9"/>
  <c r="EL23" i="4"/>
  <c r="JU23" i="4"/>
  <c r="EK89" i="4"/>
  <c r="EE5" i="7"/>
  <c r="EB33" i="7"/>
  <c r="EM45" i="4" l="1"/>
  <c r="EM46" i="4"/>
  <c r="JU36" i="4"/>
  <c r="EK36" i="4" s="1"/>
  <c r="JU46" i="4"/>
  <c r="DU72" i="9"/>
  <c r="DU73" i="9" s="1"/>
  <c r="DS83" i="9"/>
  <c r="DS86" i="9" s="1"/>
  <c r="DS88" i="9" s="1"/>
  <c r="DS92" i="9" s="1"/>
  <c r="DW68" i="9"/>
  <c r="DW71" i="9" s="1"/>
  <c r="EG111" i="4"/>
  <c r="EG113" i="4" s="1"/>
  <c r="EF111" i="4"/>
  <c r="EF112" i="4" s="1"/>
  <c r="DV70" i="9"/>
  <c r="DV71" i="9" s="1"/>
  <c r="EE131" i="4"/>
  <c r="EE133" i="4" s="1"/>
  <c r="EE141" i="4" s="1"/>
  <c r="DU83" i="9"/>
  <c r="DU86" i="9" s="1"/>
  <c r="ED128" i="4"/>
  <c r="JM61" i="4"/>
  <c r="EC206" i="4"/>
  <c r="JT153" i="4"/>
  <c r="JT156" i="4" s="1"/>
  <c r="JT158" i="4" s="1"/>
  <c r="JT159" i="4" s="1"/>
  <c r="JT160" i="4" s="1"/>
  <c r="JU35" i="4"/>
  <c r="EK35" i="4" s="1"/>
  <c r="JU45" i="4"/>
  <c r="EJ108" i="4"/>
  <c r="EL49" i="4"/>
  <c r="EE91" i="4"/>
  <c r="JU155" i="4"/>
  <c r="EK129" i="4"/>
  <c r="EK124" i="4"/>
  <c r="EK125" i="4"/>
  <c r="JS54" i="4"/>
  <c r="EI51" i="4"/>
  <c r="JT98" i="4"/>
  <c r="EB62" i="9"/>
  <c r="EB60" i="9"/>
  <c r="EB58" i="9"/>
  <c r="EB56" i="9"/>
  <c r="EB55" i="9"/>
  <c r="EB57" i="9"/>
  <c r="EB53" i="9"/>
  <c r="EB65" i="9"/>
  <c r="EB67" i="9"/>
  <c r="EB64" i="9"/>
  <c r="DZ97" i="9"/>
  <c r="DZ96" i="9"/>
  <c r="JT146" i="4"/>
  <c r="JT147" i="4" s="1"/>
  <c r="JT148" i="4" s="1"/>
  <c r="JT149" i="4" s="1"/>
  <c r="JT96" i="4"/>
  <c r="JW126" i="4"/>
  <c r="JW122" i="4"/>
  <c r="JW123" i="4"/>
  <c r="JW124" i="4"/>
  <c r="JW129" i="4"/>
  <c r="JW125" i="4"/>
  <c r="JW117" i="4"/>
  <c r="JW116" i="4" s="1"/>
  <c r="JW127" i="4"/>
  <c r="JW121" i="4"/>
  <c r="JW94" i="4"/>
  <c r="JW93" i="4" s="1"/>
  <c r="JW201" i="4"/>
  <c r="JW89" i="4"/>
  <c r="JW57" i="4"/>
  <c r="JW198" i="4"/>
  <c r="JQ3" i="7"/>
  <c r="JW53" i="4"/>
  <c r="EO3" i="4"/>
  <c r="JX3" i="4"/>
  <c r="EN2" i="4"/>
  <c r="EH3" i="7"/>
  <c r="EN70" i="4"/>
  <c r="EN83" i="4"/>
  <c r="EN198" i="4"/>
  <c r="EK96" i="4"/>
  <c r="EK98" i="4"/>
  <c r="JU118" i="4"/>
  <c r="EK137" i="4"/>
  <c r="EK136" i="4"/>
  <c r="EK105" i="4"/>
  <c r="JU92" i="4"/>
  <c r="JU97" i="4" s="1"/>
  <c r="EK107" i="4"/>
  <c r="EK138" i="4"/>
  <c r="EK102" i="4"/>
  <c r="EK106" i="4"/>
  <c r="EK122" i="4"/>
  <c r="JV119" i="4"/>
  <c r="JV95" i="4"/>
  <c r="JV120" i="4" s="1"/>
  <c r="JV130" i="4" s="1"/>
  <c r="EL130" i="4" s="1"/>
  <c r="JV91" i="4"/>
  <c r="JV90" i="4" s="1"/>
  <c r="EL90" i="4" s="1"/>
  <c r="EL97" i="4" s="1"/>
  <c r="JV151" i="4"/>
  <c r="JV154" i="4"/>
  <c r="JU131" i="4"/>
  <c r="JU152" i="4"/>
  <c r="EJ38" i="4"/>
  <c r="EK121" i="4"/>
  <c r="EL95" i="4"/>
  <c r="JU240" i="4"/>
  <c r="JU250" i="4"/>
  <c r="JU28" i="4"/>
  <c r="JU44" i="4"/>
  <c r="JU27" i="4"/>
  <c r="JU26" i="4"/>
  <c r="JU37" i="4"/>
  <c r="EK37" i="4" s="1"/>
  <c r="JU43" i="4"/>
  <c r="JU30" i="4"/>
  <c r="JU47" i="4"/>
  <c r="JU34" i="4"/>
  <c r="EK34" i="4" s="1"/>
  <c r="JU41" i="4"/>
  <c r="JU42" i="4"/>
  <c r="JU48" i="4"/>
  <c r="EJ139" i="4"/>
  <c r="EL31" i="4"/>
  <c r="JW2" i="4"/>
  <c r="EG2" i="7"/>
  <c r="EA77" i="9"/>
  <c r="EA71" i="9"/>
  <c r="EA68" i="9"/>
  <c r="EA94" i="9"/>
  <c r="EA80" i="9"/>
  <c r="EA81" i="9"/>
  <c r="EA86" i="9"/>
  <c r="EA79" i="9"/>
  <c r="EA73" i="9"/>
  <c r="EA88" i="9"/>
  <c r="EA72" i="9"/>
  <c r="EA82" i="9"/>
  <c r="EA78" i="9"/>
  <c r="EA85" i="9"/>
  <c r="EA69" i="9"/>
  <c r="EA84" i="9"/>
  <c r="EA76" i="9"/>
  <c r="EA92" i="9"/>
  <c r="EA90" i="9"/>
  <c r="EA83" i="9"/>
  <c r="EA70" i="9"/>
  <c r="EF15" i="7"/>
  <c r="JS99" i="4"/>
  <c r="EI100" i="4" s="1"/>
  <c r="EM201" i="4"/>
  <c r="EM207" i="4"/>
  <c r="EM216" i="4"/>
  <c r="JW200" i="4" s="1"/>
  <c r="EM210" i="4"/>
  <c r="EM212" i="4"/>
  <c r="EC54" i="9"/>
  <c r="EM231" i="4"/>
  <c r="EM211" i="4"/>
  <c r="EM204" i="4"/>
  <c r="EM215" i="4"/>
  <c r="EM200" i="4"/>
  <c r="EM203" i="4"/>
  <c r="EM206" i="4"/>
  <c r="EM199" i="4"/>
  <c r="EM209" i="4"/>
  <c r="JO15" i="7"/>
  <c r="EE9" i="7" s="1"/>
  <c r="EB20" i="7"/>
  <c r="EB18" i="7"/>
  <c r="EB19" i="7"/>
  <c r="EK123" i="4"/>
  <c r="EG10" i="7"/>
  <c r="EG14" i="7"/>
  <c r="EG12" i="7"/>
  <c r="EG13" i="7"/>
  <c r="EL254" i="4"/>
  <c r="JV244" i="4" s="1"/>
  <c r="EL234" i="4"/>
  <c r="EL265" i="4"/>
  <c r="EL271" i="4"/>
  <c r="EL259" i="4"/>
  <c r="EL270" i="4"/>
  <c r="EL243" i="4"/>
  <c r="EL248" i="4"/>
  <c r="EL244" i="4"/>
  <c r="EL261" i="4"/>
  <c r="EL260" i="4"/>
  <c r="EL258" i="4"/>
  <c r="EL245" i="4"/>
  <c r="EL239" i="4"/>
  <c r="EL249" i="4"/>
  <c r="EL250" i="4"/>
  <c r="EL240" i="4"/>
  <c r="EL232" i="4"/>
  <c r="JV210" i="4" s="1"/>
  <c r="EL238" i="4"/>
  <c r="EL252" i="4"/>
  <c r="EL255" i="4"/>
  <c r="EL253" i="4"/>
  <c r="EL264" i="4"/>
  <c r="EL266" i="4"/>
  <c r="EL269" i="4"/>
  <c r="EL233" i="4"/>
  <c r="JV204" i="4" s="1"/>
  <c r="EL237" i="4"/>
  <c r="JV23" i="4"/>
  <c r="EM23" i="4"/>
  <c r="EL89" i="4"/>
  <c r="EF5" i="7"/>
  <c r="JP12" i="7"/>
  <c r="JP14" i="7"/>
  <c r="JP13" i="7"/>
  <c r="EJ99" i="4"/>
  <c r="JT150" i="4" s="1"/>
  <c r="EK126" i="4"/>
  <c r="EK127" i="4"/>
  <c r="EM28" i="4"/>
  <c r="EN22" i="4"/>
  <c r="EM44" i="4"/>
  <c r="EM43" i="4"/>
  <c r="JW22" i="4"/>
  <c r="EM26" i="4"/>
  <c r="EM27" i="4"/>
  <c r="EM88" i="4"/>
  <c r="EM30" i="4"/>
  <c r="EM47" i="4"/>
  <c r="EM41" i="4"/>
  <c r="EM42" i="4"/>
  <c r="EM48" i="4"/>
  <c r="ED33" i="7"/>
  <c r="EC33" i="7"/>
  <c r="EG112" i="4" l="1"/>
  <c r="EG114" i="4" s="1"/>
  <c r="EG128" i="4" s="1"/>
  <c r="JV36" i="4"/>
  <c r="EL36" i="4" s="1"/>
  <c r="JV46" i="4"/>
  <c r="EN45" i="4"/>
  <c r="EN46" i="4"/>
  <c r="DU88" i="9"/>
  <c r="DU92" i="9" s="1"/>
  <c r="EF113" i="4"/>
  <c r="DV72" i="9" s="1"/>
  <c r="DV73" i="9" s="1"/>
  <c r="EI101" i="4"/>
  <c r="EI103" i="4" s="1"/>
  <c r="JM77" i="4"/>
  <c r="EC76" i="4"/>
  <c r="EC56" i="4"/>
  <c r="ED131" i="4"/>
  <c r="ED133" i="4" s="1"/>
  <c r="ED141" i="4" s="1"/>
  <c r="DT83" i="9"/>
  <c r="DT86" i="9" s="1"/>
  <c r="DT88" i="9" s="1"/>
  <c r="DT92" i="9" s="1"/>
  <c r="DW72" i="9"/>
  <c r="DW73" i="9" s="1"/>
  <c r="JO61" i="4"/>
  <c r="EE206" i="4"/>
  <c r="JU153" i="4"/>
  <c r="JU156" i="4" s="1"/>
  <c r="JU158" i="4" s="1"/>
  <c r="JU159" i="4" s="1"/>
  <c r="JU160" i="4" s="1"/>
  <c r="JV35" i="4"/>
  <c r="EL35" i="4" s="1"/>
  <c r="JV45" i="4"/>
  <c r="JP15" i="7"/>
  <c r="EF9" i="7" s="1"/>
  <c r="EF31" i="7" s="1"/>
  <c r="JV131" i="4"/>
  <c r="JT99" i="4"/>
  <c r="EJ100" i="4" s="1"/>
  <c r="EJ101" i="4" s="1"/>
  <c r="EJ103" i="4" s="1"/>
  <c r="EK38" i="4"/>
  <c r="EK51" i="4" s="1"/>
  <c r="JU146" i="4"/>
  <c r="JU147" i="4" s="1"/>
  <c r="JU148" i="4" s="1"/>
  <c r="JU149" i="4" s="1"/>
  <c r="JU98" i="4"/>
  <c r="EB21" i="7"/>
  <c r="EB23" i="7" s="1"/>
  <c r="EB24" i="7" s="1"/>
  <c r="EB25" i="7" s="1"/>
  <c r="EB35" i="7" s="1"/>
  <c r="EH110" i="4" s="1"/>
  <c r="EL98" i="4"/>
  <c r="EL96" i="4"/>
  <c r="EL107" i="4"/>
  <c r="EL137" i="4"/>
  <c r="EL105" i="4"/>
  <c r="EL136" i="4"/>
  <c r="JV118" i="4"/>
  <c r="JV92" i="4"/>
  <c r="JV97" i="4" s="1"/>
  <c r="EL138" i="4"/>
  <c r="EL102" i="4"/>
  <c r="EL106" i="4"/>
  <c r="EL129" i="4"/>
  <c r="EL127" i="4"/>
  <c r="EL123" i="4"/>
  <c r="EL124" i="4"/>
  <c r="EL121" i="4"/>
  <c r="EL126" i="4"/>
  <c r="EL122" i="4"/>
  <c r="JV152" i="4"/>
  <c r="EL125" i="4"/>
  <c r="JU96" i="4"/>
  <c r="EK99" i="4"/>
  <c r="JU150" i="4" s="1"/>
  <c r="EM31" i="4"/>
  <c r="EN211" i="4"/>
  <c r="EN216" i="4"/>
  <c r="JX200" i="4" s="1"/>
  <c r="EN203" i="4"/>
  <c r="EN210" i="4"/>
  <c r="EN212" i="4"/>
  <c r="EN206" i="4"/>
  <c r="EN231" i="4"/>
  <c r="EN201" i="4"/>
  <c r="EN215" i="4"/>
  <c r="EN207" i="4"/>
  <c r="EN209" i="4"/>
  <c r="EN200" i="4"/>
  <c r="ED54" i="9"/>
  <c r="EN204" i="4"/>
  <c r="EN199" i="4"/>
  <c r="JV155" i="4"/>
  <c r="EH10" i="7"/>
  <c r="EH14" i="7"/>
  <c r="EH12" i="7"/>
  <c r="EH13" i="7"/>
  <c r="EC60" i="9"/>
  <c r="EC56" i="9"/>
  <c r="EC67" i="9"/>
  <c r="EC64" i="9"/>
  <c r="EC58" i="9"/>
  <c r="EC55" i="9"/>
  <c r="EC65" i="9"/>
  <c r="EC57" i="9"/>
  <c r="EC53" i="9"/>
  <c r="EC62" i="9"/>
  <c r="EH2" i="7"/>
  <c r="JX2" i="4"/>
  <c r="EM244" i="4"/>
  <c r="EM237" i="4"/>
  <c r="EM249" i="4"/>
  <c r="EM238" i="4"/>
  <c r="EM232" i="4"/>
  <c r="JW210" i="4" s="1"/>
  <c r="EM269" i="4"/>
  <c r="EM233" i="4"/>
  <c r="JW204" i="4" s="1"/>
  <c r="EM255" i="4"/>
  <c r="EM248" i="4"/>
  <c r="EM271" i="4"/>
  <c r="EM250" i="4"/>
  <c r="EM261" i="4"/>
  <c r="EM239" i="4"/>
  <c r="EM245" i="4"/>
  <c r="EM240" i="4"/>
  <c r="EM234" i="4"/>
  <c r="EM252" i="4"/>
  <c r="EM266" i="4"/>
  <c r="EM264" i="4"/>
  <c r="EM253" i="4"/>
  <c r="EM254" i="4"/>
  <c r="JW244" i="4" s="1"/>
  <c r="EM260" i="4"/>
  <c r="EM270" i="4"/>
  <c r="EM258" i="4"/>
  <c r="EM265" i="4"/>
  <c r="EM243" i="4"/>
  <c r="EM259" i="4"/>
  <c r="EO22" i="4"/>
  <c r="EN44" i="4"/>
  <c r="EN28" i="4"/>
  <c r="EN43" i="4"/>
  <c r="EN26" i="4"/>
  <c r="EN27" i="4"/>
  <c r="EN88" i="4"/>
  <c r="JX22" i="4"/>
  <c r="EN47" i="4"/>
  <c r="EN30" i="4"/>
  <c r="EN42" i="4"/>
  <c r="EN41" i="4"/>
  <c r="EN48" i="4"/>
  <c r="JX126" i="4"/>
  <c r="JX122" i="4"/>
  <c r="JX127" i="4"/>
  <c r="JX124" i="4"/>
  <c r="JX125" i="4"/>
  <c r="JX129" i="4"/>
  <c r="JX117" i="4"/>
  <c r="JX116" i="4" s="1"/>
  <c r="JX123" i="4"/>
  <c r="JX121" i="4"/>
  <c r="JX94" i="4"/>
  <c r="JX93" i="4" s="1"/>
  <c r="JR3" i="7"/>
  <c r="JX201" i="4"/>
  <c r="JX198" i="4"/>
  <c r="JX89" i="4"/>
  <c r="JX53" i="4"/>
  <c r="JX57" i="4"/>
  <c r="JY3" i="4"/>
  <c r="EP3" i="4"/>
  <c r="EO2" i="4"/>
  <c r="EI3" i="7"/>
  <c r="EO83" i="4"/>
  <c r="EO198" i="4"/>
  <c r="EO70" i="4"/>
  <c r="EA96" i="9"/>
  <c r="EA97" i="9"/>
  <c r="EC19" i="7"/>
  <c r="EC20" i="7"/>
  <c r="EC18" i="7"/>
  <c r="EB85" i="9"/>
  <c r="EB76" i="9"/>
  <c r="EB68" i="9"/>
  <c r="EB79" i="9"/>
  <c r="EB94" i="9"/>
  <c r="EB81" i="9"/>
  <c r="EB90" i="9"/>
  <c r="EB69" i="9"/>
  <c r="EB82" i="9"/>
  <c r="EB92" i="9"/>
  <c r="EB73" i="9"/>
  <c r="EB86" i="9"/>
  <c r="EB72" i="9"/>
  <c r="EB80" i="9"/>
  <c r="EB77" i="9"/>
  <c r="EB88" i="9"/>
  <c r="EB78" i="9"/>
  <c r="EB71" i="9"/>
  <c r="EB83" i="9"/>
  <c r="EB84" i="9"/>
  <c r="EB70" i="9"/>
  <c r="EG15" i="7"/>
  <c r="EK108" i="4"/>
  <c r="JQ14" i="7"/>
  <c r="JQ13" i="7"/>
  <c r="JQ12" i="7"/>
  <c r="ED18" i="7"/>
  <c r="ED20" i="7"/>
  <c r="ED19" i="7"/>
  <c r="JW95" i="4"/>
  <c r="JW120" i="4" s="1"/>
  <c r="JW130" i="4" s="1"/>
  <c r="EM130" i="4" s="1"/>
  <c r="JW119" i="4"/>
  <c r="JW91" i="4"/>
  <c r="JW90" i="4" s="1"/>
  <c r="EM90" i="4" s="1"/>
  <c r="EM97" i="4" s="1"/>
  <c r="JW151" i="4"/>
  <c r="JW154" i="4"/>
  <c r="EM49" i="4"/>
  <c r="JV240" i="4"/>
  <c r="JV250" i="4"/>
  <c r="EJ51" i="4"/>
  <c r="JT54" i="4"/>
  <c r="EE31" i="7"/>
  <c r="EE32" i="7"/>
  <c r="EE29" i="7"/>
  <c r="EE30" i="7"/>
  <c r="EK139" i="4"/>
  <c r="EN23" i="4"/>
  <c r="JW23" i="4"/>
  <c r="EG5" i="7"/>
  <c r="EM89" i="4"/>
  <c r="JV44" i="4"/>
  <c r="JV28" i="4"/>
  <c r="JV26" i="4"/>
  <c r="JV27" i="4"/>
  <c r="JV37" i="4"/>
  <c r="EL37" i="4" s="1"/>
  <c r="JV30" i="4"/>
  <c r="JV43" i="4"/>
  <c r="JV47" i="4"/>
  <c r="JV34" i="4"/>
  <c r="EL34" i="4" s="1"/>
  <c r="JV42" i="4"/>
  <c r="JV41" i="4"/>
  <c r="JV48" i="4"/>
  <c r="EM95" i="4"/>
  <c r="EF30" i="7" l="1"/>
  <c r="EO45" i="4"/>
  <c r="EO46" i="4"/>
  <c r="EF32" i="7"/>
  <c r="EF29" i="7"/>
  <c r="JW36" i="4"/>
  <c r="EM36" i="4" s="1"/>
  <c r="JW46" i="4"/>
  <c r="EG91" i="4"/>
  <c r="EF114" i="4"/>
  <c r="EF91" i="4" s="1"/>
  <c r="EH111" i="4"/>
  <c r="EH113" i="4" s="1"/>
  <c r="EG131" i="4"/>
  <c r="EG133" i="4" s="1"/>
  <c r="EG141" i="4" s="1"/>
  <c r="DW83" i="9"/>
  <c r="DW86" i="9" s="1"/>
  <c r="DW88" i="9" s="1"/>
  <c r="DW92" i="9" s="1"/>
  <c r="JN61" i="4"/>
  <c r="ED206" i="4"/>
  <c r="EE56" i="4"/>
  <c r="EE76" i="4"/>
  <c r="JV153" i="4"/>
  <c r="JV156" i="4" s="1"/>
  <c r="JV158" i="4" s="1"/>
  <c r="JV159" i="4" s="1"/>
  <c r="JV160" i="4" s="1"/>
  <c r="JW35" i="4"/>
  <c r="EM35" i="4" s="1"/>
  <c r="JW45" i="4"/>
  <c r="EL108" i="4"/>
  <c r="JQ15" i="7"/>
  <c r="EG9" i="7" s="1"/>
  <c r="EG30" i="7" s="1"/>
  <c r="EN49" i="4"/>
  <c r="JU54" i="4"/>
  <c r="EL99" i="4"/>
  <c r="JV150" i="4" s="1"/>
  <c r="EM124" i="4"/>
  <c r="EM122" i="4"/>
  <c r="EM126" i="4"/>
  <c r="EL38" i="4"/>
  <c r="EL51" i="4" s="1"/>
  <c r="JU99" i="4"/>
  <c r="EK100" i="4" s="1"/>
  <c r="EK101" i="4" s="1"/>
  <c r="EK103" i="4" s="1"/>
  <c r="ED55" i="9"/>
  <c r="ED67" i="9"/>
  <c r="ED57" i="9"/>
  <c r="ED65" i="9"/>
  <c r="ED64" i="9"/>
  <c r="ED58" i="9"/>
  <c r="ED60" i="9"/>
  <c r="ED62" i="9"/>
  <c r="ED53" i="9"/>
  <c r="ED56" i="9"/>
  <c r="EM123" i="4"/>
  <c r="EI10" i="7"/>
  <c r="EI14" i="7"/>
  <c r="EI12" i="7"/>
  <c r="EI13" i="7"/>
  <c r="JY121" i="4"/>
  <c r="JY126" i="4"/>
  <c r="JY122" i="4"/>
  <c r="JY123" i="4"/>
  <c r="JY124" i="4"/>
  <c r="JY125" i="4"/>
  <c r="JY129" i="4"/>
  <c r="JY117" i="4"/>
  <c r="JY116" i="4" s="1"/>
  <c r="JY127" i="4"/>
  <c r="JY94" i="4"/>
  <c r="JY93" i="4" s="1"/>
  <c r="JY201" i="4"/>
  <c r="JY53" i="4"/>
  <c r="JY57" i="4"/>
  <c r="JY198" i="4"/>
  <c r="JS3" i="7"/>
  <c r="JY89" i="4"/>
  <c r="JW131" i="4"/>
  <c r="EN259" i="4"/>
  <c r="EN245" i="4"/>
  <c r="EN249" i="4"/>
  <c r="EN240" i="4"/>
  <c r="EN258" i="4"/>
  <c r="EN261" i="4"/>
  <c r="EN239" i="4"/>
  <c r="EN252" i="4"/>
  <c r="EN233" i="4"/>
  <c r="JX204" i="4" s="1"/>
  <c r="EN232" i="4"/>
  <c r="JX210" i="4" s="1"/>
  <c r="EN253" i="4"/>
  <c r="EN255" i="4"/>
  <c r="EN265" i="4"/>
  <c r="EN264" i="4"/>
  <c r="EN270" i="4"/>
  <c r="EN266" i="4"/>
  <c r="EN269" i="4"/>
  <c r="EN248" i="4"/>
  <c r="EN238" i="4"/>
  <c r="EN237" i="4"/>
  <c r="EN254" i="4"/>
  <c r="JX244" i="4" s="1"/>
  <c r="EN243" i="4"/>
  <c r="EN244" i="4"/>
  <c r="EN250" i="4"/>
  <c r="EN234" i="4"/>
  <c r="EN260" i="4"/>
  <c r="EN271" i="4"/>
  <c r="EO207" i="4"/>
  <c r="EE54" i="9"/>
  <c r="EO201" i="4"/>
  <c r="EO203" i="4"/>
  <c r="EO199" i="4"/>
  <c r="EO206" i="4"/>
  <c r="EO216" i="4"/>
  <c r="JY200" i="4" s="1"/>
  <c r="EO204" i="4"/>
  <c r="EO212" i="4"/>
  <c r="EO231" i="4"/>
  <c r="EO215" i="4"/>
  <c r="EO209" i="4"/>
  <c r="EO210" i="4"/>
  <c r="EO200" i="4"/>
  <c r="EO211" i="4"/>
  <c r="EM129" i="4"/>
  <c r="EN95" i="4"/>
  <c r="EC73" i="9"/>
  <c r="EC72" i="9"/>
  <c r="EC76" i="9"/>
  <c r="EC77" i="9"/>
  <c r="EC86" i="9"/>
  <c r="EC83" i="9"/>
  <c r="EC92" i="9"/>
  <c r="EC68" i="9"/>
  <c r="EC81" i="9"/>
  <c r="EC69" i="9"/>
  <c r="EC79" i="9"/>
  <c r="EC78" i="9"/>
  <c r="EC88" i="9"/>
  <c r="EC80" i="9"/>
  <c r="EC70" i="9"/>
  <c r="EC82" i="9"/>
  <c r="EC90" i="9"/>
  <c r="EC84" i="9"/>
  <c r="EC94" i="9"/>
  <c r="EC85" i="9"/>
  <c r="EC71" i="9"/>
  <c r="JV146" i="4"/>
  <c r="JV147" i="4" s="1"/>
  <c r="JV148" i="4" s="1"/>
  <c r="JV149" i="4" s="1"/>
  <c r="JV98" i="4"/>
  <c r="JV96" i="4"/>
  <c r="EG31" i="7"/>
  <c r="JX95" i="4"/>
  <c r="JX120" i="4" s="1"/>
  <c r="JX130" i="4" s="1"/>
  <c r="EN130" i="4" s="1"/>
  <c r="JX119" i="4"/>
  <c r="JX91" i="4"/>
  <c r="JX90" i="4" s="1"/>
  <c r="EN90" i="4" s="1"/>
  <c r="EN97" i="4" s="1"/>
  <c r="JX151" i="4"/>
  <c r="JX154" i="4"/>
  <c r="JY2" i="4"/>
  <c r="EI2" i="7"/>
  <c r="ED21" i="7"/>
  <c r="ED23" i="7" s="1"/>
  <c r="ED24" i="7" s="1"/>
  <c r="ED25" i="7" s="1"/>
  <c r="ED35" i="7" s="1"/>
  <c r="EJ110" i="4" s="1"/>
  <c r="EJ111" i="4" s="1"/>
  <c r="JZ3" i="4"/>
  <c r="EQ3" i="4"/>
  <c r="EP83" i="4"/>
  <c r="EP70" i="4"/>
  <c r="EP198" i="4"/>
  <c r="EJ3" i="7"/>
  <c r="EP2" i="4"/>
  <c r="EB97" i="9"/>
  <c r="EB96" i="9"/>
  <c r="EN31" i="4"/>
  <c r="EL139" i="4"/>
  <c r="EM127" i="4"/>
  <c r="JW155" i="4"/>
  <c r="EE33" i="7"/>
  <c r="JW152" i="4"/>
  <c r="JR13" i="7"/>
  <c r="JR12" i="7"/>
  <c r="JR14" i="7"/>
  <c r="JW250" i="4"/>
  <c r="JW240" i="4"/>
  <c r="EH15" i="7"/>
  <c r="JX23" i="4"/>
  <c r="EO23" i="4"/>
  <c r="EN89" i="4"/>
  <c r="EH5" i="7"/>
  <c r="EM121" i="4"/>
  <c r="EC21" i="7"/>
  <c r="EC23" i="7" s="1"/>
  <c r="EC24" i="7" s="1"/>
  <c r="EC25" i="7" s="1"/>
  <c r="EC35" i="7" s="1"/>
  <c r="EI110" i="4" s="1"/>
  <c r="EI111" i="4" s="1"/>
  <c r="EO28" i="4"/>
  <c r="EO44" i="4"/>
  <c r="EP22" i="4"/>
  <c r="EO88" i="4"/>
  <c r="EO26" i="4"/>
  <c r="EO43" i="4"/>
  <c r="EO27" i="4"/>
  <c r="JY22" i="4"/>
  <c r="EO47" i="4"/>
  <c r="EO30" i="4"/>
  <c r="EO41" i="4"/>
  <c r="EO42" i="4"/>
  <c r="EO48" i="4"/>
  <c r="EM96" i="4"/>
  <c r="EM98" i="4"/>
  <c r="JW118" i="4"/>
  <c r="EM107" i="4"/>
  <c r="EM137" i="4"/>
  <c r="EM136" i="4"/>
  <c r="JW92" i="4"/>
  <c r="JW97" i="4" s="1"/>
  <c r="EM105" i="4"/>
  <c r="EM138" i="4"/>
  <c r="EM102" i="4"/>
  <c r="EM106" i="4"/>
  <c r="EM125" i="4"/>
  <c r="JW28" i="4"/>
  <c r="JW44" i="4"/>
  <c r="JW37" i="4"/>
  <c r="EM37" i="4" s="1"/>
  <c r="JW27" i="4"/>
  <c r="JW26" i="4"/>
  <c r="JW43" i="4"/>
  <c r="JW47" i="4"/>
  <c r="JW30" i="4"/>
  <c r="JW34" i="4"/>
  <c r="EM34" i="4" s="1"/>
  <c r="JW41" i="4"/>
  <c r="JW42" i="4"/>
  <c r="JW48" i="4"/>
  <c r="EG29" i="7" l="1"/>
  <c r="EF33" i="7"/>
  <c r="EF20" i="7" s="1"/>
  <c r="EP45" i="4"/>
  <c r="EP46" i="4"/>
  <c r="JX36" i="4"/>
  <c r="EN36" i="4" s="1"/>
  <c r="JX46" i="4"/>
  <c r="EF128" i="4"/>
  <c r="EF131" i="4" s="1"/>
  <c r="EF133" i="4" s="1"/>
  <c r="EF141" i="4" s="1"/>
  <c r="EH112" i="4"/>
  <c r="EH114" i="4" s="1"/>
  <c r="JN77" i="4"/>
  <c r="JO77" i="4" s="1"/>
  <c r="ED76" i="4"/>
  <c r="ED56" i="4"/>
  <c r="JQ61" i="4"/>
  <c r="EG206" i="4"/>
  <c r="JW153" i="4"/>
  <c r="JW156" i="4" s="1"/>
  <c r="JW158" i="4" s="1"/>
  <c r="JW159" i="4" s="1"/>
  <c r="JW160" i="4" s="1"/>
  <c r="JX35" i="4"/>
  <c r="EN35" i="4" s="1"/>
  <c r="JX45" i="4"/>
  <c r="EG32" i="7"/>
  <c r="JR15" i="7"/>
  <c r="EH9" i="7" s="1"/>
  <c r="EH31" i="7" s="1"/>
  <c r="EI15" i="7"/>
  <c r="EO31" i="4"/>
  <c r="EM108" i="4"/>
  <c r="JV54" i="4"/>
  <c r="JV99" i="4"/>
  <c r="EL100" i="4" s="1"/>
  <c r="EN129" i="4"/>
  <c r="EN121" i="4"/>
  <c r="EN122" i="4"/>
  <c r="EM99" i="4"/>
  <c r="JW150" i="4" s="1"/>
  <c r="EJ112" i="4"/>
  <c r="EJ113" i="4"/>
  <c r="JY119" i="4"/>
  <c r="JY95" i="4"/>
  <c r="JY120" i="4" s="1"/>
  <c r="JY130" i="4" s="1"/>
  <c r="EO130" i="4" s="1"/>
  <c r="JY91" i="4"/>
  <c r="JY90" i="4" s="1"/>
  <c r="EO90" i="4" s="1"/>
  <c r="EO97" i="4" s="1"/>
  <c r="JY151" i="4"/>
  <c r="JY154" i="4"/>
  <c r="JS12" i="7"/>
  <c r="JS14" i="7"/>
  <c r="JS13" i="7"/>
  <c r="EO259" i="4"/>
  <c r="EO249" i="4"/>
  <c r="EO239" i="4"/>
  <c r="EO238" i="4"/>
  <c r="EO232" i="4"/>
  <c r="JY210" i="4" s="1"/>
  <c r="EO252" i="4"/>
  <c r="EO243" i="4"/>
  <c r="EO266" i="4"/>
  <c r="EO250" i="4"/>
  <c r="EO253" i="4"/>
  <c r="EO234" i="4"/>
  <c r="EO233" i="4"/>
  <c r="JY204" i="4" s="1"/>
  <c r="EO245" i="4"/>
  <c r="EO264" i="4"/>
  <c r="EO265" i="4"/>
  <c r="EO255" i="4"/>
  <c r="EO271" i="4"/>
  <c r="EO269" i="4"/>
  <c r="EO260" i="4"/>
  <c r="EO270" i="4"/>
  <c r="EO254" i="4"/>
  <c r="JY244" i="4" s="1"/>
  <c r="EO258" i="4"/>
  <c r="EO261" i="4"/>
  <c r="EO237" i="4"/>
  <c r="EO248" i="4"/>
  <c r="EO240" i="4"/>
  <c r="EO244" i="4"/>
  <c r="EM139" i="4"/>
  <c r="JX155" i="4"/>
  <c r="JX240" i="4"/>
  <c r="JX250" i="4"/>
  <c r="JW146" i="4"/>
  <c r="JW147" i="4" s="1"/>
  <c r="JW148" i="4" s="1"/>
  <c r="JW149" i="4" s="1"/>
  <c r="JW96" i="4"/>
  <c r="EI112" i="4"/>
  <c r="EI113" i="4"/>
  <c r="EP28" i="4"/>
  <c r="EQ22" i="4"/>
  <c r="EP44" i="4"/>
  <c r="EP26" i="4"/>
  <c r="JZ22" i="4"/>
  <c r="EP27" i="4"/>
  <c r="EP43" i="4"/>
  <c r="EP88" i="4"/>
  <c r="EP47" i="4"/>
  <c r="EP30" i="4"/>
  <c r="EP42" i="4"/>
  <c r="EP41" i="4"/>
  <c r="EP48" i="4"/>
  <c r="EN123" i="4"/>
  <c r="EM38" i="4"/>
  <c r="JW98" i="4"/>
  <c r="EE60" i="9"/>
  <c r="EE55" i="9"/>
  <c r="EE58" i="9"/>
  <c r="EE56" i="9"/>
  <c r="EE53" i="9"/>
  <c r="EE57" i="9"/>
  <c r="EE64" i="9"/>
  <c r="EE62" i="9"/>
  <c r="EE67" i="9"/>
  <c r="EE65" i="9"/>
  <c r="EJ10" i="7"/>
  <c r="EJ14" i="7"/>
  <c r="EJ12" i="7"/>
  <c r="EJ13" i="7"/>
  <c r="EN124" i="4"/>
  <c r="JY23" i="4"/>
  <c r="EP23" i="4"/>
  <c r="EO89" i="4"/>
  <c r="EI5" i="7"/>
  <c r="EP210" i="4"/>
  <c r="EP211" i="4"/>
  <c r="EP206" i="4"/>
  <c r="EP199" i="4"/>
  <c r="EP207" i="4"/>
  <c r="EF54" i="9"/>
  <c r="EP204" i="4"/>
  <c r="EP231" i="4"/>
  <c r="EP209" i="4"/>
  <c r="EP200" i="4"/>
  <c r="EP203" i="4"/>
  <c r="EP201" i="4"/>
  <c r="EP215" i="4"/>
  <c r="EP212" i="4"/>
  <c r="EP216" i="4"/>
  <c r="JZ200" i="4" s="1"/>
  <c r="EN125" i="4"/>
  <c r="JZ2" i="4"/>
  <c r="EJ2" i="7"/>
  <c r="EO49" i="4"/>
  <c r="JX28" i="4"/>
  <c r="JX44" i="4"/>
  <c r="JX27" i="4"/>
  <c r="JX37" i="4"/>
  <c r="EN37" i="4" s="1"/>
  <c r="JX26" i="4"/>
  <c r="JX30" i="4"/>
  <c r="JX43" i="4"/>
  <c r="JX47" i="4"/>
  <c r="JX34" i="4"/>
  <c r="EN34" i="4" s="1"/>
  <c r="JX41" i="4"/>
  <c r="JX42" i="4"/>
  <c r="JX48" i="4"/>
  <c r="EO95" i="4"/>
  <c r="EE19" i="7"/>
  <c r="EE18" i="7"/>
  <c r="EE20" i="7"/>
  <c r="JX131" i="4"/>
  <c r="EN96" i="4"/>
  <c r="EN98" i="4"/>
  <c r="EN105" i="4"/>
  <c r="JX92" i="4"/>
  <c r="JX97" i="4" s="1"/>
  <c r="EN137" i="4"/>
  <c r="EN107" i="4"/>
  <c r="EN136" i="4"/>
  <c r="JX118" i="4"/>
  <c r="EN138" i="4"/>
  <c r="EN102" i="4"/>
  <c r="EN106" i="4"/>
  <c r="EN127" i="4"/>
  <c r="EC97" i="9"/>
  <c r="EC96" i="9"/>
  <c r="EN126" i="4"/>
  <c r="ER3" i="4"/>
  <c r="KA3" i="4"/>
  <c r="EQ83" i="4"/>
  <c r="EQ2" i="4"/>
  <c r="EK3" i="7"/>
  <c r="EQ70" i="4"/>
  <c r="EQ198" i="4"/>
  <c r="ED72" i="9"/>
  <c r="ED71" i="9"/>
  <c r="ED92" i="9"/>
  <c r="ED86" i="9"/>
  <c r="ED80" i="9"/>
  <c r="ED73" i="9"/>
  <c r="ED69" i="9"/>
  <c r="ED94" i="9"/>
  <c r="ED83" i="9"/>
  <c r="ED85" i="9"/>
  <c r="ED84" i="9"/>
  <c r="ED90" i="9"/>
  <c r="ED82" i="9"/>
  <c r="ED78" i="9"/>
  <c r="ED81" i="9"/>
  <c r="ED77" i="9"/>
  <c r="ED70" i="9"/>
  <c r="ED79" i="9"/>
  <c r="ED76" i="9"/>
  <c r="ED68" i="9"/>
  <c r="ED88" i="9"/>
  <c r="JZ129" i="4"/>
  <c r="JZ125" i="4"/>
  <c r="JZ121" i="4"/>
  <c r="JZ126" i="4"/>
  <c r="JZ122" i="4"/>
  <c r="JZ127" i="4"/>
  <c r="JZ117" i="4"/>
  <c r="JZ116" i="4" s="1"/>
  <c r="JZ124" i="4"/>
  <c r="JZ123" i="4"/>
  <c r="JZ94" i="4"/>
  <c r="JZ93" i="4" s="1"/>
  <c r="JZ201" i="4"/>
  <c r="JZ53" i="4"/>
  <c r="JZ57" i="4"/>
  <c r="JZ198" i="4"/>
  <c r="JT3" i="7"/>
  <c r="JZ89" i="4"/>
  <c r="JX152" i="4"/>
  <c r="EG33" i="7" l="1"/>
  <c r="EG19" i="7" s="1"/>
  <c r="EF18" i="7"/>
  <c r="EF19" i="7"/>
  <c r="JY36" i="4"/>
  <c r="EO36" i="4" s="1"/>
  <c r="JY46" i="4"/>
  <c r="EQ45" i="4"/>
  <c r="EQ46" i="4"/>
  <c r="EH32" i="7"/>
  <c r="DV83" i="9"/>
  <c r="DV86" i="9" s="1"/>
  <c r="DV88" i="9" s="1"/>
  <c r="DV92" i="9" s="1"/>
  <c r="EH91" i="4"/>
  <c r="EH128" i="4"/>
  <c r="EH131" i="4" s="1"/>
  <c r="EH133" i="4" s="1"/>
  <c r="EH141" i="4" s="1"/>
  <c r="JR61" i="4" s="1"/>
  <c r="EL101" i="4"/>
  <c r="EL103" i="4" s="1"/>
  <c r="EG76" i="4"/>
  <c r="EG56" i="4"/>
  <c r="JP61" i="4"/>
  <c r="EF206" i="4"/>
  <c r="JX153" i="4"/>
  <c r="JX156" i="4" s="1"/>
  <c r="JX158" i="4" s="1"/>
  <c r="JX159" i="4" s="1"/>
  <c r="JX160" i="4" s="1"/>
  <c r="JY35" i="4"/>
  <c r="EO35" i="4" s="1"/>
  <c r="JY45" i="4"/>
  <c r="EH30" i="7"/>
  <c r="EH29" i="7"/>
  <c r="EN108" i="4"/>
  <c r="EI114" i="4"/>
  <c r="EI91" i="4" s="1"/>
  <c r="EO126" i="4"/>
  <c r="JX146" i="4"/>
  <c r="JX147" i="4" s="1"/>
  <c r="JX148" i="4" s="1"/>
  <c r="JX149" i="4" s="1"/>
  <c r="EJ114" i="4"/>
  <c r="EJ128" i="4" s="1"/>
  <c r="EJ131" i="4" s="1"/>
  <c r="EJ133" i="4" s="1"/>
  <c r="EJ141" i="4" s="1"/>
  <c r="JT61" i="4" s="1"/>
  <c r="JY155" i="4"/>
  <c r="EE72" i="9"/>
  <c r="EE86" i="9"/>
  <c r="EE88" i="9"/>
  <c r="EE92" i="9"/>
  <c r="EE78" i="9"/>
  <c r="EE90" i="9"/>
  <c r="EE77" i="9"/>
  <c r="EE79" i="9"/>
  <c r="EE85" i="9"/>
  <c r="EE83" i="9"/>
  <c r="EE81" i="9"/>
  <c r="EE76" i="9"/>
  <c r="EE70" i="9"/>
  <c r="EE80" i="9"/>
  <c r="EE94" i="9"/>
  <c r="EE69" i="9"/>
  <c r="EE82" i="9"/>
  <c r="EE84" i="9"/>
  <c r="EE73" i="9"/>
  <c r="EE71" i="9"/>
  <c r="EE68" i="9"/>
  <c r="JS15" i="7"/>
  <c r="EI9" i="7" s="1"/>
  <c r="EO124" i="4"/>
  <c r="EP264" i="4"/>
  <c r="EP258" i="4"/>
  <c r="EP266" i="4"/>
  <c r="EP249" i="4"/>
  <c r="EP240" i="4"/>
  <c r="EP244" i="4"/>
  <c r="EP232" i="4"/>
  <c r="JZ210" i="4" s="1"/>
  <c r="EP269" i="4"/>
  <c r="EP253" i="4"/>
  <c r="EP265" i="4"/>
  <c r="EP255" i="4"/>
  <c r="EP270" i="4"/>
  <c r="EP260" i="4"/>
  <c r="EP254" i="4"/>
  <c r="JZ244" i="4" s="1"/>
  <c r="EP245" i="4"/>
  <c r="EP261" i="4"/>
  <c r="EP243" i="4"/>
  <c r="EP248" i="4"/>
  <c r="EP233" i="4"/>
  <c r="JZ204" i="4" s="1"/>
  <c r="EP238" i="4"/>
  <c r="EP259" i="4"/>
  <c r="EP250" i="4"/>
  <c r="EP237" i="4"/>
  <c r="EP234" i="4"/>
  <c r="EP239" i="4"/>
  <c r="EP271" i="4"/>
  <c r="EP252" i="4"/>
  <c r="EQ211" i="4"/>
  <c r="EQ231" i="4"/>
  <c r="EG54" i="9"/>
  <c r="EQ209" i="4"/>
  <c r="EQ204" i="4"/>
  <c r="EQ200" i="4"/>
  <c r="EQ206" i="4"/>
  <c r="EQ199" i="4"/>
  <c r="EQ216" i="4"/>
  <c r="KA200" i="4" s="1"/>
  <c r="EQ210" i="4"/>
  <c r="EQ207" i="4"/>
  <c r="EQ203" i="4"/>
  <c r="EQ215" i="4"/>
  <c r="EQ201" i="4"/>
  <c r="EQ212" i="4"/>
  <c r="EN139" i="4"/>
  <c r="EN38" i="4"/>
  <c r="EP31" i="4"/>
  <c r="JY152" i="4"/>
  <c r="EO98" i="4"/>
  <c r="EO96" i="4"/>
  <c r="JY118" i="4"/>
  <c r="EO107" i="4"/>
  <c r="EO105" i="4"/>
  <c r="EO136" i="4"/>
  <c r="JY92" i="4"/>
  <c r="JY97" i="4" s="1"/>
  <c r="EO137" i="4"/>
  <c r="EO138" i="4"/>
  <c r="EO102" i="4"/>
  <c r="EO106" i="4"/>
  <c r="EP95" i="4"/>
  <c r="EO129" i="4"/>
  <c r="EK10" i="7"/>
  <c r="EK14" i="7"/>
  <c r="EK12" i="7"/>
  <c r="EK13" i="7"/>
  <c r="EK2" i="7"/>
  <c r="KA2" i="4"/>
  <c r="JY240" i="4"/>
  <c r="JY250" i="4"/>
  <c r="EO123" i="4"/>
  <c r="ES3" i="4"/>
  <c r="KB3" i="4"/>
  <c r="EL3" i="7"/>
  <c r="ER2" i="4"/>
  <c r="ER70" i="4"/>
  <c r="ER198" i="4"/>
  <c r="ER83" i="4"/>
  <c r="JX98" i="4"/>
  <c r="KA129" i="4"/>
  <c r="KA125" i="4"/>
  <c r="KA126" i="4"/>
  <c r="KA123" i="4"/>
  <c r="KA124" i="4"/>
  <c r="KA94" i="4"/>
  <c r="KA93" i="4" s="1"/>
  <c r="KA122" i="4"/>
  <c r="KA127" i="4"/>
  <c r="KA121" i="4"/>
  <c r="KA117" i="4"/>
  <c r="KA116" i="4" s="1"/>
  <c r="JU3" i="7"/>
  <c r="KA201" i="4"/>
  <c r="KA53" i="4"/>
  <c r="KA89" i="4"/>
  <c r="KA198" i="4"/>
  <c r="KA57" i="4"/>
  <c r="JZ119" i="4"/>
  <c r="JZ95" i="4"/>
  <c r="JZ120" i="4" s="1"/>
  <c r="JZ130" i="4" s="1"/>
  <c r="EP130" i="4" s="1"/>
  <c r="JZ91" i="4"/>
  <c r="JZ90" i="4" s="1"/>
  <c r="EP90" i="4" s="1"/>
  <c r="EP97" i="4" s="1"/>
  <c r="JZ151" i="4"/>
  <c r="JZ154" i="4"/>
  <c r="JT14" i="7"/>
  <c r="JT13" i="7"/>
  <c r="JT12" i="7"/>
  <c r="JY131" i="4"/>
  <c r="JX96" i="4"/>
  <c r="EN99" i="4"/>
  <c r="JX150" i="4" s="1"/>
  <c r="JW99" i="4"/>
  <c r="EM100" i="4" s="1"/>
  <c r="EM101" i="4" s="1"/>
  <c r="EM103" i="4" s="1"/>
  <c r="EF56" i="9"/>
  <c r="EF57" i="9"/>
  <c r="EF62" i="9"/>
  <c r="EF64" i="9"/>
  <c r="EF65" i="9"/>
  <c r="EF67" i="9"/>
  <c r="EF60" i="9"/>
  <c r="EF55" i="9"/>
  <c r="EF53" i="9"/>
  <c r="EF58" i="9"/>
  <c r="EO121" i="4"/>
  <c r="EO125" i="4"/>
  <c r="JZ23" i="4"/>
  <c r="EQ23" i="4"/>
  <c r="EP89" i="4"/>
  <c r="EJ5" i="7"/>
  <c r="EQ28" i="4"/>
  <c r="ER22" i="4"/>
  <c r="EQ44" i="4"/>
  <c r="EQ26" i="4"/>
  <c r="EQ43" i="4"/>
  <c r="EQ27" i="4"/>
  <c r="EQ88" i="4"/>
  <c r="KA22" i="4"/>
  <c r="EQ47" i="4"/>
  <c r="EQ30" i="4"/>
  <c r="EQ41" i="4"/>
  <c r="EQ42" i="4"/>
  <c r="EQ48" i="4"/>
  <c r="EM51" i="4"/>
  <c r="JW54" i="4"/>
  <c r="JY44" i="4"/>
  <c r="JY27" i="4"/>
  <c r="JY26" i="4"/>
  <c r="JY37" i="4"/>
  <c r="EO37" i="4" s="1"/>
  <c r="JY43" i="4"/>
  <c r="JY30" i="4"/>
  <c r="JY47" i="4"/>
  <c r="JY34" i="4"/>
  <c r="EO34" i="4" s="1"/>
  <c r="JY28" i="4"/>
  <c r="JY42" i="4"/>
  <c r="JY41" i="4"/>
  <c r="JY48" i="4"/>
  <c r="EO122" i="4"/>
  <c r="EO127" i="4"/>
  <c r="EP49" i="4"/>
  <c r="ED96" i="9"/>
  <c r="ED97" i="9"/>
  <c r="EE21" i="7"/>
  <c r="EE23" i="7" s="1"/>
  <c r="EE24" i="7" s="1"/>
  <c r="EE25" i="7" s="1"/>
  <c r="EE35" i="7" s="1"/>
  <c r="EK110" i="4" s="1"/>
  <c r="EJ15" i="7"/>
  <c r="EG18" i="7" l="1"/>
  <c r="EG20" i="7"/>
  <c r="EF21" i="7"/>
  <c r="EF23" i="7" s="1"/>
  <c r="EF24" i="7" s="1"/>
  <c r="EF25" i="7" s="1"/>
  <c r="EF35" i="7" s="1"/>
  <c r="EL110" i="4" s="1"/>
  <c r="EL111" i="4" s="1"/>
  <c r="EL112" i="4" s="1"/>
  <c r="JZ36" i="4"/>
  <c r="EP36" i="4" s="1"/>
  <c r="JZ46" i="4"/>
  <c r="ER45" i="4"/>
  <c r="ER46" i="4"/>
  <c r="EH76" i="4"/>
  <c r="EH56" i="4"/>
  <c r="EK111" i="4"/>
  <c r="EK112" i="4" s="1"/>
  <c r="JP77" i="4"/>
  <c r="JQ77" i="4" s="1"/>
  <c r="JR77" i="4" s="1"/>
  <c r="EF76" i="4"/>
  <c r="EF56" i="4"/>
  <c r="EO38" i="4"/>
  <c r="JY54" i="4" s="1"/>
  <c r="EH33" i="7"/>
  <c r="EH20" i="7" s="1"/>
  <c r="JY153" i="4"/>
  <c r="JY156" i="4" s="1"/>
  <c r="JY158" i="4" s="1"/>
  <c r="JY159" i="4" s="1"/>
  <c r="JY160" i="4" s="1"/>
  <c r="EI128" i="4"/>
  <c r="JZ35" i="4"/>
  <c r="EP35" i="4" s="1"/>
  <c r="JZ45" i="4"/>
  <c r="JZ155" i="4"/>
  <c r="EJ91" i="4"/>
  <c r="EO108" i="4"/>
  <c r="EO99" i="4"/>
  <c r="JY150" i="4" s="1"/>
  <c r="EP96" i="4"/>
  <c r="EP98" i="4"/>
  <c r="JZ118" i="4"/>
  <c r="EP105" i="4"/>
  <c r="JZ92" i="4"/>
  <c r="JZ97" i="4" s="1"/>
  <c r="EP107" i="4"/>
  <c r="EP137" i="4"/>
  <c r="EP136" i="4"/>
  <c r="EP138" i="4"/>
  <c r="EP102" i="4"/>
  <c r="EP106" i="4"/>
  <c r="EP122" i="4"/>
  <c r="EP126" i="4"/>
  <c r="JZ152" i="4"/>
  <c r="EP123" i="4"/>
  <c r="EP125" i="4"/>
  <c r="EP124" i="4"/>
  <c r="EP129" i="4"/>
  <c r="EP127" i="4"/>
  <c r="EP121" i="4"/>
  <c r="EE96" i="9"/>
  <c r="EE97" i="9"/>
  <c r="KB2" i="4"/>
  <c r="EL2" i="7"/>
  <c r="JY146" i="4"/>
  <c r="JY147" i="4" s="1"/>
  <c r="JY148" i="4" s="1"/>
  <c r="JY149" i="4" s="1"/>
  <c r="JY96" i="4"/>
  <c r="ER212" i="4"/>
  <c r="ER216" i="4"/>
  <c r="KB200" i="4" s="1"/>
  <c r="ER203" i="4"/>
  <c r="ER200" i="4"/>
  <c r="I200" i="4" s="1"/>
  <c r="EH54" i="9"/>
  <c r="ER204" i="4"/>
  <c r="ER201" i="4"/>
  <c r="ER210" i="4"/>
  <c r="ER211" i="4"/>
  <c r="ER207" i="4"/>
  <c r="ER209" i="4"/>
  <c r="ER215" i="4"/>
  <c r="ER206" i="4"/>
  <c r="ER231" i="4"/>
  <c r="ER199" i="4"/>
  <c r="KA119" i="4"/>
  <c r="KA95" i="4"/>
  <c r="KA120" i="4" s="1"/>
  <c r="KA130" i="4" s="1"/>
  <c r="EQ130" i="4" s="1"/>
  <c r="KA91" i="4"/>
  <c r="KA90" i="4" s="1"/>
  <c r="EQ90" i="4" s="1"/>
  <c r="EQ97" i="4" s="1"/>
  <c r="KA151" i="4"/>
  <c r="KA154" i="4"/>
  <c r="EO139" i="4"/>
  <c r="EJ56" i="4"/>
  <c r="EJ76" i="4"/>
  <c r="KB124" i="4"/>
  <c r="KB129" i="4"/>
  <c r="KB121" i="4"/>
  <c r="KB122" i="4"/>
  <c r="KB127" i="4"/>
  <c r="KB123" i="4"/>
  <c r="KB125" i="4"/>
  <c r="KB94" i="4"/>
  <c r="KB93" i="4" s="1"/>
  <c r="KB126" i="4"/>
  <c r="KB117" i="4"/>
  <c r="KB116" i="4" s="1"/>
  <c r="KB89" i="4"/>
  <c r="KB53" i="4"/>
  <c r="JV3" i="7"/>
  <c r="KB201" i="4"/>
  <c r="KB198" i="4"/>
  <c r="KB57" i="4"/>
  <c r="EG62" i="9"/>
  <c r="EG55" i="9"/>
  <c r="EG64" i="9"/>
  <c r="EG58" i="9"/>
  <c r="EG53" i="9"/>
  <c r="EG56" i="9"/>
  <c r="EG65" i="9"/>
  <c r="EG67" i="9"/>
  <c r="EG60" i="9"/>
  <c r="EG57" i="9"/>
  <c r="EF82" i="9"/>
  <c r="EF84" i="9"/>
  <c r="EF94" i="9"/>
  <c r="EF85" i="9"/>
  <c r="EF81" i="9"/>
  <c r="EF73" i="9"/>
  <c r="EF76" i="9"/>
  <c r="EF72" i="9"/>
  <c r="EF77" i="9"/>
  <c r="EF71" i="9"/>
  <c r="EF83" i="9"/>
  <c r="EF86" i="9"/>
  <c r="EF79" i="9"/>
  <c r="EF88" i="9"/>
  <c r="EF92" i="9"/>
  <c r="EF90" i="9"/>
  <c r="EF70" i="9"/>
  <c r="EF80" i="9"/>
  <c r="EF78" i="9"/>
  <c r="EF69" i="9"/>
  <c r="EF68" i="9"/>
  <c r="ER28" i="4"/>
  <c r="ER44" i="4"/>
  <c r="ES22" i="4"/>
  <c r="ER88" i="4"/>
  <c r="KB22" i="4"/>
  <c r="ER27" i="4"/>
  <c r="ER43" i="4"/>
  <c r="ER26" i="4"/>
  <c r="ER30" i="4"/>
  <c r="ER47" i="4"/>
  <c r="ER42" i="4"/>
  <c r="ER41" i="4"/>
  <c r="ER48" i="4"/>
  <c r="EL10" i="7"/>
  <c r="EL14" i="7"/>
  <c r="EL12" i="7"/>
  <c r="EL13" i="7"/>
  <c r="KC3" i="4"/>
  <c r="ES83" i="4"/>
  <c r="ES70" i="4"/>
  <c r="ES198" i="4"/>
  <c r="EM3" i="7"/>
  <c r="ES2" i="4"/>
  <c r="EQ243" i="4"/>
  <c r="EQ232" i="4"/>
  <c r="KA210" i="4" s="1"/>
  <c r="EQ250" i="4"/>
  <c r="EQ237" i="4"/>
  <c r="EQ258" i="4"/>
  <c r="EQ264" i="4"/>
  <c r="EQ271" i="4"/>
  <c r="EQ266" i="4"/>
  <c r="EQ249" i="4"/>
  <c r="EQ259" i="4"/>
  <c r="EQ234" i="4"/>
  <c r="EQ252" i="4"/>
  <c r="EQ255" i="4"/>
  <c r="EQ270" i="4"/>
  <c r="EQ265" i="4"/>
  <c r="EQ269" i="4"/>
  <c r="EQ260" i="4"/>
  <c r="EQ254" i="4"/>
  <c r="KA244" i="4" s="1"/>
  <c r="EQ261" i="4"/>
  <c r="EQ245" i="4"/>
  <c r="EQ240" i="4"/>
  <c r="EQ233" i="4"/>
  <c r="KA204" i="4" s="1"/>
  <c r="EQ248" i="4"/>
  <c r="EQ244" i="4"/>
  <c r="EQ239" i="4"/>
  <c r="EQ238" i="4"/>
  <c r="EQ253" i="4"/>
  <c r="EQ31" i="4"/>
  <c r="JX99" i="4"/>
  <c r="EN100" i="4" s="1"/>
  <c r="EN101" i="4" s="1"/>
  <c r="EN103" i="4" s="1"/>
  <c r="EO51" i="4"/>
  <c r="JU14" i="7"/>
  <c r="JU13" i="7"/>
  <c r="JU12" i="7"/>
  <c r="JT15" i="7"/>
  <c r="EJ9" i="7" s="1"/>
  <c r="JY98" i="4"/>
  <c r="EQ95" i="4"/>
  <c r="EQ49" i="4"/>
  <c r="KA23" i="4"/>
  <c r="ER23" i="4"/>
  <c r="EQ89" i="4"/>
  <c r="EK5" i="7"/>
  <c r="EK15" i="7"/>
  <c r="EN51" i="4"/>
  <c r="JX54" i="4"/>
  <c r="JZ44" i="4"/>
  <c r="JZ28" i="4"/>
  <c r="JZ26" i="4"/>
  <c r="JZ27" i="4"/>
  <c r="JZ37" i="4"/>
  <c r="EP37" i="4" s="1"/>
  <c r="JZ30" i="4"/>
  <c r="JZ47" i="4"/>
  <c r="JZ43" i="4"/>
  <c r="JZ34" i="4"/>
  <c r="EP34" i="4" s="1"/>
  <c r="JZ42" i="4"/>
  <c r="JZ41" i="4"/>
  <c r="JZ48" i="4"/>
  <c r="EI32" i="7"/>
  <c r="EI30" i="7"/>
  <c r="EI31" i="7"/>
  <c r="EI29" i="7"/>
  <c r="JZ131" i="4"/>
  <c r="JZ240" i="4"/>
  <c r="JZ250" i="4"/>
  <c r="EG21" i="7" l="1"/>
  <c r="EG23" i="7" s="1"/>
  <c r="EG24" i="7" s="1"/>
  <c r="EG25" i="7" s="1"/>
  <c r="EG35" i="7" s="1"/>
  <c r="EM110" i="4" s="1"/>
  <c r="EM111" i="4" s="1"/>
  <c r="EM112" i="4" s="1"/>
  <c r="EK113" i="4"/>
  <c r="EK114" i="4" s="1"/>
  <c r="EK128" i="4" s="1"/>
  <c r="EK131" i="4" s="1"/>
  <c r="EK133" i="4" s="1"/>
  <c r="EK141" i="4" s="1"/>
  <c r="JU61" i="4" s="1"/>
  <c r="ES45" i="4"/>
  <c r="P45" i="4" s="1"/>
  <c r="ES46" i="4"/>
  <c r="P46" i="4" s="1"/>
  <c r="KA36" i="4"/>
  <c r="EQ36" i="4" s="1"/>
  <c r="KA46" i="4"/>
  <c r="EH18" i="7"/>
  <c r="EL113" i="4"/>
  <c r="EL114" i="4" s="1"/>
  <c r="EI131" i="4"/>
  <c r="EI133" i="4" s="1"/>
  <c r="EI141" i="4" s="1"/>
  <c r="JS61" i="4" s="1"/>
  <c r="EI56" i="4" s="1"/>
  <c r="EH19" i="7"/>
  <c r="JZ153" i="4"/>
  <c r="JZ156" i="4" s="1"/>
  <c r="JZ158" i="4" s="1"/>
  <c r="JZ159" i="4" s="1"/>
  <c r="JZ160" i="4" s="1"/>
  <c r="KA35" i="4"/>
  <c r="EQ35" i="4" s="1"/>
  <c r="KA45" i="4"/>
  <c r="JU15" i="7"/>
  <c r="EK9" i="7" s="1"/>
  <c r="EK29" i="7" s="1"/>
  <c r="EP38" i="4"/>
  <c r="EP51" i="4" s="1"/>
  <c r="KA155" i="4"/>
  <c r="EP108" i="4"/>
  <c r="JZ146" i="4"/>
  <c r="JZ147" i="4" s="1"/>
  <c r="JZ148" i="4" s="1"/>
  <c r="JZ149" i="4" s="1"/>
  <c r="KA131" i="4"/>
  <c r="EI33" i="7"/>
  <c r="EI19" i="7" s="1"/>
  <c r="EQ96" i="4"/>
  <c r="EQ98" i="4"/>
  <c r="EQ136" i="4"/>
  <c r="KA118" i="4"/>
  <c r="KA92" i="4"/>
  <c r="KA97" i="4" s="1"/>
  <c r="EQ107" i="4"/>
  <c r="EQ137" i="4"/>
  <c r="EQ105" i="4"/>
  <c r="EQ138" i="4"/>
  <c r="EQ102" i="4"/>
  <c r="EQ106" i="4"/>
  <c r="KC94" i="4"/>
  <c r="KC93" i="4" s="1"/>
  <c r="KC117" i="4"/>
  <c r="KC116" i="4" s="1"/>
  <c r="KC126" i="4"/>
  <c r="KC122" i="4"/>
  <c r="KC53" i="4"/>
  <c r="KC201" i="4"/>
  <c r="JW3" i="7"/>
  <c r="KC124" i="4"/>
  <c r="KC123" i="4"/>
  <c r="KC125" i="4"/>
  <c r="KC127" i="4"/>
  <c r="KC121" i="4"/>
  <c r="KC57" i="4"/>
  <c r="KC129" i="4"/>
  <c r="KC198" i="4"/>
  <c r="KC89" i="4"/>
  <c r="EG81" i="9"/>
  <c r="EG84" i="9"/>
  <c r="EG83" i="9"/>
  <c r="EG78" i="9"/>
  <c r="EG82" i="9"/>
  <c r="EG94" i="9"/>
  <c r="EG76" i="9"/>
  <c r="EG88" i="9"/>
  <c r="EG86" i="9"/>
  <c r="EG85" i="9"/>
  <c r="EG68" i="9"/>
  <c r="EG79" i="9"/>
  <c r="EG69" i="9"/>
  <c r="EG92" i="9"/>
  <c r="EG73" i="9"/>
  <c r="EG72" i="9"/>
  <c r="EG71" i="9"/>
  <c r="EG90" i="9"/>
  <c r="EG77" i="9"/>
  <c r="EG70" i="9"/>
  <c r="EG80" i="9"/>
  <c r="ES44" i="4"/>
  <c r="P44" i="4" s="1"/>
  <c r="ES28" i="4"/>
  <c r="P28" i="4" s="1"/>
  <c r="ES26" i="4"/>
  <c r="KC22" i="4"/>
  <c r="ES27" i="4"/>
  <c r="P27" i="4" s="1"/>
  <c r="ES88" i="4"/>
  <c r="ES43" i="4"/>
  <c r="P43" i="4" s="1"/>
  <c r="ES30" i="4"/>
  <c r="P30" i="4" s="1"/>
  <c r="ES47" i="4"/>
  <c r="P47" i="4" s="1"/>
  <c r="ES41" i="4"/>
  <c r="ES42" i="4"/>
  <c r="P42" i="4" s="1"/>
  <c r="ES48" i="4"/>
  <c r="P48" i="4" s="1"/>
  <c r="EQ124" i="4"/>
  <c r="EP139" i="4"/>
  <c r="EM10" i="7"/>
  <c r="EM14" i="7"/>
  <c r="EM12" i="7"/>
  <c r="EM13" i="7"/>
  <c r="KA152" i="4"/>
  <c r="JY99" i="4"/>
  <c r="EO100" i="4" s="1"/>
  <c r="EO101" i="4" s="1"/>
  <c r="EO103" i="4" s="1"/>
  <c r="EF97" i="9"/>
  <c r="EF96" i="9"/>
  <c r="EQ121" i="4"/>
  <c r="KB23" i="4"/>
  <c r="ES23" i="4"/>
  <c r="ER89" i="4"/>
  <c r="EL5" i="7"/>
  <c r="KA44" i="4"/>
  <c r="KA27" i="4"/>
  <c r="KA26" i="4"/>
  <c r="KA37" i="4"/>
  <c r="EQ37" i="4" s="1"/>
  <c r="KA30" i="4"/>
  <c r="KA43" i="4"/>
  <c r="KA47" i="4"/>
  <c r="KA34" i="4"/>
  <c r="EQ34" i="4" s="1"/>
  <c r="KA28" i="4"/>
  <c r="KA41" i="4"/>
  <c r="KA42" i="4"/>
  <c r="KA48" i="4"/>
  <c r="ES201" i="4"/>
  <c r="ES210" i="4"/>
  <c r="ES212" i="4"/>
  <c r="ES207" i="4"/>
  <c r="ES204" i="4"/>
  <c r="ES216" i="4"/>
  <c r="KC200" i="4" s="1"/>
  <c r="ES209" i="4"/>
  <c r="ES211" i="4"/>
  <c r="ES231" i="4"/>
  <c r="ES199" i="4"/>
  <c r="ES206" i="4"/>
  <c r="I206" i="4" s="1"/>
  <c r="ES215" i="4"/>
  <c r="ES203" i="4"/>
  <c r="EI54" i="9"/>
  <c r="ES200" i="4"/>
  <c r="EQ126" i="4"/>
  <c r="EQ129" i="4"/>
  <c r="EH55" i="9"/>
  <c r="EH56" i="9"/>
  <c r="EH53" i="9"/>
  <c r="EH60" i="9"/>
  <c r="EH58" i="9"/>
  <c r="EH65" i="9"/>
  <c r="EH62" i="9"/>
  <c r="EH57" i="9"/>
  <c r="EH67" i="9"/>
  <c r="EH64" i="9"/>
  <c r="ER49" i="4"/>
  <c r="KC2" i="4"/>
  <c r="EM2" i="7"/>
  <c r="EQ125" i="4"/>
  <c r="EQ122" i="4"/>
  <c r="EJ30" i="7"/>
  <c r="EJ29" i="7"/>
  <c r="EJ32" i="7"/>
  <c r="EJ31" i="7"/>
  <c r="EQ123" i="4"/>
  <c r="EK32" i="7"/>
  <c r="EK31" i="7"/>
  <c r="EK30" i="7"/>
  <c r="EL15" i="7"/>
  <c r="ER95" i="4"/>
  <c r="EQ127" i="4"/>
  <c r="ER31" i="4"/>
  <c r="JV13" i="7"/>
  <c r="JV14" i="7"/>
  <c r="JV12" i="7"/>
  <c r="JZ98" i="4"/>
  <c r="JZ96" i="4"/>
  <c r="EP99" i="4"/>
  <c r="JZ150" i="4" s="1"/>
  <c r="KA240" i="4"/>
  <c r="KA250" i="4"/>
  <c r="KB119" i="4"/>
  <c r="KB95" i="4"/>
  <c r="KB120" i="4" s="1"/>
  <c r="KB130" i="4" s="1"/>
  <c r="ER130" i="4" s="1"/>
  <c r="I178" i="4" s="1"/>
  <c r="KB91" i="4"/>
  <c r="KB90" i="4" s="1"/>
  <c r="ER90" i="4" s="1"/>
  <c r="ER97" i="4" s="1"/>
  <c r="KB151" i="4"/>
  <c r="KB154" i="4"/>
  <c r="ER264" i="4"/>
  <c r="ER270" i="4"/>
  <c r="ER259" i="4"/>
  <c r="ER271" i="4"/>
  <c r="ER258" i="4"/>
  <c r="ER261" i="4"/>
  <c r="ER245" i="4"/>
  <c r="ER234" i="4"/>
  <c r="ER260" i="4"/>
  <c r="ER239" i="4"/>
  <c r="ER238" i="4"/>
  <c r="ER249" i="4"/>
  <c r="ER244" i="4"/>
  <c r="ER250" i="4"/>
  <c r="ER233" i="4"/>
  <c r="KB204" i="4" s="1"/>
  <c r="ER243" i="4"/>
  <c r="ER232" i="4"/>
  <c r="KB210" i="4" s="1"/>
  <c r="ER240" i="4"/>
  <c r="ER252" i="4"/>
  <c r="ER253" i="4"/>
  <c r="ER265" i="4"/>
  <c r="ER254" i="4"/>
  <c r="KB244" i="4" s="1"/>
  <c r="ER266" i="4"/>
  <c r="ER255" i="4"/>
  <c r="ER237" i="4"/>
  <c r="ER269" i="4"/>
  <c r="ER248" i="4"/>
  <c r="EM113" i="4" l="1"/>
  <c r="EM114" i="4" s="1"/>
  <c r="KB36" i="4"/>
  <c r="ER36" i="4" s="1"/>
  <c r="KB46" i="4"/>
  <c r="EH21" i="7"/>
  <c r="EH23" i="7" s="1"/>
  <c r="EH24" i="7" s="1"/>
  <c r="EH25" i="7" s="1"/>
  <c r="EH35" i="7" s="1"/>
  <c r="EN110" i="4" s="1"/>
  <c r="EN111" i="4" s="1"/>
  <c r="EN113" i="4" s="1"/>
  <c r="JS77" i="4"/>
  <c r="JT77" i="4" s="1"/>
  <c r="JU77" i="4" s="1"/>
  <c r="EI76" i="4"/>
  <c r="KA153" i="4"/>
  <c r="KA156" i="4" s="1"/>
  <c r="KA158" i="4" s="1"/>
  <c r="KA159" i="4" s="1"/>
  <c r="KA160" i="4" s="1"/>
  <c r="KB35" i="4"/>
  <c r="ER35" i="4" s="1"/>
  <c r="KB45" i="4"/>
  <c r="EI18" i="7"/>
  <c r="EI20" i="7"/>
  <c r="JZ54" i="4"/>
  <c r="KB131" i="4"/>
  <c r="KB155" i="4"/>
  <c r="JZ99" i="4"/>
  <c r="EP100" i="4" s="1"/>
  <c r="EP101" i="4" s="1"/>
  <c r="EP103" i="4" s="1"/>
  <c r="EK91" i="4"/>
  <c r="EQ38" i="4"/>
  <c r="EQ51" i="4" s="1"/>
  <c r="ER96" i="4"/>
  <c r="ER98" i="4"/>
  <c r="ER137" i="4"/>
  <c r="I185" i="4" s="1"/>
  <c r="KB92" i="4"/>
  <c r="KB97" i="4" s="1"/>
  <c r="KB118" i="4"/>
  <c r="ER136" i="4"/>
  <c r="I184" i="4" s="1"/>
  <c r="ER105" i="4"/>
  <c r="ER107" i="4"/>
  <c r="ER138" i="4"/>
  <c r="I186" i="4" s="1"/>
  <c r="ER102" i="4"/>
  <c r="I155" i="4" s="1"/>
  <c r="ER106" i="4"/>
  <c r="I159" i="4" s="1"/>
  <c r="I161" i="4" s="1"/>
  <c r="ER125" i="4"/>
  <c r="I173" i="4" s="1"/>
  <c r="ER126" i="4"/>
  <c r="I174" i="4" s="1"/>
  <c r="KB152" i="4"/>
  <c r="ER124" i="4"/>
  <c r="I172" i="4" s="1"/>
  <c r="ER129" i="4"/>
  <c r="I177" i="4" s="1"/>
  <c r="ER123" i="4"/>
  <c r="I171" i="4" s="1"/>
  <c r="ER127" i="4"/>
  <c r="I175" i="4" s="1"/>
  <c r="ER122" i="4"/>
  <c r="I170" i="4" s="1"/>
  <c r="ER121" i="4"/>
  <c r="I169" i="4" s="1"/>
  <c r="EM15" i="7"/>
  <c r="ES31" i="4"/>
  <c r="P31" i="4" s="1"/>
  <c r="P26" i="4"/>
  <c r="EQ108" i="4"/>
  <c r="KC119" i="4"/>
  <c r="KC95" i="4"/>
  <c r="KC120" i="4" s="1"/>
  <c r="KC130" i="4" s="1"/>
  <c r="ES130" i="4" s="1"/>
  <c r="KC91" i="4"/>
  <c r="KC90" i="4" s="1"/>
  <c r="ES90" i="4" s="1"/>
  <c r="ES97" i="4" s="1"/>
  <c r="KC151" i="4"/>
  <c r="KC154" i="4"/>
  <c r="JV15" i="7"/>
  <c r="EL9" i="7" s="1"/>
  <c r="KB240" i="4"/>
  <c r="KB250" i="4"/>
  <c r="ES49" i="4"/>
  <c r="P41" i="4"/>
  <c r="KA146" i="4"/>
  <c r="KA147" i="4" s="1"/>
  <c r="KA148" i="4" s="1"/>
  <c r="KA149" i="4" s="1"/>
  <c r="KA96" i="4"/>
  <c r="EL91" i="4"/>
  <c r="EL128" i="4"/>
  <c r="EL131" i="4" s="1"/>
  <c r="EL133" i="4" s="1"/>
  <c r="EL141" i="4" s="1"/>
  <c r="JV61" i="4" s="1"/>
  <c r="EK76" i="4"/>
  <c r="EK56" i="4"/>
  <c r="EQ139" i="4"/>
  <c r="EJ33" i="7"/>
  <c r="EI62" i="9"/>
  <c r="EI55" i="9"/>
  <c r="EI57" i="9"/>
  <c r="EI58" i="9"/>
  <c r="EI67" i="9"/>
  <c r="EI60" i="9"/>
  <c r="EI53" i="9"/>
  <c r="EI56" i="9"/>
  <c r="EI65" i="9"/>
  <c r="EI64" i="9"/>
  <c r="KC23" i="4"/>
  <c r="EM5" i="7"/>
  <c r="ES89" i="4"/>
  <c r="KA98" i="4"/>
  <c r="KB44" i="4"/>
  <c r="KB26" i="4"/>
  <c r="KB37" i="4"/>
  <c r="ER37" i="4" s="1"/>
  <c r="KB27" i="4"/>
  <c r="KB30" i="4"/>
  <c r="KB43" i="4"/>
  <c r="KB47" i="4"/>
  <c r="KB28" i="4"/>
  <c r="KB34" i="4"/>
  <c r="ER34" i="4" s="1"/>
  <c r="KB41" i="4"/>
  <c r="KB42" i="4"/>
  <c r="KB48" i="4"/>
  <c r="JW12" i="7"/>
  <c r="JW13" i="7"/>
  <c r="JW14" i="7"/>
  <c r="EQ99" i="4"/>
  <c r="KA150" i="4" s="1"/>
  <c r="ES255" i="4"/>
  <c r="ES266" i="4"/>
  <c r="ES253" i="4"/>
  <c r="ES239" i="4"/>
  <c r="ES261" i="4"/>
  <c r="ES269" i="4"/>
  <c r="ES240" i="4"/>
  <c r="ES258" i="4"/>
  <c r="ES237" i="4"/>
  <c r="ES260" i="4"/>
  <c r="ES243" i="4"/>
  <c r="ES232" i="4"/>
  <c r="KC210" i="4" s="1"/>
  <c r="ES270" i="4"/>
  <c r="ES248" i="4"/>
  <c r="ES234" i="4"/>
  <c r="ES254" i="4"/>
  <c r="KC244" i="4" s="1"/>
  <c r="ES245" i="4"/>
  <c r="ES252" i="4"/>
  <c r="ES238" i="4"/>
  <c r="ES233" i="4"/>
  <c r="KC204" i="4" s="1"/>
  <c r="ES264" i="4"/>
  <c r="ES271" i="4"/>
  <c r="ES249" i="4"/>
  <c r="ES250" i="4"/>
  <c r="ES265" i="4"/>
  <c r="ES259" i="4"/>
  <c r="ES244" i="4"/>
  <c r="EH90" i="9"/>
  <c r="EH92" i="9"/>
  <c r="EH88" i="9"/>
  <c r="EH82" i="9"/>
  <c r="EH84" i="9"/>
  <c r="EH94" i="9"/>
  <c r="EH80" i="9"/>
  <c r="EH77" i="9"/>
  <c r="EH78" i="9"/>
  <c r="EH70" i="9"/>
  <c r="EH83" i="9"/>
  <c r="EH73" i="9"/>
  <c r="EH68" i="9"/>
  <c r="EH72" i="9"/>
  <c r="EH85" i="9"/>
  <c r="EH71" i="9"/>
  <c r="EH79" i="9"/>
  <c r="EH69" i="9"/>
  <c r="EH81" i="9"/>
  <c r="EH86" i="9"/>
  <c r="EH76" i="9"/>
  <c r="ES95" i="4"/>
  <c r="E18" i="1"/>
  <c r="E15" i="1"/>
  <c r="E16" i="1"/>
  <c r="EK33" i="7"/>
  <c r="EG97" i="9"/>
  <c r="EG96" i="9"/>
  <c r="EN112" i="4" l="1"/>
  <c r="EN114" i="4" s="1"/>
  <c r="EN128" i="4" s="1"/>
  <c r="EN131" i="4" s="1"/>
  <c r="EN133" i="4" s="1"/>
  <c r="EN141" i="4" s="1"/>
  <c r="JX61" i="4" s="1"/>
  <c r="EN76" i="4" s="1"/>
  <c r="KC36" i="4"/>
  <c r="ES36" i="4" s="1"/>
  <c r="P36" i="4" s="1"/>
  <c r="KC46" i="4"/>
  <c r="I187" i="4"/>
  <c r="K24" i="1" s="1"/>
  <c r="KB153" i="4"/>
  <c r="KB156" i="4" s="1"/>
  <c r="KB158" i="4" s="1"/>
  <c r="KB159" i="4" s="1"/>
  <c r="KB160" i="4" s="1"/>
  <c r="KC35" i="4"/>
  <c r="ES35" i="4" s="1"/>
  <c r="P35" i="4" s="1"/>
  <c r="KC45" i="4"/>
  <c r="EI21" i="7"/>
  <c r="EI23" i="7" s="1"/>
  <c r="EI24" i="7" s="1"/>
  <c r="EI25" i="7" s="1"/>
  <c r="EI35" i="7" s="1"/>
  <c r="EO110" i="4" s="1"/>
  <c r="EO111" i="4" s="1"/>
  <c r="EO113" i="4" s="1"/>
  <c r="JW15" i="7"/>
  <c r="EM9" i="7" s="1"/>
  <c r="EM30" i="7" s="1"/>
  <c r="KC131" i="4"/>
  <c r="KA54" i="4"/>
  <c r="KC155" i="4"/>
  <c r="KA99" i="4"/>
  <c r="EQ100" i="4" s="1"/>
  <c r="EQ101" i="4" s="1"/>
  <c r="EQ103" i="4" s="1"/>
  <c r="KC152" i="4"/>
  <c r="ES121" i="4"/>
  <c r="ES126" i="4"/>
  <c r="ES122" i="4"/>
  <c r="ER99" i="4"/>
  <c r="ES129" i="4"/>
  <c r="G30" i="9"/>
  <c r="G8" i="9"/>
  <c r="G29" i="9"/>
  <c r="G34" i="9"/>
  <c r="G32" i="9"/>
  <c r="G37" i="9"/>
  <c r="G36" i="9"/>
  <c r="G39" i="9"/>
  <c r="G25" i="9"/>
  <c r="G43" i="9"/>
  <c r="G21" i="9"/>
  <c r="G33" i="9"/>
  <c r="G41" i="9"/>
  <c r="G24" i="9"/>
  <c r="G45" i="9"/>
  <c r="G31" i="9"/>
  <c r="G26" i="9"/>
  <c r="G22" i="9"/>
  <c r="G23" i="9"/>
  <c r="G35" i="9"/>
  <c r="G38" i="9"/>
  <c r="H5" i="9"/>
  <c r="G10" i="9"/>
  <c r="G9" i="9"/>
  <c r="G11" i="9"/>
  <c r="ER38" i="4"/>
  <c r="EJ19" i="7"/>
  <c r="EJ18" i="7"/>
  <c r="EJ20" i="7"/>
  <c r="EL31" i="7"/>
  <c r="EL32" i="7"/>
  <c r="EL29" i="7"/>
  <c r="EL30" i="7"/>
  <c r="KC240" i="4"/>
  <c r="KC250" i="4"/>
  <c r="ER108" i="4"/>
  <c r="ES123" i="4"/>
  <c r="EH96" i="9"/>
  <c r="EH97" i="9"/>
  <c r="ER139" i="4"/>
  <c r="ES98" i="4"/>
  <c r="KC92" i="4"/>
  <c r="KC97" i="4" s="1"/>
  <c r="ES96" i="4"/>
  <c r="ES137" i="4"/>
  <c r="ES105" i="4"/>
  <c r="ES136" i="4"/>
  <c r="KC118" i="4"/>
  <c r="ES138" i="4"/>
  <c r="ES107" i="4"/>
  <c r="ES102" i="4"/>
  <c r="ES106" i="4"/>
  <c r="ES125" i="4"/>
  <c r="ES124" i="4"/>
  <c r="EM31" i="7"/>
  <c r="EM29" i="7"/>
  <c r="EM32" i="7"/>
  <c r="EK18" i="7"/>
  <c r="EK19" i="7"/>
  <c r="EK20" i="7"/>
  <c r="EM91" i="4"/>
  <c r="EM128" i="4"/>
  <c r="EM131" i="4" s="1"/>
  <c r="EM133" i="4" s="1"/>
  <c r="EM141" i="4" s="1"/>
  <c r="JW61" i="4" s="1"/>
  <c r="EL76" i="4"/>
  <c r="EL56" i="4"/>
  <c r="KB146" i="4"/>
  <c r="KB147" i="4" s="1"/>
  <c r="KB148" i="4" s="1"/>
  <c r="KB149" i="4" s="1"/>
  <c r="KB96" i="4"/>
  <c r="KC44" i="4"/>
  <c r="KC28" i="4"/>
  <c r="KC27" i="4"/>
  <c r="KC26" i="4"/>
  <c r="KC37" i="4"/>
  <c r="ES37" i="4" s="1"/>
  <c r="P37" i="4" s="1"/>
  <c r="KC47" i="4"/>
  <c r="KC30" i="4"/>
  <c r="KC43" i="4"/>
  <c r="KC34" i="4"/>
  <c r="ES34" i="4" s="1"/>
  <c r="P34" i="4" s="1"/>
  <c r="KC41" i="4"/>
  <c r="KC42" i="4"/>
  <c r="KC48" i="4"/>
  <c r="KB98" i="4"/>
  <c r="P49" i="4"/>
  <c r="EI76" i="9"/>
  <c r="EI92" i="9"/>
  <c r="EI69" i="9"/>
  <c r="EI73" i="9"/>
  <c r="EI72" i="9"/>
  <c r="EI71" i="9"/>
  <c r="EI94" i="9"/>
  <c r="EI70" i="9"/>
  <c r="EI88" i="9"/>
  <c r="EI78" i="9"/>
  <c r="EI81" i="9"/>
  <c r="EI79" i="9"/>
  <c r="EI86" i="9"/>
  <c r="EI84" i="9"/>
  <c r="EI77" i="9"/>
  <c r="EI82" i="9"/>
  <c r="EI83" i="9"/>
  <c r="EI80" i="9"/>
  <c r="EI90" i="9"/>
  <c r="EI85" i="9"/>
  <c r="EI68" i="9"/>
  <c r="JV77" i="4"/>
  <c r="ES127" i="4"/>
  <c r="EN91" i="4" l="1"/>
  <c r="KB150" i="4"/>
  <c r="I152" i="4"/>
  <c r="EO112" i="4"/>
  <c r="EO114" i="4" s="1"/>
  <c r="EO128" i="4" s="1"/>
  <c r="EO131" i="4" s="1"/>
  <c r="EO133" i="4" s="1"/>
  <c r="EO141" i="4" s="1"/>
  <c r="JY61" i="4" s="1"/>
  <c r="KC153" i="4"/>
  <c r="KC156" i="4" s="1"/>
  <c r="KC158" i="4" s="1"/>
  <c r="KC159" i="4" s="1"/>
  <c r="KC160" i="4" s="1"/>
  <c r="KB99" i="4"/>
  <c r="ER100" i="4" s="1"/>
  <c r="EN56" i="4"/>
  <c r="ES108" i="4"/>
  <c r="ES99" i="4"/>
  <c r="KC150" i="4" s="1"/>
  <c r="KC98" i="4"/>
  <c r="EK21" i="7"/>
  <c r="EK23" i="7" s="1"/>
  <c r="EK24" i="7" s="1"/>
  <c r="EK25" i="7" s="1"/>
  <c r="EK35" i="7" s="1"/>
  <c r="EQ110" i="4" s="1"/>
  <c r="EQ111" i="4" s="1"/>
  <c r="EJ21" i="7"/>
  <c r="EJ23" i="7" s="1"/>
  <c r="EJ24" i="7" s="1"/>
  <c r="EJ25" i="7" s="1"/>
  <c r="EJ35" i="7" s="1"/>
  <c r="EP110" i="4" s="1"/>
  <c r="EP111" i="4" s="1"/>
  <c r="ES139" i="4"/>
  <c r="ER51" i="4"/>
  <c r="KB54" i="4"/>
  <c r="EI96" i="9"/>
  <c r="EI97" i="9"/>
  <c r="JW77" i="4"/>
  <c r="JX77" i="4" s="1"/>
  <c r="KC146" i="4"/>
  <c r="KC147" i="4" s="1"/>
  <c r="KC148" i="4" s="1"/>
  <c r="KC149" i="4" s="1"/>
  <c r="KC96" i="4"/>
  <c r="EL33" i="7"/>
  <c r="EM56" i="4"/>
  <c r="EM76" i="4"/>
  <c r="H29" i="9"/>
  <c r="H33" i="9"/>
  <c r="H30" i="9"/>
  <c r="H31" i="9"/>
  <c r="I5" i="9"/>
  <c r="H34" i="9"/>
  <c r="H37" i="9"/>
  <c r="H32" i="9"/>
  <c r="H35" i="9"/>
  <c r="H43" i="9"/>
  <c r="H8" i="9"/>
  <c r="H38" i="9"/>
  <c r="H22" i="9"/>
  <c r="H9" i="9"/>
  <c r="H11" i="9"/>
  <c r="H10" i="9"/>
  <c r="H23" i="9"/>
  <c r="H24" i="9"/>
  <c r="H21" i="9"/>
  <c r="H25" i="9"/>
  <c r="H26" i="9"/>
  <c r="H36" i="9"/>
  <c r="H39" i="9"/>
  <c r="H41" i="9"/>
  <c r="H45" i="9"/>
  <c r="ES38" i="4"/>
  <c r="EM33" i="7"/>
  <c r="ER101" i="4" l="1"/>
  <c r="ER103" i="4" s="1"/>
  <c r="I153" i="4"/>
  <c r="KC99" i="4"/>
  <c r="ES100" i="4" s="1"/>
  <c r="ES101" i="4" s="1"/>
  <c r="ES103" i="4" s="1"/>
  <c r="EO91" i="4"/>
  <c r="EL18" i="7"/>
  <c r="EL20" i="7"/>
  <c r="EL19" i="7"/>
  <c r="EO76" i="4"/>
  <c r="EO56" i="4"/>
  <c r="I35" i="9"/>
  <c r="I29" i="9"/>
  <c r="I31" i="9"/>
  <c r="I32" i="9"/>
  <c r="I30" i="9"/>
  <c r="J5" i="9"/>
  <c r="I34" i="9"/>
  <c r="I37" i="9"/>
  <c r="I43" i="9"/>
  <c r="I33" i="9"/>
  <c r="I8" i="9"/>
  <c r="I21" i="9"/>
  <c r="I24" i="9"/>
  <c r="I23" i="9"/>
  <c r="I10" i="9"/>
  <c r="I26" i="9"/>
  <c r="I25" i="9"/>
  <c r="I38" i="9"/>
  <c r="I36" i="9"/>
  <c r="I39" i="9"/>
  <c r="I41" i="9"/>
  <c r="I9" i="9"/>
  <c r="I11" i="9"/>
  <c r="I22" i="9"/>
  <c r="I45" i="9"/>
  <c r="P38" i="4"/>
  <c r="KC54" i="4"/>
  <c r="EZ54" i="4" s="1"/>
  <c r="ES51" i="4"/>
  <c r="JY77" i="4"/>
  <c r="H6" i="9"/>
  <c r="H4" i="9" s="1"/>
  <c r="EQ113" i="4"/>
  <c r="EQ112" i="4"/>
  <c r="EM18" i="7"/>
  <c r="EM20" i="7"/>
  <c r="EM19" i="7"/>
  <c r="EP112" i="4"/>
  <c r="EP113" i="4"/>
  <c r="I154" i="4" l="1"/>
  <c r="I156" i="4" s="1"/>
  <c r="EQ114" i="4"/>
  <c r="EQ128" i="4" s="1"/>
  <c r="EQ131" i="4" s="1"/>
  <c r="EQ133" i="4" s="1"/>
  <c r="EQ141" i="4" s="1"/>
  <c r="KA61" i="4" s="1"/>
  <c r="J33" i="9"/>
  <c r="J35" i="9"/>
  <c r="J30" i="9"/>
  <c r="J31" i="9"/>
  <c r="J34" i="9"/>
  <c r="J43" i="9"/>
  <c r="K5" i="9"/>
  <c r="J32" i="9"/>
  <c r="J37" i="9"/>
  <c r="J8" i="9"/>
  <c r="J29" i="9"/>
  <c r="J9" i="9"/>
  <c r="J22" i="9"/>
  <c r="J21" i="9"/>
  <c r="J10" i="9"/>
  <c r="J23" i="9"/>
  <c r="J24" i="9"/>
  <c r="J26" i="9"/>
  <c r="J36" i="9"/>
  <c r="J38" i="9"/>
  <c r="J41" i="9"/>
  <c r="J11" i="9"/>
  <c r="J25" i="9"/>
  <c r="J45" i="9"/>
  <c r="J39" i="9"/>
  <c r="EM21" i="7"/>
  <c r="EM23" i="7" s="1"/>
  <c r="EM24" i="7" s="1"/>
  <c r="EM25" i="7" s="1"/>
  <c r="EM35" i="7" s="1"/>
  <c r="ES110" i="4" s="1"/>
  <c r="ES111" i="4" s="1"/>
  <c r="I6" i="9"/>
  <c r="I4" i="9" s="1"/>
  <c r="EP114" i="4"/>
  <c r="EL21" i="7"/>
  <c r="EL23" i="7" s="1"/>
  <c r="EL24" i="7" s="1"/>
  <c r="EL25" i="7" s="1"/>
  <c r="EL35" i="7" s="1"/>
  <c r="ER110" i="4" s="1"/>
  <c r="ER111" i="4" l="1"/>
  <c r="ER112" i="4" s="1"/>
  <c r="I164" i="4" s="1"/>
  <c r="I162" i="4"/>
  <c r="I163" i="4" s="1"/>
  <c r="EQ91" i="4"/>
  <c r="EP91" i="4"/>
  <c r="EP128" i="4"/>
  <c r="EP131" i="4" s="1"/>
  <c r="EP133" i="4" s="1"/>
  <c r="EP141" i="4" s="1"/>
  <c r="JZ61" i="4" s="1"/>
  <c r="K37" i="9"/>
  <c r="K34" i="9"/>
  <c r="K32" i="9"/>
  <c r="K33" i="9"/>
  <c r="L5" i="9"/>
  <c r="K35" i="9"/>
  <c r="K31" i="9"/>
  <c r="K43" i="9"/>
  <c r="K29" i="9"/>
  <c r="K30" i="9"/>
  <c r="K8" i="9"/>
  <c r="K22" i="9"/>
  <c r="K9" i="9"/>
  <c r="K23" i="9"/>
  <c r="K10" i="9"/>
  <c r="K21" i="9"/>
  <c r="K24" i="9"/>
  <c r="K25" i="9"/>
  <c r="K26" i="9"/>
  <c r="K38" i="9"/>
  <c r="K36" i="9"/>
  <c r="K39" i="9"/>
  <c r="K41" i="9"/>
  <c r="K11" i="9"/>
  <c r="K45" i="9"/>
  <c r="J6" i="9"/>
  <c r="J4" i="9" s="1"/>
  <c r="ES112" i="4"/>
  <c r="ES113" i="4"/>
  <c r="EQ76" i="4"/>
  <c r="EQ56" i="4"/>
  <c r="ER113" i="4" l="1"/>
  <c r="I165" i="4" s="1"/>
  <c r="I166" i="4" s="1"/>
  <c r="K6" i="9"/>
  <c r="K4" i="9" s="1"/>
  <c r="ES114" i="4"/>
  <c r="ES91" i="4" s="1"/>
  <c r="L31" i="9"/>
  <c r="L32" i="9"/>
  <c r="L29" i="9"/>
  <c r="L37" i="9"/>
  <c r="L33" i="9"/>
  <c r="L30" i="9"/>
  <c r="L34" i="9"/>
  <c r="L35" i="9"/>
  <c r="M5" i="9"/>
  <c r="L6" i="9" s="1"/>
  <c r="L4" i="9" s="1"/>
  <c r="L8" i="9"/>
  <c r="L43" i="9"/>
  <c r="L23" i="9"/>
  <c r="L10" i="9"/>
  <c r="L24" i="9"/>
  <c r="L21" i="9"/>
  <c r="L25" i="9"/>
  <c r="L36" i="9"/>
  <c r="L39" i="9"/>
  <c r="L26" i="9"/>
  <c r="L41" i="9"/>
  <c r="L11" i="9"/>
  <c r="L45" i="9"/>
  <c r="L38" i="9"/>
  <c r="L9" i="9"/>
  <c r="L22" i="9"/>
  <c r="EP76" i="4"/>
  <c r="EP56" i="4"/>
  <c r="JZ77" i="4"/>
  <c r="KA77" i="4" s="1"/>
  <c r="ER114" i="4" l="1"/>
  <c r="ER128" i="4" s="1"/>
  <c r="ER131" i="4" s="1"/>
  <c r="ER133" i="4" s="1"/>
  <c r="ER141" i="4" s="1"/>
  <c r="KB61" i="4" s="1"/>
  <c r="KB77" i="4" s="1"/>
  <c r="K21" i="1"/>
  <c r="ES128" i="4"/>
  <c r="ES131" i="4" s="1"/>
  <c r="ES133" i="4" s="1"/>
  <c r="ES141" i="4" s="1"/>
  <c r="KC61" i="4" s="1"/>
  <c r="ES76" i="4" s="1"/>
  <c r="M38" i="9"/>
  <c r="M37" i="9"/>
  <c r="M29" i="9"/>
  <c r="M31" i="9"/>
  <c r="M32" i="9"/>
  <c r="N5" i="9"/>
  <c r="M6" i="9" s="1"/>
  <c r="M4" i="9" s="1"/>
  <c r="M9" i="9"/>
  <c r="M35" i="9"/>
  <c r="M33" i="9"/>
  <c r="M34" i="9"/>
  <c r="M30" i="9"/>
  <c r="M22" i="9"/>
  <c r="M43" i="9"/>
  <c r="M8" i="9"/>
  <c r="M11" i="9"/>
  <c r="M23" i="9"/>
  <c r="M25" i="9"/>
  <c r="M21" i="9"/>
  <c r="M24" i="9"/>
  <c r="M10" i="9"/>
  <c r="M39" i="9"/>
  <c r="M36" i="9"/>
  <c r="M45" i="9"/>
  <c r="M41" i="9"/>
  <c r="M26" i="9"/>
  <c r="ER91" i="4" l="1"/>
  <c r="I176" i="4"/>
  <c r="I179" i="4" s="1"/>
  <c r="ER76" i="4"/>
  <c r="I76" i="4" s="1"/>
  <c r="G76" i="4" s="1"/>
  <c r="ER56" i="4"/>
  <c r="ES56" i="4"/>
  <c r="EZ61" i="4"/>
  <c r="EZ74" i="4" s="1"/>
  <c r="FA74" i="4" s="1"/>
  <c r="FB74" i="4" s="1"/>
  <c r="FC74" i="4" s="1"/>
  <c r="FD74" i="4" s="1"/>
  <c r="FE74" i="4" s="1"/>
  <c r="FF74" i="4" s="1"/>
  <c r="FG74" i="4" s="1"/>
  <c r="FH74" i="4" s="1"/>
  <c r="FI74" i="4" s="1"/>
  <c r="FJ74" i="4" s="1"/>
  <c r="FK74" i="4" s="1"/>
  <c r="FL74" i="4" s="1"/>
  <c r="FM74" i="4" s="1"/>
  <c r="FN74" i="4" s="1"/>
  <c r="FO74" i="4" s="1"/>
  <c r="FP74" i="4" s="1"/>
  <c r="FQ74" i="4" s="1"/>
  <c r="FR74" i="4" s="1"/>
  <c r="FS74" i="4" s="1"/>
  <c r="FT74" i="4" s="1"/>
  <c r="FU74" i="4" s="1"/>
  <c r="FV74" i="4" s="1"/>
  <c r="FW74" i="4" s="1"/>
  <c r="FX74" i="4" s="1"/>
  <c r="FY74" i="4" s="1"/>
  <c r="FZ74" i="4" s="1"/>
  <c r="GA74" i="4" s="1"/>
  <c r="GB74" i="4" s="1"/>
  <c r="GC74" i="4" s="1"/>
  <c r="GD74" i="4" s="1"/>
  <c r="GE74" i="4" s="1"/>
  <c r="GF74" i="4" s="1"/>
  <c r="GG74" i="4" s="1"/>
  <c r="GH74" i="4" s="1"/>
  <c r="GI74" i="4" s="1"/>
  <c r="GJ74" i="4" s="1"/>
  <c r="GK74" i="4" s="1"/>
  <c r="GL74" i="4" s="1"/>
  <c r="GM74" i="4" s="1"/>
  <c r="GN74" i="4" s="1"/>
  <c r="GO74" i="4" s="1"/>
  <c r="GP74" i="4" s="1"/>
  <c r="GQ74" i="4" s="1"/>
  <c r="GR74" i="4" s="1"/>
  <c r="GS74" i="4" s="1"/>
  <c r="GT74" i="4" s="1"/>
  <c r="GU74" i="4" s="1"/>
  <c r="GV74" i="4" s="1"/>
  <c r="GW74" i="4" s="1"/>
  <c r="GX74" i="4" s="1"/>
  <c r="GY74" i="4" s="1"/>
  <c r="GZ74" i="4" s="1"/>
  <c r="HA74" i="4" s="1"/>
  <c r="HB74" i="4" s="1"/>
  <c r="HC74" i="4" s="1"/>
  <c r="HD74" i="4" s="1"/>
  <c r="HE74" i="4" s="1"/>
  <c r="HF74" i="4" s="1"/>
  <c r="HG74" i="4" s="1"/>
  <c r="HH74" i="4" s="1"/>
  <c r="HI74" i="4" s="1"/>
  <c r="HJ74" i="4" s="1"/>
  <c r="HK74" i="4" s="1"/>
  <c r="HL74" i="4" s="1"/>
  <c r="HM74" i="4" s="1"/>
  <c r="HN74" i="4" s="1"/>
  <c r="HO74" i="4" s="1"/>
  <c r="HP74" i="4" s="1"/>
  <c r="HQ74" i="4" s="1"/>
  <c r="HR74" i="4" s="1"/>
  <c r="HS74" i="4" s="1"/>
  <c r="HT74" i="4" s="1"/>
  <c r="HU74" i="4" s="1"/>
  <c r="HV74" i="4" s="1"/>
  <c r="HW74" i="4" s="1"/>
  <c r="HX74" i="4" s="1"/>
  <c r="HY74" i="4" s="1"/>
  <c r="HZ74" i="4" s="1"/>
  <c r="IA74" i="4" s="1"/>
  <c r="IB74" i="4" s="1"/>
  <c r="IC74" i="4" s="1"/>
  <c r="ID74" i="4" s="1"/>
  <c r="IE74" i="4" s="1"/>
  <c r="IF74" i="4" s="1"/>
  <c r="IG74" i="4" s="1"/>
  <c r="IH74" i="4" s="1"/>
  <c r="II74" i="4" s="1"/>
  <c r="IJ74" i="4" s="1"/>
  <c r="IK74" i="4" s="1"/>
  <c r="IL74" i="4" s="1"/>
  <c r="IM74" i="4" s="1"/>
  <c r="IN74" i="4" s="1"/>
  <c r="IO74" i="4" s="1"/>
  <c r="IP74" i="4" s="1"/>
  <c r="IQ74" i="4" s="1"/>
  <c r="IR74" i="4" s="1"/>
  <c r="IS74" i="4" s="1"/>
  <c r="IT74" i="4" s="1"/>
  <c r="IU74" i="4" s="1"/>
  <c r="IV74" i="4" s="1"/>
  <c r="IW74" i="4" s="1"/>
  <c r="IX74" i="4" s="1"/>
  <c r="IY74" i="4" s="1"/>
  <c r="IZ74" i="4" s="1"/>
  <c r="JA74" i="4" s="1"/>
  <c r="JB74" i="4" s="1"/>
  <c r="JC74" i="4" s="1"/>
  <c r="JD74" i="4" s="1"/>
  <c r="JE74" i="4" s="1"/>
  <c r="JF74" i="4" s="1"/>
  <c r="JG74" i="4" s="1"/>
  <c r="JH74" i="4" s="1"/>
  <c r="JI74" i="4" s="1"/>
  <c r="JJ74" i="4" s="1"/>
  <c r="JK74" i="4" s="1"/>
  <c r="JL74" i="4" s="1"/>
  <c r="JM74" i="4" s="1"/>
  <c r="JN74" i="4" s="1"/>
  <c r="JO74" i="4" s="1"/>
  <c r="JP74" i="4" s="1"/>
  <c r="JQ74" i="4" s="1"/>
  <c r="JR74" i="4" s="1"/>
  <c r="JS74" i="4" s="1"/>
  <c r="JT74" i="4" s="1"/>
  <c r="JU74" i="4" s="1"/>
  <c r="JV74" i="4" s="1"/>
  <c r="JW74" i="4" s="1"/>
  <c r="JX74" i="4" s="1"/>
  <c r="JY74" i="4" s="1"/>
  <c r="JZ74" i="4" s="1"/>
  <c r="KA74" i="4" s="1"/>
  <c r="KB74" i="4" s="1"/>
  <c r="KC74" i="4" s="1"/>
  <c r="KC77" i="4"/>
  <c r="EX77" i="4" s="1"/>
  <c r="N9" i="9"/>
  <c r="N22" i="9"/>
  <c r="N34" i="9"/>
  <c r="N37" i="9"/>
  <c r="O5" i="9"/>
  <c r="N6" i="9" s="1"/>
  <c r="N4" i="9" s="1"/>
  <c r="N38" i="9"/>
  <c r="N32" i="9"/>
  <c r="N30" i="9"/>
  <c r="N8" i="9"/>
  <c r="N24" i="9"/>
  <c r="N36" i="9"/>
  <c r="N29" i="9"/>
  <c r="N35" i="9"/>
  <c r="N10" i="9"/>
  <c r="N31" i="9"/>
  <c r="N33" i="9"/>
  <c r="N43" i="9"/>
  <c r="N45" i="9"/>
  <c r="N25" i="9"/>
  <c r="N26" i="9"/>
  <c r="N11" i="9"/>
  <c r="N21" i="9"/>
  <c r="N41" i="9"/>
  <c r="N39" i="9"/>
  <c r="N23" i="9"/>
  <c r="K22" i="1" l="1"/>
  <c r="K23" i="1" s="1"/>
  <c r="K25" i="1" s="1"/>
  <c r="I56" i="4"/>
  <c r="P56" i="4" s="1"/>
  <c r="I181" i="4"/>
  <c r="H76" i="4"/>
  <c r="O32" i="9"/>
  <c r="P5" i="9"/>
  <c r="O35" i="9"/>
  <c r="O43" i="9"/>
  <c r="O34" i="9"/>
  <c r="O37" i="9"/>
  <c r="O38" i="9"/>
  <c r="O23" i="9"/>
  <c r="O6" i="9"/>
  <c r="O4" i="9" s="1"/>
  <c r="O9" i="9"/>
  <c r="O22" i="9"/>
  <c r="O30" i="9"/>
  <c r="O8" i="9"/>
  <c r="O41" i="9"/>
  <c r="O11" i="9"/>
  <c r="O31" i="9"/>
  <c r="O29" i="9"/>
  <c r="O33" i="9"/>
  <c r="O36" i="9"/>
  <c r="O10" i="9"/>
  <c r="O26" i="9"/>
  <c r="O45" i="9"/>
  <c r="O21" i="9"/>
  <c r="O24" i="9"/>
  <c r="O25" i="9"/>
  <c r="O39" i="9"/>
  <c r="I193" i="4" l="1"/>
  <c r="I194" i="4" s="1"/>
  <c r="F16" i="11"/>
  <c r="G56" i="4"/>
  <c r="H56" i="4"/>
  <c r="I189" i="4"/>
  <c r="P9" i="9"/>
  <c r="P34" i="9"/>
  <c r="Q5" i="9"/>
  <c r="P6" i="9" s="1"/>
  <c r="P4" i="9" s="1"/>
  <c r="P37" i="9"/>
  <c r="P23" i="9"/>
  <c r="P31" i="9"/>
  <c r="P32" i="9"/>
  <c r="P33" i="9"/>
  <c r="P22" i="9"/>
  <c r="P30" i="9"/>
  <c r="P8" i="9"/>
  <c r="P26" i="9"/>
  <c r="P11" i="9"/>
  <c r="P10" i="9"/>
  <c r="P43" i="9"/>
  <c r="P29" i="9"/>
  <c r="P38" i="9"/>
  <c r="P35" i="9"/>
  <c r="P39" i="9"/>
  <c r="P24" i="9"/>
  <c r="P21" i="9"/>
  <c r="P36" i="9"/>
  <c r="P41" i="9"/>
  <c r="P45" i="9"/>
  <c r="P25" i="9"/>
  <c r="F178" i="4" l="1"/>
  <c r="F17" i="11"/>
  <c r="I195" i="4"/>
  <c r="I196" i="4" s="1"/>
  <c r="K27" i="1"/>
  <c r="K29" i="1" s="1"/>
  <c r="E191" i="4"/>
  <c r="D191" i="4" s="1"/>
  <c r="Q9" i="9"/>
  <c r="Q33" i="9"/>
  <c r="Q35" i="9"/>
  <c r="Q30" i="9"/>
  <c r="Q22" i="9"/>
  <c r="Q37" i="9"/>
  <c r="Q31" i="9"/>
  <c r="R5" i="9"/>
  <c r="Q6" i="9" s="1"/>
  <c r="Q4" i="9" s="1"/>
  <c r="Q32" i="9"/>
  <c r="Q21" i="9"/>
  <c r="Q39" i="9"/>
  <c r="Q36" i="9"/>
  <c r="Q11" i="9"/>
  <c r="Q26" i="9"/>
  <c r="Q43" i="9"/>
  <c r="Q8" i="9"/>
  <c r="Q29" i="9"/>
  <c r="Q38" i="9"/>
  <c r="Q34" i="9"/>
  <c r="Q45" i="9"/>
  <c r="Q23" i="9"/>
  <c r="Q10" i="9"/>
  <c r="Q24" i="9"/>
  <c r="Q25" i="9"/>
  <c r="Q41" i="9"/>
  <c r="E192" i="4" l="1"/>
  <c r="D192" i="4" s="1"/>
  <c r="D193" i="4" s="1"/>
  <c r="R18" i="9"/>
  <c r="R36" i="9"/>
  <c r="R11" i="9"/>
  <c r="R32" i="9"/>
  <c r="R45" i="9"/>
  <c r="R9" i="9"/>
  <c r="R31" i="9"/>
  <c r="R21" i="9"/>
  <c r="R34" i="9"/>
  <c r="R23" i="9"/>
  <c r="R38" i="9"/>
  <c r="R8" i="9"/>
  <c r="R29" i="9"/>
  <c r="R43" i="9"/>
  <c r="R37" i="9"/>
  <c r="R4" i="9"/>
  <c r="R10" i="9"/>
  <c r="R41" i="9"/>
  <c r="R25" i="9"/>
  <c r="R22" i="9"/>
  <c r="R33" i="9"/>
  <c r="R30" i="9"/>
  <c r="R35" i="9"/>
  <c r="R24" i="9"/>
  <c r="R6" i="9"/>
  <c r="R15" i="9"/>
  <c r="R26" i="9"/>
  <c r="R49" i="9"/>
  <c r="R50" i="9"/>
  <c r="R13" i="9"/>
  <c r="R39" i="9"/>
  <c r="R17" i="9"/>
  <c r="E193" i="4" l="1"/>
  <c r="DW209" i="4" s="1"/>
  <c r="DW215" i="4" s="1"/>
  <c r="DM96" i="9" s="1"/>
  <c r="CC209" i="4"/>
  <c r="CC215" i="4" s="1"/>
  <c r="BS96" i="9" s="1"/>
  <c r="DA209" i="4"/>
  <c r="DA215" i="4" s="1"/>
  <c r="CQ96" i="9" s="1"/>
  <c r="BD209" i="4"/>
  <c r="BD215" i="4" s="1"/>
  <c r="AT96" i="9" s="1"/>
  <c r="CO209" i="4"/>
  <c r="CO215" i="4" s="1"/>
  <c r="CE96" i="9" s="1"/>
  <c r="BX209" i="4"/>
  <c r="BX215" i="4" s="1"/>
  <c r="BN96" i="9" s="1"/>
  <c r="BN209" i="4"/>
  <c r="BN215" i="4" s="1"/>
  <c r="BD96" i="9" s="1"/>
  <c r="CW209" i="4"/>
  <c r="CW215" i="4" s="1"/>
  <c r="CM96" i="9" s="1"/>
  <c r="EG209" i="4"/>
  <c r="EG215" i="4" s="1"/>
  <c r="DW96" i="9" s="1"/>
  <c r="CJ209" i="4"/>
  <c r="CJ215" i="4" s="1"/>
  <c r="BZ96" i="9" s="1"/>
  <c r="CX209" i="4"/>
  <c r="CX215" i="4" s="1"/>
  <c r="CN96" i="9" s="1"/>
  <c r="BE209" i="4"/>
  <c r="BE215" i="4" s="1"/>
  <c r="AU96" i="9" s="1"/>
  <c r="EB209" i="4"/>
  <c r="EB215" i="4" s="1"/>
  <c r="DR96" i="9" s="1"/>
  <c r="DG209" i="4"/>
  <c r="DG215" i="4" s="1"/>
  <c r="CW96" i="9" s="1"/>
  <c r="CY209" i="4"/>
  <c r="CY215" i="4" s="1"/>
  <c r="CO96" i="9" s="1"/>
  <c r="DS209" i="4"/>
  <c r="DS215" i="4" s="1"/>
  <c r="DI96" i="9" s="1"/>
  <c r="CR209" i="4"/>
  <c r="CR215" i="4" s="1"/>
  <c r="CH96" i="9" s="1"/>
  <c r="DE209" i="4"/>
  <c r="DE215" i="4" s="1"/>
  <c r="CU96" i="9" s="1"/>
  <c r="BF209" i="4"/>
  <c r="BF215" i="4" s="1"/>
  <c r="AV96" i="9" s="1"/>
  <c r="CU209" i="4"/>
  <c r="CU215" i="4" s="1"/>
  <c r="CK96" i="9" s="1"/>
  <c r="DI209" i="4"/>
  <c r="DI215" i="4" s="1"/>
  <c r="CY96" i="9" s="1"/>
  <c r="DY209" i="4"/>
  <c r="DY215" i="4" s="1"/>
  <c r="DO96" i="9" s="1"/>
  <c r="DF209" i="4"/>
  <c r="DF215" i="4" s="1"/>
  <c r="CV96" i="9" s="1"/>
  <c r="CE209" i="4"/>
  <c r="CE215" i="4" s="1"/>
  <c r="BU96" i="9" s="1"/>
  <c r="CF209" i="4"/>
  <c r="CF215" i="4" s="1"/>
  <c r="BV96" i="9" s="1"/>
  <c r="CH209" i="4"/>
  <c r="CH215" i="4" s="1"/>
  <c r="BX96" i="9" s="1"/>
  <c r="CV209" i="4"/>
  <c r="CV215" i="4" s="1"/>
  <c r="CL96" i="9" s="1"/>
  <c r="ED209" i="4"/>
  <c r="ED215" i="4" s="1"/>
  <c r="DT96" i="9" s="1"/>
  <c r="BK209" i="4"/>
  <c r="BK215" i="4" s="1"/>
  <c r="BA96" i="9" s="1"/>
  <c r="BQ209" i="4"/>
  <c r="BQ215" i="4" s="1"/>
  <c r="BG96" i="9" s="1"/>
  <c r="EE209" i="4"/>
  <c r="EE215" i="4" s="1"/>
  <c r="DU96" i="9" s="1"/>
  <c r="CB209" i="4"/>
  <c r="CB215" i="4" s="1"/>
  <c r="BR96" i="9" s="1"/>
  <c r="BO209" i="4"/>
  <c r="BO215" i="4" s="1"/>
  <c r="BE96" i="9" s="1"/>
  <c r="CA209" i="4"/>
  <c r="CA215" i="4" s="1"/>
  <c r="BQ96" i="9" s="1"/>
  <c r="CG209" i="4"/>
  <c r="CG215" i="4" s="1"/>
  <c r="BW96" i="9" s="1"/>
  <c r="BS209" i="4"/>
  <c r="BS215" i="4" s="1"/>
  <c r="BI96" i="9" s="1"/>
  <c r="EC209" i="4"/>
  <c r="EC215" i="4" s="1"/>
  <c r="DS96" i="9" s="1"/>
  <c r="BR209" i="4"/>
  <c r="BR215" i="4" s="1"/>
  <c r="BH96" i="9" s="1"/>
  <c r="DM209" i="4"/>
  <c r="DM215" i="4" s="1"/>
  <c r="DC96" i="9" s="1"/>
  <c r="CZ209" i="4"/>
  <c r="CZ215" i="4" s="1"/>
  <c r="CP96" i="9" s="1"/>
  <c r="CM209" i="4"/>
  <c r="CM215" i="4" s="1"/>
  <c r="CC96" i="9" s="1"/>
  <c r="BZ209" i="4"/>
  <c r="BZ215" i="4" s="1"/>
  <c r="BP96" i="9" s="1"/>
  <c r="CS209" i="4"/>
  <c r="CS215" i="4" s="1"/>
  <c r="CI96" i="9" s="1"/>
  <c r="CD209" i="4"/>
  <c r="CD215" i="4" s="1"/>
  <c r="BT96" i="9" s="1"/>
  <c r="BY209" i="4"/>
  <c r="BY215" i="4" s="1"/>
  <c r="BO96" i="9" s="1"/>
  <c r="BU209" i="4"/>
  <c r="BU215" i="4" s="1"/>
  <c r="BK96" i="9" s="1"/>
  <c r="DJ209" i="4"/>
  <c r="DJ215" i="4" s="1"/>
  <c r="CZ96" i="9" s="1"/>
  <c r="DK209" i="4"/>
  <c r="DK215" i="4" s="1"/>
  <c r="DA96" i="9" s="1"/>
  <c r="BV209" i="4"/>
  <c r="BV215" i="4" s="1"/>
  <c r="BL96" i="9" s="1"/>
  <c r="DZ209" i="4"/>
  <c r="DZ215" i="4" s="1"/>
  <c r="DP96" i="9" s="1"/>
  <c r="BP209" i="4"/>
  <c r="BP215" i="4" s="1"/>
  <c r="BF96" i="9" s="1"/>
  <c r="CK209" i="4"/>
  <c r="CK215" i="4" s="1"/>
  <c r="CA96" i="9" s="1"/>
  <c r="BI209" i="4"/>
  <c r="BI215" i="4" s="1"/>
  <c r="AY96" i="9" s="1"/>
  <c r="EF209" i="4"/>
  <c r="EF215" i="4" s="1"/>
  <c r="DV96" i="9" s="1"/>
  <c r="CP209" i="4"/>
  <c r="CP215" i="4" s="1"/>
  <c r="CF96" i="9" s="1"/>
  <c r="DC209" i="4"/>
  <c r="DC215" i="4" s="1"/>
  <c r="CS96" i="9" s="1"/>
  <c r="CQ209" i="4"/>
  <c r="CQ215" i="4" s="1"/>
  <c r="CG96" i="9" s="1"/>
  <c r="DD209" i="4"/>
  <c r="DD215" i="4" s="1"/>
  <c r="CT96" i="9" s="1"/>
  <c r="CL209" i="4"/>
  <c r="CL215" i="4" s="1"/>
  <c r="CB96" i="9" s="1"/>
  <c r="BC209" i="4"/>
  <c r="BC215" i="4" s="1"/>
  <c r="AS96" i="9" s="1"/>
  <c r="BG209" i="4"/>
  <c r="BG215" i="4" s="1"/>
  <c r="AW96" i="9" s="1"/>
  <c r="DH209" i="4"/>
  <c r="DH215" i="4" s="1"/>
  <c r="CX96" i="9" s="1"/>
  <c r="CI209" i="4"/>
  <c r="CI215" i="4" s="1"/>
  <c r="BY96" i="9" s="1"/>
  <c r="EA209" i="4"/>
  <c r="EA215" i="4" s="1"/>
  <c r="DQ96" i="9" s="1"/>
  <c r="DN209" i="4"/>
  <c r="DN215" i="4" s="1"/>
  <c r="DD96" i="9" s="1"/>
  <c r="BJ209" i="4"/>
  <c r="BJ215" i="4" s="1"/>
  <c r="AZ96" i="9" s="1"/>
  <c r="DR209" i="4"/>
  <c r="DR215" i="4" s="1"/>
  <c r="DH96" i="9" s="1"/>
  <c r="DO209" i="4"/>
  <c r="DO215" i="4" s="1"/>
  <c r="DE96" i="9" s="1"/>
  <c r="CN209" i="4"/>
  <c r="CN215" i="4" s="1"/>
  <c r="CD96" i="9" s="1"/>
  <c r="DT209" i="4"/>
  <c r="DT215" i="4" s="1"/>
  <c r="DJ96" i="9" s="1"/>
  <c r="DU209" i="4"/>
  <c r="DU215" i="4" s="1"/>
  <c r="DK96" i="9" s="1"/>
  <c r="DQ209" i="4"/>
  <c r="DQ215" i="4" s="1"/>
  <c r="DG96" i="9" s="1"/>
  <c r="DV209" i="4"/>
  <c r="DV215" i="4" s="1"/>
  <c r="DL96" i="9" s="1"/>
  <c r="DB209" i="4"/>
  <c r="DB215" i="4" s="1"/>
  <c r="CR96" i="9" s="1"/>
  <c r="DX209" i="4"/>
  <c r="DX215" i="4" s="1"/>
  <c r="DN96" i="9" s="1"/>
  <c r="CT209" i="4"/>
  <c r="CT215" i="4" s="1"/>
  <c r="CJ96" i="9" s="1"/>
  <c r="BH209" i="4"/>
  <c r="BH215" i="4" s="1"/>
  <c r="AX96" i="9" s="1"/>
  <c r="BM209" i="4"/>
  <c r="BM215" i="4" s="1"/>
  <c r="BC96" i="9" s="1"/>
  <c r="BB209" i="4"/>
  <c r="BB215" i="4" s="1"/>
  <c r="AR96" i="9" s="1"/>
  <c r="DL209" i="4"/>
  <c r="DL215" i="4" s="1"/>
  <c r="DB96" i="9" s="1"/>
  <c r="DP209" i="4"/>
  <c r="DP215" i="4" s="1"/>
  <c r="DF96" i="9" s="1"/>
  <c r="BW209" i="4"/>
  <c r="BW215" i="4" s="1"/>
  <c r="BM96" i="9" s="1"/>
  <c r="BL209" i="4"/>
  <c r="BL215" i="4" s="1"/>
  <c r="BB96" i="9" s="1"/>
  <c r="BT209" i="4"/>
  <c r="BT215" i="4" s="1"/>
  <c r="BJ96" i="9" s="1"/>
  <c r="EL55" i="4"/>
  <c r="EP55" i="4"/>
  <c r="EN55" i="4"/>
  <c r="DK55" i="4"/>
  <c r="DN55" i="4"/>
  <c r="EQ55" i="4"/>
  <c r="DG55" i="4"/>
  <c r="CK55" i="4"/>
  <c r="DM55" i="4"/>
  <c r="CD55" i="4"/>
  <c r="DA55" i="4"/>
  <c r="EB55" i="4"/>
  <c r="CW55" i="4"/>
  <c r="DJ55" i="4"/>
  <c r="DW55" i="4"/>
  <c r="CT55" i="4"/>
  <c r="EI55" i="4"/>
  <c r="CG55" i="4"/>
  <c r="DR55" i="4"/>
  <c r="CB55" i="4"/>
  <c r="AL55" i="4"/>
  <c r="EH55" i="4"/>
  <c r="DB55" i="4"/>
  <c r="DY55" i="4"/>
  <c r="DD55" i="4"/>
  <c r="CP55" i="4"/>
  <c r="CV55" i="4"/>
  <c r="DV55" i="4"/>
  <c r="CF55" i="4"/>
  <c r="BI55" i="4"/>
  <c r="CN55" i="4"/>
  <c r="CM55" i="4"/>
  <c r="EA55" i="4"/>
  <c r="ED55" i="4"/>
  <c r="DE55" i="4"/>
  <c r="CX55" i="4"/>
  <c r="DX55" i="4"/>
  <c r="EO55" i="4"/>
  <c r="ER55" i="4"/>
  <c r="BZ55" i="4"/>
  <c r="R55" i="4"/>
  <c r="AJ55" i="4"/>
  <c r="ES55" i="4"/>
  <c r="CU55" i="4"/>
  <c r="CH55" i="4"/>
  <c r="DF55" i="4"/>
  <c r="AP55" i="4"/>
  <c r="EM55" i="4"/>
  <c r="DP55" i="4"/>
  <c r="DL55" i="4"/>
  <c r="EE55" i="4"/>
  <c r="AM55" i="4"/>
  <c r="V55" i="4"/>
  <c r="CA55" i="4"/>
  <c r="DQ55" i="4"/>
  <c r="CL55" i="4"/>
  <c r="DO55" i="4"/>
  <c r="AR55" i="4"/>
  <c r="CO55" i="4"/>
  <c r="DH55" i="4"/>
  <c r="CS55" i="4"/>
  <c r="DT55" i="4"/>
  <c r="EF55" i="4"/>
  <c r="BJ55" i="4"/>
  <c r="AV55" i="4"/>
  <c r="BG55" i="4"/>
  <c r="EG55" i="4"/>
  <c r="AQ55" i="4"/>
  <c r="BP55" i="4"/>
  <c r="DI55" i="4"/>
  <c r="CJ55" i="4"/>
  <c r="H55" i="4"/>
  <c r="G55" i="4"/>
  <c r="BS55" i="4"/>
  <c r="AT55" i="4"/>
  <c r="AZ55" i="4"/>
  <c r="CY55" i="4"/>
  <c r="AO55" i="4"/>
  <c r="BT55" i="4"/>
  <c r="CZ55" i="4"/>
  <c r="BM55" i="4"/>
  <c r="AU55" i="4"/>
  <c r="AK55" i="4"/>
  <c r="CR55" i="4"/>
  <c r="U55" i="4"/>
  <c r="DZ55" i="4"/>
  <c r="CI55" i="4"/>
  <c r="W55" i="4"/>
  <c r="AH55" i="4"/>
  <c r="BD55" i="4"/>
  <c r="AA55" i="4"/>
  <c r="T55" i="4"/>
  <c r="AY55" i="4"/>
  <c r="CQ55" i="4"/>
  <c r="AC55" i="4"/>
  <c r="DU55" i="4"/>
  <c r="Y55" i="4"/>
  <c r="BA55" i="4"/>
  <c r="EC55" i="4"/>
  <c r="EK55" i="4"/>
  <c r="BK55" i="4"/>
  <c r="Z55" i="4"/>
  <c r="BQ55" i="4"/>
  <c r="DS55" i="4"/>
  <c r="EJ55" i="4"/>
  <c r="BN55" i="4"/>
  <c r="AF55" i="4"/>
  <c r="BV55" i="4"/>
  <c r="DC55" i="4"/>
  <c r="BE55" i="4"/>
  <c r="BB55" i="4"/>
  <c r="BW55" i="4"/>
  <c r="BF55" i="4"/>
  <c r="AB55" i="4"/>
  <c r="AW55" i="4"/>
  <c r="AI55" i="4"/>
  <c r="AD55" i="4"/>
  <c r="AE55" i="4"/>
  <c r="BY55" i="4"/>
  <c r="S55" i="4"/>
  <c r="AX55" i="4"/>
  <c r="BR55" i="4"/>
  <c r="AG55" i="4"/>
  <c r="BL55" i="4"/>
  <c r="AN55" i="4"/>
  <c r="CC55" i="4"/>
  <c r="BU55" i="4"/>
  <c r="BO55" i="4"/>
  <c r="CE55" i="4"/>
  <c r="BC55" i="4"/>
  <c r="AS55" i="4"/>
  <c r="BH55" i="4"/>
  <c r="BX55" i="4"/>
  <c r="Q55" i="4"/>
  <c r="X55" i="4"/>
  <c r="Q209" i="4" l="1"/>
  <c r="Q215" i="4" s="1"/>
  <c r="G96" i="9" s="1"/>
  <c r="G49" i="9" s="1"/>
  <c r="F25" i="1"/>
  <c r="BA209" i="4"/>
  <c r="BA215" i="4" s="1"/>
  <c r="AQ96" i="9" s="1"/>
  <c r="AM209" i="4"/>
  <c r="AM215" i="4" s="1"/>
  <c r="AC96" i="9" s="1"/>
  <c r="AS209" i="4"/>
  <c r="AS215" i="4" s="1"/>
  <c r="AI96" i="9" s="1"/>
  <c r="X209" i="4"/>
  <c r="X215" i="4" s="1"/>
  <c r="N96" i="9" s="1"/>
  <c r="AY209" i="4"/>
  <c r="AY215" i="4" s="1"/>
  <c r="AO96" i="9" s="1"/>
  <c r="AZ209" i="4"/>
  <c r="AZ215" i="4" s="1"/>
  <c r="AP96" i="9" s="1"/>
  <c r="AX209" i="4"/>
  <c r="AX215" i="4" s="1"/>
  <c r="AN96" i="9" s="1"/>
  <c r="AD209" i="4"/>
  <c r="AD215" i="4" s="1"/>
  <c r="T96" i="9" s="1"/>
  <c r="AQ209" i="4"/>
  <c r="AQ215" i="4" s="1"/>
  <c r="AG96" i="9" s="1"/>
  <c r="S209" i="4"/>
  <c r="S215" i="4" s="1"/>
  <c r="I96" i="9" s="1"/>
  <c r="AO209" i="4"/>
  <c r="AO215" i="4" s="1"/>
  <c r="AE96" i="9" s="1"/>
  <c r="R209" i="4"/>
  <c r="R215" i="4" s="1"/>
  <c r="H96" i="9" s="1"/>
  <c r="AV209" i="4"/>
  <c r="AV215" i="4" s="1"/>
  <c r="AL96" i="9" s="1"/>
  <c r="Y209" i="4"/>
  <c r="Y215" i="4" s="1"/>
  <c r="O96" i="9" s="1"/>
  <c r="AR209" i="4"/>
  <c r="AR215" i="4" s="1"/>
  <c r="AH96" i="9" s="1"/>
  <c r="AE209" i="4"/>
  <c r="AE215" i="4" s="1"/>
  <c r="U96" i="9" s="1"/>
  <c r="AJ209" i="4"/>
  <c r="AJ215" i="4" s="1"/>
  <c r="Z96" i="9" s="1"/>
  <c r="AP209" i="4"/>
  <c r="AP215" i="4" s="1"/>
  <c r="AF96" i="9" s="1"/>
  <c r="AG209" i="4"/>
  <c r="AG215" i="4" s="1"/>
  <c r="W96" i="9" s="1"/>
  <c r="W209" i="4"/>
  <c r="W215" i="4" s="1"/>
  <c r="M96" i="9" s="1"/>
  <c r="AC209" i="4"/>
  <c r="AC215" i="4" s="1"/>
  <c r="S96" i="9" s="1"/>
  <c r="U209" i="4"/>
  <c r="U215" i="4" s="1"/>
  <c r="K96" i="9" s="1"/>
  <c r="AH209" i="4"/>
  <c r="AH215" i="4" s="1"/>
  <c r="X96" i="9" s="1"/>
  <c r="V209" i="4"/>
  <c r="V215" i="4" s="1"/>
  <c r="L96" i="9" s="1"/>
  <c r="AN209" i="4"/>
  <c r="AN215" i="4" s="1"/>
  <c r="AD96" i="9" s="1"/>
  <c r="AF209" i="4"/>
  <c r="AF215" i="4" s="1"/>
  <c r="V96" i="9" s="1"/>
  <c r="AB209" i="4"/>
  <c r="AB215" i="4" s="1"/>
  <c r="R96" i="9" s="1"/>
  <c r="AI209" i="4"/>
  <c r="AI215" i="4" s="1"/>
  <c r="Y96" i="9" s="1"/>
  <c r="Z209" i="4"/>
  <c r="Z215" i="4" s="1"/>
  <c r="P96" i="9" s="1"/>
  <c r="AU209" i="4"/>
  <c r="AU215" i="4" s="1"/>
  <c r="AK96" i="9" s="1"/>
  <c r="AK209" i="4"/>
  <c r="AK215" i="4" s="1"/>
  <c r="AA96" i="9" s="1"/>
  <c r="AT209" i="4"/>
  <c r="AT215" i="4" s="1"/>
  <c r="AJ96" i="9" s="1"/>
  <c r="T209" i="4"/>
  <c r="T215" i="4" s="1"/>
  <c r="J96" i="9" s="1"/>
  <c r="AW209" i="4"/>
  <c r="AW215" i="4" s="1"/>
  <c r="AM96" i="9" s="1"/>
  <c r="AL209" i="4"/>
  <c r="AL215" i="4" s="1"/>
  <c r="AB96" i="9" s="1"/>
  <c r="AA209" i="4"/>
  <c r="AA215" i="4" s="1"/>
  <c r="Q96" i="9" s="1"/>
  <c r="M49" i="9"/>
  <c r="O49" i="9"/>
  <c r="N49" i="9"/>
  <c r="Q49" i="9"/>
  <c r="P49" i="9"/>
  <c r="L49" i="9"/>
  <c r="K49" i="9"/>
  <c r="P55" i="4"/>
  <c r="FA55" i="4"/>
  <c r="FA58" i="4"/>
  <c r="Q57" i="4"/>
  <c r="J49" i="9" l="1"/>
  <c r="H49" i="9"/>
  <c r="I49" i="9"/>
  <c r="G215" i="4"/>
  <c r="I209" i="4"/>
  <c r="I215" i="4"/>
  <c r="N25" i="1" s="1"/>
  <c r="G60" i="9"/>
  <c r="Q59" i="4"/>
  <c r="FA71" i="4"/>
  <c r="Q71" i="4"/>
  <c r="O25" i="1" l="1"/>
  <c r="G64" i="9"/>
  <c r="G17" i="9" s="1"/>
  <c r="H215" i="4"/>
  <c r="P25" i="1" s="1"/>
  <c r="FA56" i="4"/>
  <c r="FB58" i="4"/>
  <c r="G13" i="9"/>
  <c r="G62" i="9"/>
  <c r="G15" i="9" s="1"/>
  <c r="R71" i="4" l="1"/>
  <c r="FB71" i="4"/>
  <c r="FC58" i="4" l="1"/>
  <c r="S71" i="4" l="1"/>
  <c r="FC71" i="4"/>
  <c r="FD58" i="4" l="1"/>
  <c r="T71" i="4" l="1"/>
  <c r="FD71" i="4"/>
  <c r="FE58" i="4" l="1"/>
  <c r="U71" i="4" l="1"/>
  <c r="FE71" i="4"/>
  <c r="FF58" i="4" l="1"/>
  <c r="V71" i="4" l="1"/>
  <c r="FF71" i="4"/>
  <c r="FG58" i="4" l="1"/>
  <c r="W71" i="4" l="1"/>
  <c r="FG71" i="4"/>
  <c r="FH58" i="4" l="1"/>
  <c r="X71" i="4" l="1"/>
  <c r="FH71" i="4"/>
  <c r="FI58" i="4" l="1"/>
  <c r="Y71" i="4" l="1"/>
  <c r="FI71" i="4"/>
  <c r="FJ58" i="4" l="1"/>
  <c r="FJ71" i="4" s="1"/>
  <c r="FK58" i="4" l="1"/>
  <c r="Z71" i="4"/>
  <c r="AA71" i="4" l="1"/>
  <c r="FK71" i="4"/>
  <c r="FL58" i="4" l="1"/>
  <c r="FL71" i="4" s="1"/>
  <c r="FM58" i="4" l="1"/>
  <c r="FM71" i="4" s="1"/>
  <c r="AB71" i="4"/>
  <c r="FN58" i="4" l="1"/>
  <c r="AC71" i="4"/>
  <c r="AD71" i="4" l="1"/>
  <c r="FN71" i="4"/>
  <c r="FO58" i="4" l="1"/>
  <c r="AE71" i="4" l="1"/>
  <c r="FO71" i="4"/>
  <c r="FP58" i="4" l="1"/>
  <c r="FP71" i="4" s="1"/>
  <c r="FQ58" i="4" l="1"/>
  <c r="AF71" i="4"/>
  <c r="AG71" i="4" l="1"/>
  <c r="FQ71" i="4"/>
  <c r="FR58" i="4" l="1"/>
  <c r="AH71" i="4" l="1"/>
  <c r="FR71" i="4"/>
  <c r="FS58" i="4" l="1"/>
  <c r="AI71" i="4" l="1"/>
  <c r="FS71" i="4"/>
  <c r="FT58" i="4" l="1"/>
  <c r="AJ71" i="4" l="1"/>
  <c r="FT71" i="4"/>
  <c r="FU58" i="4" l="1"/>
  <c r="AK71" i="4" l="1"/>
  <c r="FU71" i="4"/>
  <c r="FV58" i="4" l="1"/>
  <c r="AL71" i="4" l="1"/>
  <c r="FV71" i="4"/>
  <c r="FW58" i="4" l="1"/>
  <c r="AM71" i="4" l="1"/>
  <c r="FW71" i="4"/>
  <c r="FX58" i="4" l="1"/>
  <c r="AN71" i="4" l="1"/>
  <c r="FX71" i="4"/>
  <c r="FY58" i="4" l="1"/>
  <c r="AO71" i="4" l="1"/>
  <c r="FY71" i="4"/>
  <c r="FZ58" i="4" l="1"/>
  <c r="AP71" i="4" l="1"/>
  <c r="FZ71" i="4"/>
  <c r="GA58" i="4" l="1"/>
  <c r="AQ71" i="4" l="1"/>
  <c r="GA71" i="4"/>
  <c r="GB58" i="4" l="1"/>
  <c r="AR71" i="4" l="1"/>
  <c r="GB71" i="4"/>
  <c r="GC58" i="4" l="1"/>
  <c r="AS71" i="4" l="1"/>
  <c r="GC71" i="4"/>
  <c r="GD58" i="4" l="1"/>
  <c r="AT71" i="4" l="1"/>
  <c r="GD71" i="4"/>
  <c r="GE58" i="4" l="1"/>
  <c r="AU71" i="4" l="1"/>
  <c r="GE71" i="4"/>
  <c r="GF58" i="4" l="1"/>
  <c r="AV71" i="4" l="1"/>
  <c r="GF71" i="4"/>
  <c r="GG58" i="4" l="1"/>
  <c r="AW71" i="4" l="1"/>
  <c r="GG71" i="4"/>
  <c r="GH58" i="4" l="1"/>
  <c r="AX71" i="4" l="1"/>
  <c r="GH71" i="4"/>
  <c r="GI58" i="4" l="1"/>
  <c r="AY71" i="4" l="1"/>
  <c r="GI71" i="4"/>
  <c r="GJ58" i="4" l="1"/>
  <c r="AZ71" i="4" l="1"/>
  <c r="GJ71" i="4"/>
  <c r="GK58" i="4" l="1"/>
  <c r="BA71" i="4" l="1"/>
  <c r="GK71" i="4"/>
  <c r="GL58" i="4" l="1"/>
  <c r="BB71" i="4" l="1"/>
  <c r="GL71" i="4"/>
  <c r="GM58" i="4" l="1"/>
  <c r="BC71" i="4" l="1"/>
  <c r="GM71" i="4"/>
  <c r="GN58" i="4" l="1"/>
  <c r="BD71" i="4" l="1"/>
  <c r="GN71" i="4"/>
  <c r="GO58" i="4" l="1"/>
  <c r="BE71" i="4" l="1"/>
  <c r="GO71" i="4"/>
  <c r="GP58" i="4" l="1"/>
  <c r="GP71" i="4" s="1"/>
  <c r="GQ58" i="4" l="1"/>
  <c r="BF71" i="4"/>
  <c r="BG71" i="4" l="1"/>
  <c r="GQ71" i="4"/>
  <c r="GR58" i="4" l="1"/>
  <c r="BH71" i="4" l="1"/>
  <c r="GR71" i="4"/>
  <c r="GS58" i="4" l="1"/>
  <c r="BI71" i="4" l="1"/>
  <c r="GS71" i="4"/>
  <c r="GT58" i="4" l="1"/>
  <c r="BJ71" i="4" l="1"/>
  <c r="GT71" i="4"/>
  <c r="GU58" i="4" l="1"/>
  <c r="BK71" i="4" l="1"/>
  <c r="GU71" i="4"/>
  <c r="GV58" i="4" l="1"/>
  <c r="BL71" i="4" l="1"/>
  <c r="GV71" i="4"/>
  <c r="GW58" i="4" l="1"/>
  <c r="BM71" i="4" l="1"/>
  <c r="GW71" i="4"/>
  <c r="GX58" i="4" l="1"/>
  <c r="BN71" i="4" l="1"/>
  <c r="GX71" i="4"/>
  <c r="GY58" i="4" l="1"/>
  <c r="BO71" i="4" l="1"/>
  <c r="GY71" i="4"/>
  <c r="GZ58" i="4" l="1"/>
  <c r="BP71" i="4" l="1"/>
  <c r="GZ71" i="4"/>
  <c r="HA58" i="4" l="1"/>
  <c r="BQ71" i="4" l="1"/>
  <c r="HA71" i="4"/>
  <c r="HB58" i="4" l="1"/>
  <c r="BR71" i="4" l="1"/>
  <c r="HB71" i="4"/>
  <c r="HC58" i="4" l="1"/>
  <c r="BS71" i="4" l="1"/>
  <c r="HC71" i="4"/>
  <c r="HD58" i="4" l="1"/>
  <c r="BT71" i="4" l="1"/>
  <c r="HD71" i="4"/>
  <c r="HE58" i="4" l="1"/>
  <c r="BU71" i="4" l="1"/>
  <c r="HE71" i="4"/>
  <c r="HF58" i="4" l="1"/>
  <c r="BV71" i="4" l="1"/>
  <c r="HF71" i="4"/>
  <c r="HG58" i="4" l="1"/>
  <c r="BW71" i="4" l="1"/>
  <c r="HG71" i="4"/>
  <c r="HH58" i="4" l="1"/>
  <c r="BX71" i="4" l="1"/>
  <c r="HH71" i="4"/>
  <c r="HI58" i="4" l="1"/>
  <c r="BY71" i="4" l="1"/>
  <c r="HI71" i="4"/>
  <c r="HJ58" i="4" l="1"/>
  <c r="BZ71" i="4" l="1"/>
  <c r="HJ71" i="4"/>
  <c r="HK58" i="4" l="1"/>
  <c r="CA71" i="4" l="1"/>
  <c r="HK71" i="4"/>
  <c r="HL58" i="4" l="1"/>
  <c r="CB71" i="4" l="1"/>
  <c r="HL71" i="4"/>
  <c r="HM58" i="4" l="1"/>
  <c r="CC71" i="4" l="1"/>
  <c r="HM71" i="4"/>
  <c r="HN58" i="4" l="1"/>
  <c r="CD71" i="4" l="1"/>
  <c r="HN71" i="4"/>
  <c r="HO58" i="4" l="1"/>
  <c r="CE71" i="4" l="1"/>
  <c r="HO71" i="4"/>
  <c r="HP58" i="4" l="1"/>
  <c r="CF71" i="4" l="1"/>
  <c r="HP71" i="4"/>
  <c r="HQ58" i="4" l="1"/>
  <c r="CG71" i="4" l="1"/>
  <c r="HQ71" i="4"/>
  <c r="HR58" i="4" l="1"/>
  <c r="CH71" i="4" l="1"/>
  <c r="HR71" i="4"/>
  <c r="HS58" i="4" l="1"/>
  <c r="CI71" i="4" l="1"/>
  <c r="HS71" i="4"/>
  <c r="HT58" i="4" l="1"/>
  <c r="CJ71" i="4" l="1"/>
  <c r="HT71" i="4"/>
  <c r="HU58" i="4" l="1"/>
  <c r="CK71" i="4" l="1"/>
  <c r="HU71" i="4"/>
  <c r="HV58" i="4" l="1"/>
  <c r="CL71" i="4" l="1"/>
  <c r="HV71" i="4"/>
  <c r="HW58" i="4" l="1"/>
  <c r="CM71" i="4" l="1"/>
  <c r="HW71" i="4"/>
  <c r="HX58" i="4" l="1"/>
  <c r="CN71" i="4" l="1"/>
  <c r="HX71" i="4"/>
  <c r="HY58" i="4" l="1"/>
  <c r="CO71" i="4" l="1"/>
  <c r="HY71" i="4"/>
  <c r="HZ58" i="4" l="1"/>
  <c r="CP71" i="4" l="1"/>
  <c r="HZ71" i="4"/>
  <c r="IA58" i="4" l="1"/>
  <c r="CQ71" i="4" l="1"/>
  <c r="IA71" i="4"/>
  <c r="IB58" i="4" l="1"/>
  <c r="CR71" i="4" l="1"/>
  <c r="IB71" i="4"/>
  <c r="IC58" i="4" l="1"/>
  <c r="CS71" i="4" l="1"/>
  <c r="IC71" i="4"/>
  <c r="ID58" i="4" l="1"/>
  <c r="CT71" i="4" l="1"/>
  <c r="ID71" i="4"/>
  <c r="IE58" i="4" l="1"/>
  <c r="CU71" i="4" l="1"/>
  <c r="IE71" i="4"/>
  <c r="IF58" i="4" l="1"/>
  <c r="CV71" i="4" l="1"/>
  <c r="IF71" i="4"/>
  <c r="IG58" i="4" l="1"/>
  <c r="CW71" i="4" l="1"/>
  <c r="IG71" i="4"/>
  <c r="IH58" i="4" l="1"/>
  <c r="CX71" i="4" l="1"/>
  <c r="IH71" i="4"/>
  <c r="II58" i="4" l="1"/>
  <c r="CY71" i="4" l="1"/>
  <c r="II71" i="4"/>
  <c r="IJ58" i="4" l="1"/>
  <c r="CZ71" i="4" l="1"/>
  <c r="IJ71" i="4"/>
  <c r="IK58" i="4" l="1"/>
  <c r="DA71" i="4" l="1"/>
  <c r="IK71" i="4"/>
  <c r="IL58" i="4" l="1"/>
  <c r="DB71" i="4" l="1"/>
  <c r="IL71" i="4"/>
  <c r="IM58" i="4" l="1"/>
  <c r="DC71" i="4" l="1"/>
  <c r="IM71" i="4"/>
  <c r="IN58" i="4" l="1"/>
  <c r="IN71" i="4" s="1"/>
  <c r="IO58" i="4" l="1"/>
  <c r="DD71" i="4"/>
  <c r="DE71" i="4" l="1"/>
  <c r="IO71" i="4"/>
  <c r="IP58" i="4" l="1"/>
  <c r="DF71" i="4" l="1"/>
  <c r="IP71" i="4"/>
  <c r="IQ58" i="4" l="1"/>
  <c r="DG71" i="4" l="1"/>
  <c r="IQ71" i="4"/>
  <c r="IR58" i="4" l="1"/>
  <c r="DH71" i="4" l="1"/>
  <c r="IR71" i="4"/>
  <c r="IS58" i="4" l="1"/>
  <c r="DI71" i="4" l="1"/>
  <c r="IS71" i="4"/>
  <c r="IT58" i="4" l="1"/>
  <c r="DJ71" i="4" l="1"/>
  <c r="IT71" i="4"/>
  <c r="IU58" i="4" l="1"/>
  <c r="DK71" i="4" l="1"/>
  <c r="IU71" i="4"/>
  <c r="IV58" i="4" l="1"/>
  <c r="DL71" i="4" l="1"/>
  <c r="IV71" i="4"/>
  <c r="IW58" i="4" l="1"/>
  <c r="DM71" i="4" l="1"/>
  <c r="IW71" i="4"/>
  <c r="IX58" i="4" l="1"/>
  <c r="DN71" i="4" l="1"/>
  <c r="IX71" i="4"/>
  <c r="IY58" i="4" l="1"/>
  <c r="DO71" i="4" l="1"/>
  <c r="IY71" i="4"/>
  <c r="IZ58" i="4" l="1"/>
  <c r="DP71" i="4" l="1"/>
  <c r="IZ71" i="4"/>
  <c r="JA58" i="4" l="1"/>
  <c r="DQ71" i="4" l="1"/>
  <c r="JA71" i="4"/>
  <c r="JB58" i="4" l="1"/>
  <c r="DR71" i="4" l="1"/>
  <c r="JB71" i="4"/>
  <c r="JC58" i="4" l="1"/>
  <c r="DS71" i="4" l="1"/>
  <c r="JC71" i="4"/>
  <c r="JD58" i="4" l="1"/>
  <c r="DT71" i="4" l="1"/>
  <c r="JD71" i="4"/>
  <c r="JE58" i="4" l="1"/>
  <c r="DU71" i="4" l="1"/>
  <c r="JE71" i="4"/>
  <c r="JF58" i="4" l="1"/>
  <c r="DV71" i="4" l="1"/>
  <c r="JF71" i="4"/>
  <c r="JG58" i="4" l="1"/>
  <c r="DW71" i="4" l="1"/>
  <c r="JG71" i="4"/>
  <c r="JH58" i="4" l="1"/>
  <c r="DX71" i="4" l="1"/>
  <c r="JH71" i="4"/>
  <c r="JI58" i="4" l="1"/>
  <c r="DY71" i="4" l="1"/>
  <c r="JI71" i="4"/>
  <c r="JJ58" i="4" l="1"/>
  <c r="DZ71" i="4" l="1"/>
  <c r="JJ71" i="4"/>
  <c r="JK58" i="4" l="1"/>
  <c r="EA71" i="4" l="1"/>
  <c r="JK71" i="4"/>
  <c r="JL58" i="4" l="1"/>
  <c r="EB71" i="4" l="1"/>
  <c r="JL71" i="4"/>
  <c r="JM58" i="4" l="1"/>
  <c r="EC71" i="4" l="1"/>
  <c r="JM71" i="4"/>
  <c r="JN58" i="4" l="1"/>
  <c r="ED71" i="4" l="1"/>
  <c r="JN71" i="4"/>
  <c r="JO58" i="4" l="1"/>
  <c r="EE71" i="4" l="1"/>
  <c r="JO71" i="4"/>
  <c r="JP58" i="4" l="1"/>
  <c r="EF71" i="4" l="1"/>
  <c r="JP71" i="4"/>
  <c r="JQ58" i="4" l="1"/>
  <c r="EG71" i="4" l="1"/>
  <c r="JQ71" i="4"/>
  <c r="JR58" i="4" l="1"/>
  <c r="EH71" i="4" l="1"/>
  <c r="JR71" i="4"/>
  <c r="JS58" i="4" l="1"/>
  <c r="EI71" i="4" l="1"/>
  <c r="JS71" i="4"/>
  <c r="JT58" i="4" l="1"/>
  <c r="EJ71" i="4" l="1"/>
  <c r="JT71" i="4"/>
  <c r="JU58" i="4" l="1"/>
  <c r="EK71" i="4" l="1"/>
  <c r="JU71" i="4"/>
  <c r="JV58" i="4" l="1"/>
  <c r="EL71" i="4" l="1"/>
  <c r="JV71" i="4"/>
  <c r="JW58" i="4" l="1"/>
  <c r="EM71" i="4" l="1"/>
  <c r="JW71" i="4"/>
  <c r="JX58" i="4" l="1"/>
  <c r="EN71" i="4" l="1"/>
  <c r="JX71" i="4"/>
  <c r="JY58" i="4" l="1"/>
  <c r="EO71" i="4" l="1"/>
  <c r="JY71" i="4"/>
  <c r="JZ58" i="4" l="1"/>
  <c r="EP71" i="4" l="1"/>
  <c r="JZ71" i="4"/>
  <c r="KA58" i="4" l="1"/>
  <c r="EQ71" i="4" l="1"/>
  <c r="KA71" i="4"/>
  <c r="KB58" i="4" l="1"/>
  <c r="ER71" i="4" l="1"/>
  <c r="KB71" i="4"/>
  <c r="KC58" i="4" l="1"/>
  <c r="ES71" i="4" l="1"/>
  <c r="I71" i="4" s="1"/>
  <c r="EZ58" i="4"/>
  <c r="KC71" i="4"/>
  <c r="EZ72" i="4" l="1"/>
  <c r="G71" i="4"/>
  <c r="H71" i="4"/>
  <c r="F34" i="1"/>
  <c r="E34" i="1" l="1"/>
  <c r="EZ59" i="4"/>
  <c r="FA59" i="4"/>
  <c r="Q74" i="4" l="1"/>
  <c r="FA75" i="4"/>
  <c r="FA62" i="4"/>
  <c r="FA72" i="4"/>
  <c r="FA79" i="4" l="1"/>
  <c r="Q77" i="4"/>
  <c r="FB59" i="4"/>
  <c r="R74" i="4" l="1"/>
  <c r="FB75" i="4"/>
  <c r="FB72" i="4"/>
  <c r="Q203" i="4"/>
  <c r="Q79" i="4"/>
  <c r="G65" i="9" s="1"/>
  <c r="G18" i="9" s="1"/>
  <c r="FC59" i="4" l="1"/>
  <c r="FC75" i="4" s="1"/>
  <c r="FB79" i="4"/>
  <c r="FC79" i="4" l="1"/>
  <c r="S74" i="4"/>
  <c r="FC72" i="4"/>
  <c r="FD59" i="4" l="1"/>
  <c r="FD72" i="4" s="1"/>
  <c r="FE59" i="4" l="1"/>
  <c r="T74" i="4"/>
  <c r="FD75" i="4"/>
  <c r="U74" i="4" l="1"/>
  <c r="FD79" i="4"/>
  <c r="FE75" i="4"/>
  <c r="FE72" i="4"/>
  <c r="FF59" i="4" l="1"/>
  <c r="FF75" i="4" s="1"/>
  <c r="FE79" i="4"/>
  <c r="FF79" i="4" l="1"/>
  <c r="V74" i="4"/>
  <c r="FF72" i="4"/>
  <c r="FG59" i="4" l="1"/>
  <c r="W74" i="4" l="1"/>
  <c r="FG75" i="4"/>
  <c r="FG72" i="4"/>
  <c r="FH59" i="4" l="1"/>
  <c r="FH75" i="4" s="1"/>
  <c r="FG79" i="4"/>
  <c r="FH79" i="4" l="1"/>
  <c r="X74" i="4"/>
  <c r="FH72" i="4"/>
  <c r="FI59" i="4" l="1"/>
  <c r="Y74" i="4" l="1"/>
  <c r="FI75" i="4"/>
  <c r="FI72" i="4"/>
  <c r="FJ59" i="4" l="1"/>
  <c r="FJ75" i="4" s="1"/>
  <c r="FI79" i="4"/>
  <c r="FJ79" i="4" l="1"/>
  <c r="Z74" i="4"/>
  <c r="FJ72" i="4"/>
  <c r="FK59" i="4" l="1"/>
  <c r="AA74" i="4" l="1"/>
  <c r="FK75" i="4"/>
  <c r="FK72" i="4"/>
  <c r="FL59" i="4" l="1"/>
  <c r="FL75" i="4" s="1"/>
  <c r="FK79" i="4"/>
  <c r="FL79" i="4" l="1"/>
  <c r="AB74" i="4"/>
  <c r="FL72" i="4"/>
  <c r="FM59" i="4" l="1"/>
  <c r="AC74" i="4" l="1"/>
  <c r="FM75" i="4"/>
  <c r="FM72" i="4"/>
  <c r="FN59" i="4" l="1"/>
  <c r="FN75" i="4" s="1"/>
  <c r="FM79" i="4"/>
  <c r="FN79" i="4" l="1"/>
  <c r="AD74" i="4"/>
  <c r="FN72" i="4"/>
  <c r="FO59" i="4" l="1"/>
  <c r="AE74" i="4" l="1"/>
  <c r="FO75" i="4"/>
  <c r="FO72" i="4"/>
  <c r="FP59" i="4" l="1"/>
  <c r="FP75" i="4" s="1"/>
  <c r="FO79" i="4"/>
  <c r="FP79" i="4" l="1"/>
  <c r="AF74" i="4"/>
  <c r="FP72" i="4"/>
  <c r="FQ59" i="4" l="1"/>
  <c r="AG74" i="4" l="1"/>
  <c r="FQ75" i="4"/>
  <c r="FQ72" i="4"/>
  <c r="FR59" i="4" l="1"/>
  <c r="FR75" i="4" s="1"/>
  <c r="FQ79" i="4"/>
  <c r="FR79" i="4" l="1"/>
  <c r="AH74" i="4"/>
  <c r="FR72" i="4"/>
  <c r="FS59" i="4" l="1"/>
  <c r="AI74" i="4" l="1"/>
  <c r="FS75" i="4"/>
  <c r="FS72" i="4"/>
  <c r="FT59" i="4" l="1"/>
  <c r="FT75" i="4" s="1"/>
  <c r="FS79" i="4"/>
  <c r="FT79" i="4" l="1"/>
  <c r="AJ74" i="4"/>
  <c r="FT72" i="4"/>
  <c r="FU59" i="4" l="1"/>
  <c r="AK74" i="4" l="1"/>
  <c r="FU75" i="4"/>
  <c r="FU72" i="4"/>
  <c r="FV59" i="4" l="1"/>
  <c r="FV75" i="4" s="1"/>
  <c r="FU79" i="4"/>
  <c r="FV79" i="4" l="1"/>
  <c r="AL74" i="4"/>
  <c r="FV72" i="4"/>
  <c r="FW59" i="4" l="1"/>
  <c r="AM74" i="4" l="1"/>
  <c r="FW75" i="4"/>
  <c r="FW72" i="4"/>
  <c r="FX59" i="4" l="1"/>
  <c r="FX75" i="4" s="1"/>
  <c r="FW79" i="4"/>
  <c r="FX79" i="4" l="1"/>
  <c r="AN74" i="4"/>
  <c r="FX72" i="4"/>
  <c r="FY59" i="4" l="1"/>
  <c r="AO74" i="4" l="1"/>
  <c r="FY75" i="4"/>
  <c r="FY72" i="4"/>
  <c r="FZ59" i="4" l="1"/>
  <c r="FZ75" i="4" s="1"/>
  <c r="FY79" i="4"/>
  <c r="FZ79" i="4" l="1"/>
  <c r="AP74" i="4"/>
  <c r="FZ72" i="4"/>
  <c r="GA59" i="4" l="1"/>
  <c r="AQ74" i="4" l="1"/>
  <c r="GA75" i="4"/>
  <c r="GA72" i="4"/>
  <c r="GB59" i="4" l="1"/>
  <c r="GB75" i="4" s="1"/>
  <c r="GA79" i="4"/>
  <c r="GB79" i="4" l="1"/>
  <c r="AR74" i="4"/>
  <c r="GB72" i="4"/>
  <c r="GC59" i="4" l="1"/>
  <c r="AS74" i="4" l="1"/>
  <c r="GC75" i="4"/>
  <c r="GC72" i="4"/>
  <c r="GD59" i="4" l="1"/>
  <c r="GD75" i="4" s="1"/>
  <c r="GC79" i="4"/>
  <c r="GD79" i="4" l="1"/>
  <c r="AT74" i="4"/>
  <c r="GD72" i="4"/>
  <c r="GE59" i="4" l="1"/>
  <c r="AU74" i="4" l="1"/>
  <c r="GE75" i="4"/>
  <c r="GE72" i="4"/>
  <c r="GF59" i="4" l="1"/>
  <c r="GF75" i="4" s="1"/>
  <c r="GE79" i="4"/>
  <c r="GF79" i="4" l="1"/>
  <c r="AV74" i="4"/>
  <c r="GF72" i="4"/>
  <c r="GG59" i="4" l="1"/>
  <c r="AW74" i="4" l="1"/>
  <c r="GG75" i="4"/>
  <c r="GG72" i="4"/>
  <c r="GH59" i="4" l="1"/>
  <c r="GH75" i="4" s="1"/>
  <c r="GG79" i="4"/>
  <c r="GH79" i="4" l="1"/>
  <c r="AX74" i="4"/>
  <c r="GH72" i="4"/>
  <c r="GI59" i="4" l="1"/>
  <c r="AY74" i="4" l="1"/>
  <c r="GI75" i="4"/>
  <c r="GI72" i="4"/>
  <c r="GJ59" i="4" l="1"/>
  <c r="GJ75" i="4" s="1"/>
  <c r="GI79" i="4"/>
  <c r="GJ79" i="4" l="1"/>
  <c r="AZ74" i="4"/>
  <c r="GJ72" i="4"/>
  <c r="GK59" i="4" l="1"/>
  <c r="BA74" i="4" l="1"/>
  <c r="GK75" i="4"/>
  <c r="GK72" i="4"/>
  <c r="GL59" i="4" l="1"/>
  <c r="GL75" i="4" s="1"/>
  <c r="GK79" i="4"/>
  <c r="GL79" i="4" l="1"/>
  <c r="BB74" i="4"/>
  <c r="GL72" i="4"/>
  <c r="GM59" i="4" l="1"/>
  <c r="BC74" i="4" l="1"/>
  <c r="GM75" i="4"/>
  <c r="GM72" i="4"/>
  <c r="GN59" i="4" l="1"/>
  <c r="GN75" i="4" s="1"/>
  <c r="GM79" i="4"/>
  <c r="GN79" i="4" l="1"/>
  <c r="BD74" i="4"/>
  <c r="GN72" i="4"/>
  <c r="GO59" i="4" l="1"/>
  <c r="BE74" i="4" l="1"/>
  <c r="GO75" i="4"/>
  <c r="GO72" i="4"/>
  <c r="GP59" i="4" l="1"/>
  <c r="GP75" i="4" s="1"/>
  <c r="GO79" i="4"/>
  <c r="GP79" i="4" l="1"/>
  <c r="BF74" i="4"/>
  <c r="GP72" i="4"/>
  <c r="GQ59" i="4" l="1"/>
  <c r="BG74" i="4" l="1"/>
  <c r="GQ75" i="4"/>
  <c r="GQ72" i="4"/>
  <c r="GR59" i="4" l="1"/>
  <c r="GR75" i="4" s="1"/>
  <c r="GQ79" i="4"/>
  <c r="BH74" i="4" l="1"/>
  <c r="GR79" i="4"/>
  <c r="GR72" i="4"/>
  <c r="GS59" i="4" l="1"/>
  <c r="BI74" i="4" l="1"/>
  <c r="GS75" i="4"/>
  <c r="GS72" i="4"/>
  <c r="GS79" i="4" l="1"/>
  <c r="GT59" i="4"/>
  <c r="BJ74" i="4" l="1"/>
  <c r="GT72" i="4"/>
  <c r="GT75" i="4"/>
  <c r="GT79" i="4" l="1"/>
  <c r="GU59" i="4"/>
  <c r="GU72" i="4" s="1"/>
  <c r="GV59" i="4" l="1"/>
  <c r="BK74" i="4"/>
  <c r="GU75" i="4"/>
  <c r="GU79" i="4" l="1"/>
  <c r="GV75" i="4"/>
  <c r="BL74" i="4"/>
  <c r="GV72" i="4"/>
  <c r="GW59" i="4" l="1"/>
  <c r="GW75" i="4" s="1"/>
  <c r="GV79" i="4"/>
  <c r="GW79" i="4" l="1"/>
  <c r="BM74" i="4"/>
  <c r="GW72" i="4"/>
  <c r="GX59" i="4" l="1"/>
  <c r="BN74" i="4" l="1"/>
  <c r="GX75" i="4"/>
  <c r="GX72" i="4"/>
  <c r="GY59" i="4" l="1"/>
  <c r="GY75" i="4" s="1"/>
  <c r="GX79" i="4"/>
  <c r="GY79" i="4" l="1"/>
  <c r="BO74" i="4"/>
  <c r="GY72" i="4"/>
  <c r="GZ59" i="4" l="1"/>
  <c r="BP74" i="4" l="1"/>
  <c r="GZ75" i="4"/>
  <c r="GZ72" i="4"/>
  <c r="HA59" i="4" l="1"/>
  <c r="HA75" i="4" s="1"/>
  <c r="GZ79" i="4"/>
  <c r="HA79" i="4" l="1"/>
  <c r="BQ74" i="4"/>
  <c r="HA72" i="4"/>
  <c r="HB59" i="4" l="1"/>
  <c r="BR74" i="4" l="1"/>
  <c r="HB75" i="4"/>
  <c r="HB72" i="4"/>
  <c r="HC59" i="4" l="1"/>
  <c r="HC75" i="4" s="1"/>
  <c r="HB79" i="4"/>
  <c r="HC79" i="4" l="1"/>
  <c r="BS74" i="4"/>
  <c r="HC72" i="4"/>
  <c r="HD59" i="4" l="1"/>
  <c r="BT74" i="4" l="1"/>
  <c r="HD75" i="4"/>
  <c r="HD72" i="4"/>
  <c r="HE59" i="4" l="1"/>
  <c r="HE75" i="4" s="1"/>
  <c r="HD79" i="4"/>
  <c r="HE79" i="4" l="1"/>
  <c r="BU74" i="4"/>
  <c r="HE72" i="4"/>
  <c r="HF59" i="4" l="1"/>
  <c r="BV74" i="4" l="1"/>
  <c r="HF75" i="4"/>
  <c r="HF72" i="4"/>
  <c r="HG59" i="4" l="1"/>
  <c r="HG75" i="4" s="1"/>
  <c r="HF79" i="4"/>
  <c r="HG79" i="4" l="1"/>
  <c r="BW74" i="4"/>
  <c r="HG72" i="4"/>
  <c r="HH59" i="4" l="1"/>
  <c r="BX74" i="4" l="1"/>
  <c r="HH75" i="4"/>
  <c r="HH72" i="4"/>
  <c r="HI59" i="4" l="1"/>
  <c r="HI75" i="4" s="1"/>
  <c r="HH79" i="4"/>
  <c r="HI79" i="4" l="1"/>
  <c r="BY74" i="4"/>
  <c r="HI72" i="4"/>
  <c r="HJ59" i="4" l="1"/>
  <c r="BZ74" i="4" l="1"/>
  <c r="HJ75" i="4"/>
  <c r="HJ72" i="4"/>
  <c r="HK59" i="4" l="1"/>
  <c r="HK75" i="4" s="1"/>
  <c r="HJ79" i="4"/>
  <c r="HK79" i="4" l="1"/>
  <c r="CA74" i="4"/>
  <c r="HK72" i="4"/>
  <c r="HL59" i="4" l="1"/>
  <c r="CB74" i="4" l="1"/>
  <c r="HL75" i="4"/>
  <c r="HL72" i="4"/>
  <c r="HL79" i="4" l="1"/>
  <c r="HM59" i="4"/>
  <c r="CC74" i="4" l="1"/>
  <c r="HM72" i="4"/>
  <c r="HM75" i="4"/>
  <c r="HM79" i="4" l="1"/>
  <c r="HN59" i="4"/>
  <c r="CD74" i="4" l="1"/>
  <c r="HN75" i="4"/>
  <c r="HN72" i="4"/>
  <c r="HO59" i="4" l="1"/>
  <c r="HO75" i="4" s="1"/>
  <c r="HN79" i="4"/>
  <c r="HO79" i="4" l="1"/>
  <c r="CE74" i="4"/>
  <c r="HO72" i="4"/>
  <c r="HP59" i="4" l="1"/>
  <c r="CF74" i="4" l="1"/>
  <c r="HP75" i="4"/>
  <c r="HP72" i="4"/>
  <c r="HQ59" i="4" l="1"/>
  <c r="HQ75" i="4" s="1"/>
  <c r="HP79" i="4"/>
  <c r="HQ79" i="4" l="1"/>
  <c r="CG74" i="4"/>
  <c r="HQ72" i="4"/>
  <c r="HR59" i="4" l="1"/>
  <c r="CH74" i="4" l="1"/>
  <c r="HR75" i="4"/>
  <c r="HR72" i="4"/>
  <c r="HS59" i="4" l="1"/>
  <c r="HS75" i="4" s="1"/>
  <c r="HR79" i="4"/>
  <c r="HS79" i="4" l="1"/>
  <c r="CI74" i="4"/>
  <c r="HS72" i="4"/>
  <c r="HT59" i="4" l="1"/>
  <c r="CJ74" i="4" l="1"/>
  <c r="HT75" i="4"/>
  <c r="HT72" i="4"/>
  <c r="HU59" i="4" l="1"/>
  <c r="HU75" i="4" s="1"/>
  <c r="HT79" i="4"/>
  <c r="HU79" i="4" l="1"/>
  <c r="CK74" i="4"/>
  <c r="HU72" i="4"/>
  <c r="HV59" i="4" l="1"/>
  <c r="CL74" i="4" l="1"/>
  <c r="HV75" i="4"/>
  <c r="HV72" i="4"/>
  <c r="HW59" i="4" l="1"/>
  <c r="HW75" i="4" s="1"/>
  <c r="HV79" i="4"/>
  <c r="HW79" i="4" l="1"/>
  <c r="CM74" i="4"/>
  <c r="HW72" i="4"/>
  <c r="HX59" i="4" l="1"/>
  <c r="CN74" i="4" l="1"/>
  <c r="HX75" i="4"/>
  <c r="HX72" i="4"/>
  <c r="HY59" i="4" l="1"/>
  <c r="HY75" i="4" s="1"/>
  <c r="HX79" i="4"/>
  <c r="HY79" i="4" l="1"/>
  <c r="CO74" i="4"/>
  <c r="HY72" i="4"/>
  <c r="HZ59" i="4" l="1"/>
  <c r="CP74" i="4" l="1"/>
  <c r="HZ75" i="4"/>
  <c r="HZ72" i="4"/>
  <c r="IA59" i="4" l="1"/>
  <c r="IA75" i="4" s="1"/>
  <c r="HZ79" i="4"/>
  <c r="IA79" i="4" l="1"/>
  <c r="CQ74" i="4"/>
  <c r="IA72" i="4"/>
  <c r="IB59" i="4" l="1"/>
  <c r="CR74" i="4" l="1"/>
  <c r="IB75" i="4"/>
  <c r="IB72" i="4"/>
  <c r="IC59" i="4" l="1"/>
  <c r="IC75" i="4" s="1"/>
  <c r="IB79" i="4"/>
  <c r="IC79" i="4" l="1"/>
  <c r="CS74" i="4"/>
  <c r="IC72" i="4"/>
  <c r="ID59" i="4" l="1"/>
  <c r="CT74" i="4" l="1"/>
  <c r="ID75" i="4"/>
  <c r="ID72" i="4"/>
  <c r="IE59" i="4" l="1"/>
  <c r="IE75" i="4" s="1"/>
  <c r="ID79" i="4"/>
  <c r="CU74" i="4" l="1"/>
  <c r="IE79" i="4"/>
  <c r="IE72" i="4"/>
  <c r="IF59" i="4" l="1"/>
  <c r="CV74" i="4" l="1"/>
  <c r="IF75" i="4"/>
  <c r="IF72" i="4"/>
  <c r="IG59" i="4" l="1"/>
  <c r="IG75" i="4" s="1"/>
  <c r="IF79" i="4"/>
  <c r="IG79" i="4" l="1"/>
  <c r="CW74" i="4"/>
  <c r="IG72" i="4"/>
  <c r="IH59" i="4" l="1"/>
  <c r="CX74" i="4" l="1"/>
  <c r="IH75" i="4"/>
  <c r="IH72" i="4"/>
  <c r="II59" i="4" l="1"/>
  <c r="II75" i="4" s="1"/>
  <c r="IH79" i="4"/>
  <c r="II79" i="4" l="1"/>
  <c r="CY74" i="4"/>
  <c r="II72" i="4"/>
  <c r="IJ59" i="4" l="1"/>
  <c r="CZ74" i="4" l="1"/>
  <c r="IJ75" i="4"/>
  <c r="IJ72" i="4"/>
  <c r="IK59" i="4" l="1"/>
  <c r="IK75" i="4" s="1"/>
  <c r="IJ79" i="4"/>
  <c r="IK79" i="4" l="1"/>
  <c r="DA74" i="4"/>
  <c r="IK72" i="4"/>
  <c r="IL59" i="4" l="1"/>
  <c r="DB74" i="4" l="1"/>
  <c r="IL75" i="4"/>
  <c r="IL72" i="4"/>
  <c r="IM59" i="4" l="1"/>
  <c r="IM75" i="4" s="1"/>
  <c r="IL79" i="4"/>
  <c r="IM79" i="4" l="1"/>
  <c r="DC74" i="4"/>
  <c r="IM72" i="4"/>
  <c r="IN59" i="4" l="1"/>
  <c r="DD74" i="4" l="1"/>
  <c r="IN75" i="4"/>
  <c r="IN72" i="4"/>
  <c r="IO59" i="4" l="1"/>
  <c r="IO75" i="4" s="1"/>
  <c r="IN79" i="4"/>
  <c r="IO79" i="4" l="1"/>
  <c r="DE74" i="4"/>
  <c r="IO72" i="4"/>
  <c r="IP59" i="4" l="1"/>
  <c r="IP72" i="4" s="1"/>
  <c r="DF74" i="4" l="1"/>
  <c r="IP75" i="4"/>
  <c r="IQ59" i="4"/>
  <c r="DG74" i="4" l="1"/>
  <c r="IQ72" i="4"/>
  <c r="IP79" i="4"/>
  <c r="IQ75" i="4"/>
  <c r="IQ79" i="4" l="1"/>
  <c r="IR59" i="4"/>
  <c r="IR75" i="4" s="1"/>
  <c r="DH74" i="4" l="1"/>
  <c r="IR72" i="4"/>
  <c r="IR79" i="4"/>
  <c r="IS59" i="4" l="1"/>
  <c r="DI74" i="4" l="1"/>
  <c r="IS75" i="4"/>
  <c r="IS72" i="4"/>
  <c r="IS79" i="4" l="1"/>
  <c r="IT59" i="4"/>
  <c r="IT72" i="4" s="1"/>
  <c r="IU59" i="4" l="1"/>
  <c r="DJ74" i="4"/>
  <c r="IT75" i="4"/>
  <c r="IT79" i="4" l="1"/>
  <c r="IU75" i="4"/>
  <c r="DK74" i="4"/>
  <c r="IU72" i="4"/>
  <c r="IV59" i="4" l="1"/>
  <c r="IV75" i="4" s="1"/>
  <c r="IU79" i="4"/>
  <c r="IV79" i="4" l="1"/>
  <c r="DL74" i="4"/>
  <c r="IV72" i="4"/>
  <c r="IW59" i="4" l="1"/>
  <c r="DM74" i="4" l="1"/>
  <c r="IW75" i="4"/>
  <c r="IW72" i="4"/>
  <c r="IW79" i="4" l="1"/>
  <c r="IX59" i="4"/>
  <c r="DN74" i="4" l="1"/>
  <c r="IX72" i="4"/>
  <c r="IX75" i="4"/>
  <c r="IX79" i="4" l="1"/>
  <c r="IY59" i="4"/>
  <c r="DO74" i="4" l="1"/>
  <c r="IY72" i="4"/>
  <c r="IY75" i="4"/>
  <c r="IY79" i="4" l="1"/>
  <c r="IZ59" i="4"/>
  <c r="DP74" i="4" l="1"/>
  <c r="IZ72" i="4"/>
  <c r="IZ75" i="4"/>
  <c r="IZ79" i="4" l="1"/>
  <c r="JA59" i="4"/>
  <c r="JA72" i="4" s="1"/>
  <c r="JB59" i="4" l="1"/>
  <c r="DQ74" i="4"/>
  <c r="JA75" i="4"/>
  <c r="JB75" i="4" l="1"/>
  <c r="JA79" i="4"/>
  <c r="DR74" i="4"/>
  <c r="JB72" i="4"/>
  <c r="JC59" i="4" l="1"/>
  <c r="JC75" i="4" s="1"/>
  <c r="JB79" i="4"/>
  <c r="JC79" i="4" l="1"/>
  <c r="DS74" i="4"/>
  <c r="JC72" i="4"/>
  <c r="JD59" i="4" l="1"/>
  <c r="DT74" i="4" l="1"/>
  <c r="JD75" i="4"/>
  <c r="JD72" i="4"/>
  <c r="JD79" i="4" l="1"/>
  <c r="JE59" i="4"/>
  <c r="DU74" i="4" l="1"/>
  <c r="JE72" i="4"/>
  <c r="JE75" i="4"/>
  <c r="JE79" i="4" l="1"/>
  <c r="JF59" i="4"/>
  <c r="DV74" i="4" l="1"/>
  <c r="JF72" i="4"/>
  <c r="JF75" i="4"/>
  <c r="JF79" i="4" l="1"/>
  <c r="JG59" i="4"/>
  <c r="DW74" i="4" l="1"/>
  <c r="JG72" i="4"/>
  <c r="JG75" i="4"/>
  <c r="JG79" i="4" l="1"/>
  <c r="JH59" i="4"/>
  <c r="DX74" i="4" l="1"/>
  <c r="JH75" i="4"/>
  <c r="JH72" i="4"/>
  <c r="JI59" i="4" l="1"/>
  <c r="JI75" i="4" s="1"/>
  <c r="JH79" i="4"/>
  <c r="JI79" i="4" l="1"/>
  <c r="DY74" i="4"/>
  <c r="JI72" i="4"/>
  <c r="JJ59" i="4" l="1"/>
  <c r="DZ74" i="4" l="1"/>
  <c r="JJ75" i="4"/>
  <c r="JJ72" i="4"/>
  <c r="JK59" i="4" l="1"/>
  <c r="JK75" i="4" s="1"/>
  <c r="JJ79" i="4"/>
  <c r="JK79" i="4" l="1"/>
  <c r="EA74" i="4"/>
  <c r="JK72" i="4"/>
  <c r="JL59" i="4" l="1"/>
  <c r="EB74" i="4" l="1"/>
  <c r="JL75" i="4"/>
  <c r="JL72" i="4"/>
  <c r="JM59" i="4" l="1"/>
  <c r="JM75" i="4" s="1"/>
  <c r="JL79" i="4"/>
  <c r="JM79" i="4" l="1"/>
  <c r="EC74" i="4"/>
  <c r="JM72" i="4"/>
  <c r="JN59" i="4" l="1"/>
  <c r="ED74" i="4" l="1"/>
  <c r="JN75" i="4"/>
  <c r="JN72" i="4"/>
  <c r="JO59" i="4" l="1"/>
  <c r="JO75" i="4" s="1"/>
  <c r="JN79" i="4"/>
  <c r="JO79" i="4" l="1"/>
  <c r="EE74" i="4"/>
  <c r="JO72" i="4"/>
  <c r="JP59" i="4" l="1"/>
  <c r="EF74" i="4" l="1"/>
  <c r="JP75" i="4"/>
  <c r="JP72" i="4"/>
  <c r="JQ59" i="4" l="1"/>
  <c r="JQ75" i="4" s="1"/>
  <c r="JP79" i="4"/>
  <c r="JQ79" i="4" l="1"/>
  <c r="EG74" i="4"/>
  <c r="JQ72" i="4"/>
  <c r="JR59" i="4" l="1"/>
  <c r="EH74" i="4" l="1"/>
  <c r="JR75" i="4"/>
  <c r="JR72" i="4"/>
  <c r="JS59" i="4" l="1"/>
  <c r="JS75" i="4" s="1"/>
  <c r="JR79" i="4"/>
  <c r="JS79" i="4" l="1"/>
  <c r="EI74" i="4"/>
  <c r="JS72" i="4"/>
  <c r="JT59" i="4" l="1"/>
  <c r="EJ74" i="4" l="1"/>
  <c r="JT75" i="4"/>
  <c r="JT72" i="4"/>
  <c r="JU59" i="4" l="1"/>
  <c r="JU75" i="4" s="1"/>
  <c r="JT79" i="4"/>
  <c r="JU79" i="4" l="1"/>
  <c r="EK74" i="4"/>
  <c r="JU72" i="4"/>
  <c r="JV59" i="4" l="1"/>
  <c r="JV72" i="4" s="1"/>
  <c r="EL74" i="4" l="1"/>
  <c r="JV75" i="4"/>
  <c r="JW59" i="4"/>
  <c r="EM74" i="4" l="1"/>
  <c r="JW72" i="4"/>
  <c r="JV79" i="4"/>
  <c r="JW75" i="4"/>
  <c r="JW79" i="4" l="1"/>
  <c r="JX59" i="4"/>
  <c r="JX75" i="4" s="1"/>
  <c r="EN74" i="4" l="1"/>
  <c r="JX72" i="4"/>
  <c r="JX79" i="4"/>
  <c r="JY59" i="4" l="1"/>
  <c r="EO74" i="4" l="1"/>
  <c r="JY75" i="4"/>
  <c r="JY72" i="4"/>
  <c r="JZ59" i="4" l="1"/>
  <c r="JZ75" i="4" s="1"/>
  <c r="JY79" i="4"/>
  <c r="JZ79" i="4" l="1"/>
  <c r="EP74" i="4"/>
  <c r="JZ72" i="4"/>
  <c r="KA59" i="4" l="1"/>
  <c r="EQ74" i="4" l="1"/>
  <c r="KA75" i="4"/>
  <c r="KA72" i="4"/>
  <c r="KB59" i="4" l="1"/>
  <c r="KB75" i="4" s="1"/>
  <c r="KA79" i="4"/>
  <c r="KB79" i="4" l="1"/>
  <c r="ER74" i="4"/>
  <c r="KB72" i="4"/>
  <c r="KC59" i="4" l="1"/>
  <c r="ES74" i="4" l="1"/>
  <c r="KC75" i="4"/>
  <c r="KC72" i="4"/>
  <c r="KC79" i="4" l="1"/>
  <c r="EV79" i="4" s="1"/>
  <c r="EX75" i="4"/>
  <c r="I74" i="4"/>
  <c r="EZ81" i="4" l="1"/>
  <c r="G74" i="4"/>
  <c r="H74" i="4"/>
  <c r="EZ82" i="4"/>
  <c r="EZ84" i="4" l="1"/>
  <c r="FA81" i="4"/>
  <c r="FB81" i="4"/>
  <c r="FC81" i="4"/>
  <c r="FD81" i="4"/>
  <c r="FE81" i="4"/>
  <c r="FF81" i="4"/>
  <c r="FG81" i="4"/>
  <c r="FH81" i="4"/>
  <c r="FI81" i="4"/>
  <c r="FJ81" i="4"/>
  <c r="FK81" i="4"/>
  <c r="FL81" i="4"/>
  <c r="FM81" i="4"/>
  <c r="FN81" i="4"/>
  <c r="FO81" i="4"/>
  <c r="FP81" i="4"/>
  <c r="FQ81" i="4"/>
  <c r="FR81" i="4"/>
  <c r="FS81" i="4"/>
  <c r="FT81" i="4"/>
  <c r="FU81" i="4"/>
  <c r="FV81" i="4"/>
  <c r="FW81" i="4"/>
  <c r="FX81" i="4"/>
  <c r="FY81" i="4"/>
  <c r="FZ81" i="4"/>
  <c r="GA81" i="4"/>
  <c r="GB81" i="4"/>
  <c r="GC81" i="4"/>
  <c r="GD81" i="4"/>
  <c r="GE81" i="4"/>
  <c r="GF81" i="4"/>
  <c r="GG81" i="4"/>
  <c r="GH81" i="4"/>
  <c r="GI81" i="4"/>
  <c r="GJ81" i="4"/>
  <c r="GK81" i="4"/>
  <c r="GL81" i="4"/>
  <c r="GM81" i="4"/>
  <c r="GN81" i="4"/>
  <c r="GO81" i="4"/>
  <c r="GP81" i="4"/>
  <c r="GQ81" i="4"/>
  <c r="GR81" i="4"/>
  <c r="GS81" i="4"/>
  <c r="GT81" i="4"/>
  <c r="GU81" i="4"/>
  <c r="GV81" i="4"/>
  <c r="GW81" i="4"/>
  <c r="GX81" i="4"/>
  <c r="GY81" i="4"/>
  <c r="GZ81" i="4"/>
  <c r="HA81" i="4"/>
  <c r="HB81" i="4"/>
  <c r="HC81" i="4"/>
  <c r="HD81" i="4"/>
  <c r="HE81" i="4"/>
  <c r="HF81" i="4"/>
  <c r="HG81" i="4"/>
  <c r="HH81" i="4"/>
  <c r="HI81" i="4"/>
  <c r="HJ81" i="4"/>
  <c r="HK81" i="4"/>
  <c r="HL81" i="4"/>
  <c r="HM81" i="4"/>
  <c r="HN81" i="4"/>
  <c r="HO81" i="4"/>
  <c r="HP81" i="4"/>
  <c r="HQ81" i="4"/>
  <c r="HR81" i="4"/>
  <c r="HS81" i="4"/>
  <c r="HT81" i="4"/>
  <c r="HU81" i="4"/>
  <c r="HV81" i="4"/>
  <c r="HW81" i="4"/>
  <c r="HX81" i="4"/>
  <c r="HY81" i="4"/>
  <c r="HZ81" i="4"/>
  <c r="IA81" i="4"/>
  <c r="IB81" i="4"/>
  <c r="IC81" i="4"/>
  <c r="ID81" i="4"/>
  <c r="IE81" i="4"/>
  <c r="IF81" i="4"/>
  <c r="IG81" i="4"/>
  <c r="IH81" i="4"/>
  <c r="II81" i="4"/>
  <c r="IJ81" i="4"/>
  <c r="IK81" i="4"/>
  <c r="IL81" i="4"/>
  <c r="IM81" i="4"/>
  <c r="IN81" i="4"/>
  <c r="IO81" i="4"/>
  <c r="IP81" i="4"/>
  <c r="IQ81" i="4"/>
  <c r="IR81" i="4"/>
  <c r="IS81" i="4"/>
  <c r="IT81" i="4"/>
  <c r="IU81" i="4"/>
  <c r="IV81" i="4"/>
  <c r="IW81" i="4"/>
  <c r="IX81" i="4"/>
  <c r="IY81" i="4"/>
  <c r="IZ81" i="4"/>
  <c r="JA81" i="4"/>
  <c r="JB81" i="4"/>
  <c r="JC81" i="4"/>
  <c r="JD81" i="4"/>
  <c r="JE81" i="4"/>
  <c r="JF81" i="4"/>
  <c r="JG81" i="4"/>
  <c r="JH81" i="4"/>
  <c r="JI81" i="4"/>
  <c r="JJ81" i="4"/>
  <c r="JK81" i="4"/>
  <c r="JL81" i="4"/>
  <c r="JM81" i="4"/>
  <c r="JN81" i="4"/>
  <c r="JO81" i="4"/>
  <c r="JP81" i="4"/>
  <c r="JQ81" i="4"/>
  <c r="JR81" i="4"/>
  <c r="JS81" i="4"/>
  <c r="JT81" i="4"/>
  <c r="JU81" i="4"/>
  <c r="JV81" i="4"/>
  <c r="JW81" i="4"/>
  <c r="JX81" i="4"/>
  <c r="JY81" i="4"/>
  <c r="JZ81" i="4"/>
  <c r="KA81" i="4"/>
  <c r="KB81" i="4"/>
  <c r="KC81" i="4"/>
  <c r="HK83" i="4" l="1"/>
  <c r="HK82" i="4"/>
  <c r="HK84" i="4" s="1"/>
  <c r="HG83" i="4"/>
  <c r="HG82" i="4"/>
  <c r="HG84" i="4" s="1"/>
  <c r="IG83" i="4"/>
  <c r="IG82" i="4"/>
  <c r="IG68" i="4" s="1"/>
  <c r="IY83" i="4"/>
  <c r="IY82" i="4"/>
  <c r="IY68" i="4" s="1"/>
  <c r="FS83" i="4"/>
  <c r="FS82" i="4"/>
  <c r="FS84" i="4" s="1"/>
  <c r="IW83" i="4"/>
  <c r="IW82" i="4"/>
  <c r="IW84" i="4" s="1"/>
  <c r="IC83" i="4"/>
  <c r="IC82" i="4"/>
  <c r="IC68" i="4" s="1"/>
  <c r="HE83" i="4"/>
  <c r="HE82" i="4"/>
  <c r="HE68" i="4" s="1"/>
  <c r="JQ83" i="4"/>
  <c r="JQ82" i="4"/>
  <c r="JQ68" i="4" s="1"/>
  <c r="HA83" i="4"/>
  <c r="HA82" i="4"/>
  <c r="HA68" i="4" s="1"/>
  <c r="IF83" i="4"/>
  <c r="IF82" i="4"/>
  <c r="IF84" i="4" s="1"/>
  <c r="HU83" i="4"/>
  <c r="HU82" i="4"/>
  <c r="HU68" i="4" s="1"/>
  <c r="GO83" i="4"/>
  <c r="GO82" i="4"/>
  <c r="GO84" i="4" s="1"/>
  <c r="GN83" i="4"/>
  <c r="GN82" i="4"/>
  <c r="GN84" i="4" s="1"/>
  <c r="JW83" i="4"/>
  <c r="JW82" i="4"/>
  <c r="JW84" i="4" s="1"/>
  <c r="HI83" i="4"/>
  <c r="HI82" i="4"/>
  <c r="HI84" i="4" s="1"/>
  <c r="JV83" i="4"/>
  <c r="JV82" i="4"/>
  <c r="JV68" i="4" s="1"/>
  <c r="FP83" i="4"/>
  <c r="FP82" i="4"/>
  <c r="FP84" i="4" s="1"/>
  <c r="JU83" i="4"/>
  <c r="JU82" i="4"/>
  <c r="JU84" i="4" s="1"/>
  <c r="JT83" i="4"/>
  <c r="JT82" i="4"/>
  <c r="JT68" i="4" s="1"/>
  <c r="FN83" i="4"/>
  <c r="FN82" i="4"/>
  <c r="FN68" i="4" s="1"/>
  <c r="IA83" i="4"/>
  <c r="IA82" i="4"/>
  <c r="IA84" i="4" s="1"/>
  <c r="JR83" i="4"/>
  <c r="JR82" i="4"/>
  <c r="JR84" i="4" s="1"/>
  <c r="FL83" i="4"/>
  <c r="FL82" i="4"/>
  <c r="FL68" i="4" s="1"/>
  <c r="HC83" i="4"/>
  <c r="HC82" i="4"/>
  <c r="HC84" i="4" s="1"/>
  <c r="JP83" i="4"/>
  <c r="JP82" i="4"/>
  <c r="JP68" i="4" s="1"/>
  <c r="HB83" i="4"/>
  <c r="HB82" i="4"/>
  <c r="HB68" i="4" s="1"/>
  <c r="HW83" i="4"/>
  <c r="HW82" i="4"/>
  <c r="HW68" i="4" s="1"/>
  <c r="JN83" i="4"/>
  <c r="JN82" i="4"/>
  <c r="JN68" i="4" s="1"/>
  <c r="GZ83" i="4"/>
  <c r="GZ82" i="4"/>
  <c r="GZ84" i="4" s="1"/>
  <c r="JM83" i="4"/>
  <c r="JM82" i="4"/>
  <c r="JM68" i="4" s="1"/>
  <c r="GY83" i="4"/>
  <c r="GY82" i="4"/>
  <c r="GY68" i="4" s="1"/>
  <c r="JL83" i="4"/>
  <c r="JL82" i="4"/>
  <c r="JL84" i="4" s="1"/>
  <c r="GB83" i="4"/>
  <c r="GB82" i="4"/>
  <c r="GB68" i="4" s="1"/>
  <c r="IO83" i="4"/>
  <c r="IO82" i="4"/>
  <c r="IO84" i="4" s="1"/>
  <c r="GA83" i="4"/>
  <c r="GA82" i="4"/>
  <c r="GA68" i="4" s="1"/>
  <c r="JJ83" i="4"/>
  <c r="JJ82" i="4"/>
  <c r="JJ84" i="4" s="1"/>
  <c r="GV83" i="4"/>
  <c r="GV82" i="4"/>
  <c r="GV68" i="4" s="1"/>
  <c r="JI83" i="4"/>
  <c r="JI82" i="4"/>
  <c r="JI84" i="4" s="1"/>
  <c r="GU83" i="4"/>
  <c r="GU82" i="4"/>
  <c r="GU68" i="4" s="1"/>
  <c r="JH83" i="4"/>
  <c r="JH82" i="4"/>
  <c r="JH68" i="4" s="1"/>
  <c r="FX83" i="4"/>
  <c r="FX82" i="4"/>
  <c r="FX84" i="4" s="1"/>
  <c r="HO83" i="4"/>
  <c r="HO82" i="4"/>
  <c r="HO68" i="4" s="1"/>
  <c r="KB83" i="4"/>
  <c r="KB82" i="4"/>
  <c r="KB84" i="4" s="1"/>
  <c r="FV83" i="4"/>
  <c r="FV82" i="4"/>
  <c r="FV84" i="4" s="1"/>
  <c r="JC83" i="4"/>
  <c r="JC82" i="4"/>
  <c r="JC68" i="4" s="1"/>
  <c r="JB83" i="4"/>
  <c r="JB82" i="4"/>
  <c r="JB84" i="4" s="1"/>
  <c r="FR83" i="4"/>
  <c r="FR82" i="4"/>
  <c r="FR68" i="4" s="1"/>
  <c r="IE83" i="4"/>
  <c r="IE82" i="4"/>
  <c r="IE84" i="4" s="1"/>
  <c r="GM83" i="4"/>
  <c r="GM82" i="4"/>
  <c r="GM68" i="4" s="1"/>
  <c r="IZ83" i="4"/>
  <c r="IZ82" i="4"/>
  <c r="IZ84" i="4" s="1"/>
  <c r="HH83" i="4"/>
  <c r="HH82" i="4"/>
  <c r="HH68" i="4" s="1"/>
  <c r="FO83" i="4"/>
  <c r="FO82" i="4"/>
  <c r="FO68" i="4" s="1"/>
  <c r="IB83" i="4"/>
  <c r="IB82" i="4"/>
  <c r="IB84" i="4" s="1"/>
  <c r="GJ83" i="4"/>
  <c r="GJ82" i="4"/>
  <c r="GJ68" i="4" s="1"/>
  <c r="FM83" i="4"/>
  <c r="FM82" i="4"/>
  <c r="FM68" i="4" s="1"/>
  <c r="HZ83" i="4"/>
  <c r="HZ82" i="4"/>
  <c r="HZ84" i="4" s="1"/>
  <c r="GH83" i="4"/>
  <c r="GH82" i="4"/>
  <c r="GH68" i="4" s="1"/>
  <c r="IU83" i="4"/>
  <c r="IU82" i="4"/>
  <c r="IU84" i="4" s="1"/>
  <c r="GG83" i="4"/>
  <c r="GG82" i="4"/>
  <c r="GG68" i="4" s="1"/>
  <c r="IT83" i="4"/>
  <c r="IT82" i="4"/>
  <c r="IT68" i="4" s="1"/>
  <c r="GF83" i="4"/>
  <c r="GF82" i="4"/>
  <c r="GF68" i="4" s="1"/>
  <c r="JO83" i="4"/>
  <c r="JO82" i="4"/>
  <c r="JO84" i="4" s="1"/>
  <c r="GE83" i="4"/>
  <c r="GE82" i="4"/>
  <c r="GE68" i="4" s="1"/>
  <c r="IR83" i="4"/>
  <c r="IR82" i="4"/>
  <c r="IR84" i="4" s="1"/>
  <c r="GD83" i="4"/>
  <c r="GD82" i="4"/>
  <c r="GD84" i="4" s="1"/>
  <c r="IQ83" i="4"/>
  <c r="IQ82" i="4"/>
  <c r="IQ68" i="4" s="1"/>
  <c r="FG83" i="4"/>
  <c r="FG82" i="4"/>
  <c r="FG68" i="4" s="1"/>
  <c r="HT83" i="4"/>
  <c r="HT82" i="4"/>
  <c r="HT68" i="4" s="1"/>
  <c r="FF83" i="4"/>
  <c r="FF82" i="4"/>
  <c r="FF84" i="4" s="1"/>
  <c r="HS83" i="4"/>
  <c r="HS82" i="4"/>
  <c r="HS68" i="4" s="1"/>
  <c r="FE83" i="4"/>
  <c r="FE82" i="4"/>
  <c r="FE84" i="4" s="1"/>
  <c r="HR83" i="4"/>
  <c r="HR82" i="4"/>
  <c r="HR68" i="4" s="1"/>
  <c r="FZ83" i="4"/>
  <c r="FZ82" i="4"/>
  <c r="FZ84" i="4" s="1"/>
  <c r="IM83" i="4"/>
  <c r="IM82" i="4"/>
  <c r="IM68" i="4" s="1"/>
  <c r="FY83" i="4"/>
  <c r="FY82" i="4"/>
  <c r="FY68" i="4" s="1"/>
  <c r="HP83" i="4"/>
  <c r="HP82" i="4"/>
  <c r="HP84" i="4" s="1"/>
  <c r="FB83" i="4"/>
  <c r="FB82" i="4"/>
  <c r="FB84" i="4" s="1"/>
  <c r="JG83" i="4"/>
  <c r="JG82" i="4"/>
  <c r="JG68" i="4" s="1"/>
  <c r="GS83" i="4"/>
  <c r="GS82" i="4"/>
  <c r="GS84" i="4" s="1"/>
  <c r="FA83" i="4"/>
  <c r="Q63" i="4" s="1"/>
  <c r="Q64" i="4" s="1"/>
  <c r="EX81" i="4"/>
  <c r="FA82" i="4"/>
  <c r="FA68" i="4" s="1"/>
  <c r="JF83" i="4"/>
  <c r="JF82" i="4"/>
  <c r="JF68" i="4" s="1"/>
  <c r="HN83" i="4"/>
  <c r="HN82" i="4"/>
  <c r="HN84" i="4" s="1"/>
  <c r="KA83" i="4"/>
  <c r="KA82" i="4"/>
  <c r="KA84" i="4" s="1"/>
  <c r="JE83" i="4"/>
  <c r="JE82" i="4"/>
  <c r="JE84" i="4" s="1"/>
  <c r="II83" i="4"/>
  <c r="II82" i="4"/>
  <c r="II68" i="4" s="1"/>
  <c r="HM83" i="4"/>
  <c r="HM82" i="4"/>
  <c r="HM68" i="4" s="1"/>
  <c r="GQ83" i="4"/>
  <c r="GQ82" i="4"/>
  <c r="GQ68" i="4" s="1"/>
  <c r="FU83" i="4"/>
  <c r="FU82" i="4"/>
  <c r="FU84" i="4" s="1"/>
  <c r="JY83" i="4"/>
  <c r="JY82" i="4"/>
  <c r="JY68" i="4" s="1"/>
  <c r="JX83" i="4"/>
  <c r="JX82" i="4"/>
  <c r="JX68" i="4" s="1"/>
  <c r="HJ83" i="4"/>
  <c r="HJ82" i="4"/>
  <c r="HJ84" i="4" s="1"/>
  <c r="JA83" i="4"/>
  <c r="JA82" i="4"/>
  <c r="JA68" i="4" s="1"/>
  <c r="FQ83" i="4"/>
  <c r="FQ82" i="4"/>
  <c r="FQ68" i="4" s="1"/>
  <c r="ID83" i="4"/>
  <c r="ID82" i="4"/>
  <c r="ID84" i="4" s="1"/>
  <c r="GL83" i="4"/>
  <c r="GL82" i="4"/>
  <c r="GL84" i="4" s="1"/>
  <c r="GK83" i="4"/>
  <c r="GK82" i="4"/>
  <c r="GK68" i="4" s="1"/>
  <c r="IX83" i="4"/>
  <c r="IX82" i="4"/>
  <c r="IX84" i="4" s="1"/>
  <c r="HF83" i="4"/>
  <c r="HF82" i="4"/>
  <c r="HF68" i="4" s="1"/>
  <c r="JS83" i="4"/>
  <c r="JS82" i="4"/>
  <c r="JS68" i="4" s="1"/>
  <c r="GI83" i="4"/>
  <c r="GI82" i="4"/>
  <c r="GI68" i="4" s="1"/>
  <c r="IV83" i="4"/>
  <c r="IV82" i="4"/>
  <c r="IV68" i="4" s="1"/>
  <c r="HD83" i="4"/>
  <c r="HD82" i="4"/>
  <c r="HD68" i="4" s="1"/>
  <c r="HY83" i="4"/>
  <c r="HY82" i="4"/>
  <c r="HY84" i="4" s="1"/>
  <c r="FK83" i="4"/>
  <c r="FK82" i="4"/>
  <c r="FK84" i="4" s="1"/>
  <c r="HX83" i="4"/>
  <c r="HX82" i="4"/>
  <c r="HX68" i="4" s="1"/>
  <c r="FJ83" i="4"/>
  <c r="FJ82" i="4"/>
  <c r="FJ84" i="4" s="1"/>
  <c r="IS83" i="4"/>
  <c r="IS82" i="4"/>
  <c r="IS68" i="4" s="1"/>
  <c r="FI83" i="4"/>
  <c r="FI82" i="4"/>
  <c r="FI68" i="4" s="1"/>
  <c r="HV83" i="4"/>
  <c r="HV82" i="4"/>
  <c r="HV68" i="4" s="1"/>
  <c r="FH83" i="4"/>
  <c r="FH82" i="4"/>
  <c r="FH84" i="4" s="1"/>
  <c r="GC83" i="4"/>
  <c r="GC82" i="4"/>
  <c r="GC68" i="4" s="1"/>
  <c r="IP83" i="4"/>
  <c r="IP82" i="4"/>
  <c r="IP84" i="4" s="1"/>
  <c r="GX83" i="4"/>
  <c r="GX82" i="4"/>
  <c r="GX84" i="4" s="1"/>
  <c r="JK83" i="4"/>
  <c r="JK82" i="4"/>
  <c r="JK68" i="4" s="1"/>
  <c r="GW83" i="4"/>
  <c r="GW82" i="4"/>
  <c r="GW84" i="4" s="1"/>
  <c r="IN83" i="4"/>
  <c r="IN82" i="4"/>
  <c r="IN68" i="4" s="1"/>
  <c r="FD83" i="4"/>
  <c r="FD82" i="4"/>
  <c r="FD84" i="4" s="1"/>
  <c r="HQ83" i="4"/>
  <c r="HQ82" i="4"/>
  <c r="HQ68" i="4" s="1"/>
  <c r="FC83" i="4"/>
  <c r="FC82" i="4"/>
  <c r="FC68" i="4" s="1"/>
  <c r="IL83" i="4"/>
  <c r="IL82" i="4"/>
  <c r="IL68" i="4" s="1"/>
  <c r="GT83" i="4"/>
  <c r="GT82" i="4"/>
  <c r="GT68" i="4" s="1"/>
  <c r="KC83" i="4"/>
  <c r="KC82" i="4"/>
  <c r="KC84" i="4" s="1"/>
  <c r="IK83" i="4"/>
  <c r="IK82" i="4"/>
  <c r="IK68" i="4" s="1"/>
  <c r="FW83" i="4"/>
  <c r="FW82" i="4"/>
  <c r="FW84" i="4" s="1"/>
  <c r="IJ83" i="4"/>
  <c r="IJ82" i="4"/>
  <c r="IJ68" i="4" s="1"/>
  <c r="GR83" i="4"/>
  <c r="GR82" i="4"/>
  <c r="GR68" i="4" s="1"/>
  <c r="JZ83" i="4"/>
  <c r="JZ82" i="4"/>
  <c r="JZ68" i="4" s="1"/>
  <c r="JD83" i="4"/>
  <c r="JD82" i="4"/>
  <c r="JD84" i="4" s="1"/>
  <c r="IH83" i="4"/>
  <c r="IH82" i="4"/>
  <c r="IH84" i="4" s="1"/>
  <c r="HL83" i="4"/>
  <c r="HL82" i="4"/>
  <c r="HL84" i="4" s="1"/>
  <c r="GP83" i="4"/>
  <c r="GP82" i="4"/>
  <c r="GP84" i="4" s="1"/>
  <c r="FT83" i="4"/>
  <c r="FT82" i="4"/>
  <c r="FT68" i="4" s="1"/>
  <c r="IG84" i="4" l="1"/>
  <c r="HF84" i="4"/>
  <c r="GM84" i="4"/>
  <c r="IW68" i="4"/>
  <c r="FE68" i="4"/>
  <c r="JC84" i="4"/>
  <c r="JM84" i="4"/>
  <c r="GA84" i="4"/>
  <c r="HW84" i="4"/>
  <c r="JN84" i="4"/>
  <c r="GW68" i="4"/>
  <c r="JT84" i="4"/>
  <c r="HR84" i="4"/>
  <c r="GE84" i="4"/>
  <c r="FO84" i="4"/>
  <c r="GS68" i="4"/>
  <c r="JX84" i="4"/>
  <c r="GP68" i="4"/>
  <c r="HT84" i="4"/>
  <c r="GQ84" i="4"/>
  <c r="IK84" i="4"/>
  <c r="HC68" i="4"/>
  <c r="IZ68" i="4"/>
  <c r="GH84" i="4"/>
  <c r="GU84" i="4"/>
  <c r="JV84" i="4"/>
  <c r="IP68" i="4"/>
  <c r="GN68" i="4"/>
  <c r="FP68" i="4"/>
  <c r="IT84" i="4"/>
  <c r="IL84" i="4"/>
  <c r="IV84" i="4"/>
  <c r="HN68" i="4"/>
  <c r="JI68" i="4"/>
  <c r="JB68" i="4"/>
  <c r="HV84" i="4"/>
  <c r="IN84" i="4"/>
  <c r="GR84" i="4"/>
  <c r="IA68" i="4"/>
  <c r="HM84" i="4"/>
  <c r="HB84" i="4"/>
  <c r="IH68" i="4"/>
  <c r="GX68" i="4"/>
  <c r="GK84" i="4"/>
  <c r="FF68" i="4"/>
  <c r="JJ68" i="4"/>
  <c r="JP84" i="4"/>
  <c r="JW68" i="4"/>
  <c r="HY68" i="4"/>
  <c r="HI68" i="4"/>
  <c r="JA84" i="4"/>
  <c r="HD84" i="4"/>
  <c r="FA84" i="4"/>
  <c r="FW68" i="4"/>
  <c r="IS84" i="4"/>
  <c r="II84" i="4"/>
  <c r="IM84" i="4"/>
  <c r="IU68" i="4"/>
  <c r="FR84" i="4"/>
  <c r="FX68" i="4"/>
  <c r="JQ84" i="4"/>
  <c r="IY84" i="4"/>
  <c r="IF68" i="4"/>
  <c r="HS84" i="4"/>
  <c r="JL68" i="4"/>
  <c r="IR68" i="4"/>
  <c r="IB68" i="4"/>
  <c r="HQ84" i="4"/>
  <c r="IX68" i="4"/>
  <c r="EX82" i="4"/>
  <c r="IE68" i="4"/>
  <c r="HO84" i="4"/>
  <c r="JD68" i="4"/>
  <c r="GL68" i="4"/>
  <c r="JE68" i="4"/>
  <c r="FZ68" i="4"/>
  <c r="JO68" i="4"/>
  <c r="JH84" i="4"/>
  <c r="GZ68" i="4"/>
  <c r="HE84" i="4"/>
  <c r="GD68" i="4"/>
  <c r="HP68" i="4"/>
  <c r="FI84" i="4"/>
  <c r="FD68" i="4"/>
  <c r="HH84" i="4"/>
  <c r="JU68" i="4"/>
  <c r="KB68" i="4"/>
  <c r="FN84" i="4"/>
  <c r="GC84" i="4"/>
  <c r="JY84" i="4"/>
  <c r="JG84" i="4"/>
  <c r="HZ68" i="4"/>
  <c r="GO68" i="4"/>
  <c r="IJ84" i="4"/>
  <c r="GJ84" i="4"/>
  <c r="FC84" i="4"/>
  <c r="HL68" i="4"/>
  <c r="GI84" i="4"/>
  <c r="ID68" i="4"/>
  <c r="KA68" i="4"/>
  <c r="FG84" i="4"/>
  <c r="IO68" i="4"/>
  <c r="FL84" i="4"/>
  <c r="HG68" i="4"/>
  <c r="JK84" i="4"/>
  <c r="GG84" i="4"/>
  <c r="JZ84" i="4"/>
  <c r="IC84" i="4"/>
  <c r="GV84" i="4"/>
  <c r="FY84" i="4"/>
  <c r="FS68" i="4"/>
  <c r="HA84" i="4"/>
  <c r="HJ68" i="4"/>
  <c r="FJ68" i="4"/>
  <c r="FT84" i="4"/>
  <c r="GF84" i="4"/>
  <c r="FH68" i="4"/>
  <c r="FB68" i="4"/>
  <c r="FB63" i="4" s="1"/>
  <c r="IQ84" i="4"/>
  <c r="FM84" i="4"/>
  <c r="FV68" i="4"/>
  <c r="GB84" i="4"/>
  <c r="JR68" i="4"/>
  <c r="HU84" i="4"/>
  <c r="HK68" i="4"/>
  <c r="GY84" i="4"/>
  <c r="KC68" i="4"/>
  <c r="JS84" i="4"/>
  <c r="GT84" i="4"/>
  <c r="FU68" i="4"/>
  <c r="FK68" i="4"/>
  <c r="FQ84" i="4"/>
  <c r="JF84" i="4"/>
  <c r="HX84" i="4"/>
  <c r="R201" i="4" l="1"/>
  <c r="FB64" i="4"/>
  <c r="E63" i="4"/>
  <c r="FB60" i="4" l="1"/>
  <c r="R75" i="4" l="1"/>
  <c r="R54" i="4"/>
  <c r="FB76" i="4"/>
  <c r="FB62" i="4"/>
  <c r="FC63" i="4"/>
  <c r="FC64" i="4" l="1"/>
  <c r="FC60" i="4" s="1"/>
  <c r="FC76" i="4" s="1"/>
  <c r="S201" i="4"/>
  <c r="FB55" i="4"/>
  <c r="R57" i="4"/>
  <c r="R63" i="4"/>
  <c r="R64" i="4" s="1"/>
  <c r="R77" i="4"/>
  <c r="R203" i="4" l="1"/>
  <c r="R79" i="4"/>
  <c r="H65" i="9" s="1"/>
  <c r="H60" i="9"/>
  <c r="R59" i="4"/>
  <c r="S54" i="4"/>
  <c r="S75" i="4"/>
  <c r="FC62" i="4"/>
  <c r="FD63" i="4"/>
  <c r="FC55" i="4" l="1"/>
  <c r="S57" i="4"/>
  <c r="H62" i="9"/>
  <c r="T201" i="4"/>
  <c r="FD64" i="4"/>
  <c r="FD60" i="4" s="1"/>
  <c r="S77" i="4"/>
  <c r="S63" i="4"/>
  <c r="S64" i="4" s="1"/>
  <c r="H64" i="9"/>
  <c r="FB56" i="4"/>
  <c r="T75" i="4" l="1"/>
  <c r="T54" i="4"/>
  <c r="FD62" i="4"/>
  <c r="FE63" i="4"/>
  <c r="FD76" i="4"/>
  <c r="S203" i="4"/>
  <c r="S79" i="4"/>
  <c r="I65" i="9" s="1"/>
  <c r="S59" i="4"/>
  <c r="I60" i="9"/>
  <c r="I64" i="9" l="1"/>
  <c r="FC56" i="4"/>
  <c r="I62" i="9"/>
  <c r="FE64" i="4"/>
  <c r="FE60" i="4" s="1"/>
  <c r="U201" i="4"/>
  <c r="T57" i="4"/>
  <c r="FD55" i="4"/>
  <c r="T77" i="4"/>
  <c r="T63" i="4"/>
  <c r="T64" i="4" s="1"/>
  <c r="U75" i="4" l="1"/>
  <c r="U54" i="4"/>
  <c r="FE62" i="4"/>
  <c r="FF63" i="4"/>
  <c r="FE76" i="4"/>
  <c r="T203" i="4"/>
  <c r="T79" i="4"/>
  <c r="J65" i="9" s="1"/>
  <c r="J60" i="9"/>
  <c r="T59" i="4"/>
  <c r="FD56" i="4" l="1"/>
  <c r="J64" i="9"/>
  <c r="J62" i="9"/>
  <c r="V201" i="4"/>
  <c r="FF64" i="4"/>
  <c r="FF60" i="4" s="1"/>
  <c r="FE55" i="4"/>
  <c r="U57" i="4"/>
  <c r="U63" i="4"/>
  <c r="U64" i="4" s="1"/>
  <c r="U77" i="4"/>
  <c r="V75" i="4" l="1"/>
  <c r="V54" i="4"/>
  <c r="FG63" i="4"/>
  <c r="FF62" i="4"/>
  <c r="FF76" i="4"/>
  <c r="U203" i="4"/>
  <c r="U79" i="4"/>
  <c r="K65" i="9" s="1"/>
  <c r="K60" i="9"/>
  <c r="U59" i="4"/>
  <c r="K62" i="9" l="1"/>
  <c r="K64" i="9"/>
  <c r="FE56" i="4"/>
  <c r="W201" i="4"/>
  <c r="FG64" i="4"/>
  <c r="FG60" i="4" s="1"/>
  <c r="FF55" i="4"/>
  <c r="V57" i="4"/>
  <c r="V63" i="4"/>
  <c r="V64" i="4" s="1"/>
  <c r="V77" i="4"/>
  <c r="V79" i="4" l="1"/>
  <c r="L65" i="9" s="1"/>
  <c r="V203" i="4"/>
  <c r="W75" i="4"/>
  <c r="W54" i="4"/>
  <c r="FH63" i="4"/>
  <c r="FG62" i="4"/>
  <c r="FG76" i="4"/>
  <c r="L60" i="9"/>
  <c r="V59" i="4"/>
  <c r="L62" i="9" l="1"/>
  <c r="W77" i="4"/>
  <c r="W63" i="4"/>
  <c r="W64" i="4" s="1"/>
  <c r="X201" i="4"/>
  <c r="FH64" i="4"/>
  <c r="FH60" i="4" s="1"/>
  <c r="L64" i="9"/>
  <c r="FF56" i="4"/>
  <c r="W57" i="4"/>
  <c r="FG55" i="4"/>
  <c r="X75" i="4" l="1"/>
  <c r="X54" i="4"/>
  <c r="FI63" i="4"/>
  <c r="FH62" i="4"/>
  <c r="FH76" i="4"/>
  <c r="W59" i="4"/>
  <c r="M60" i="9"/>
  <c r="M62" i="9" s="1"/>
  <c r="W79" i="4"/>
  <c r="M65" i="9" s="1"/>
  <c r="W203" i="4"/>
  <c r="M64" i="9" l="1"/>
  <c r="FG56" i="4"/>
  <c r="FI64" i="4"/>
  <c r="FI60" i="4" s="1"/>
  <c r="Y201" i="4"/>
  <c r="FH55" i="4"/>
  <c r="X57" i="4"/>
  <c r="X63" i="4"/>
  <c r="X64" i="4" s="1"/>
  <c r="X77" i="4"/>
  <c r="Y54" i="4" l="1"/>
  <c r="Y75" i="4"/>
  <c r="FJ63" i="4"/>
  <c r="FI62" i="4"/>
  <c r="FI76" i="4"/>
  <c r="N60" i="9"/>
  <c r="N62" i="9" s="1"/>
  <c r="X59" i="4"/>
  <c r="X79" i="4"/>
  <c r="N65" i="9" s="1"/>
  <c r="X203" i="4"/>
  <c r="N64" i="9" l="1"/>
  <c r="FH56" i="4"/>
  <c r="Z201" i="4"/>
  <c r="FJ64" i="4"/>
  <c r="FJ60" i="4" s="1"/>
  <c r="Y63" i="4"/>
  <c r="Y64" i="4" s="1"/>
  <c r="Y77" i="4"/>
  <c r="FI55" i="4"/>
  <c r="Y57" i="4"/>
  <c r="O60" i="9" l="1"/>
  <c r="O62" i="9" s="1"/>
  <c r="Y59" i="4"/>
  <c r="Y203" i="4"/>
  <c r="Y79" i="4"/>
  <c r="O65" i="9" s="1"/>
  <c r="Z75" i="4"/>
  <c r="Z54" i="4"/>
  <c r="FK63" i="4"/>
  <c r="FJ62" i="4"/>
  <c r="FJ76" i="4"/>
  <c r="FI56" i="4" l="1"/>
  <c r="O64" i="9"/>
  <c r="AA201" i="4"/>
  <c r="FK64" i="4"/>
  <c r="FK60" i="4" s="1"/>
  <c r="FJ55" i="4"/>
  <c r="Z57" i="4"/>
  <c r="Z63" i="4"/>
  <c r="Z64" i="4" s="1"/>
  <c r="Z77" i="4"/>
  <c r="AA75" i="4" l="1"/>
  <c r="AA54" i="4"/>
  <c r="FL63" i="4"/>
  <c r="FK62" i="4"/>
  <c r="FK76" i="4"/>
  <c r="Z79" i="4"/>
  <c r="P65" i="9" s="1"/>
  <c r="Z203" i="4"/>
  <c r="P60" i="9"/>
  <c r="P62" i="9" s="1"/>
  <c r="Z59" i="4"/>
  <c r="FJ56" i="4" l="1"/>
  <c r="P64" i="9"/>
  <c r="FL64" i="4"/>
  <c r="FL60" i="4" s="1"/>
  <c r="AB201" i="4"/>
  <c r="FK55" i="4"/>
  <c r="AA57" i="4"/>
  <c r="AA63" i="4"/>
  <c r="AA64" i="4" s="1"/>
  <c r="AA77" i="4"/>
  <c r="AB75" i="4" l="1"/>
  <c r="AB54" i="4"/>
  <c r="FM63" i="4"/>
  <c r="FL62" i="4"/>
  <c r="FL76" i="4"/>
  <c r="AA203" i="4"/>
  <c r="AA79" i="4"/>
  <c r="Q65" i="9" s="1"/>
  <c r="Q60" i="9"/>
  <c r="Q62" i="9" s="1"/>
  <c r="AA59" i="4"/>
  <c r="FK56" i="4" l="1"/>
  <c r="Q64" i="9"/>
  <c r="AC201" i="4"/>
  <c r="FM64" i="4"/>
  <c r="FM60" i="4" s="1"/>
  <c r="FL55" i="4"/>
  <c r="AB57" i="4"/>
  <c r="AB77" i="4"/>
  <c r="AB63" i="4"/>
  <c r="AB64" i="4" s="1"/>
  <c r="AC54" i="4" l="1"/>
  <c r="AC75" i="4"/>
  <c r="FN63" i="4"/>
  <c r="FM62" i="4"/>
  <c r="FM76" i="4"/>
  <c r="AB79" i="4"/>
  <c r="R65" i="9" s="1"/>
  <c r="AB203" i="4"/>
  <c r="R60" i="9"/>
  <c r="R62" i="9" s="1"/>
  <c r="AB59" i="4"/>
  <c r="R64" i="9" l="1"/>
  <c r="FL56" i="4"/>
  <c r="FN64" i="4"/>
  <c r="FN60" i="4" s="1"/>
  <c r="AD201" i="4"/>
  <c r="AC77" i="4"/>
  <c r="AC63" i="4"/>
  <c r="AC64" i="4" s="1"/>
  <c r="FM55" i="4"/>
  <c r="AC57" i="4"/>
  <c r="AD75" i="4" l="1"/>
  <c r="AD54" i="4"/>
  <c r="FO63" i="4"/>
  <c r="FN62" i="4"/>
  <c r="FN76" i="4"/>
  <c r="S60" i="9"/>
  <c r="S62" i="9" s="1"/>
  <c r="AC59" i="4"/>
  <c r="AC203" i="4"/>
  <c r="AC79" i="4"/>
  <c r="S65" i="9" s="1"/>
  <c r="FM56" i="4" l="1"/>
  <c r="S64" i="9"/>
  <c r="FN55" i="4"/>
  <c r="AD57" i="4"/>
  <c r="AE201" i="4"/>
  <c r="FO64" i="4"/>
  <c r="FO60" i="4" s="1"/>
  <c r="AD63" i="4"/>
  <c r="AD64" i="4" s="1"/>
  <c r="AD77" i="4"/>
  <c r="AE75" i="4" l="1"/>
  <c r="AE54" i="4"/>
  <c r="FP63" i="4"/>
  <c r="FO62" i="4"/>
  <c r="FO76" i="4"/>
  <c r="AD203" i="4"/>
  <c r="AD79" i="4"/>
  <c r="T65" i="9" s="1"/>
  <c r="T60" i="9"/>
  <c r="AD59" i="4"/>
  <c r="T64" i="9" l="1"/>
  <c r="FN56" i="4"/>
  <c r="T62" i="9"/>
  <c r="FP64" i="4"/>
  <c r="FP60" i="4" s="1"/>
  <c r="AF201" i="4"/>
  <c r="FO55" i="4"/>
  <c r="AE57" i="4"/>
  <c r="AE77" i="4"/>
  <c r="AE63" i="4"/>
  <c r="AE64" i="4" s="1"/>
  <c r="AF54" i="4" l="1"/>
  <c r="AF75" i="4"/>
  <c r="FQ63" i="4"/>
  <c r="FP62" i="4"/>
  <c r="FP76" i="4"/>
  <c r="AE79" i="4"/>
  <c r="U65" i="9" s="1"/>
  <c r="AE203" i="4"/>
  <c r="AE59" i="4"/>
  <c r="U60" i="9"/>
  <c r="U62" i="9" l="1"/>
  <c r="U64" i="9"/>
  <c r="FO56" i="4"/>
  <c r="FQ64" i="4"/>
  <c r="FQ60" i="4" s="1"/>
  <c r="AG201" i="4"/>
  <c r="AF77" i="4"/>
  <c r="AF63" i="4"/>
  <c r="AF64" i="4" s="1"/>
  <c r="FP55" i="4"/>
  <c r="AF57" i="4"/>
  <c r="V60" i="9" l="1"/>
  <c r="AF59" i="4"/>
  <c r="AG54" i="4"/>
  <c r="AG75" i="4"/>
  <c r="FR63" i="4"/>
  <c r="FQ62" i="4"/>
  <c r="AF203" i="4"/>
  <c r="AF79" i="4"/>
  <c r="V65" i="9" s="1"/>
  <c r="FQ76" i="4"/>
  <c r="AG63" i="4" l="1"/>
  <c r="AG64" i="4" s="1"/>
  <c r="AG77" i="4"/>
  <c r="FP56" i="4"/>
  <c r="V64" i="9"/>
  <c r="AH201" i="4"/>
  <c r="FR64" i="4"/>
  <c r="FR60" i="4" s="1"/>
  <c r="FQ55" i="4"/>
  <c r="AG57" i="4"/>
  <c r="V62" i="9"/>
  <c r="W60" i="9" l="1"/>
  <c r="AG59" i="4"/>
  <c r="AH54" i="4"/>
  <c r="AH75" i="4"/>
  <c r="FS63" i="4"/>
  <c r="FR62" i="4"/>
  <c r="FR76" i="4"/>
  <c r="AG79" i="4"/>
  <c r="W65" i="9" s="1"/>
  <c r="AG203" i="4"/>
  <c r="AI201" i="4" l="1"/>
  <c r="FS64" i="4"/>
  <c r="FS60" i="4" s="1"/>
  <c r="AH57" i="4"/>
  <c r="FR55" i="4"/>
  <c r="FQ56" i="4"/>
  <c r="W64" i="9"/>
  <c r="W62" i="9"/>
  <c r="AH77" i="4"/>
  <c r="AH63" i="4"/>
  <c r="AH64" i="4" s="1"/>
  <c r="X60" i="9" l="1"/>
  <c r="AH59" i="4"/>
  <c r="AI75" i="4"/>
  <c r="AI54" i="4"/>
  <c r="FT63" i="4"/>
  <c r="FS62" i="4"/>
  <c r="FS76" i="4"/>
  <c r="AH203" i="4"/>
  <c r="AH79" i="4"/>
  <c r="X65" i="9" s="1"/>
  <c r="AJ201" i="4" l="1"/>
  <c r="FT64" i="4"/>
  <c r="FT60" i="4" s="1"/>
  <c r="AI57" i="4"/>
  <c r="FS55" i="4"/>
  <c r="AI77" i="4"/>
  <c r="AI63" i="4"/>
  <c r="AI64" i="4" s="1"/>
  <c r="FR56" i="4"/>
  <c r="X64" i="9"/>
  <c r="X62" i="9"/>
  <c r="AI79" i="4" l="1"/>
  <c r="Y65" i="9" s="1"/>
  <c r="AI203" i="4"/>
  <c r="Y60" i="9"/>
  <c r="Y62" i="9" s="1"/>
  <c r="AI59" i="4"/>
  <c r="AJ75" i="4"/>
  <c r="AJ54" i="4"/>
  <c r="FU63" i="4"/>
  <c r="FT62" i="4"/>
  <c r="FT76" i="4"/>
  <c r="AK201" i="4" l="1"/>
  <c r="FU64" i="4"/>
  <c r="FU60" i="4" s="1"/>
  <c r="AJ57" i="4"/>
  <c r="FT55" i="4"/>
  <c r="AJ77" i="4"/>
  <c r="AJ63" i="4"/>
  <c r="AJ64" i="4" s="1"/>
  <c r="Y64" i="9"/>
  <c r="FS56" i="4"/>
  <c r="AK54" i="4" l="1"/>
  <c r="AK75" i="4"/>
  <c r="FV63" i="4"/>
  <c r="FU62" i="4"/>
  <c r="FU76" i="4"/>
  <c r="AJ203" i="4"/>
  <c r="AJ79" i="4"/>
  <c r="Z65" i="9" s="1"/>
  <c r="AJ59" i="4"/>
  <c r="Z60" i="9"/>
  <c r="Z62" i="9" s="1"/>
  <c r="Z64" i="9" l="1"/>
  <c r="FT56" i="4"/>
  <c r="FV64" i="4"/>
  <c r="FV60" i="4" s="1"/>
  <c r="AL201" i="4"/>
  <c r="AK77" i="4"/>
  <c r="AK63" i="4"/>
  <c r="AK64" i="4" s="1"/>
  <c r="FU55" i="4"/>
  <c r="AK57" i="4"/>
  <c r="AL75" i="4" l="1"/>
  <c r="AL54" i="4"/>
  <c r="FW63" i="4"/>
  <c r="FV62" i="4"/>
  <c r="FV76" i="4"/>
  <c r="AK59" i="4"/>
  <c r="AA60" i="9"/>
  <c r="AA62" i="9" s="1"/>
  <c r="AK203" i="4"/>
  <c r="AK79" i="4"/>
  <c r="AA65" i="9" s="1"/>
  <c r="FU56" i="4" l="1"/>
  <c r="AA64" i="9"/>
  <c r="AM201" i="4"/>
  <c r="FW64" i="4"/>
  <c r="FW60" i="4" s="1"/>
  <c r="AL57" i="4"/>
  <c r="FV55" i="4"/>
  <c r="AL77" i="4"/>
  <c r="AL63" i="4"/>
  <c r="AL64" i="4" s="1"/>
  <c r="AM75" i="4" l="1"/>
  <c r="AM54" i="4"/>
  <c r="FX63" i="4"/>
  <c r="FW62" i="4"/>
  <c r="FW76" i="4"/>
  <c r="AL79" i="4"/>
  <c r="AB65" i="9" s="1"/>
  <c r="AL203" i="4"/>
  <c r="AB60" i="9"/>
  <c r="AB62" i="9" s="1"/>
  <c r="AL59" i="4"/>
  <c r="FV56" i="4" l="1"/>
  <c r="AB64" i="9"/>
  <c r="AN201" i="4"/>
  <c r="FX64" i="4"/>
  <c r="FX60" i="4" s="1"/>
  <c r="AM57" i="4"/>
  <c r="FW55" i="4"/>
  <c r="AM63" i="4"/>
  <c r="AM64" i="4" s="1"/>
  <c r="AM77" i="4"/>
  <c r="AN75" i="4" l="1"/>
  <c r="AN54" i="4"/>
  <c r="FY63" i="4"/>
  <c r="FX62" i="4"/>
  <c r="FX76" i="4"/>
  <c r="AM79" i="4"/>
  <c r="AC65" i="9" s="1"/>
  <c r="AM203" i="4"/>
  <c r="AM59" i="4"/>
  <c r="AC60" i="9"/>
  <c r="AC62" i="9" s="1"/>
  <c r="AC64" i="9" l="1"/>
  <c r="FW56" i="4"/>
  <c r="FY64" i="4"/>
  <c r="FY60" i="4" s="1"/>
  <c r="AO201" i="4"/>
  <c r="FX55" i="4"/>
  <c r="AN57" i="4"/>
  <c r="AN77" i="4"/>
  <c r="AN63" i="4"/>
  <c r="AN64" i="4" s="1"/>
  <c r="AN79" i="4" l="1"/>
  <c r="AD65" i="9" s="1"/>
  <c r="AN203" i="4"/>
  <c r="AN59" i="4"/>
  <c r="AD60" i="9"/>
  <c r="AD62" i="9" s="1"/>
  <c r="AO75" i="4"/>
  <c r="AO54" i="4"/>
  <c r="FZ63" i="4"/>
  <c r="FY62" i="4"/>
  <c r="FY76" i="4"/>
  <c r="AO63" i="4" l="1"/>
  <c r="AO64" i="4" s="1"/>
  <c r="AO77" i="4"/>
  <c r="AP201" i="4"/>
  <c r="FZ64" i="4"/>
  <c r="FZ60" i="4" s="1"/>
  <c r="FY55" i="4"/>
  <c r="AO57" i="4"/>
  <c r="AD64" i="9"/>
  <c r="FX56" i="4"/>
  <c r="AP75" i="4" l="1"/>
  <c r="AP54" i="4"/>
  <c r="GA63" i="4"/>
  <c r="FZ62" i="4"/>
  <c r="FZ76" i="4"/>
  <c r="AE60" i="9"/>
  <c r="AE62" i="9" s="1"/>
  <c r="AO59" i="4"/>
  <c r="AO79" i="4"/>
  <c r="AE65" i="9" s="1"/>
  <c r="AO203" i="4"/>
  <c r="FY56" i="4" l="1"/>
  <c r="AE64" i="9"/>
  <c r="GA64" i="4"/>
  <c r="GA60" i="4" s="1"/>
  <c r="AQ201" i="4"/>
  <c r="FZ55" i="4"/>
  <c r="AP57" i="4"/>
  <c r="AP77" i="4"/>
  <c r="AP63" i="4"/>
  <c r="AP64" i="4" s="1"/>
  <c r="AQ54" i="4" l="1"/>
  <c r="AQ75" i="4"/>
  <c r="GB63" i="4"/>
  <c r="GA62" i="4"/>
  <c r="GA76" i="4"/>
  <c r="AF60" i="9"/>
  <c r="AP59" i="4"/>
  <c r="AP79" i="4"/>
  <c r="AF65" i="9" s="1"/>
  <c r="AP203" i="4"/>
  <c r="AF62" i="9" l="1"/>
  <c r="FZ56" i="4"/>
  <c r="AF64" i="9"/>
  <c r="AR201" i="4"/>
  <c r="GB64" i="4"/>
  <c r="GB60" i="4" s="1"/>
  <c r="AQ77" i="4"/>
  <c r="AQ63" i="4"/>
  <c r="AQ64" i="4" s="1"/>
  <c r="GA55" i="4"/>
  <c r="AQ57" i="4"/>
  <c r="AR75" i="4" l="1"/>
  <c r="AR54" i="4"/>
  <c r="GC63" i="4"/>
  <c r="GB62" i="4"/>
  <c r="AQ203" i="4"/>
  <c r="AQ79" i="4"/>
  <c r="AG65" i="9" s="1"/>
  <c r="GB76" i="4"/>
  <c r="AG60" i="9"/>
  <c r="AQ59" i="4"/>
  <c r="AG64" i="9" l="1"/>
  <c r="GA56" i="4"/>
  <c r="AG62" i="9"/>
  <c r="GB55" i="4"/>
  <c r="AR57" i="4"/>
  <c r="GC64" i="4"/>
  <c r="GC60" i="4" s="1"/>
  <c r="AS201" i="4"/>
  <c r="AR77" i="4"/>
  <c r="AR63" i="4"/>
  <c r="AR64" i="4" s="1"/>
  <c r="AS54" i="4" l="1"/>
  <c r="AS75" i="4"/>
  <c r="GD63" i="4"/>
  <c r="GC62" i="4"/>
  <c r="GC76" i="4"/>
  <c r="AR203" i="4"/>
  <c r="AR79" i="4"/>
  <c r="AH65" i="9" s="1"/>
  <c r="AH60" i="9"/>
  <c r="AR59" i="4"/>
  <c r="AH62" i="9" l="1"/>
  <c r="AH64" i="9"/>
  <c r="GB56" i="4"/>
  <c r="AT201" i="4"/>
  <c r="GD64" i="4"/>
  <c r="GD60" i="4" s="1"/>
  <c r="AS77" i="4"/>
  <c r="AS63" i="4"/>
  <c r="AS64" i="4" s="1"/>
  <c r="GC55" i="4"/>
  <c r="AS57" i="4"/>
  <c r="AT75" i="4" l="1"/>
  <c r="AT54" i="4"/>
  <c r="GE63" i="4"/>
  <c r="GD62" i="4"/>
  <c r="GD76" i="4"/>
  <c r="AI60" i="9"/>
  <c r="AS59" i="4"/>
  <c r="AS203" i="4"/>
  <c r="AS79" i="4"/>
  <c r="AI65" i="9" s="1"/>
  <c r="AI62" i="9" l="1"/>
  <c r="AI64" i="9"/>
  <c r="GC56" i="4"/>
  <c r="GE64" i="4"/>
  <c r="GE60" i="4" s="1"/>
  <c r="AU201" i="4"/>
  <c r="GD55" i="4"/>
  <c r="AT57" i="4"/>
  <c r="AT63" i="4"/>
  <c r="AT64" i="4" s="1"/>
  <c r="AT77" i="4"/>
  <c r="AU75" i="4" l="1"/>
  <c r="AU54" i="4"/>
  <c r="GF63" i="4"/>
  <c r="GE62" i="4"/>
  <c r="AT79" i="4"/>
  <c r="AJ65" i="9" s="1"/>
  <c r="AT203" i="4"/>
  <c r="AT59" i="4"/>
  <c r="AJ60" i="9"/>
  <c r="GE76" i="4"/>
  <c r="AJ62" i="9" l="1"/>
  <c r="GD56" i="4"/>
  <c r="AJ64" i="9"/>
  <c r="AV201" i="4"/>
  <c r="GF64" i="4"/>
  <c r="GF60" i="4" s="1"/>
  <c r="GE55" i="4"/>
  <c r="AU57" i="4"/>
  <c r="AU77" i="4"/>
  <c r="AU63" i="4"/>
  <c r="AU64" i="4" s="1"/>
  <c r="AV75" i="4" l="1"/>
  <c r="AV54" i="4"/>
  <c r="GG63" i="4"/>
  <c r="GF62" i="4"/>
  <c r="GF76" i="4"/>
  <c r="AU79" i="4"/>
  <c r="AK65" i="9" s="1"/>
  <c r="AU203" i="4"/>
  <c r="AK60" i="9"/>
  <c r="AK62" i="9" s="1"/>
  <c r="AU59" i="4"/>
  <c r="AK64" i="9" l="1"/>
  <c r="GE56" i="4"/>
  <c r="GG64" i="4"/>
  <c r="GG60" i="4" s="1"/>
  <c r="GG76" i="4" s="1"/>
  <c r="AW201" i="4"/>
  <c r="AV57" i="4"/>
  <c r="GF55" i="4"/>
  <c r="AV77" i="4"/>
  <c r="AV63" i="4"/>
  <c r="AV64" i="4" s="1"/>
  <c r="AV79" i="4" l="1"/>
  <c r="AL65" i="9" s="1"/>
  <c r="AV203" i="4"/>
  <c r="AL60" i="9"/>
  <c r="AL62" i="9" s="1"/>
  <c r="AV59" i="4"/>
  <c r="AW54" i="4"/>
  <c r="AW75" i="4"/>
  <c r="GH63" i="4"/>
  <c r="GG62" i="4"/>
  <c r="GH64" i="4" l="1"/>
  <c r="GH60" i="4" s="1"/>
  <c r="AX201" i="4"/>
  <c r="AW77" i="4"/>
  <c r="AW63" i="4"/>
  <c r="AW64" i="4" s="1"/>
  <c r="GG55" i="4"/>
  <c r="AW57" i="4"/>
  <c r="GF56" i="4"/>
  <c r="AL64" i="9"/>
  <c r="AX54" i="4" l="1"/>
  <c r="AX75" i="4"/>
  <c r="GI63" i="4"/>
  <c r="GH62" i="4"/>
  <c r="GH76" i="4"/>
  <c r="AW59" i="4"/>
  <c r="AM60" i="9"/>
  <c r="AM62" i="9" s="1"/>
  <c r="AW203" i="4"/>
  <c r="AW79" i="4"/>
  <c r="AM65" i="9" s="1"/>
  <c r="AM64" i="9" l="1"/>
  <c r="GG56" i="4"/>
  <c r="AX77" i="4"/>
  <c r="AX63" i="4"/>
  <c r="AX64" i="4" s="1"/>
  <c r="AX57" i="4"/>
  <c r="GH55" i="4"/>
  <c r="AY201" i="4"/>
  <c r="GI64" i="4"/>
  <c r="GI60" i="4" s="1"/>
  <c r="AY75" i="4" l="1"/>
  <c r="AY54" i="4"/>
  <c r="GJ63" i="4"/>
  <c r="GI62" i="4"/>
  <c r="GI76" i="4"/>
  <c r="AN60" i="9"/>
  <c r="AN62" i="9" s="1"/>
  <c r="AX59" i="4"/>
  <c r="AX79" i="4"/>
  <c r="AN65" i="9" s="1"/>
  <c r="AX203" i="4"/>
  <c r="AN64" i="9" l="1"/>
  <c r="GH56" i="4"/>
  <c r="GJ64" i="4"/>
  <c r="GJ60" i="4" s="1"/>
  <c r="AZ201" i="4"/>
  <c r="AY57" i="4"/>
  <c r="GI55" i="4"/>
  <c r="AY77" i="4"/>
  <c r="AY63" i="4"/>
  <c r="AY64" i="4" s="1"/>
  <c r="AY79" i="4" l="1"/>
  <c r="AO65" i="9" s="1"/>
  <c r="AY203" i="4"/>
  <c r="AY59" i="4"/>
  <c r="AO60" i="9"/>
  <c r="AO62" i="9" s="1"/>
  <c r="AZ75" i="4"/>
  <c r="AZ54" i="4"/>
  <c r="GK63" i="4"/>
  <c r="GJ62" i="4"/>
  <c r="GJ76" i="4"/>
  <c r="BA201" i="4" l="1"/>
  <c r="GK64" i="4"/>
  <c r="GK60" i="4" s="1"/>
  <c r="GJ55" i="4"/>
  <c r="AZ57" i="4"/>
  <c r="AZ63" i="4"/>
  <c r="AZ64" i="4" s="1"/>
  <c r="AZ77" i="4"/>
  <c r="GI56" i="4"/>
  <c r="AO64" i="9"/>
  <c r="BA54" i="4" l="1"/>
  <c r="BA75" i="4"/>
  <c r="GL63" i="4"/>
  <c r="GK62" i="4"/>
  <c r="GK76" i="4"/>
  <c r="AZ203" i="4"/>
  <c r="AZ79" i="4"/>
  <c r="AP65" i="9" s="1"/>
  <c r="AP60" i="9"/>
  <c r="AP62" i="9" s="1"/>
  <c r="AZ59" i="4"/>
  <c r="AP64" i="9" l="1"/>
  <c r="GJ56" i="4"/>
  <c r="BB201" i="4"/>
  <c r="GL64" i="4"/>
  <c r="GL60" i="4" s="1"/>
  <c r="BA77" i="4"/>
  <c r="BA63" i="4"/>
  <c r="BA64" i="4" s="1"/>
  <c r="GK55" i="4"/>
  <c r="BA57" i="4"/>
  <c r="BB54" i="4" l="1"/>
  <c r="BB75" i="4"/>
  <c r="GM63" i="4"/>
  <c r="GL62" i="4"/>
  <c r="GL76" i="4"/>
  <c r="BA203" i="4"/>
  <c r="BA79" i="4"/>
  <c r="AQ65" i="9" s="1"/>
  <c r="AQ60" i="9"/>
  <c r="AQ62" i="9" s="1"/>
  <c r="BA59" i="4"/>
  <c r="GM64" i="4" l="1"/>
  <c r="GM60" i="4" s="1"/>
  <c r="BC201" i="4"/>
  <c r="BB63" i="4"/>
  <c r="BB64" i="4" s="1"/>
  <c r="BB77" i="4"/>
  <c r="AQ64" i="9"/>
  <c r="GK56" i="4"/>
  <c r="BB57" i="4"/>
  <c r="GL55" i="4"/>
  <c r="BC75" i="4" l="1"/>
  <c r="BC54" i="4"/>
  <c r="GN63" i="4"/>
  <c r="GM62" i="4"/>
  <c r="GM76" i="4"/>
  <c r="BB79" i="4"/>
  <c r="AR65" i="9" s="1"/>
  <c r="BB203" i="4"/>
  <c r="AR60" i="9"/>
  <c r="BB59" i="4"/>
  <c r="GL56" i="4" l="1"/>
  <c r="AR64" i="9"/>
  <c r="AR62" i="9"/>
  <c r="GN64" i="4"/>
  <c r="GN60" i="4" s="1"/>
  <c r="BD201" i="4"/>
  <c r="BC57" i="4"/>
  <c r="GM55" i="4"/>
  <c r="BC63" i="4"/>
  <c r="BC64" i="4" s="1"/>
  <c r="BC77" i="4"/>
  <c r="BD75" i="4" l="1"/>
  <c r="BD54" i="4"/>
  <c r="GO63" i="4"/>
  <c r="GN62" i="4"/>
  <c r="GN76" i="4"/>
  <c r="BC203" i="4"/>
  <c r="BC79" i="4"/>
  <c r="AS65" i="9" s="1"/>
  <c r="AS60" i="9"/>
  <c r="BC59" i="4"/>
  <c r="GM56" i="4" l="1"/>
  <c r="AS64" i="9"/>
  <c r="AS62" i="9"/>
  <c r="BD57" i="4"/>
  <c r="GN55" i="4"/>
  <c r="BE201" i="4"/>
  <c r="GO64" i="4"/>
  <c r="GO60" i="4" s="1"/>
  <c r="BD63" i="4"/>
  <c r="BD64" i="4" s="1"/>
  <c r="BD77" i="4"/>
  <c r="BE75" i="4" l="1"/>
  <c r="BE54" i="4"/>
  <c r="GP63" i="4"/>
  <c r="GO62" i="4"/>
  <c r="GO76" i="4"/>
  <c r="BD79" i="4"/>
  <c r="AT65" i="9" s="1"/>
  <c r="BD203" i="4"/>
  <c r="AT60" i="9"/>
  <c r="BD59" i="4"/>
  <c r="GN56" i="4" l="1"/>
  <c r="AT64" i="9"/>
  <c r="AT62" i="9"/>
  <c r="BF201" i="4"/>
  <c r="GP64" i="4"/>
  <c r="GP60" i="4" s="1"/>
  <c r="GO55" i="4"/>
  <c r="BE57" i="4"/>
  <c r="BE63" i="4"/>
  <c r="BE64" i="4" s="1"/>
  <c r="BE77" i="4"/>
  <c r="BF75" i="4" l="1"/>
  <c r="BF54" i="4"/>
  <c r="GQ63" i="4"/>
  <c r="GP62" i="4"/>
  <c r="GP76" i="4"/>
  <c r="BE59" i="4"/>
  <c r="AU60" i="9"/>
  <c r="BE79" i="4"/>
  <c r="AU65" i="9" s="1"/>
  <c r="BE203" i="4"/>
  <c r="AU62" i="9" l="1"/>
  <c r="AU64" i="9"/>
  <c r="GO56" i="4"/>
  <c r="BG201" i="4"/>
  <c r="GQ64" i="4"/>
  <c r="GQ60" i="4" s="1"/>
  <c r="GP55" i="4"/>
  <c r="BF57" i="4"/>
  <c r="BF63" i="4"/>
  <c r="BF64" i="4" s="1"/>
  <c r="BF77" i="4"/>
  <c r="BG75" i="4" l="1"/>
  <c r="BG54" i="4"/>
  <c r="GR63" i="4"/>
  <c r="GQ62" i="4"/>
  <c r="GQ76" i="4"/>
  <c r="BF79" i="4"/>
  <c r="AV65" i="9" s="1"/>
  <c r="BF203" i="4"/>
  <c r="BF59" i="4"/>
  <c r="AV60" i="9"/>
  <c r="AV62" i="9" l="1"/>
  <c r="AV64" i="9"/>
  <c r="GP56" i="4"/>
  <c r="GR64" i="4"/>
  <c r="GR60" i="4" s="1"/>
  <c r="BH201" i="4"/>
  <c r="GQ55" i="4"/>
  <c r="BG57" i="4"/>
  <c r="BG63" i="4"/>
  <c r="BG64" i="4" s="1"/>
  <c r="BG77" i="4"/>
  <c r="BG59" i="4" l="1"/>
  <c r="AW60" i="9"/>
  <c r="AW62" i="9" s="1"/>
  <c r="BG79" i="4"/>
  <c r="AW65" i="9" s="1"/>
  <c r="BG203" i="4"/>
  <c r="BH75" i="4"/>
  <c r="BH54" i="4"/>
  <c r="GS63" i="4"/>
  <c r="GR62" i="4"/>
  <c r="GR76" i="4"/>
  <c r="BI201" i="4" l="1"/>
  <c r="GS64" i="4"/>
  <c r="GS60" i="4" s="1"/>
  <c r="BH57" i="4"/>
  <c r="GR55" i="4"/>
  <c r="BH63" i="4"/>
  <c r="BH64" i="4" s="1"/>
  <c r="BH77" i="4"/>
  <c r="GQ56" i="4"/>
  <c r="AW64" i="9"/>
  <c r="BH203" i="4" l="1"/>
  <c r="BH79" i="4"/>
  <c r="AX65" i="9" s="1"/>
  <c r="AX60" i="9"/>
  <c r="AX62" i="9" s="1"/>
  <c r="BH59" i="4"/>
  <c r="BI54" i="4"/>
  <c r="BI75" i="4"/>
  <c r="GT63" i="4"/>
  <c r="GS62" i="4"/>
  <c r="GS76" i="4"/>
  <c r="GS55" i="4" l="1"/>
  <c r="BI57" i="4"/>
  <c r="GR56" i="4"/>
  <c r="AX64" i="9"/>
  <c r="GT64" i="4"/>
  <c r="GT60" i="4" s="1"/>
  <c r="BJ201" i="4"/>
  <c r="BI77" i="4"/>
  <c r="BI63" i="4"/>
  <c r="BI64" i="4" s="1"/>
  <c r="BI203" i="4" l="1"/>
  <c r="BI79" i="4"/>
  <c r="AY65" i="9" s="1"/>
  <c r="BJ54" i="4"/>
  <c r="BJ75" i="4"/>
  <c r="GU63" i="4"/>
  <c r="GT62" i="4"/>
  <c r="AY60" i="9"/>
  <c r="AY62" i="9" s="1"/>
  <c r="BI59" i="4"/>
  <c r="GT76" i="4"/>
  <c r="BK201" i="4" l="1"/>
  <c r="GU64" i="4"/>
  <c r="GU60" i="4" s="1"/>
  <c r="BJ63" i="4"/>
  <c r="BJ64" i="4" s="1"/>
  <c r="BJ77" i="4"/>
  <c r="BJ57" i="4"/>
  <c r="GT55" i="4"/>
  <c r="AY64" i="9"/>
  <c r="GS56" i="4"/>
  <c r="BK54" i="4" l="1"/>
  <c r="BK75" i="4"/>
  <c r="GV63" i="4"/>
  <c r="GU62" i="4"/>
  <c r="GU76" i="4"/>
  <c r="AZ60" i="9"/>
  <c r="AZ62" i="9" s="1"/>
  <c r="BJ59" i="4"/>
  <c r="BJ79" i="4"/>
  <c r="AZ65" i="9" s="1"/>
  <c r="BJ203" i="4"/>
  <c r="AZ64" i="9" l="1"/>
  <c r="GT56" i="4"/>
  <c r="GV64" i="4"/>
  <c r="GV60" i="4" s="1"/>
  <c r="BL201" i="4"/>
  <c r="BK77" i="4"/>
  <c r="BK63" i="4"/>
  <c r="BK64" i="4" s="1"/>
  <c r="BK57" i="4"/>
  <c r="GU55" i="4"/>
  <c r="BL75" i="4" l="1"/>
  <c r="BL54" i="4"/>
  <c r="GW63" i="4"/>
  <c r="GV62" i="4"/>
  <c r="GV76" i="4"/>
  <c r="BK79" i="4"/>
  <c r="BA65" i="9" s="1"/>
  <c r="BK203" i="4"/>
  <c r="BK59" i="4"/>
  <c r="BA60" i="9"/>
  <c r="BA62" i="9" s="1"/>
  <c r="BA64" i="9" l="1"/>
  <c r="GU56" i="4"/>
  <c r="GW64" i="4"/>
  <c r="GW60" i="4" s="1"/>
  <c r="BM201" i="4"/>
  <c r="BL57" i="4"/>
  <c r="GV55" i="4"/>
  <c r="BL63" i="4"/>
  <c r="BL64" i="4" s="1"/>
  <c r="BL77" i="4"/>
  <c r="BL203" i="4" l="1"/>
  <c r="BL79" i="4"/>
  <c r="BB65" i="9" s="1"/>
  <c r="BB60" i="9"/>
  <c r="BB62" i="9" s="1"/>
  <c r="BL59" i="4"/>
  <c r="BM54" i="4"/>
  <c r="BM75" i="4"/>
  <c r="GX63" i="4"/>
  <c r="GW62" i="4"/>
  <c r="GW76" i="4"/>
  <c r="GX64" i="4" l="1"/>
  <c r="GX60" i="4" s="1"/>
  <c r="BN201" i="4"/>
  <c r="BM77" i="4"/>
  <c r="BM63" i="4"/>
  <c r="BM64" i="4" s="1"/>
  <c r="BM57" i="4"/>
  <c r="GW55" i="4"/>
  <c r="GV56" i="4"/>
  <c r="BB64" i="9"/>
  <c r="BN75" i="4" l="1"/>
  <c r="BN54" i="4"/>
  <c r="GY63" i="4"/>
  <c r="GX62" i="4"/>
  <c r="GX76" i="4"/>
  <c r="BM59" i="4"/>
  <c r="BC60" i="9"/>
  <c r="BC62" i="9" s="1"/>
  <c r="BM203" i="4"/>
  <c r="BM79" i="4"/>
  <c r="BC65" i="9" s="1"/>
  <c r="GY64" i="4" l="1"/>
  <c r="GY60" i="4" s="1"/>
  <c r="GY76" i="4" s="1"/>
  <c r="BO201" i="4"/>
  <c r="GX55" i="4"/>
  <c r="BN57" i="4"/>
  <c r="GW56" i="4"/>
  <c r="BC64" i="9"/>
  <c r="BN63" i="4"/>
  <c r="BN64" i="4" s="1"/>
  <c r="BN77" i="4"/>
  <c r="BN79" i="4" l="1"/>
  <c r="BD65" i="9" s="1"/>
  <c r="BN203" i="4"/>
  <c r="BD60" i="9"/>
  <c r="BN59" i="4"/>
  <c r="BO75" i="4"/>
  <c r="BO54" i="4"/>
  <c r="GZ63" i="4"/>
  <c r="GY62" i="4"/>
  <c r="GY55" i="4" l="1"/>
  <c r="BO57" i="4"/>
  <c r="BD64" i="9"/>
  <c r="GX56" i="4"/>
  <c r="GZ64" i="4"/>
  <c r="GZ60" i="4" s="1"/>
  <c r="BP201" i="4"/>
  <c r="BO77" i="4"/>
  <c r="BO63" i="4"/>
  <c r="BO64" i="4" s="1"/>
  <c r="BD62" i="9"/>
  <c r="BP75" i="4" l="1"/>
  <c r="BP54" i="4"/>
  <c r="HA63" i="4"/>
  <c r="GZ62" i="4"/>
  <c r="GZ76" i="4"/>
  <c r="BO79" i="4"/>
  <c r="BE65" i="9" s="1"/>
  <c r="BO203" i="4"/>
  <c r="BE60" i="9"/>
  <c r="BO59" i="4"/>
  <c r="GZ55" i="4" l="1"/>
  <c r="BP57" i="4"/>
  <c r="BQ201" i="4"/>
  <c r="HA64" i="4"/>
  <c r="HA60" i="4" s="1"/>
  <c r="BP63" i="4"/>
  <c r="BP64" i="4" s="1"/>
  <c r="BP77" i="4"/>
  <c r="BE64" i="9"/>
  <c r="GY56" i="4"/>
  <c r="BE62" i="9"/>
  <c r="BQ75" i="4" l="1"/>
  <c r="BQ54" i="4"/>
  <c r="HB63" i="4"/>
  <c r="HA62" i="4"/>
  <c r="HA76" i="4"/>
  <c r="BP59" i="4"/>
  <c r="BF60" i="9"/>
  <c r="BP203" i="4"/>
  <c r="BP79" i="4"/>
  <c r="BF65" i="9" s="1"/>
  <c r="BF62" i="9" l="1"/>
  <c r="BF64" i="9"/>
  <c r="GZ56" i="4"/>
  <c r="BR201" i="4"/>
  <c r="HB64" i="4"/>
  <c r="HB60" i="4" s="1"/>
  <c r="HB76" i="4" s="1"/>
  <c r="HA55" i="4"/>
  <c r="BQ57" i="4"/>
  <c r="BQ77" i="4"/>
  <c r="BQ63" i="4"/>
  <c r="BQ64" i="4" s="1"/>
  <c r="BQ203" i="4" l="1"/>
  <c r="BQ79" i="4"/>
  <c r="BG65" i="9" s="1"/>
  <c r="BG60" i="9"/>
  <c r="BQ59" i="4"/>
  <c r="BR54" i="4"/>
  <c r="BR75" i="4"/>
  <c r="HC63" i="4"/>
  <c r="HB62" i="4"/>
  <c r="HC64" i="4" l="1"/>
  <c r="HC60" i="4" s="1"/>
  <c r="BS201" i="4"/>
  <c r="BG64" i="9"/>
  <c r="HA56" i="4"/>
  <c r="HB55" i="4"/>
  <c r="BR57" i="4"/>
  <c r="BR63" i="4"/>
  <c r="BR64" i="4" s="1"/>
  <c r="BR77" i="4"/>
  <c r="BG62" i="9"/>
  <c r="BR79" i="4" l="1"/>
  <c r="BH65" i="9" s="1"/>
  <c r="BR203" i="4"/>
  <c r="BH60" i="9"/>
  <c r="BR59" i="4"/>
  <c r="BS75" i="4"/>
  <c r="BS54" i="4"/>
  <c r="HD63" i="4"/>
  <c r="HC62" i="4"/>
  <c r="HC76" i="4"/>
  <c r="BH62" i="9" l="1"/>
  <c r="HC55" i="4"/>
  <c r="BS57" i="4"/>
  <c r="HD64" i="4"/>
  <c r="HD60" i="4" s="1"/>
  <c r="BT201" i="4"/>
  <c r="BS63" i="4"/>
  <c r="BS64" i="4" s="1"/>
  <c r="BS77" i="4"/>
  <c r="BH64" i="9"/>
  <c r="HB56" i="4"/>
  <c r="BT54" i="4" l="1"/>
  <c r="BT75" i="4"/>
  <c r="HE63" i="4"/>
  <c r="HD62" i="4"/>
  <c r="HD76" i="4"/>
  <c r="BS59" i="4"/>
  <c r="BI60" i="9"/>
  <c r="BI62" i="9" s="1"/>
  <c r="BS79" i="4"/>
  <c r="BI65" i="9" s="1"/>
  <c r="BS203" i="4"/>
  <c r="HC56" i="4" l="1"/>
  <c r="BI64" i="9"/>
  <c r="HE64" i="4"/>
  <c r="HE60" i="4" s="1"/>
  <c r="BU201" i="4"/>
  <c r="BT77" i="4"/>
  <c r="BT63" i="4"/>
  <c r="BT64" i="4" s="1"/>
  <c r="BT57" i="4"/>
  <c r="HD55" i="4"/>
  <c r="BU75" i="4" l="1"/>
  <c r="BU54" i="4"/>
  <c r="HF63" i="4"/>
  <c r="HE62" i="4"/>
  <c r="HE76" i="4"/>
  <c r="BJ60" i="9"/>
  <c r="BJ62" i="9" s="1"/>
  <c r="BT59" i="4"/>
  <c r="BT203" i="4"/>
  <c r="BT79" i="4"/>
  <c r="BJ65" i="9" s="1"/>
  <c r="BJ64" i="9" l="1"/>
  <c r="HD56" i="4"/>
  <c r="BV201" i="4"/>
  <c r="HF64" i="4"/>
  <c r="HF60" i="4" s="1"/>
  <c r="HE55" i="4"/>
  <c r="BU57" i="4"/>
  <c r="BU63" i="4"/>
  <c r="BU64" i="4" s="1"/>
  <c r="BU77" i="4"/>
  <c r="BU79" i="4" l="1"/>
  <c r="BK65" i="9" s="1"/>
  <c r="BU203" i="4"/>
  <c r="BU59" i="4"/>
  <c r="BK60" i="9"/>
  <c r="BK62" i="9" s="1"/>
  <c r="BV75" i="4"/>
  <c r="BV54" i="4"/>
  <c r="HG63" i="4"/>
  <c r="HF62" i="4"/>
  <c r="HF76" i="4"/>
  <c r="HG64" i="4" l="1"/>
  <c r="HG60" i="4" s="1"/>
  <c r="BW201" i="4"/>
  <c r="BV57" i="4"/>
  <c r="HF55" i="4"/>
  <c r="BV77" i="4"/>
  <c r="BV63" i="4"/>
  <c r="BV64" i="4" s="1"/>
  <c r="BK64" i="9"/>
  <c r="HE56" i="4"/>
  <c r="BV203" i="4" l="1"/>
  <c r="BV79" i="4"/>
  <c r="BL65" i="9" s="1"/>
  <c r="BL60" i="9"/>
  <c r="BL62" i="9" s="1"/>
  <c r="BV59" i="4"/>
  <c r="BW75" i="4"/>
  <c r="BW54" i="4"/>
  <c r="HH63" i="4"/>
  <c r="HG62" i="4"/>
  <c r="HG76" i="4"/>
  <c r="HH64" i="4" l="1"/>
  <c r="HH60" i="4" s="1"/>
  <c r="BX201" i="4"/>
  <c r="HG55" i="4"/>
  <c r="BW57" i="4"/>
  <c r="BW77" i="4"/>
  <c r="BW63" i="4"/>
  <c r="BW64" i="4" s="1"/>
  <c r="HF56" i="4"/>
  <c r="BL64" i="9"/>
  <c r="BX75" i="4" l="1"/>
  <c r="BX54" i="4"/>
  <c r="HI63" i="4"/>
  <c r="HH62" i="4"/>
  <c r="HH76" i="4"/>
  <c r="BW79" i="4"/>
  <c r="BM65" i="9" s="1"/>
  <c r="BW203" i="4"/>
  <c r="BW59" i="4"/>
  <c r="BM60" i="9"/>
  <c r="BM62" i="9" s="1"/>
  <c r="HG56" i="4" l="1"/>
  <c r="BM64" i="9"/>
  <c r="HI64" i="4"/>
  <c r="HI60" i="4" s="1"/>
  <c r="BY201" i="4"/>
  <c r="HH55" i="4"/>
  <c r="BX57" i="4"/>
  <c r="BX77" i="4"/>
  <c r="BX63" i="4"/>
  <c r="BX64" i="4" s="1"/>
  <c r="BX79" i="4" l="1"/>
  <c r="BN65" i="9" s="1"/>
  <c r="BX203" i="4"/>
  <c r="BX59" i="4"/>
  <c r="BN60" i="9"/>
  <c r="BN62" i="9" s="1"/>
  <c r="BY75" i="4"/>
  <c r="BY54" i="4"/>
  <c r="HJ63" i="4"/>
  <c r="BZ201" i="4" s="1"/>
  <c r="HI62" i="4"/>
  <c r="HI76" i="4"/>
  <c r="HJ64" i="4" l="1"/>
  <c r="HJ60" i="4" s="1"/>
  <c r="BY63" i="4"/>
  <c r="BY64" i="4" s="1"/>
  <c r="BY77" i="4"/>
  <c r="HI55" i="4"/>
  <c r="BY57" i="4"/>
  <c r="HH56" i="4"/>
  <c r="BN64" i="9"/>
  <c r="BY79" i="4" l="1"/>
  <c r="BO65" i="9" s="1"/>
  <c r="BY203" i="4"/>
  <c r="BZ75" i="4"/>
  <c r="BZ54" i="4"/>
  <c r="HK63" i="4"/>
  <c r="CA201" i="4" s="1"/>
  <c r="HJ62" i="4"/>
  <c r="BY59" i="4"/>
  <c r="BO60" i="9"/>
  <c r="HJ76" i="4"/>
  <c r="BO62" i="9" l="1"/>
  <c r="H13" i="9"/>
  <c r="I13" i="9"/>
  <c r="J13" i="9"/>
  <c r="K13" i="9"/>
  <c r="L13" i="9"/>
  <c r="BO64" i="9"/>
  <c r="HI56" i="4"/>
  <c r="BZ57" i="4"/>
  <c r="HJ55" i="4"/>
  <c r="HK64" i="4"/>
  <c r="HK60" i="4" s="1"/>
  <c r="BZ63" i="4"/>
  <c r="BZ64" i="4" s="1"/>
  <c r="BZ77" i="4"/>
  <c r="H18" i="9"/>
  <c r="I18" i="9"/>
  <c r="J18" i="9"/>
  <c r="K18" i="9"/>
  <c r="L18" i="9"/>
  <c r="BZ79" i="4" l="1"/>
  <c r="BP65" i="9" s="1"/>
  <c r="BZ203" i="4"/>
  <c r="BZ59" i="4"/>
  <c r="BP64" i="9" s="1"/>
  <c r="BP60" i="9"/>
  <c r="CA54" i="4"/>
  <c r="CA75" i="4"/>
  <c r="HL63" i="4"/>
  <c r="CB201" i="4" s="1"/>
  <c r="HK62" i="4"/>
  <c r="HK76" i="4"/>
  <c r="H17" i="9"/>
  <c r="I17" i="9"/>
  <c r="J17" i="9"/>
  <c r="K17" i="9"/>
  <c r="L17" i="9"/>
  <c r="H15" i="9"/>
  <c r="I15" i="9"/>
  <c r="J15" i="9"/>
  <c r="K15" i="9"/>
  <c r="L15" i="9"/>
  <c r="HJ56" i="4" l="1"/>
  <c r="BP62" i="9"/>
  <c r="HL64" i="4"/>
  <c r="HL60" i="4" s="1"/>
  <c r="CA77" i="4"/>
  <c r="CA63" i="4"/>
  <c r="CA64" i="4" s="1"/>
  <c r="HK55" i="4"/>
  <c r="CA57" i="4"/>
  <c r="CA79" i="4" l="1"/>
  <c r="BQ65" i="9" s="1"/>
  <c r="CA203" i="4"/>
  <c r="CA59" i="4"/>
  <c r="BQ64" i="9" s="1"/>
  <c r="BQ60" i="9"/>
  <c r="CB54" i="4"/>
  <c r="CB75" i="4"/>
  <c r="HM63" i="4"/>
  <c r="CC201" i="4" s="1"/>
  <c r="HL62" i="4"/>
  <c r="HL76" i="4"/>
  <c r="HK56" i="4" l="1"/>
  <c r="BQ62" i="9"/>
  <c r="HM64" i="4"/>
  <c r="HM60" i="4" s="1"/>
  <c r="CB63" i="4"/>
  <c r="CB64" i="4" s="1"/>
  <c r="CB77" i="4"/>
  <c r="HL55" i="4"/>
  <c r="CB57" i="4"/>
  <c r="CB79" i="4" l="1"/>
  <c r="BR65" i="9" s="1"/>
  <c r="CB203" i="4"/>
  <c r="CB59" i="4"/>
  <c r="BR64" i="9" s="1"/>
  <c r="BR60" i="9"/>
  <c r="CC54" i="4"/>
  <c r="CC75" i="4"/>
  <c r="HN63" i="4"/>
  <c r="CD201" i="4" s="1"/>
  <c r="HM62" i="4"/>
  <c r="HM76" i="4"/>
  <c r="HL56" i="4" l="1"/>
  <c r="BR62" i="9"/>
  <c r="HN64" i="4"/>
  <c r="HN60" i="4" s="1"/>
  <c r="CC77" i="4"/>
  <c r="CC63" i="4"/>
  <c r="CC64" i="4" s="1"/>
  <c r="CC57" i="4"/>
  <c r="HM55" i="4"/>
  <c r="CC79" i="4" l="1"/>
  <c r="BS65" i="9" s="1"/>
  <c r="CC203" i="4"/>
  <c r="CC59" i="4"/>
  <c r="BS64" i="9" s="1"/>
  <c r="BS60" i="9"/>
  <c r="CD75" i="4"/>
  <c r="CD54" i="4"/>
  <c r="HO63" i="4"/>
  <c r="CE201" i="4" s="1"/>
  <c r="HN62" i="4"/>
  <c r="HN76" i="4"/>
  <c r="HM56" i="4" l="1"/>
  <c r="BS62" i="9"/>
  <c r="HO64" i="4"/>
  <c r="HO60" i="4" s="1"/>
  <c r="HN55" i="4"/>
  <c r="CD57" i="4"/>
  <c r="CD77" i="4"/>
  <c r="CD63" i="4"/>
  <c r="CD64" i="4" s="1"/>
  <c r="CD79" i="4" l="1"/>
  <c r="BT65" i="9" s="1"/>
  <c r="CD203" i="4"/>
  <c r="CD59" i="4"/>
  <c r="BT64" i="9" s="1"/>
  <c r="BT60" i="9"/>
  <c r="CE75" i="4"/>
  <c r="CE54" i="4"/>
  <c r="HP63" i="4"/>
  <c r="CF201" i="4" s="1"/>
  <c r="HO62" i="4"/>
  <c r="HO76" i="4"/>
  <c r="HN56" i="4" l="1"/>
  <c r="BT62" i="9"/>
  <c r="CE77" i="4"/>
  <c r="CE63" i="4"/>
  <c r="CE64" i="4" s="1"/>
  <c r="HP64" i="4"/>
  <c r="HP60" i="4" s="1"/>
  <c r="CE57" i="4"/>
  <c r="HO55" i="4"/>
  <c r="CE59" i="4" l="1"/>
  <c r="BU64" i="9" s="1"/>
  <c r="BU60" i="9"/>
  <c r="BU62" i="9" s="1"/>
  <c r="CE79" i="4"/>
  <c r="BU65" i="9" s="1"/>
  <c r="CE203" i="4"/>
  <c r="CF54" i="4"/>
  <c r="CF75" i="4"/>
  <c r="HQ63" i="4"/>
  <c r="CG201" i="4" s="1"/>
  <c r="HP62" i="4"/>
  <c r="HP76" i="4"/>
  <c r="HO56" i="4" l="1"/>
  <c r="HQ64" i="4"/>
  <c r="HQ60" i="4" s="1"/>
  <c r="CF63" i="4"/>
  <c r="CF64" i="4" s="1"/>
  <c r="CF77" i="4"/>
  <c r="CF57" i="4"/>
  <c r="HP55" i="4"/>
  <c r="CF59" i="4" l="1"/>
  <c r="BV64" i="9" s="1"/>
  <c r="BV60" i="9"/>
  <c r="BV62" i="9" s="1"/>
  <c r="CF79" i="4"/>
  <c r="BV65" i="9" s="1"/>
  <c r="CF203" i="4"/>
  <c r="CG54" i="4"/>
  <c r="CG75" i="4"/>
  <c r="HR63" i="4"/>
  <c r="CH201" i="4" s="1"/>
  <c r="HQ62" i="4"/>
  <c r="HQ76" i="4"/>
  <c r="HP56" i="4" l="1"/>
  <c r="HR64" i="4"/>
  <c r="HR60" i="4" s="1"/>
  <c r="CG77" i="4"/>
  <c r="CG63" i="4"/>
  <c r="CG64" i="4" s="1"/>
  <c r="HQ55" i="4"/>
  <c r="CG57" i="4"/>
  <c r="CG59" i="4" l="1"/>
  <c r="BW64" i="9" s="1"/>
  <c r="BW60" i="9"/>
  <c r="BW62" i="9" s="1"/>
  <c r="CG79" i="4"/>
  <c r="BW65" i="9" s="1"/>
  <c r="CG203" i="4"/>
  <c r="CH75" i="4"/>
  <c r="CH54" i="4"/>
  <c r="HS63" i="4"/>
  <c r="CI201" i="4" s="1"/>
  <c r="HR62" i="4"/>
  <c r="HR76" i="4"/>
  <c r="HQ56" i="4" l="1"/>
  <c r="HS64" i="4"/>
  <c r="HS60" i="4" s="1"/>
  <c r="HR55" i="4"/>
  <c r="CH57" i="4"/>
  <c r="CH63" i="4"/>
  <c r="CH64" i="4" s="1"/>
  <c r="CH77" i="4"/>
  <c r="CH79" i="4" l="1"/>
  <c r="BX65" i="9" s="1"/>
  <c r="CH203" i="4"/>
  <c r="CH59" i="4"/>
  <c r="BX64" i="9" s="1"/>
  <c r="BX60" i="9"/>
  <c r="BX62" i="9" s="1"/>
  <c r="CI75" i="4"/>
  <c r="CI54" i="4"/>
  <c r="HT63" i="4"/>
  <c r="CJ201" i="4" s="1"/>
  <c r="HS62" i="4"/>
  <c r="HS76" i="4"/>
  <c r="HR56" i="4" l="1"/>
  <c r="HT64" i="4"/>
  <c r="HT60" i="4" s="1"/>
  <c r="HS55" i="4"/>
  <c r="CI57" i="4"/>
  <c r="CI63" i="4"/>
  <c r="CI64" i="4" s="1"/>
  <c r="CI77" i="4"/>
  <c r="CI79" i="4" l="1"/>
  <c r="BY65" i="9" s="1"/>
  <c r="CI203" i="4"/>
  <c r="CI59" i="4"/>
  <c r="BY64" i="9" s="1"/>
  <c r="BY60" i="9"/>
  <c r="BY62" i="9" s="1"/>
  <c r="CJ75" i="4"/>
  <c r="CJ54" i="4"/>
  <c r="HU63" i="4"/>
  <c r="CK201" i="4" s="1"/>
  <c r="HT62" i="4"/>
  <c r="HT76" i="4"/>
  <c r="HS56" i="4" l="1"/>
  <c r="HU64" i="4"/>
  <c r="HU60" i="4" s="1"/>
  <c r="HT55" i="4"/>
  <c r="CJ57" i="4"/>
  <c r="CJ77" i="4"/>
  <c r="CJ63" i="4"/>
  <c r="CJ64" i="4" s="1"/>
  <c r="CJ79" i="4" l="1"/>
  <c r="BZ65" i="9" s="1"/>
  <c r="CJ203" i="4"/>
  <c r="CJ59" i="4"/>
  <c r="BZ64" i="9" s="1"/>
  <c r="BZ60" i="9"/>
  <c r="BZ62" i="9" s="1"/>
  <c r="CK75" i="4"/>
  <c r="CK54" i="4"/>
  <c r="HV63" i="4"/>
  <c r="CL201" i="4" s="1"/>
  <c r="HU62" i="4"/>
  <c r="HU76" i="4"/>
  <c r="HT56" i="4" l="1"/>
  <c r="HV64" i="4"/>
  <c r="HV60" i="4" s="1"/>
  <c r="CK57" i="4"/>
  <c r="HU55" i="4"/>
  <c r="CK63" i="4"/>
  <c r="CK64" i="4" s="1"/>
  <c r="CK77" i="4"/>
  <c r="CK79" i="4" l="1"/>
  <c r="CA65" i="9" s="1"/>
  <c r="CK203" i="4"/>
  <c r="CK59" i="4"/>
  <c r="CA64" i="9" s="1"/>
  <c r="CA60" i="9"/>
  <c r="CA62" i="9" s="1"/>
  <c r="CL54" i="4"/>
  <c r="CL75" i="4"/>
  <c r="HW63" i="4"/>
  <c r="CM201" i="4" s="1"/>
  <c r="HV62" i="4"/>
  <c r="HV76" i="4"/>
  <c r="HU56" i="4" l="1"/>
  <c r="CL77" i="4"/>
  <c r="CL63" i="4"/>
  <c r="CL64" i="4" s="1"/>
  <c r="HW64" i="4"/>
  <c r="HW60" i="4" s="1"/>
  <c r="HV55" i="4"/>
  <c r="CL57" i="4"/>
  <c r="CL59" i="4" l="1"/>
  <c r="CB64" i="9" s="1"/>
  <c r="CB60" i="9"/>
  <c r="CL79" i="4"/>
  <c r="CB65" i="9" s="1"/>
  <c r="CL203" i="4"/>
  <c r="CM54" i="4"/>
  <c r="CM75" i="4"/>
  <c r="HX63" i="4"/>
  <c r="CN201" i="4" s="1"/>
  <c r="HW62" i="4"/>
  <c r="HW76" i="4"/>
  <c r="HV56" i="4" l="1"/>
  <c r="CB62" i="9"/>
  <c r="HX64" i="4"/>
  <c r="HX60" i="4" s="1"/>
  <c r="HX76" i="4" s="1"/>
  <c r="CM63" i="4"/>
  <c r="CM64" i="4" s="1"/>
  <c r="CM77" i="4"/>
  <c r="CM57" i="4"/>
  <c r="HW55" i="4"/>
  <c r="CM59" i="4" l="1"/>
  <c r="CC64" i="9" s="1"/>
  <c r="CC60" i="9"/>
  <c r="CM79" i="4"/>
  <c r="CC65" i="9" s="1"/>
  <c r="CM203" i="4"/>
  <c r="CN75" i="4"/>
  <c r="CN54" i="4"/>
  <c r="HY63" i="4"/>
  <c r="CO201" i="4" s="1"/>
  <c r="HX62" i="4"/>
  <c r="HW56" i="4" l="1"/>
  <c r="CC62" i="9"/>
  <c r="CN63" i="4"/>
  <c r="CN64" i="4" s="1"/>
  <c r="CN77" i="4"/>
  <c r="CN57" i="4"/>
  <c r="HX55" i="4"/>
  <c r="HY64" i="4"/>
  <c r="HY60" i="4" s="1"/>
  <c r="CN79" i="4" l="1"/>
  <c r="CD65" i="9" s="1"/>
  <c r="CN203" i="4"/>
  <c r="CN59" i="4"/>
  <c r="CD64" i="9" s="1"/>
  <c r="CD60" i="9"/>
  <c r="CO75" i="4"/>
  <c r="CO54" i="4"/>
  <c r="HZ63" i="4"/>
  <c r="CP201" i="4" s="1"/>
  <c r="HY62" i="4"/>
  <c r="HY76" i="4"/>
  <c r="HX56" i="4" l="1"/>
  <c r="CD62" i="9"/>
  <c r="HZ64" i="4"/>
  <c r="HZ60" i="4" s="1"/>
  <c r="HZ76" i="4" s="1"/>
  <c r="CO57" i="4"/>
  <c r="HY55" i="4"/>
  <c r="CO77" i="4"/>
  <c r="CO63" i="4"/>
  <c r="CO64" i="4" s="1"/>
  <c r="CO79" i="4" l="1"/>
  <c r="CE65" i="9" s="1"/>
  <c r="CO203" i="4"/>
  <c r="CO59" i="4"/>
  <c r="CE64" i="9" s="1"/>
  <c r="CE60" i="9"/>
  <c r="CP75" i="4"/>
  <c r="CP54" i="4"/>
  <c r="IA63" i="4"/>
  <c r="CQ201" i="4" s="1"/>
  <c r="HZ62" i="4"/>
  <c r="HY56" i="4" l="1"/>
  <c r="CE62" i="9"/>
  <c r="IA64" i="4"/>
  <c r="IA60" i="4" s="1"/>
  <c r="CP63" i="4"/>
  <c r="CP64" i="4" s="1"/>
  <c r="CP77" i="4"/>
  <c r="CP57" i="4"/>
  <c r="HZ55" i="4"/>
  <c r="CP59" i="4" l="1"/>
  <c r="CF64" i="9" s="1"/>
  <c r="CF60" i="9"/>
  <c r="CP79" i="4"/>
  <c r="CF65" i="9" s="1"/>
  <c r="CP203" i="4"/>
  <c r="CQ54" i="4"/>
  <c r="CQ75" i="4"/>
  <c r="IB63" i="4"/>
  <c r="CR201" i="4" s="1"/>
  <c r="IA62" i="4"/>
  <c r="IA76" i="4"/>
  <c r="HZ56" i="4" l="1"/>
  <c r="CF62" i="9"/>
  <c r="IB64" i="4"/>
  <c r="IB60" i="4" s="1"/>
  <c r="CQ63" i="4"/>
  <c r="CQ64" i="4" s="1"/>
  <c r="CQ77" i="4"/>
  <c r="CQ57" i="4"/>
  <c r="IA55" i="4"/>
  <c r="CQ59" i="4" l="1"/>
  <c r="CG64" i="9" s="1"/>
  <c r="CG60" i="9"/>
  <c r="CG62" i="9" s="1"/>
  <c r="CQ79" i="4"/>
  <c r="CG65" i="9" s="1"/>
  <c r="CQ203" i="4"/>
  <c r="CR75" i="4"/>
  <c r="CR54" i="4"/>
  <c r="IC63" i="4"/>
  <c r="CS201" i="4" s="1"/>
  <c r="IB62" i="4"/>
  <c r="IB76" i="4"/>
  <c r="IA56" i="4" l="1"/>
  <c r="IC64" i="4"/>
  <c r="IC60" i="4" s="1"/>
  <c r="CR57" i="4"/>
  <c r="IB55" i="4"/>
  <c r="CR77" i="4"/>
  <c r="CR63" i="4"/>
  <c r="CR64" i="4" s="1"/>
  <c r="CR79" i="4" l="1"/>
  <c r="CH65" i="9" s="1"/>
  <c r="CR203" i="4"/>
  <c r="CR59" i="4"/>
  <c r="CH64" i="9" s="1"/>
  <c r="CH60" i="9"/>
  <c r="CH62" i="9" s="1"/>
  <c r="CS75" i="4"/>
  <c r="CS54" i="4"/>
  <c r="ID63" i="4"/>
  <c r="CT201" i="4" s="1"/>
  <c r="IC62" i="4"/>
  <c r="IC76" i="4"/>
  <c r="IB56" i="4" l="1"/>
  <c r="ID64" i="4"/>
  <c r="ID60" i="4" s="1"/>
  <c r="IC55" i="4"/>
  <c r="CS57" i="4"/>
  <c r="CS77" i="4"/>
  <c r="CS63" i="4"/>
  <c r="CS64" i="4" s="1"/>
  <c r="CS79" i="4" l="1"/>
  <c r="CI65" i="9" s="1"/>
  <c r="CS203" i="4"/>
  <c r="CS59" i="4"/>
  <c r="CI64" i="9" s="1"/>
  <c r="CI60" i="9"/>
  <c r="CI62" i="9" s="1"/>
  <c r="CT75" i="4"/>
  <c r="CT54" i="4"/>
  <c r="IE63" i="4"/>
  <c r="CU201" i="4" s="1"/>
  <c r="ID62" i="4"/>
  <c r="ID76" i="4"/>
  <c r="IC56" i="4" l="1"/>
  <c r="IE64" i="4"/>
  <c r="IE60" i="4" s="1"/>
  <c r="CT57" i="4"/>
  <c r="ID55" i="4"/>
  <c r="CT77" i="4"/>
  <c r="CT63" i="4"/>
  <c r="CT64" i="4" s="1"/>
  <c r="CT79" i="4" l="1"/>
  <c r="CJ65" i="9" s="1"/>
  <c r="CT203" i="4"/>
  <c r="CT59" i="4"/>
  <c r="CJ64" i="9" s="1"/>
  <c r="CJ60" i="9"/>
  <c r="CJ62" i="9" s="1"/>
  <c r="CU54" i="4"/>
  <c r="CU75" i="4"/>
  <c r="IF63" i="4"/>
  <c r="CV201" i="4" s="1"/>
  <c r="IE62" i="4"/>
  <c r="IE76" i="4"/>
  <c r="ID56" i="4" l="1"/>
  <c r="IF64" i="4"/>
  <c r="IF60" i="4" s="1"/>
  <c r="CU63" i="4"/>
  <c r="CU64" i="4" s="1"/>
  <c r="CU77" i="4"/>
  <c r="CU57" i="4"/>
  <c r="IE55" i="4"/>
  <c r="CU59" i="4" l="1"/>
  <c r="CK64" i="9" s="1"/>
  <c r="CK60" i="9"/>
  <c r="CK62" i="9" s="1"/>
  <c r="CU79" i="4"/>
  <c r="CK65" i="9" s="1"/>
  <c r="CU203" i="4"/>
  <c r="CV54" i="4"/>
  <c r="CV75" i="4"/>
  <c r="IG63" i="4"/>
  <c r="CW201" i="4" s="1"/>
  <c r="IF62" i="4"/>
  <c r="IF76" i="4"/>
  <c r="IE56" i="4" l="1"/>
  <c r="IG64" i="4"/>
  <c r="IG60" i="4" s="1"/>
  <c r="CV63" i="4"/>
  <c r="CV64" i="4" s="1"/>
  <c r="CV77" i="4"/>
  <c r="IF55" i="4"/>
  <c r="CV57" i="4"/>
  <c r="CV59" i="4" l="1"/>
  <c r="CL64" i="9" s="1"/>
  <c r="CL60" i="9"/>
  <c r="CL62" i="9" s="1"/>
  <c r="CV79" i="4"/>
  <c r="CL65" i="9" s="1"/>
  <c r="CV203" i="4"/>
  <c r="CW75" i="4"/>
  <c r="CW54" i="4"/>
  <c r="IH63" i="4"/>
  <c r="CX201" i="4" s="1"/>
  <c r="IG62" i="4"/>
  <c r="IG76" i="4"/>
  <c r="IF56" i="4" l="1"/>
  <c r="IH64" i="4"/>
  <c r="IH60" i="4" s="1"/>
  <c r="IH76" i="4" s="1"/>
  <c r="CW63" i="4"/>
  <c r="CW64" i="4" s="1"/>
  <c r="CW77" i="4"/>
  <c r="CW57" i="4"/>
  <c r="IG55" i="4"/>
  <c r="CW79" i="4" l="1"/>
  <c r="CM65" i="9" s="1"/>
  <c r="CW203" i="4"/>
  <c r="CW59" i="4"/>
  <c r="CM64" i="9" s="1"/>
  <c r="CM60" i="9"/>
  <c r="CM62" i="9" s="1"/>
  <c r="CX54" i="4"/>
  <c r="CX75" i="4"/>
  <c r="II63" i="4"/>
  <c r="CY201" i="4" s="1"/>
  <c r="IH62" i="4"/>
  <c r="IG56" i="4" l="1"/>
  <c r="II64" i="4"/>
  <c r="II60" i="4" s="1"/>
  <c r="CX77" i="4"/>
  <c r="CX63" i="4"/>
  <c r="CX64" i="4" s="1"/>
  <c r="IH55" i="4"/>
  <c r="CX57" i="4"/>
  <c r="CX59" i="4" l="1"/>
  <c r="CN64" i="9" s="1"/>
  <c r="CN60" i="9"/>
  <c r="CX79" i="4"/>
  <c r="CN65" i="9" s="1"/>
  <c r="CX203" i="4"/>
  <c r="CY54" i="4"/>
  <c r="CY75" i="4"/>
  <c r="IJ63" i="4"/>
  <c r="CZ201" i="4" s="1"/>
  <c r="II62" i="4"/>
  <c r="II76" i="4"/>
  <c r="IH56" i="4" l="1"/>
  <c r="CN62" i="9"/>
  <c r="IJ64" i="4"/>
  <c r="IJ60" i="4" s="1"/>
  <c r="IJ76" i="4" s="1"/>
  <c r="CY57" i="4"/>
  <c r="II55" i="4"/>
  <c r="CY63" i="4"/>
  <c r="CY64" i="4" s="1"/>
  <c r="CY77" i="4"/>
  <c r="CY79" i="4" l="1"/>
  <c r="CO65" i="9" s="1"/>
  <c r="CY203" i="4"/>
  <c r="CY59" i="4"/>
  <c r="CO64" i="9" s="1"/>
  <c r="CO60" i="9"/>
  <c r="CZ54" i="4"/>
  <c r="CZ75" i="4"/>
  <c r="IK63" i="4"/>
  <c r="DA201" i="4" s="1"/>
  <c r="IJ62" i="4"/>
  <c r="II56" i="4" l="1"/>
  <c r="CO62" i="9"/>
  <c r="IK64" i="4"/>
  <c r="IK60" i="4" s="1"/>
  <c r="CZ63" i="4"/>
  <c r="CZ64" i="4" s="1"/>
  <c r="CZ77" i="4"/>
  <c r="IJ55" i="4"/>
  <c r="CZ57" i="4"/>
  <c r="CZ59" i="4" l="1"/>
  <c r="CP64" i="9" s="1"/>
  <c r="CP60" i="9"/>
  <c r="CZ79" i="4"/>
  <c r="CP65" i="9" s="1"/>
  <c r="CZ203" i="4"/>
  <c r="DA54" i="4"/>
  <c r="DA75" i="4"/>
  <c r="IL63" i="4"/>
  <c r="DB201" i="4" s="1"/>
  <c r="IK62" i="4"/>
  <c r="IK76" i="4"/>
  <c r="IJ56" i="4" l="1"/>
  <c r="CP62" i="9"/>
  <c r="IL64" i="4"/>
  <c r="IL60" i="4" s="1"/>
  <c r="IL76" i="4" s="1"/>
  <c r="DA77" i="4"/>
  <c r="DA63" i="4"/>
  <c r="DA64" i="4" s="1"/>
  <c r="DA57" i="4"/>
  <c r="IK55" i="4"/>
  <c r="DA59" i="4" l="1"/>
  <c r="CQ64" i="9" s="1"/>
  <c r="CQ60" i="9"/>
  <c r="DA79" i="4"/>
  <c r="CQ65" i="9" s="1"/>
  <c r="DA203" i="4"/>
  <c r="DB54" i="4"/>
  <c r="DB75" i="4"/>
  <c r="IM63" i="4"/>
  <c r="DC201" i="4" s="1"/>
  <c r="IL62" i="4"/>
  <c r="IK56" i="4" l="1"/>
  <c r="CQ62" i="9"/>
  <c r="IL55" i="4"/>
  <c r="DB57" i="4"/>
  <c r="IM64" i="4"/>
  <c r="IM60" i="4" s="1"/>
  <c r="DB77" i="4"/>
  <c r="DB63" i="4"/>
  <c r="DB64" i="4" s="1"/>
  <c r="DB79" i="4" l="1"/>
  <c r="CR65" i="9" s="1"/>
  <c r="DB203" i="4"/>
  <c r="DB59" i="4"/>
  <c r="CR64" i="9" s="1"/>
  <c r="CR60" i="9"/>
  <c r="DC75" i="4"/>
  <c r="DC54" i="4"/>
  <c r="IN63" i="4"/>
  <c r="DD201" i="4" s="1"/>
  <c r="IM62" i="4"/>
  <c r="IM76" i="4"/>
  <c r="IL56" i="4" l="1"/>
  <c r="CR62" i="9"/>
  <c r="IN64" i="4"/>
  <c r="IN60" i="4" s="1"/>
  <c r="IM55" i="4"/>
  <c r="DC57" i="4"/>
  <c r="DC63" i="4"/>
  <c r="DC64" i="4" s="1"/>
  <c r="DC77" i="4"/>
  <c r="DC59" i="4" l="1"/>
  <c r="CS64" i="9" s="1"/>
  <c r="CS60" i="9"/>
  <c r="CS62" i="9" s="1"/>
  <c r="DC79" i="4"/>
  <c r="CS65" i="9" s="1"/>
  <c r="DC203" i="4"/>
  <c r="DD54" i="4"/>
  <c r="DD75" i="4"/>
  <c r="IO63" i="4"/>
  <c r="DE201" i="4" s="1"/>
  <c r="IN62" i="4"/>
  <c r="IN76" i="4"/>
  <c r="IM56" i="4" l="1"/>
  <c r="IO64" i="4"/>
  <c r="IO60" i="4" s="1"/>
  <c r="DD63" i="4"/>
  <c r="DD64" i="4" s="1"/>
  <c r="DD77" i="4"/>
  <c r="IN55" i="4"/>
  <c r="DD57" i="4"/>
  <c r="DD79" i="4" l="1"/>
  <c r="CT65" i="9" s="1"/>
  <c r="DD203" i="4"/>
  <c r="DD59" i="4"/>
  <c r="CT64" i="9" s="1"/>
  <c r="CT60" i="9"/>
  <c r="CT62" i="9" s="1"/>
  <c r="DE54" i="4"/>
  <c r="DE75" i="4"/>
  <c r="IP63" i="4"/>
  <c r="DF201" i="4" s="1"/>
  <c r="IO62" i="4"/>
  <c r="IO76" i="4"/>
  <c r="IN56" i="4" l="1"/>
  <c r="IP64" i="4"/>
  <c r="IP60" i="4" s="1"/>
  <c r="DE77" i="4"/>
  <c r="DE63" i="4"/>
  <c r="DE64" i="4" s="1"/>
  <c r="IO55" i="4"/>
  <c r="DE57" i="4"/>
  <c r="DE59" i="4" l="1"/>
  <c r="CU64" i="9" s="1"/>
  <c r="CU60" i="9"/>
  <c r="CU62" i="9" s="1"/>
  <c r="DE79" i="4"/>
  <c r="CU65" i="9" s="1"/>
  <c r="DE203" i="4"/>
  <c r="DF75" i="4"/>
  <c r="DF54" i="4"/>
  <c r="IQ63" i="4"/>
  <c r="DG201" i="4" s="1"/>
  <c r="IP62" i="4"/>
  <c r="IP76" i="4"/>
  <c r="IO56" i="4" l="1"/>
  <c r="IQ64" i="4"/>
  <c r="IQ60" i="4" s="1"/>
  <c r="DF57" i="4"/>
  <c r="IP55" i="4"/>
  <c r="DF77" i="4"/>
  <c r="DF63" i="4"/>
  <c r="DF64" i="4" s="1"/>
  <c r="DF79" i="4" l="1"/>
  <c r="CV65" i="9" s="1"/>
  <c r="DF203" i="4"/>
  <c r="DF59" i="4"/>
  <c r="CV64" i="9" s="1"/>
  <c r="CV60" i="9"/>
  <c r="CV62" i="9" s="1"/>
  <c r="DG54" i="4"/>
  <c r="DG75" i="4"/>
  <c r="IR63" i="4"/>
  <c r="DH201" i="4" s="1"/>
  <c r="IQ62" i="4"/>
  <c r="IQ76" i="4"/>
  <c r="IP56" i="4" l="1"/>
  <c r="IR64" i="4"/>
  <c r="IR60" i="4" s="1"/>
  <c r="DG77" i="4"/>
  <c r="DG63" i="4"/>
  <c r="DG64" i="4" s="1"/>
  <c r="IQ55" i="4"/>
  <c r="DG57" i="4"/>
  <c r="DG59" i="4" l="1"/>
  <c r="CW64" i="9" s="1"/>
  <c r="CW60" i="9"/>
  <c r="CW62" i="9" s="1"/>
  <c r="DG79" i="4"/>
  <c r="CW65" i="9" s="1"/>
  <c r="DG203" i="4"/>
  <c r="DH54" i="4"/>
  <c r="DH75" i="4"/>
  <c r="IS63" i="4"/>
  <c r="DI201" i="4" s="1"/>
  <c r="IR62" i="4"/>
  <c r="IR76" i="4"/>
  <c r="IQ56" i="4" l="1"/>
  <c r="IS64" i="4"/>
  <c r="IS60" i="4" s="1"/>
  <c r="DH77" i="4"/>
  <c r="DH63" i="4"/>
  <c r="DH64" i="4" s="1"/>
  <c r="DH57" i="4"/>
  <c r="IR55" i="4"/>
  <c r="DH59" i="4" l="1"/>
  <c r="CX64" i="9" s="1"/>
  <c r="CX60" i="9"/>
  <c r="CX62" i="9" s="1"/>
  <c r="DH79" i="4"/>
  <c r="CX65" i="9" s="1"/>
  <c r="DH203" i="4"/>
  <c r="DI75" i="4"/>
  <c r="DI54" i="4"/>
  <c r="IT63" i="4"/>
  <c r="DJ201" i="4" s="1"/>
  <c r="IS62" i="4"/>
  <c r="IS76" i="4"/>
  <c r="IR56" i="4" l="1"/>
  <c r="IT64" i="4"/>
  <c r="IT60" i="4" s="1"/>
  <c r="IT76" i="4" s="1"/>
  <c r="DI57" i="4"/>
  <c r="IS55" i="4"/>
  <c r="DI77" i="4"/>
  <c r="DI63" i="4"/>
  <c r="DI64" i="4" s="1"/>
  <c r="DI79" i="4" l="1"/>
  <c r="CY65" i="9" s="1"/>
  <c r="DI203" i="4"/>
  <c r="DI59" i="4"/>
  <c r="CY64" i="9" s="1"/>
  <c r="CY60" i="9"/>
  <c r="CY62" i="9" s="1"/>
  <c r="DJ75" i="4"/>
  <c r="DJ54" i="4"/>
  <c r="IU63" i="4"/>
  <c r="DK201" i="4" s="1"/>
  <c r="IT62" i="4"/>
  <c r="IS56" i="4" l="1"/>
  <c r="IU64" i="4"/>
  <c r="IU60" i="4" s="1"/>
  <c r="DJ57" i="4"/>
  <c r="IT55" i="4"/>
  <c r="DJ77" i="4"/>
  <c r="DJ63" i="4"/>
  <c r="DJ64" i="4" s="1"/>
  <c r="DJ79" i="4" l="1"/>
  <c r="CZ65" i="9" s="1"/>
  <c r="DJ203" i="4"/>
  <c r="DJ59" i="4"/>
  <c r="CZ64" i="9" s="1"/>
  <c r="CZ60" i="9"/>
  <c r="DK54" i="4"/>
  <c r="DK75" i="4"/>
  <c r="IV63" i="4"/>
  <c r="DL201" i="4" s="1"/>
  <c r="IU62" i="4"/>
  <c r="IU76" i="4"/>
  <c r="IT56" i="4" l="1"/>
  <c r="CZ62" i="9"/>
  <c r="IV64" i="4"/>
  <c r="IV60" i="4" s="1"/>
  <c r="DK77" i="4"/>
  <c r="DK63" i="4"/>
  <c r="DK64" i="4" s="1"/>
  <c r="DK57" i="4"/>
  <c r="IU55" i="4"/>
  <c r="DK59" i="4" l="1"/>
  <c r="DA64" i="9" s="1"/>
  <c r="DA60" i="9"/>
  <c r="DK79" i="4"/>
  <c r="DA65" i="9" s="1"/>
  <c r="DK203" i="4"/>
  <c r="DL54" i="4"/>
  <c r="DL75" i="4"/>
  <c r="IW63" i="4"/>
  <c r="DM201" i="4" s="1"/>
  <c r="IV62" i="4"/>
  <c r="IV76" i="4"/>
  <c r="IU56" i="4" l="1"/>
  <c r="DA62" i="9"/>
  <c r="IW64" i="4"/>
  <c r="IW60" i="4" s="1"/>
  <c r="DL63" i="4"/>
  <c r="DL64" i="4" s="1"/>
  <c r="DL77" i="4"/>
  <c r="IV55" i="4"/>
  <c r="DL57" i="4"/>
  <c r="DL59" i="4" l="1"/>
  <c r="DB64" i="9" s="1"/>
  <c r="DB60" i="9"/>
  <c r="DL79" i="4"/>
  <c r="DB65" i="9" s="1"/>
  <c r="DL203" i="4"/>
  <c r="DM75" i="4"/>
  <c r="DM54" i="4"/>
  <c r="IX63" i="4"/>
  <c r="DN201" i="4" s="1"/>
  <c r="IW62" i="4"/>
  <c r="IW76" i="4"/>
  <c r="IV56" i="4" l="1"/>
  <c r="DB62" i="9"/>
  <c r="IX64" i="4"/>
  <c r="IX60" i="4" s="1"/>
  <c r="DM57" i="4"/>
  <c r="IW55" i="4"/>
  <c r="DM77" i="4"/>
  <c r="DM63" i="4"/>
  <c r="DM64" i="4" s="1"/>
  <c r="DM79" i="4" l="1"/>
  <c r="DC65" i="9" s="1"/>
  <c r="DM203" i="4"/>
  <c r="DM59" i="4"/>
  <c r="DC64" i="9" s="1"/>
  <c r="DC60" i="9"/>
  <c r="DN75" i="4"/>
  <c r="DN54" i="4"/>
  <c r="IY63" i="4"/>
  <c r="DO201" i="4" s="1"/>
  <c r="IX62" i="4"/>
  <c r="IX76" i="4"/>
  <c r="IW56" i="4" l="1"/>
  <c r="DC62" i="9"/>
  <c r="DN77" i="4"/>
  <c r="DN63" i="4"/>
  <c r="DN64" i="4" s="1"/>
  <c r="IY64" i="4"/>
  <c r="IY60" i="4" s="1"/>
  <c r="DN57" i="4"/>
  <c r="IX55" i="4"/>
  <c r="DN59" i="4" l="1"/>
  <c r="DD64" i="9" s="1"/>
  <c r="DD60" i="9"/>
  <c r="DN79" i="4"/>
  <c r="DD65" i="9" s="1"/>
  <c r="DN203" i="4"/>
  <c r="DO75" i="4"/>
  <c r="DO54" i="4"/>
  <c r="IZ63" i="4"/>
  <c r="DP201" i="4" s="1"/>
  <c r="IY62" i="4"/>
  <c r="IY76" i="4"/>
  <c r="IX56" i="4" l="1"/>
  <c r="DD62" i="9"/>
  <c r="IZ64" i="4"/>
  <c r="IZ60" i="4" s="1"/>
  <c r="DO57" i="4"/>
  <c r="IY55" i="4"/>
  <c r="DO77" i="4"/>
  <c r="DO63" i="4"/>
  <c r="DO64" i="4" s="1"/>
  <c r="DO79" i="4" l="1"/>
  <c r="DE65" i="9" s="1"/>
  <c r="DO203" i="4"/>
  <c r="DO59" i="4"/>
  <c r="DE64" i="9" s="1"/>
  <c r="DE60" i="9"/>
  <c r="DE62" i="9" s="1"/>
  <c r="DP75" i="4"/>
  <c r="DP54" i="4"/>
  <c r="JA63" i="4"/>
  <c r="DQ201" i="4" s="1"/>
  <c r="IZ62" i="4"/>
  <c r="IZ76" i="4"/>
  <c r="IY56" i="4" l="1"/>
  <c r="JA64" i="4"/>
  <c r="JA60" i="4" s="1"/>
  <c r="DP57" i="4"/>
  <c r="IZ55" i="4"/>
  <c r="DP77" i="4"/>
  <c r="DP63" i="4"/>
  <c r="DP64" i="4" s="1"/>
  <c r="DP79" i="4" l="1"/>
  <c r="DF65" i="9" s="1"/>
  <c r="DP203" i="4"/>
  <c r="DP59" i="4"/>
  <c r="DF64" i="9" s="1"/>
  <c r="DF60" i="9"/>
  <c r="DF62" i="9" s="1"/>
  <c r="DQ54" i="4"/>
  <c r="DQ75" i="4"/>
  <c r="JB63" i="4"/>
  <c r="DR201" i="4" s="1"/>
  <c r="JA62" i="4"/>
  <c r="JA76" i="4"/>
  <c r="IZ56" i="4" l="1"/>
  <c r="JB64" i="4"/>
  <c r="JB60" i="4" s="1"/>
  <c r="DQ77" i="4"/>
  <c r="DQ63" i="4"/>
  <c r="DQ64" i="4" s="1"/>
  <c r="JA55" i="4"/>
  <c r="DQ57" i="4"/>
  <c r="DQ59" i="4" l="1"/>
  <c r="DG64" i="9" s="1"/>
  <c r="DG60" i="9"/>
  <c r="DG62" i="9" s="1"/>
  <c r="DQ79" i="4"/>
  <c r="DG65" i="9" s="1"/>
  <c r="DQ203" i="4"/>
  <c r="DR54" i="4"/>
  <c r="DR75" i="4"/>
  <c r="JC63" i="4"/>
  <c r="DS201" i="4" s="1"/>
  <c r="JB62" i="4"/>
  <c r="JB76" i="4"/>
  <c r="JA56" i="4" l="1"/>
  <c r="JC64" i="4"/>
  <c r="JC60" i="4" s="1"/>
  <c r="JC76" i="4" s="1"/>
  <c r="DR63" i="4"/>
  <c r="DR64" i="4" s="1"/>
  <c r="DR77" i="4"/>
  <c r="DR57" i="4"/>
  <c r="JB55" i="4"/>
  <c r="DR79" i="4" l="1"/>
  <c r="DH65" i="9" s="1"/>
  <c r="DR203" i="4"/>
  <c r="DR59" i="4"/>
  <c r="DH64" i="9" s="1"/>
  <c r="DH60" i="9"/>
  <c r="DH62" i="9" s="1"/>
  <c r="DS75" i="4"/>
  <c r="DS54" i="4"/>
  <c r="JD63" i="4"/>
  <c r="DT201" i="4" s="1"/>
  <c r="JC62" i="4"/>
  <c r="JB56" i="4" l="1"/>
  <c r="JD64" i="4"/>
  <c r="JD60" i="4" s="1"/>
  <c r="JC55" i="4"/>
  <c r="DS57" i="4"/>
  <c r="DS63" i="4"/>
  <c r="DS64" i="4" s="1"/>
  <c r="DS77" i="4"/>
  <c r="DS59" i="4" l="1"/>
  <c r="DI64" i="9" s="1"/>
  <c r="DI60" i="9"/>
  <c r="DI62" i="9" s="1"/>
  <c r="DS79" i="4"/>
  <c r="DI65" i="9" s="1"/>
  <c r="DS203" i="4"/>
  <c r="DT75" i="4"/>
  <c r="DT54" i="4"/>
  <c r="JE63" i="4"/>
  <c r="DU201" i="4" s="1"/>
  <c r="JD62" i="4"/>
  <c r="JD76" i="4"/>
  <c r="JC56" i="4" l="1"/>
  <c r="JE64" i="4"/>
  <c r="JE60" i="4" s="1"/>
  <c r="JD55" i="4"/>
  <c r="DT57" i="4"/>
  <c r="DT77" i="4"/>
  <c r="DT63" i="4"/>
  <c r="DT64" i="4" s="1"/>
  <c r="DT79" i="4" l="1"/>
  <c r="DJ65" i="9" s="1"/>
  <c r="DT203" i="4"/>
  <c r="DT59" i="4"/>
  <c r="DJ64" i="9" s="1"/>
  <c r="DJ60" i="9"/>
  <c r="DJ62" i="9" s="1"/>
  <c r="DU75" i="4"/>
  <c r="DU54" i="4"/>
  <c r="JF63" i="4"/>
  <c r="DV201" i="4" s="1"/>
  <c r="JE62" i="4"/>
  <c r="JE76" i="4"/>
  <c r="JD56" i="4" l="1"/>
  <c r="JF64" i="4"/>
  <c r="JF60" i="4" s="1"/>
  <c r="DU77" i="4"/>
  <c r="DU63" i="4"/>
  <c r="DU64" i="4" s="1"/>
  <c r="DU57" i="4"/>
  <c r="JE55" i="4"/>
  <c r="DU59" i="4" l="1"/>
  <c r="DK64" i="9" s="1"/>
  <c r="DK60" i="9"/>
  <c r="DK62" i="9" s="1"/>
  <c r="DU79" i="4"/>
  <c r="DK65" i="9" s="1"/>
  <c r="DU203" i="4"/>
  <c r="DV75" i="4"/>
  <c r="DV54" i="4"/>
  <c r="JG63" i="4"/>
  <c r="DW201" i="4" s="1"/>
  <c r="JF62" i="4"/>
  <c r="JF76" i="4"/>
  <c r="JE56" i="4" l="1"/>
  <c r="JG64" i="4"/>
  <c r="JG60" i="4" s="1"/>
  <c r="DV57" i="4"/>
  <c r="JF55" i="4"/>
  <c r="DV63" i="4"/>
  <c r="DV64" i="4" s="1"/>
  <c r="DV77" i="4"/>
  <c r="DV79" i="4" l="1"/>
  <c r="DL65" i="9" s="1"/>
  <c r="DV203" i="4"/>
  <c r="DV59" i="4"/>
  <c r="DL64" i="9" s="1"/>
  <c r="DL60" i="9"/>
  <c r="DW75" i="4"/>
  <c r="DW54" i="4"/>
  <c r="JH63" i="4"/>
  <c r="DX201" i="4" s="1"/>
  <c r="JG62" i="4"/>
  <c r="JG76" i="4"/>
  <c r="JF56" i="4" l="1"/>
  <c r="DL62" i="9"/>
  <c r="JG55" i="4"/>
  <c r="DW57" i="4"/>
  <c r="JH64" i="4"/>
  <c r="JH60" i="4" s="1"/>
  <c r="DW63" i="4"/>
  <c r="DW64" i="4" s="1"/>
  <c r="DW77" i="4"/>
  <c r="DW79" i="4" l="1"/>
  <c r="DM65" i="9" s="1"/>
  <c r="DW203" i="4"/>
  <c r="DW59" i="4"/>
  <c r="DM64" i="9" s="1"/>
  <c r="DM60" i="9"/>
  <c r="DX54" i="4"/>
  <c r="DX75" i="4"/>
  <c r="JI63" i="4"/>
  <c r="DY201" i="4" s="1"/>
  <c r="JH62" i="4"/>
  <c r="JH76" i="4"/>
  <c r="JG56" i="4" l="1"/>
  <c r="DM62" i="9"/>
  <c r="JI64" i="4"/>
  <c r="JI60" i="4" s="1"/>
  <c r="DX77" i="4"/>
  <c r="DX63" i="4"/>
  <c r="DX64" i="4" s="1"/>
  <c r="JH55" i="4"/>
  <c r="DX57" i="4"/>
  <c r="DX59" i="4" l="1"/>
  <c r="DN64" i="9" s="1"/>
  <c r="DN60" i="9"/>
  <c r="DX79" i="4"/>
  <c r="DN65" i="9" s="1"/>
  <c r="DX203" i="4"/>
  <c r="DY75" i="4"/>
  <c r="DY54" i="4"/>
  <c r="JJ63" i="4"/>
  <c r="DZ201" i="4" s="1"/>
  <c r="JI62" i="4"/>
  <c r="JI76" i="4"/>
  <c r="JH56" i="4" l="1"/>
  <c r="DN62" i="9"/>
  <c r="JJ64" i="4"/>
  <c r="JJ60" i="4" s="1"/>
  <c r="JJ76" i="4" s="1"/>
  <c r="DY77" i="4"/>
  <c r="DY63" i="4"/>
  <c r="DY64" i="4" s="1"/>
  <c r="DY57" i="4"/>
  <c r="JI55" i="4"/>
  <c r="DY59" i="4" l="1"/>
  <c r="DO64" i="9" s="1"/>
  <c r="DO60" i="9"/>
  <c r="DY79" i="4"/>
  <c r="DO65" i="9" s="1"/>
  <c r="DY203" i="4"/>
  <c r="DZ75" i="4"/>
  <c r="DZ54" i="4"/>
  <c r="JK63" i="4"/>
  <c r="EA201" i="4" s="1"/>
  <c r="JJ62" i="4"/>
  <c r="JI56" i="4" l="1"/>
  <c r="DO62" i="9"/>
  <c r="DZ77" i="4"/>
  <c r="DZ63" i="4"/>
  <c r="DZ64" i="4" s="1"/>
  <c r="JK64" i="4"/>
  <c r="JK60" i="4" s="1"/>
  <c r="DZ57" i="4"/>
  <c r="JJ55" i="4"/>
  <c r="DZ59" i="4" l="1"/>
  <c r="DP64" i="9" s="1"/>
  <c r="DP60" i="9"/>
  <c r="DZ79" i="4"/>
  <c r="DP65" i="9" s="1"/>
  <c r="DZ203" i="4"/>
  <c r="EA75" i="4"/>
  <c r="EA54" i="4"/>
  <c r="JL63" i="4"/>
  <c r="EB201" i="4" s="1"/>
  <c r="JK62" i="4"/>
  <c r="JK76" i="4"/>
  <c r="JJ56" i="4" l="1"/>
  <c r="DP62" i="9"/>
  <c r="JL64" i="4"/>
  <c r="JL60" i="4" s="1"/>
  <c r="EA57" i="4"/>
  <c r="JK55" i="4"/>
  <c r="EA63" i="4"/>
  <c r="EA64" i="4" s="1"/>
  <c r="EA77" i="4"/>
  <c r="EA59" i="4" l="1"/>
  <c r="DQ64" i="9" s="1"/>
  <c r="DQ60" i="9"/>
  <c r="DQ62" i="9" s="1"/>
  <c r="EA79" i="4"/>
  <c r="DQ65" i="9" s="1"/>
  <c r="EA203" i="4"/>
  <c r="EB75" i="4"/>
  <c r="EB54" i="4"/>
  <c r="JM63" i="4"/>
  <c r="EC201" i="4" s="1"/>
  <c r="JL62" i="4"/>
  <c r="JL76" i="4"/>
  <c r="JK56" i="4" l="1"/>
  <c r="EB57" i="4"/>
  <c r="JL55" i="4"/>
  <c r="JM64" i="4"/>
  <c r="JM60" i="4" s="1"/>
  <c r="EB77" i="4"/>
  <c r="EB63" i="4"/>
  <c r="EB64" i="4" s="1"/>
  <c r="EB79" i="4" l="1"/>
  <c r="DR65" i="9" s="1"/>
  <c r="EB203" i="4"/>
  <c r="EB59" i="4"/>
  <c r="DR64" i="9" s="1"/>
  <c r="DR60" i="9"/>
  <c r="DR62" i="9" s="1"/>
  <c r="EC75" i="4"/>
  <c r="EC54" i="4"/>
  <c r="JN63" i="4"/>
  <c r="ED201" i="4" s="1"/>
  <c r="JM62" i="4"/>
  <c r="JM76" i="4"/>
  <c r="JL56" i="4" l="1"/>
  <c r="JN64" i="4"/>
  <c r="JN60" i="4" s="1"/>
  <c r="JM55" i="4"/>
  <c r="EC57" i="4"/>
  <c r="EC77" i="4"/>
  <c r="EC63" i="4"/>
  <c r="EC64" i="4" s="1"/>
  <c r="EC79" i="4" l="1"/>
  <c r="DS65" i="9" s="1"/>
  <c r="EC203" i="4"/>
  <c r="EC59" i="4"/>
  <c r="DS64" i="9" s="1"/>
  <c r="DS60" i="9"/>
  <c r="DS62" i="9" s="1"/>
  <c r="ED75" i="4"/>
  <c r="ED54" i="4"/>
  <c r="JO63" i="4"/>
  <c r="EE201" i="4" s="1"/>
  <c r="JN62" i="4"/>
  <c r="JN76" i="4"/>
  <c r="JM56" i="4" l="1"/>
  <c r="JO64" i="4"/>
  <c r="JO60" i="4" s="1"/>
  <c r="JO76" i="4" s="1"/>
  <c r="ED57" i="4"/>
  <c r="JN55" i="4"/>
  <c r="ED77" i="4"/>
  <c r="ED63" i="4"/>
  <c r="ED64" i="4" s="1"/>
  <c r="ED79" i="4" l="1"/>
  <c r="DT65" i="9" s="1"/>
  <c r="ED203" i="4"/>
  <c r="ED59" i="4"/>
  <c r="DT64" i="9" s="1"/>
  <c r="DT60" i="9"/>
  <c r="DT62" i="9" s="1"/>
  <c r="EE75" i="4"/>
  <c r="EE54" i="4"/>
  <c r="JP63" i="4"/>
  <c r="EF201" i="4" s="1"/>
  <c r="JO62" i="4"/>
  <c r="JN56" i="4" l="1"/>
  <c r="JP64" i="4"/>
  <c r="JP60" i="4" s="1"/>
  <c r="EE57" i="4"/>
  <c r="JO55" i="4"/>
  <c r="EE77" i="4"/>
  <c r="EE63" i="4"/>
  <c r="EE64" i="4" s="1"/>
  <c r="EE79" i="4" l="1"/>
  <c r="DU65" i="9" s="1"/>
  <c r="EE203" i="4"/>
  <c r="EE59" i="4"/>
  <c r="DU64" i="9" s="1"/>
  <c r="DU60" i="9"/>
  <c r="DU62" i="9" s="1"/>
  <c r="EF75" i="4"/>
  <c r="EF54" i="4"/>
  <c r="JQ63" i="4"/>
  <c r="EG201" i="4" s="1"/>
  <c r="JP62" i="4"/>
  <c r="JP76" i="4"/>
  <c r="I201" i="4" l="1"/>
  <c r="JO56" i="4"/>
  <c r="JQ64" i="4"/>
  <c r="JQ60" i="4" s="1"/>
  <c r="JQ76" i="4" s="1"/>
  <c r="JP55" i="4"/>
  <c r="EF57" i="4"/>
  <c r="EF63" i="4"/>
  <c r="EF64" i="4" s="1"/>
  <c r="EF77" i="4"/>
  <c r="EF79" i="4" l="1"/>
  <c r="DV65" i="9" s="1"/>
  <c r="EF203" i="4"/>
  <c r="EF59" i="4"/>
  <c r="DV64" i="9" s="1"/>
  <c r="DV60" i="9"/>
  <c r="DV62" i="9" s="1"/>
  <c r="EG54" i="4"/>
  <c r="EG75" i="4"/>
  <c r="JR63" i="4"/>
  <c r="JQ62" i="4"/>
  <c r="JP56" i="4" l="1"/>
  <c r="JR64" i="4"/>
  <c r="JR60" i="4" s="1"/>
  <c r="EG77" i="4"/>
  <c r="EG63" i="4"/>
  <c r="EG64" i="4" s="1"/>
  <c r="EG57" i="4"/>
  <c r="JQ55" i="4"/>
  <c r="EG59" i="4" l="1"/>
  <c r="DW64" i="9" s="1"/>
  <c r="DW60" i="9"/>
  <c r="EG79" i="4"/>
  <c r="DW65" i="9" s="1"/>
  <c r="EG203" i="4"/>
  <c r="EH54" i="4"/>
  <c r="EH75" i="4"/>
  <c r="JS63" i="4"/>
  <c r="JR62" i="4"/>
  <c r="JR76" i="4"/>
  <c r="JQ56" i="4" l="1"/>
  <c r="DW62" i="9"/>
  <c r="M13" i="9"/>
  <c r="N13" i="9"/>
  <c r="O13" i="9"/>
  <c r="P13" i="9"/>
  <c r="Q13" i="9"/>
  <c r="I203" i="4"/>
  <c r="M18" i="9"/>
  <c r="N18" i="9"/>
  <c r="O18" i="9"/>
  <c r="P18" i="9"/>
  <c r="Q18" i="9"/>
  <c r="M17" i="9"/>
  <c r="N17" i="9"/>
  <c r="O17" i="9"/>
  <c r="P17" i="9"/>
  <c r="Q17" i="9"/>
  <c r="EH63" i="4"/>
  <c r="EH64" i="4" s="1"/>
  <c r="EH77" i="4"/>
  <c r="EH79" i="4" s="1"/>
  <c r="JS64" i="4"/>
  <c r="JS60" i="4" s="1"/>
  <c r="EH57" i="4"/>
  <c r="EH59" i="4" s="1"/>
  <c r="JR55" i="4"/>
  <c r="M15" i="9" l="1"/>
  <c r="N15" i="9"/>
  <c r="O15" i="9"/>
  <c r="P15" i="9"/>
  <c r="Q15" i="9"/>
  <c r="EI75" i="4"/>
  <c r="EI54" i="4"/>
  <c r="JT63" i="4"/>
  <c r="JS62" i="4"/>
  <c r="JS76" i="4"/>
  <c r="JR56" i="4"/>
  <c r="JS55" i="4" l="1"/>
  <c r="EI57" i="4"/>
  <c r="EI59" i="4" s="1"/>
  <c r="JT64" i="4"/>
  <c r="JT60" i="4" s="1"/>
  <c r="EI63" i="4"/>
  <c r="EI64" i="4" s="1"/>
  <c r="EI77" i="4"/>
  <c r="EI79" i="4" s="1"/>
  <c r="EJ54" i="4" l="1"/>
  <c r="EJ75" i="4"/>
  <c r="JU63" i="4"/>
  <c r="JT62" i="4"/>
  <c r="JT76" i="4"/>
  <c r="JS56" i="4"/>
  <c r="JU64" i="4" l="1"/>
  <c r="JU60" i="4" s="1"/>
  <c r="EJ77" i="4"/>
  <c r="EJ79" i="4" s="1"/>
  <c r="EJ63" i="4"/>
  <c r="EJ64" i="4" s="1"/>
  <c r="EJ57" i="4"/>
  <c r="EJ59" i="4" s="1"/>
  <c r="JT55" i="4"/>
  <c r="JT56" i="4" l="1"/>
  <c r="EK75" i="4"/>
  <c r="EK54" i="4"/>
  <c r="JV63" i="4"/>
  <c r="JU62" i="4"/>
  <c r="JU76" i="4"/>
  <c r="JV64" i="4" l="1"/>
  <c r="JV60" i="4" s="1"/>
  <c r="EK57" i="4"/>
  <c r="EK59" i="4" s="1"/>
  <c r="JU55" i="4"/>
  <c r="EK77" i="4"/>
  <c r="EK79" i="4" s="1"/>
  <c r="EK63" i="4"/>
  <c r="EK64" i="4" s="1"/>
  <c r="EL75" i="4" l="1"/>
  <c r="EL54" i="4"/>
  <c r="JW63" i="4"/>
  <c r="JV62" i="4"/>
  <c r="JV76" i="4"/>
  <c r="JU56" i="4"/>
  <c r="JW64" i="4" l="1"/>
  <c r="JW60" i="4" s="1"/>
  <c r="EL57" i="4"/>
  <c r="EL59" i="4" s="1"/>
  <c r="JV55" i="4"/>
  <c r="EL63" i="4"/>
  <c r="EL64" i="4" s="1"/>
  <c r="EL77" i="4"/>
  <c r="EL79" i="4" s="1"/>
  <c r="EM75" i="4" l="1"/>
  <c r="EM54" i="4"/>
  <c r="JX63" i="4"/>
  <c r="JW62" i="4"/>
  <c r="JW76" i="4"/>
  <c r="JV56" i="4"/>
  <c r="JX64" i="4" l="1"/>
  <c r="JX60" i="4" s="1"/>
  <c r="JW55" i="4"/>
  <c r="EM57" i="4"/>
  <c r="EM59" i="4" s="1"/>
  <c r="EM63" i="4"/>
  <c r="EM64" i="4" s="1"/>
  <c r="EM77" i="4"/>
  <c r="EM79" i="4" s="1"/>
  <c r="EN54" i="4" l="1"/>
  <c r="EN75" i="4"/>
  <c r="JY63" i="4"/>
  <c r="JX62" i="4"/>
  <c r="JX76" i="4"/>
  <c r="JW56" i="4"/>
  <c r="JY64" i="4" l="1"/>
  <c r="JY60" i="4" s="1"/>
  <c r="EN63" i="4"/>
  <c r="EN64" i="4" s="1"/>
  <c r="EN77" i="4"/>
  <c r="EN79" i="4" s="1"/>
  <c r="JX55" i="4"/>
  <c r="EN57" i="4"/>
  <c r="EN59" i="4" s="1"/>
  <c r="JX56" i="4" l="1"/>
  <c r="EO75" i="4"/>
  <c r="EO54" i="4"/>
  <c r="JZ63" i="4"/>
  <c r="JY62" i="4"/>
  <c r="JY76" i="4"/>
  <c r="EO57" i="4" l="1"/>
  <c r="EO59" i="4" s="1"/>
  <c r="JY55" i="4"/>
  <c r="EO77" i="4"/>
  <c r="EO79" i="4" s="1"/>
  <c r="EO63" i="4"/>
  <c r="EO64" i="4" s="1"/>
  <c r="JZ64" i="4"/>
  <c r="JZ60" i="4" s="1"/>
  <c r="EP54" i="4" l="1"/>
  <c r="EP75" i="4"/>
  <c r="KA63" i="4"/>
  <c r="JZ62" i="4"/>
  <c r="JZ76" i="4"/>
  <c r="JY56" i="4"/>
  <c r="KA64" i="4" l="1"/>
  <c r="KA60" i="4" s="1"/>
  <c r="EP63" i="4"/>
  <c r="EP64" i="4" s="1"/>
  <c r="EP77" i="4"/>
  <c r="EP79" i="4" s="1"/>
  <c r="EP57" i="4"/>
  <c r="EP59" i="4" s="1"/>
  <c r="JZ55" i="4"/>
  <c r="JZ56" i="4" l="1"/>
  <c r="EQ54" i="4"/>
  <c r="EQ75" i="4"/>
  <c r="KB63" i="4"/>
  <c r="KA62" i="4"/>
  <c r="KA76" i="4"/>
  <c r="KB64" i="4" l="1"/>
  <c r="KB60" i="4" s="1"/>
  <c r="EQ77" i="4"/>
  <c r="EQ79" i="4" s="1"/>
  <c r="EQ63" i="4"/>
  <c r="EQ64" i="4" s="1"/>
  <c r="EQ57" i="4"/>
  <c r="EQ59" i="4" s="1"/>
  <c r="KA55" i="4"/>
  <c r="ER54" i="4" l="1"/>
  <c r="ER75" i="4"/>
  <c r="KC63" i="4"/>
  <c r="KB62" i="4"/>
  <c r="KB76" i="4"/>
  <c r="KA56" i="4"/>
  <c r="KC64" i="4" l="1"/>
  <c r="EZ64" i="4" s="1"/>
  <c r="EZ63" i="4"/>
  <c r="ER77" i="4"/>
  <c r="ER79" i="4" s="1"/>
  <c r="ER63" i="4"/>
  <c r="ER64" i="4" s="1"/>
  <c r="KB55" i="4"/>
  <c r="ER57" i="4"/>
  <c r="ER59" i="4" s="1"/>
  <c r="KB56" i="4" l="1"/>
  <c r="KC60" i="4"/>
  <c r="ES75" i="4" l="1"/>
  <c r="ES54" i="4"/>
  <c r="KC62" i="4"/>
  <c r="EZ60" i="4"/>
  <c r="KC76" i="4"/>
  <c r="EX76" i="4" s="1"/>
  <c r="EZ73" i="4" l="1"/>
  <c r="FA73" i="4" s="1"/>
  <c r="FB73" i="4" s="1"/>
  <c r="FC73" i="4" s="1"/>
  <c r="FD73" i="4" s="1"/>
  <c r="FE73" i="4" s="1"/>
  <c r="FF73" i="4" s="1"/>
  <c r="FG73" i="4" s="1"/>
  <c r="FH73" i="4" s="1"/>
  <c r="FI73" i="4" s="1"/>
  <c r="FJ73" i="4" s="1"/>
  <c r="FK73" i="4" s="1"/>
  <c r="FL73" i="4" s="1"/>
  <c r="FM73" i="4" s="1"/>
  <c r="FN73" i="4" s="1"/>
  <c r="FO73" i="4" s="1"/>
  <c r="FP73" i="4" s="1"/>
  <c r="FQ73" i="4" s="1"/>
  <c r="FR73" i="4" s="1"/>
  <c r="FS73" i="4" s="1"/>
  <c r="FT73" i="4" s="1"/>
  <c r="FU73" i="4" s="1"/>
  <c r="FV73" i="4" s="1"/>
  <c r="FW73" i="4" s="1"/>
  <c r="FX73" i="4" s="1"/>
  <c r="FY73" i="4" s="1"/>
  <c r="FZ73" i="4" s="1"/>
  <c r="GA73" i="4" s="1"/>
  <c r="GB73" i="4" s="1"/>
  <c r="GC73" i="4" s="1"/>
  <c r="GD73" i="4" s="1"/>
  <c r="GE73" i="4" s="1"/>
  <c r="GF73" i="4" s="1"/>
  <c r="GG73" i="4" s="1"/>
  <c r="GH73" i="4" s="1"/>
  <c r="GI73" i="4" s="1"/>
  <c r="GJ73" i="4" s="1"/>
  <c r="GK73" i="4" s="1"/>
  <c r="GL73" i="4" s="1"/>
  <c r="GM73" i="4" s="1"/>
  <c r="GN73" i="4" s="1"/>
  <c r="GO73" i="4" s="1"/>
  <c r="GP73" i="4" s="1"/>
  <c r="GQ73" i="4" s="1"/>
  <c r="GR73" i="4" s="1"/>
  <c r="GS73" i="4" s="1"/>
  <c r="GT73" i="4" s="1"/>
  <c r="GU73" i="4" s="1"/>
  <c r="GV73" i="4" s="1"/>
  <c r="GW73" i="4" s="1"/>
  <c r="GX73" i="4" s="1"/>
  <c r="GY73" i="4" s="1"/>
  <c r="GZ73" i="4" s="1"/>
  <c r="HA73" i="4" s="1"/>
  <c r="HB73" i="4" s="1"/>
  <c r="HC73" i="4" s="1"/>
  <c r="HD73" i="4" s="1"/>
  <c r="HE73" i="4" s="1"/>
  <c r="HF73" i="4" s="1"/>
  <c r="HG73" i="4" s="1"/>
  <c r="HH73" i="4" s="1"/>
  <c r="HI73" i="4" s="1"/>
  <c r="HJ73" i="4" s="1"/>
  <c r="HK73" i="4" s="1"/>
  <c r="HL73" i="4" s="1"/>
  <c r="HM73" i="4" s="1"/>
  <c r="HN73" i="4" s="1"/>
  <c r="HO73" i="4" s="1"/>
  <c r="HP73" i="4" s="1"/>
  <c r="HQ73" i="4" s="1"/>
  <c r="HR73" i="4" s="1"/>
  <c r="HS73" i="4" s="1"/>
  <c r="HT73" i="4" s="1"/>
  <c r="HU73" i="4" s="1"/>
  <c r="HV73" i="4" s="1"/>
  <c r="HW73" i="4" s="1"/>
  <c r="HX73" i="4" s="1"/>
  <c r="HY73" i="4" s="1"/>
  <c r="HZ73" i="4" s="1"/>
  <c r="IA73" i="4" s="1"/>
  <c r="IB73" i="4" s="1"/>
  <c r="IC73" i="4" s="1"/>
  <c r="ID73" i="4" s="1"/>
  <c r="IE73" i="4" s="1"/>
  <c r="IF73" i="4" s="1"/>
  <c r="IG73" i="4" s="1"/>
  <c r="IH73" i="4" s="1"/>
  <c r="II73" i="4" s="1"/>
  <c r="IJ73" i="4" s="1"/>
  <c r="IK73" i="4" s="1"/>
  <c r="IL73" i="4" s="1"/>
  <c r="IM73" i="4" s="1"/>
  <c r="IN73" i="4" s="1"/>
  <c r="IO73" i="4" s="1"/>
  <c r="IP73" i="4" s="1"/>
  <c r="IQ73" i="4" s="1"/>
  <c r="IR73" i="4" s="1"/>
  <c r="IS73" i="4" s="1"/>
  <c r="IT73" i="4" s="1"/>
  <c r="IU73" i="4" s="1"/>
  <c r="IV73" i="4" s="1"/>
  <c r="IW73" i="4" s="1"/>
  <c r="IX73" i="4" s="1"/>
  <c r="IY73" i="4" s="1"/>
  <c r="IZ73" i="4" s="1"/>
  <c r="JA73" i="4" s="1"/>
  <c r="JB73" i="4" s="1"/>
  <c r="JC73" i="4" s="1"/>
  <c r="JD73" i="4" s="1"/>
  <c r="JE73" i="4" s="1"/>
  <c r="JF73" i="4" s="1"/>
  <c r="JG73" i="4" s="1"/>
  <c r="JH73" i="4" s="1"/>
  <c r="JI73" i="4" s="1"/>
  <c r="JJ73" i="4" s="1"/>
  <c r="JK73" i="4" s="1"/>
  <c r="JL73" i="4" s="1"/>
  <c r="JM73" i="4" s="1"/>
  <c r="JN73" i="4" s="1"/>
  <c r="JO73" i="4" s="1"/>
  <c r="JP73" i="4" s="1"/>
  <c r="JQ73" i="4" s="1"/>
  <c r="JR73" i="4" s="1"/>
  <c r="JS73" i="4" s="1"/>
  <c r="JT73" i="4" s="1"/>
  <c r="JU73" i="4" s="1"/>
  <c r="JV73" i="4" s="1"/>
  <c r="JW73" i="4" s="1"/>
  <c r="JX73" i="4" s="1"/>
  <c r="JY73" i="4" s="1"/>
  <c r="JZ73" i="4" s="1"/>
  <c r="KA73" i="4" s="1"/>
  <c r="KB73" i="4" s="1"/>
  <c r="KC73" i="4" s="1"/>
  <c r="EZ62" i="4"/>
  <c r="ES57" i="4"/>
  <c r="KC55" i="4"/>
  <c r="EZ55" i="4" s="1"/>
  <c r="I54" i="4"/>
  <c r="C24" i="12" s="1"/>
  <c r="F24" i="1"/>
  <c r="ES77" i="4"/>
  <c r="ES63" i="4"/>
  <c r="ES64" i="4" s="1"/>
  <c r="I75" i="4"/>
  <c r="C26" i="12" l="1"/>
  <c r="C28" i="12" s="1"/>
  <c r="D25" i="12" s="1"/>
  <c r="F24" i="12"/>
  <c r="F26" i="12" s="1"/>
  <c r="F28" i="12" s="1"/>
  <c r="E24" i="12"/>
  <c r="E26" i="12" s="1"/>
  <c r="E28" i="12" s="1"/>
  <c r="G75" i="4"/>
  <c r="G77" i="4" s="1"/>
  <c r="G79" i="4" s="1"/>
  <c r="H75" i="4"/>
  <c r="H77" i="4" s="1"/>
  <c r="H79" i="4" s="1"/>
  <c r="I77" i="4"/>
  <c r="I83" i="4" s="1"/>
  <c r="ES59" i="4"/>
  <c r="ES79" i="4"/>
  <c r="G54" i="4"/>
  <c r="G57" i="4" s="1"/>
  <c r="G59" i="4" s="1"/>
  <c r="H54" i="4"/>
  <c r="H57" i="4" s="1"/>
  <c r="H59" i="4" s="1"/>
  <c r="I57" i="4"/>
  <c r="D9" i="12" l="1"/>
  <c r="D18" i="12"/>
  <c r="D19" i="12"/>
  <c r="D5" i="12"/>
  <c r="D10" i="12"/>
  <c r="D16" i="12"/>
  <c r="D4" i="12"/>
  <c r="D15" i="12"/>
  <c r="D11" i="12"/>
  <c r="D17" i="12"/>
  <c r="D20" i="12"/>
  <c r="D24" i="12"/>
  <c r="D26" i="12" s="1"/>
  <c r="CJ210" i="4"/>
  <c r="CF210" i="4"/>
  <c r="CG210" i="4"/>
  <c r="CE210" i="4"/>
  <c r="CH210" i="4"/>
  <c r="CI210" i="4"/>
  <c r="BZ210" i="4"/>
  <c r="CA210" i="4"/>
  <c r="CB210" i="4"/>
  <c r="CC210" i="4"/>
  <c r="CD210" i="4"/>
  <c r="CK210" i="4"/>
  <c r="CL210" i="4"/>
  <c r="CM210" i="4"/>
  <c r="CN210" i="4"/>
  <c r="CO210" i="4"/>
  <c r="CP210" i="4"/>
  <c r="CQ210" i="4"/>
  <c r="CR210" i="4"/>
  <c r="CS210" i="4"/>
  <c r="CT210" i="4"/>
  <c r="CU210" i="4"/>
  <c r="CV210" i="4"/>
  <c r="CW210" i="4"/>
  <c r="CX210" i="4"/>
  <c r="CY210" i="4"/>
  <c r="CZ210" i="4"/>
  <c r="DA210" i="4"/>
  <c r="DB210" i="4"/>
  <c r="DC210" i="4"/>
  <c r="DD210" i="4"/>
  <c r="DE210" i="4"/>
  <c r="DF210" i="4"/>
  <c r="DG210" i="4"/>
  <c r="DH210" i="4"/>
  <c r="DI210" i="4"/>
  <c r="DJ210" i="4"/>
  <c r="DK210" i="4"/>
  <c r="DL210" i="4"/>
  <c r="DM210" i="4"/>
  <c r="DN210" i="4"/>
  <c r="DO210" i="4"/>
  <c r="DP210" i="4"/>
  <c r="DQ210" i="4"/>
  <c r="DR210" i="4"/>
  <c r="DS210" i="4"/>
  <c r="DT210" i="4"/>
  <c r="DU210" i="4"/>
  <c r="DV210" i="4"/>
  <c r="DW210" i="4"/>
  <c r="DX210" i="4"/>
  <c r="DY210" i="4"/>
  <c r="DZ210" i="4"/>
  <c r="EA210" i="4"/>
  <c r="EB210" i="4"/>
  <c r="EC210" i="4"/>
  <c r="ED210" i="4"/>
  <c r="EE210" i="4"/>
  <c r="EF210" i="4"/>
  <c r="EG210" i="4"/>
  <c r="P57" i="4"/>
  <c r="KC56" i="4"/>
  <c r="EZ56" i="4" s="1"/>
  <c r="K35" i="1"/>
  <c r="I59" i="4"/>
  <c r="I63" i="4" s="1"/>
  <c r="AJ210" i="4"/>
  <c r="BQ210" i="4"/>
  <c r="AN210" i="4"/>
  <c r="BB210" i="4"/>
  <c r="BV210" i="4"/>
  <c r="AW210" i="4"/>
  <c r="AH210" i="4"/>
  <c r="BH210" i="4"/>
  <c r="BF210" i="4"/>
  <c r="I79" i="4"/>
  <c r="V210" i="4"/>
  <c r="BK210" i="4"/>
  <c r="X210" i="4"/>
  <c r="W210" i="4"/>
  <c r="AX210" i="4"/>
  <c r="BC210" i="4"/>
  <c r="BY210" i="4"/>
  <c r="BE210" i="4"/>
  <c r="AF210" i="4"/>
  <c r="R210" i="4"/>
  <c r="BI210" i="4"/>
  <c r="AL210" i="4"/>
  <c r="AO210" i="4"/>
  <c r="AV210" i="4"/>
  <c r="AA210" i="4"/>
  <c r="T210" i="4"/>
  <c r="S210" i="4"/>
  <c r="AT210" i="4"/>
  <c r="AM210" i="4"/>
  <c r="U210" i="4"/>
  <c r="Z210" i="4"/>
  <c r="BL210" i="4"/>
  <c r="BT210" i="4"/>
  <c r="Q210" i="4"/>
  <c r="AG210" i="4"/>
  <c r="BO210" i="4"/>
  <c r="BW210" i="4"/>
  <c r="BX210" i="4"/>
  <c r="AY210" i="4"/>
  <c r="AZ210" i="4"/>
  <c r="AK210" i="4"/>
  <c r="AU210" i="4"/>
  <c r="BG210" i="4"/>
  <c r="AB210" i="4"/>
  <c r="AC210" i="4"/>
  <c r="BR210" i="4"/>
  <c r="BU210" i="4"/>
  <c r="BD210" i="4"/>
  <c r="AS210" i="4"/>
  <c r="AI210" i="4"/>
  <c r="BA210" i="4"/>
  <c r="BJ210" i="4"/>
  <c r="BM210" i="4"/>
  <c r="BN210" i="4"/>
  <c r="Y210" i="4"/>
  <c r="AD210" i="4"/>
  <c r="BP210" i="4"/>
  <c r="AP210" i="4"/>
  <c r="AE210" i="4"/>
  <c r="BS210" i="4"/>
  <c r="AR210" i="4"/>
  <c r="AQ210" i="4"/>
  <c r="D6" i="12" l="1"/>
  <c r="D12" i="12"/>
  <c r="D21" i="12"/>
  <c r="C25" i="11"/>
  <c r="F25" i="11" s="1"/>
  <c r="F26" i="11" s="1"/>
  <c r="F77" i="4"/>
  <c r="F79" i="4"/>
  <c r="P59" i="4"/>
  <c r="I210" i="4"/>
  <c r="H219" i="4"/>
  <c r="I219" i="4"/>
  <c r="C18" i="11" s="1"/>
  <c r="F76" i="4"/>
  <c r="I68" i="4"/>
  <c r="F62" i="4"/>
  <c r="G219" i="4"/>
  <c r="I67" i="4"/>
  <c r="E225" i="4"/>
  <c r="Q24" i="4"/>
  <c r="Q25" i="4" s="1"/>
  <c r="F71" i="4"/>
  <c r="F74" i="4"/>
  <c r="R24"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BV24" i="4"/>
  <c r="BW24" i="4"/>
  <c r="BX24" i="4"/>
  <c r="BY24" i="4"/>
  <c r="BZ24" i="4"/>
  <c r="CA24" i="4"/>
  <c r="CB24" i="4"/>
  <c r="CC24" i="4"/>
  <c r="CD24" i="4"/>
  <c r="CE24" i="4"/>
  <c r="CF24" i="4"/>
  <c r="CG24" i="4"/>
  <c r="CH24" i="4"/>
  <c r="CI24" i="4"/>
  <c r="CJ24" i="4"/>
  <c r="CK24" i="4"/>
  <c r="CL24" i="4"/>
  <c r="CM24" i="4"/>
  <c r="CN24" i="4"/>
  <c r="CO24" i="4"/>
  <c r="CP24" i="4"/>
  <c r="CQ24" i="4"/>
  <c r="CR24" i="4"/>
  <c r="CS24" i="4"/>
  <c r="CT24" i="4"/>
  <c r="CU24" i="4"/>
  <c r="CV24" i="4"/>
  <c r="CW24" i="4"/>
  <c r="CX24" i="4"/>
  <c r="CY24" i="4"/>
  <c r="CZ24" i="4"/>
  <c r="DA24" i="4"/>
  <c r="DB24" i="4"/>
  <c r="DC24" i="4"/>
  <c r="DD24" i="4"/>
  <c r="DE24" i="4"/>
  <c r="DF24" i="4"/>
  <c r="DG24" i="4"/>
  <c r="DH24" i="4"/>
  <c r="DI24" i="4"/>
  <c r="DJ24" i="4"/>
  <c r="DK24" i="4"/>
  <c r="DL24" i="4"/>
  <c r="DM24" i="4"/>
  <c r="DN24" i="4"/>
  <c r="DO24" i="4"/>
  <c r="DP24" i="4"/>
  <c r="DQ24" i="4"/>
  <c r="DR24" i="4"/>
  <c r="DS24" i="4"/>
  <c r="DT24" i="4"/>
  <c r="DU24" i="4"/>
  <c r="DV24" i="4"/>
  <c r="DW24" i="4"/>
  <c r="DX24" i="4"/>
  <c r="DY24" i="4"/>
  <c r="DZ24" i="4"/>
  <c r="EA24" i="4"/>
  <c r="EB24" i="4"/>
  <c r="EC24" i="4"/>
  <c r="ED24" i="4"/>
  <c r="EE24" i="4"/>
  <c r="EF24" i="4"/>
  <c r="EG24" i="4"/>
  <c r="EH24" i="4"/>
  <c r="EI24" i="4"/>
  <c r="EJ24" i="4"/>
  <c r="EK24" i="4"/>
  <c r="EL24" i="4"/>
  <c r="EM24" i="4"/>
  <c r="EN24" i="4"/>
  <c r="EO24" i="4"/>
  <c r="EP24" i="4"/>
  <c r="EQ24" i="4"/>
  <c r="ER24" i="4"/>
  <c r="F75" i="4"/>
  <c r="EY62" i="4"/>
  <c r="X84" i="4"/>
  <c r="X204" i="4" s="1"/>
  <c r="T84" i="4"/>
  <c r="T204" i="4" s="1"/>
  <c r="BJ84" i="4"/>
  <c r="BJ204" i="4" s="1"/>
  <c r="U84" i="4"/>
  <c r="U204" i="4" s="1"/>
  <c r="AN84" i="4"/>
  <c r="AN204" i="4" s="1"/>
  <c r="AL84" i="4"/>
  <c r="AL204" i="4" s="1"/>
  <c r="BM84" i="4"/>
  <c r="BM204" i="4" s="1"/>
  <c r="BG84" i="4"/>
  <c r="BG204" i="4" s="1"/>
  <c r="V84" i="4"/>
  <c r="V204" i="4" s="1"/>
  <c r="BB84" i="4"/>
  <c r="BB204" i="4" s="1"/>
  <c r="AP84" i="4"/>
  <c r="AP204" i="4" s="1"/>
  <c r="BE84" i="4"/>
  <c r="BE204" i="4" s="1"/>
  <c r="BN84" i="4"/>
  <c r="BN204" i="4" s="1"/>
  <c r="BY84" i="4"/>
  <c r="BY204" i="4" s="1"/>
  <c r="BQ84" i="4"/>
  <c r="BQ204" i="4" s="1"/>
  <c r="W84" i="4"/>
  <c r="W204" i="4" s="1"/>
  <c r="AJ84" i="4"/>
  <c r="AJ204" i="4" s="1"/>
  <c r="AV84" i="4"/>
  <c r="AV204" i="4" s="1"/>
  <c r="AT84" i="4"/>
  <c r="AT204" i="4" s="1"/>
  <c r="BL84" i="4"/>
  <c r="BL204" i="4" s="1"/>
  <c r="AD84" i="4"/>
  <c r="AD204" i="4" s="1"/>
  <c r="AS84" i="4"/>
  <c r="AS204" i="4" s="1"/>
  <c r="S84" i="4"/>
  <c r="S204" i="4" s="1"/>
  <c r="Q84" i="4"/>
  <c r="Q204" i="4" s="1"/>
  <c r="BP84" i="4"/>
  <c r="BP204" i="4" s="1"/>
  <c r="AR84" i="4"/>
  <c r="AR204" i="4" s="1"/>
  <c r="BV84" i="4"/>
  <c r="BV204" i="4" s="1"/>
  <c r="BK84" i="4"/>
  <c r="BK204" i="4" s="1"/>
  <c r="BD84" i="4"/>
  <c r="BD204" i="4" s="1"/>
  <c r="R84" i="4"/>
  <c r="R204" i="4" s="1"/>
  <c r="AH84" i="4"/>
  <c r="AH204" i="4" s="1"/>
  <c r="AE84" i="4"/>
  <c r="AE204" i="4" s="1"/>
  <c r="AZ84" i="4"/>
  <c r="AZ204" i="4" s="1"/>
  <c r="BT84" i="4"/>
  <c r="BT204" i="4" s="1"/>
  <c r="AB84" i="4"/>
  <c r="AB204" i="4" s="1"/>
  <c r="BO84" i="4"/>
  <c r="BO204" i="4" s="1"/>
  <c r="BF84" i="4"/>
  <c r="BF204" i="4" s="1"/>
  <c r="BA84" i="4"/>
  <c r="BA204" i="4" s="1"/>
  <c r="BU84" i="4"/>
  <c r="BU204" i="4" s="1"/>
  <c r="AU84" i="4"/>
  <c r="AU204" i="4" s="1"/>
  <c r="AW84" i="4"/>
  <c r="AW204" i="4" s="1"/>
  <c r="BH84" i="4"/>
  <c r="BH204" i="4" s="1"/>
  <c r="BW84" i="4"/>
  <c r="BW204" i="4" s="1"/>
  <c r="AM84" i="4"/>
  <c r="AM204" i="4" s="1"/>
  <c r="BI84" i="4"/>
  <c r="BI204" i="4" s="1"/>
  <c r="BC84" i="4"/>
  <c r="BC204" i="4" s="1"/>
  <c r="AA84" i="4"/>
  <c r="AA204" i="4" s="1"/>
  <c r="AC84" i="4"/>
  <c r="AC204" i="4" s="1"/>
  <c r="AK84" i="4"/>
  <c r="AK204" i="4" s="1"/>
  <c r="BX84" i="4"/>
  <c r="BX204" i="4" s="1"/>
  <c r="AO84" i="4"/>
  <c r="AO204" i="4" s="1"/>
  <c r="AI84" i="4"/>
  <c r="AI204" i="4" s="1"/>
  <c r="CF84" i="4"/>
  <c r="CF204" i="4" s="1"/>
  <c r="EB84" i="4"/>
  <c r="EB204" i="4" s="1"/>
  <c r="DE84" i="4"/>
  <c r="DE204" i="4" s="1"/>
  <c r="Z84" i="4"/>
  <c r="Z204" i="4" s="1"/>
  <c r="EF84" i="4"/>
  <c r="EF204" i="4" s="1"/>
  <c r="EJ84" i="4"/>
  <c r="EK84" i="4"/>
  <c r="AX84" i="4"/>
  <c r="AX204" i="4" s="1"/>
  <c r="CB84" i="4"/>
  <c r="CB204" i="4" s="1"/>
  <c r="CR84" i="4"/>
  <c r="CR204" i="4" s="1"/>
  <c r="CN84" i="4"/>
  <c r="CN204" i="4" s="1"/>
  <c r="Y84" i="4"/>
  <c r="Y204" i="4" s="1"/>
  <c r="AF84" i="4"/>
  <c r="AF204" i="4" s="1"/>
  <c r="DD84" i="4"/>
  <c r="DD204" i="4" s="1"/>
  <c r="DK84" i="4"/>
  <c r="DK204" i="4" s="1"/>
  <c r="CP84" i="4"/>
  <c r="CP204" i="4" s="1"/>
  <c r="CL84" i="4"/>
  <c r="CL204" i="4" s="1"/>
  <c r="ES84" i="4"/>
  <c r="DV84" i="4"/>
  <c r="DV204" i="4" s="1"/>
  <c r="CX84" i="4"/>
  <c r="CX204" i="4" s="1"/>
  <c r="CU84" i="4"/>
  <c r="CU204" i="4" s="1"/>
  <c r="CT84" i="4"/>
  <c r="CT204" i="4" s="1"/>
  <c r="CW84" i="4"/>
  <c r="CW204" i="4" s="1"/>
  <c r="CE84" i="4"/>
  <c r="CE204" i="4" s="1"/>
  <c r="DA84" i="4"/>
  <c r="DA204" i="4" s="1"/>
  <c r="DF84" i="4"/>
  <c r="DF204" i="4" s="1"/>
  <c r="DN84" i="4"/>
  <c r="DN204" i="4" s="1"/>
  <c r="DC84" i="4"/>
  <c r="DC204" i="4" s="1"/>
  <c r="EP84" i="4"/>
  <c r="EG84" i="4"/>
  <c r="EG204" i="4" s="1"/>
  <c r="DW84" i="4"/>
  <c r="DW204" i="4" s="1"/>
  <c r="DL84" i="4"/>
  <c r="DL204" i="4" s="1"/>
  <c r="C83" i="4"/>
  <c r="BZ84" i="4"/>
  <c r="BZ204" i="4" s="1"/>
  <c r="BS84" i="4"/>
  <c r="BS204" i="4" s="1"/>
  <c r="EI84" i="4"/>
  <c r="BR84" i="4"/>
  <c r="BR204" i="4" s="1"/>
  <c r="EL84" i="4"/>
  <c r="AQ84" i="4"/>
  <c r="AQ204" i="4" s="1"/>
  <c r="CS84" i="4"/>
  <c r="CS204" i="4" s="1"/>
  <c r="DS84" i="4"/>
  <c r="DS204" i="4" s="1"/>
  <c r="I84" i="4"/>
  <c r="AY84" i="4"/>
  <c r="AY204" i="4" s="1"/>
  <c r="H83" i="4"/>
  <c r="I85" i="4" s="1"/>
  <c r="DP84" i="4"/>
  <c r="DP204" i="4" s="1"/>
  <c r="CH84" i="4"/>
  <c r="CH204" i="4" s="1"/>
  <c r="DI84" i="4"/>
  <c r="DI204" i="4" s="1"/>
  <c r="DQ84" i="4"/>
  <c r="DQ204" i="4" s="1"/>
  <c r="CK84" i="4"/>
  <c r="CK204" i="4" s="1"/>
  <c r="DU84" i="4"/>
  <c r="DU204" i="4" s="1"/>
  <c r="EN84" i="4"/>
  <c r="EM84" i="4"/>
  <c r="ER84" i="4"/>
  <c r="CI84" i="4"/>
  <c r="CI204" i="4" s="1"/>
  <c r="CY84" i="4"/>
  <c r="CY204" i="4" s="1"/>
  <c r="DR84" i="4"/>
  <c r="DR204" i="4" s="1"/>
  <c r="CQ84" i="4"/>
  <c r="CQ204" i="4" s="1"/>
  <c r="CC84" i="4"/>
  <c r="CC204" i="4" s="1"/>
  <c r="CM84" i="4"/>
  <c r="CM204" i="4" s="1"/>
  <c r="DH84" i="4"/>
  <c r="DH204" i="4" s="1"/>
  <c r="DG84" i="4"/>
  <c r="DG204" i="4" s="1"/>
  <c r="CA84" i="4"/>
  <c r="CA204" i="4" s="1"/>
  <c r="DY84" i="4"/>
  <c r="DY204" i="4" s="1"/>
  <c r="DZ84" i="4"/>
  <c r="DZ204" i="4" s="1"/>
  <c r="DX84" i="4"/>
  <c r="DX204" i="4" s="1"/>
  <c r="CV84" i="4"/>
  <c r="CV204" i="4" s="1"/>
  <c r="EQ84" i="4"/>
  <c r="EA84" i="4"/>
  <c r="EA204" i="4" s="1"/>
  <c r="CO84" i="4"/>
  <c r="CO204" i="4" s="1"/>
  <c r="DO84" i="4"/>
  <c r="DO204" i="4" s="1"/>
  <c r="EO84" i="4"/>
  <c r="EE84" i="4"/>
  <c r="EE204" i="4" s="1"/>
  <c r="DB84" i="4"/>
  <c r="DB204" i="4" s="1"/>
  <c r="EH84" i="4"/>
  <c r="CJ84" i="4"/>
  <c r="CJ204" i="4" s="1"/>
  <c r="D83" i="4"/>
  <c r="C15" i="11" s="1"/>
  <c r="DT84" i="4"/>
  <c r="DT204" i="4" s="1"/>
  <c r="AG84" i="4"/>
  <c r="AG204" i="4" s="1"/>
  <c r="EC84" i="4"/>
  <c r="EC204" i="4" s="1"/>
  <c r="CZ84" i="4"/>
  <c r="CZ204" i="4" s="1"/>
  <c r="DJ84" i="4"/>
  <c r="DJ204" i="4" s="1"/>
  <c r="ED84" i="4"/>
  <c r="ED204" i="4" s="1"/>
  <c r="CG84" i="4"/>
  <c r="CG204" i="4" s="1"/>
  <c r="DM84" i="4"/>
  <c r="DM204" i="4" s="1"/>
  <c r="CD84" i="4"/>
  <c r="CD204" i="4" s="1"/>
  <c r="K36" i="1"/>
  <c r="H35" i="1" s="1"/>
  <c r="J35" i="1"/>
  <c r="J36" i="1" s="1"/>
  <c r="I35" i="1"/>
  <c r="I36" i="1" s="1"/>
  <c r="ES24" i="4"/>
  <c r="D28" i="12" l="1"/>
  <c r="C26" i="11"/>
  <c r="D24" i="11" s="1"/>
  <c r="E25" i="11"/>
  <c r="E26" i="11" s="1"/>
  <c r="CJ25" i="4"/>
  <c r="ED25" i="4"/>
  <c r="CL25" i="4"/>
  <c r="BP25" i="4"/>
  <c r="AT25" i="4"/>
  <c r="X25" i="4"/>
  <c r="DF25" i="4"/>
  <c r="DZ25" i="4"/>
  <c r="CH25" i="4"/>
  <c r="BL25" i="4"/>
  <c r="AR25" i="4"/>
  <c r="AP25" i="4"/>
  <c r="DH25" i="4"/>
  <c r="DD25" i="4"/>
  <c r="BN25" i="4"/>
  <c r="EK25" i="4"/>
  <c r="T25" i="4"/>
  <c r="EP25" i="4"/>
  <c r="V25" i="4"/>
  <c r="DT25" i="4"/>
  <c r="CX25" i="4"/>
  <c r="CB25" i="4"/>
  <c r="DL25" i="4"/>
  <c r="CP25" i="4"/>
  <c r="BT25" i="4"/>
  <c r="AB25" i="4"/>
  <c r="DC25" i="4"/>
  <c r="EB25" i="4"/>
  <c r="BF25" i="4"/>
  <c r="EL25" i="4"/>
  <c r="DP25" i="4"/>
  <c r="CT25" i="4"/>
  <c r="EF25" i="4"/>
  <c r="DJ25" i="4"/>
  <c r="CN25" i="4"/>
  <c r="BR25" i="4"/>
  <c r="AV25" i="4"/>
  <c r="Z25" i="4"/>
  <c r="BK25" i="4"/>
  <c r="AO25" i="4"/>
  <c r="S25" i="4"/>
  <c r="BX25" i="4"/>
  <c r="DW25" i="4"/>
  <c r="DA25" i="4"/>
  <c r="CE25" i="4"/>
  <c r="BI25" i="4"/>
  <c r="AM25" i="4"/>
  <c r="EC25" i="4"/>
  <c r="DG25" i="4"/>
  <c r="CK25" i="4"/>
  <c r="BO25" i="4"/>
  <c r="AS25" i="4"/>
  <c r="W25" i="4"/>
  <c r="EA25" i="4"/>
  <c r="DE25" i="4"/>
  <c r="CI25" i="4"/>
  <c r="BM25" i="4"/>
  <c r="AQ25" i="4"/>
  <c r="U25" i="4"/>
  <c r="BB25" i="4"/>
  <c r="R25" i="4"/>
  <c r="AJ25" i="4"/>
  <c r="DO25" i="4"/>
  <c r="DX25" i="4"/>
  <c r="DB25" i="4"/>
  <c r="CF25" i="4"/>
  <c r="BJ25" i="4"/>
  <c r="EN25" i="4"/>
  <c r="DR25" i="4"/>
  <c r="CV25" i="4"/>
  <c r="BZ25" i="4"/>
  <c r="AF25" i="4"/>
  <c r="BD25" i="4"/>
  <c r="AH25" i="4"/>
  <c r="CS25" i="4"/>
  <c r="BW25" i="4"/>
  <c r="BA25" i="4"/>
  <c r="AE25" i="4"/>
  <c r="EI25" i="4"/>
  <c r="DM25" i="4"/>
  <c r="CQ25" i="4"/>
  <c r="BU25" i="4"/>
  <c r="AY25" i="4"/>
  <c r="AC25" i="4"/>
  <c r="DY25" i="4"/>
  <c r="CG25" i="4"/>
  <c r="ER25" i="4"/>
  <c r="DV25" i="4"/>
  <c r="CZ25" i="4"/>
  <c r="CD25" i="4"/>
  <c r="BH25" i="4"/>
  <c r="AL25" i="4"/>
  <c r="EQ25" i="4"/>
  <c r="DU25" i="4"/>
  <c r="CY25" i="4"/>
  <c r="CC25" i="4"/>
  <c r="BG25" i="4"/>
  <c r="AK25" i="4"/>
  <c r="EO25" i="4"/>
  <c r="DS25" i="4"/>
  <c r="CW25" i="4"/>
  <c r="CA25" i="4"/>
  <c r="BE25" i="4"/>
  <c r="AI25" i="4"/>
  <c r="EH25" i="4"/>
  <c r="AX25" i="4"/>
  <c r="EG25" i="4"/>
  <c r="DK25" i="4"/>
  <c r="CO25" i="4"/>
  <c r="BS25" i="4"/>
  <c r="AW25" i="4"/>
  <c r="AA25" i="4"/>
  <c r="H32" i="1"/>
  <c r="H36" i="1"/>
  <c r="H33" i="1"/>
  <c r="K28" i="1"/>
  <c r="H34" i="1"/>
  <c r="I28" i="1"/>
  <c r="J28" i="1"/>
  <c r="AN25" i="4"/>
  <c r="IC199" i="4"/>
  <c r="IC214" i="4" s="1"/>
  <c r="JK199" i="4"/>
  <c r="JK214" i="4" s="1"/>
  <c r="HO199" i="4"/>
  <c r="HO214" i="4" s="1"/>
  <c r="FQ199" i="4"/>
  <c r="FQ214" i="4" s="1"/>
  <c r="FL199" i="4"/>
  <c r="FL214" i="4" s="1"/>
  <c r="JR199" i="4"/>
  <c r="JR214" i="4" s="1"/>
  <c r="FG199" i="4"/>
  <c r="FG214" i="4" s="1"/>
  <c r="HB199" i="4"/>
  <c r="HB214" i="4" s="1"/>
  <c r="GJ199" i="4"/>
  <c r="GJ214" i="4" s="1"/>
  <c r="GI199" i="4"/>
  <c r="GI214" i="4" s="1"/>
  <c r="FX199" i="4"/>
  <c r="FX214" i="4" s="1"/>
  <c r="IO199" i="4"/>
  <c r="IO214" i="4" s="1"/>
  <c r="JY199" i="4"/>
  <c r="JY214" i="4" s="1"/>
  <c r="HV199" i="4"/>
  <c r="HV214" i="4" s="1"/>
  <c r="IT199" i="4"/>
  <c r="IT214" i="4" s="1"/>
  <c r="HU199" i="4"/>
  <c r="HU214" i="4" s="1"/>
  <c r="IR199" i="4"/>
  <c r="IR214" i="4" s="1"/>
  <c r="FA199" i="4"/>
  <c r="FA214" i="4" s="1"/>
  <c r="IN199" i="4"/>
  <c r="IN214" i="4" s="1"/>
  <c r="JE199" i="4"/>
  <c r="JE214" i="4" s="1"/>
  <c r="JO199" i="4"/>
  <c r="JO214" i="4" s="1"/>
  <c r="HS199" i="4"/>
  <c r="HS214" i="4" s="1"/>
  <c r="JS199" i="4"/>
  <c r="JS214" i="4" s="1"/>
  <c r="JU199" i="4"/>
  <c r="JU214" i="4" s="1"/>
  <c r="FP199" i="4"/>
  <c r="FP214" i="4" s="1"/>
  <c r="FN199" i="4"/>
  <c r="FN214" i="4" s="1"/>
  <c r="FB199" i="4"/>
  <c r="FB214" i="4" s="1"/>
  <c r="HF199" i="4"/>
  <c r="HF214" i="4" s="1"/>
  <c r="IW199" i="4"/>
  <c r="IW214" i="4" s="1"/>
  <c r="HK199" i="4"/>
  <c r="HK214" i="4" s="1"/>
  <c r="GW199" i="4"/>
  <c r="GW214" i="4" s="1"/>
  <c r="JF199" i="4"/>
  <c r="JF214" i="4" s="1"/>
  <c r="IU199" i="4"/>
  <c r="IU214" i="4" s="1"/>
  <c r="FV199" i="4"/>
  <c r="FV214" i="4" s="1"/>
  <c r="JH199" i="4"/>
  <c r="JH214" i="4" s="1"/>
  <c r="IF199" i="4"/>
  <c r="IF214" i="4" s="1"/>
  <c r="IZ199" i="4"/>
  <c r="IZ214" i="4" s="1"/>
  <c r="IY199" i="4"/>
  <c r="IY214" i="4" s="1"/>
  <c r="GQ199" i="4"/>
  <c r="GQ214" i="4" s="1"/>
  <c r="HY199" i="4"/>
  <c r="HY214" i="4" s="1"/>
  <c r="ID199" i="4"/>
  <c r="ID214" i="4" s="1"/>
  <c r="GK199" i="4"/>
  <c r="GK214" i="4" s="1"/>
  <c r="GM199" i="4"/>
  <c r="GM214" i="4" s="1"/>
  <c r="GP199" i="4"/>
  <c r="GP214" i="4" s="1"/>
  <c r="FM199" i="4"/>
  <c r="FM214" i="4" s="1"/>
  <c r="HI199" i="4"/>
  <c r="HI214" i="4" s="1"/>
  <c r="GO199" i="4"/>
  <c r="GO214" i="4" s="1"/>
  <c r="IE199" i="4"/>
  <c r="IE214" i="4" s="1"/>
  <c r="JP199" i="4"/>
  <c r="JP214" i="4" s="1"/>
  <c r="GF199" i="4"/>
  <c r="GF214" i="4" s="1"/>
  <c r="JN199" i="4"/>
  <c r="JN214" i="4" s="1"/>
  <c r="JJ199" i="4"/>
  <c r="JJ214" i="4" s="1"/>
  <c r="FK199" i="4"/>
  <c r="FK214" i="4" s="1"/>
  <c r="GA199" i="4"/>
  <c r="GA214" i="4" s="1"/>
  <c r="JT199" i="4"/>
  <c r="JT214" i="4" s="1"/>
  <c r="JD199" i="4"/>
  <c r="JD214" i="4" s="1"/>
  <c r="GD199" i="4"/>
  <c r="GD214" i="4" s="1"/>
  <c r="GB199" i="4"/>
  <c r="GB214" i="4" s="1"/>
  <c r="HZ199" i="4"/>
  <c r="HZ214" i="4" s="1"/>
  <c r="HP199" i="4"/>
  <c r="HP214" i="4" s="1"/>
  <c r="IV199" i="4"/>
  <c r="IV214" i="4" s="1"/>
  <c r="GL199" i="4"/>
  <c r="GL214" i="4" s="1"/>
  <c r="HJ199" i="4"/>
  <c r="HJ214" i="4" s="1"/>
  <c r="GG199" i="4"/>
  <c r="GG214" i="4" s="1"/>
  <c r="HX199" i="4"/>
  <c r="HX214" i="4" s="1"/>
  <c r="FF199" i="4"/>
  <c r="FF214" i="4" s="1"/>
  <c r="FU199" i="4"/>
  <c r="FU214" i="4" s="1"/>
  <c r="JG199" i="4"/>
  <c r="JG214" i="4" s="1"/>
  <c r="IA199" i="4"/>
  <c r="IA214" i="4" s="1"/>
  <c r="JL199" i="4"/>
  <c r="JL214" i="4" s="1"/>
  <c r="IJ199" i="4"/>
  <c r="IJ214" i="4" s="1"/>
  <c r="IL199" i="4"/>
  <c r="IL214" i="4" s="1"/>
  <c r="IS199" i="4"/>
  <c r="IS214" i="4" s="1"/>
  <c r="HT199" i="4"/>
  <c r="HT214" i="4" s="1"/>
  <c r="FD199" i="4"/>
  <c r="FD214" i="4" s="1"/>
  <c r="JM199" i="4"/>
  <c r="JM214" i="4" s="1"/>
  <c r="HW199" i="4"/>
  <c r="HW214" i="4" s="1"/>
  <c r="FS199" i="4"/>
  <c r="FS214" i="4" s="1"/>
  <c r="HQ199" i="4"/>
  <c r="HQ214" i="4" s="1"/>
  <c r="FO199" i="4"/>
  <c r="FO214" i="4" s="1"/>
  <c r="FC199" i="4"/>
  <c r="FC214" i="4" s="1"/>
  <c r="HA199" i="4"/>
  <c r="HA214" i="4" s="1"/>
  <c r="FE199" i="4"/>
  <c r="FE214" i="4" s="1"/>
  <c r="IK199" i="4"/>
  <c r="IK214" i="4" s="1"/>
  <c r="GH199" i="4"/>
  <c r="GH214" i="4" s="1"/>
  <c r="JB199" i="4"/>
  <c r="JB214" i="4" s="1"/>
  <c r="FH199" i="4"/>
  <c r="FH214" i="4" s="1"/>
  <c r="FR199" i="4"/>
  <c r="FR214" i="4" s="1"/>
  <c r="JQ199" i="4"/>
  <c r="JQ214" i="4" s="1"/>
  <c r="JV199" i="4"/>
  <c r="JV214" i="4" s="1"/>
  <c r="JI199" i="4"/>
  <c r="JI214" i="4" s="1"/>
  <c r="FZ199" i="4"/>
  <c r="FZ214" i="4" s="1"/>
  <c r="JX199" i="4"/>
  <c r="JX214" i="4" s="1"/>
  <c r="KC199" i="4"/>
  <c r="KC214" i="4" s="1"/>
  <c r="GV199" i="4"/>
  <c r="GV214" i="4" s="1"/>
  <c r="IH199" i="4"/>
  <c r="IH214" i="4" s="1"/>
  <c r="GZ199" i="4"/>
  <c r="GZ214" i="4" s="1"/>
  <c r="GE199" i="4"/>
  <c r="GE214" i="4" s="1"/>
  <c r="IB199" i="4"/>
  <c r="IB214" i="4" s="1"/>
  <c r="HE199" i="4"/>
  <c r="HE214" i="4" s="1"/>
  <c r="KA199" i="4"/>
  <c r="KA214" i="4" s="1"/>
  <c r="JW199" i="4"/>
  <c r="JW214" i="4" s="1"/>
  <c r="GU199" i="4"/>
  <c r="GU214" i="4" s="1"/>
  <c r="FI199" i="4"/>
  <c r="FI214" i="4" s="1"/>
  <c r="HN199" i="4"/>
  <c r="HN214" i="4" s="1"/>
  <c r="GN199" i="4"/>
  <c r="GN214" i="4" s="1"/>
  <c r="GX199" i="4"/>
  <c r="GX214" i="4" s="1"/>
  <c r="IG199" i="4"/>
  <c r="IG214" i="4" s="1"/>
  <c r="GS199" i="4"/>
  <c r="GS214" i="4" s="1"/>
  <c r="JC199" i="4"/>
  <c r="JC214" i="4" s="1"/>
  <c r="HG199" i="4"/>
  <c r="HG214" i="4" s="1"/>
  <c r="FY199" i="4"/>
  <c r="FY214" i="4" s="1"/>
  <c r="IQ199" i="4"/>
  <c r="IQ214" i="4" s="1"/>
  <c r="HM199" i="4"/>
  <c r="HM214" i="4" s="1"/>
  <c r="KB199" i="4"/>
  <c r="KB214" i="4" s="1"/>
  <c r="HC199" i="4"/>
  <c r="HC214" i="4" s="1"/>
  <c r="GY199" i="4"/>
  <c r="GY214" i="4" s="1"/>
  <c r="FT199" i="4"/>
  <c r="FT214" i="4" s="1"/>
  <c r="HD199" i="4"/>
  <c r="HD214" i="4" s="1"/>
  <c r="JA199" i="4"/>
  <c r="JA214" i="4" s="1"/>
  <c r="IM199" i="4"/>
  <c r="IM214" i="4" s="1"/>
  <c r="JZ199" i="4"/>
  <c r="JZ214" i="4" s="1"/>
  <c r="GT199" i="4"/>
  <c r="GT214" i="4" s="1"/>
  <c r="IP199" i="4"/>
  <c r="IP214" i="4" s="1"/>
  <c r="GC199" i="4"/>
  <c r="GC214" i="4" s="1"/>
  <c r="HH199" i="4"/>
  <c r="HH214" i="4" s="1"/>
  <c r="HR199" i="4"/>
  <c r="HR214" i="4" s="1"/>
  <c r="IX199" i="4"/>
  <c r="IX214" i="4" s="1"/>
  <c r="II199" i="4"/>
  <c r="II214" i="4" s="1"/>
  <c r="HL199" i="4"/>
  <c r="HL214" i="4" s="1"/>
  <c r="FW199" i="4"/>
  <c r="FW214" i="4" s="1"/>
  <c r="GR199" i="4"/>
  <c r="GR214" i="4" s="1"/>
  <c r="FJ199" i="4"/>
  <c r="FJ214" i="4" s="1"/>
  <c r="I64" i="4"/>
  <c r="H63" i="4"/>
  <c r="H64" i="4" s="1"/>
  <c r="F63" i="4"/>
  <c r="G63" i="4"/>
  <c r="G64" i="4" s="1"/>
  <c r="P77" i="4"/>
  <c r="G67" i="4"/>
  <c r="F32" i="1"/>
  <c r="H67" i="4"/>
  <c r="EM25" i="4"/>
  <c r="DQ25" i="4"/>
  <c r="CU25" i="4"/>
  <c r="BY25" i="4"/>
  <c r="BC25" i="4"/>
  <c r="AG25" i="4"/>
  <c r="N29" i="1"/>
  <c r="G221" i="4"/>
  <c r="F33" i="1"/>
  <c r="H68" i="4"/>
  <c r="G68" i="4"/>
  <c r="EJ25" i="4"/>
  <c r="DN25" i="4"/>
  <c r="CR25" i="4"/>
  <c r="BV25" i="4"/>
  <c r="AZ25" i="4"/>
  <c r="AD25" i="4"/>
  <c r="I221" i="4"/>
  <c r="C7" i="11" s="1"/>
  <c r="D5" i="11" s="1"/>
  <c r="P29" i="1"/>
  <c r="H221" i="4"/>
  <c r="O31" i="1" s="1"/>
  <c r="O29" i="1"/>
  <c r="I204" i="4"/>
  <c r="BU142" i="4"/>
  <c r="CF142" i="4"/>
  <c r="CW142" i="4"/>
  <c r="DM142" i="4"/>
  <c r="AW142" i="4"/>
  <c r="EH142" i="4"/>
  <c r="EH143" i="4" s="1"/>
  <c r="AV142" i="4"/>
  <c r="BX142" i="4"/>
  <c r="AQ142" i="4"/>
  <c r="DI142" i="4"/>
  <c r="DQ142" i="4"/>
  <c r="ED142" i="4"/>
  <c r="CE142" i="4"/>
  <c r="CD142" i="4"/>
  <c r="BS142" i="4"/>
  <c r="AE142" i="4"/>
  <c r="CX142" i="4"/>
  <c r="CM142" i="4"/>
  <c r="AC142" i="4"/>
  <c r="EJ142" i="4"/>
  <c r="EJ143" i="4" s="1"/>
  <c r="AA142" i="4"/>
  <c r="EM142" i="4"/>
  <c r="EM143" i="4" s="1"/>
  <c r="CV142" i="4"/>
  <c r="AX142" i="4"/>
  <c r="EI142" i="4"/>
  <c r="EI143" i="4" s="1"/>
  <c r="H85" i="4"/>
  <c r="F29" i="1" s="1"/>
  <c r="DN142" i="4"/>
  <c r="DH142" i="4"/>
  <c r="BH142" i="4"/>
  <c r="DW142" i="4"/>
  <c r="DT142" i="4"/>
  <c r="AB142" i="4"/>
  <c r="EQ142" i="4"/>
  <c r="EQ143" i="4" s="1"/>
  <c r="AO142" i="4"/>
  <c r="EA142" i="4"/>
  <c r="CQ142" i="4"/>
  <c r="DU142" i="4"/>
  <c r="AG142" i="4"/>
  <c r="BC142" i="4"/>
  <c r="CT142" i="4"/>
  <c r="EN142" i="4"/>
  <c r="EN143" i="4" s="1"/>
  <c r="BK142" i="4"/>
  <c r="AR142" i="4"/>
  <c r="CC142" i="4"/>
  <c r="AT142" i="4"/>
  <c r="DY142" i="4"/>
  <c r="W142" i="4"/>
  <c r="I142" i="4"/>
  <c r="I143" i="4" s="1"/>
  <c r="AS142" i="4"/>
  <c r="AP142" i="4"/>
  <c r="DD142" i="4"/>
  <c r="DR142" i="4"/>
  <c r="AJ142" i="4"/>
  <c r="T142" i="4"/>
  <c r="BD142" i="4"/>
  <c r="CZ142" i="4"/>
  <c r="AD142" i="4"/>
  <c r="AI142" i="4"/>
  <c r="AU142" i="4"/>
  <c r="EC142" i="4"/>
  <c r="BG142" i="4"/>
  <c r="DA142" i="4"/>
  <c r="DP142" i="4"/>
  <c r="BV142" i="4"/>
  <c r="BF142" i="4"/>
  <c r="CP142" i="4"/>
  <c r="AL142" i="4"/>
  <c r="DE142" i="4"/>
  <c r="AZ142" i="4"/>
  <c r="CU142" i="4"/>
  <c r="BL142" i="4"/>
  <c r="DC142" i="4"/>
  <c r="CB142" i="4"/>
  <c r="EK142" i="4"/>
  <c r="EK143" i="4" s="1"/>
  <c r="BE142" i="4"/>
  <c r="BR142" i="4"/>
  <c r="CY142" i="4"/>
  <c r="DB142" i="4"/>
  <c r="CH142" i="4"/>
  <c r="AF142" i="4"/>
  <c r="CO142" i="4"/>
  <c r="ER142" i="4"/>
  <c r="ER143" i="4" s="1"/>
  <c r="EG142" i="4"/>
  <c r="BZ142" i="4"/>
  <c r="EO142" i="4"/>
  <c r="EO143" i="4" s="1"/>
  <c r="BA142" i="4"/>
  <c r="CJ142" i="4"/>
  <c r="BN142" i="4"/>
  <c r="BT142" i="4"/>
  <c r="V142" i="4"/>
  <c r="CN142" i="4"/>
  <c r="CK142" i="4"/>
  <c r="AK142" i="4"/>
  <c r="CA142" i="4"/>
  <c r="DL142" i="4"/>
  <c r="AH142" i="4"/>
  <c r="X142" i="4"/>
  <c r="BQ142" i="4"/>
  <c r="BO142" i="4"/>
  <c r="S142" i="4"/>
  <c r="EB142" i="4"/>
  <c r="DO142" i="4"/>
  <c r="BY142" i="4"/>
  <c r="CL142" i="4"/>
  <c r="ES142" i="4"/>
  <c r="ES143" i="4" s="1"/>
  <c r="CI142" i="4"/>
  <c r="Z142" i="4"/>
  <c r="R142" i="4"/>
  <c r="Y142" i="4"/>
  <c r="DJ142" i="4"/>
  <c r="EP142" i="4"/>
  <c r="EP143" i="4" s="1"/>
  <c r="BP142" i="4"/>
  <c r="AM142" i="4"/>
  <c r="DS142" i="4"/>
  <c r="BB142" i="4"/>
  <c r="EE142" i="4"/>
  <c r="CR142" i="4"/>
  <c r="BJ142" i="4"/>
  <c r="AN142" i="4"/>
  <c r="BM142" i="4"/>
  <c r="DX142" i="4"/>
  <c r="CS142" i="4"/>
  <c r="DF142" i="4"/>
  <c r="DK142" i="4"/>
  <c r="DG142" i="4"/>
  <c r="AY142" i="4"/>
  <c r="CG142" i="4"/>
  <c r="DZ142" i="4"/>
  <c r="DV142" i="4"/>
  <c r="U142" i="4"/>
  <c r="BI142" i="4"/>
  <c r="EL142" i="4"/>
  <c r="EL143" i="4" s="1"/>
  <c r="EF142" i="4"/>
  <c r="BW142" i="4"/>
  <c r="ES25" i="4"/>
  <c r="AE85" i="4"/>
  <c r="AE211" i="4" s="1"/>
  <c r="AE212" i="4" s="1"/>
  <c r="AS85" i="4"/>
  <c r="AS211" i="4" s="1"/>
  <c r="AS212" i="4" s="1"/>
  <c r="BM85" i="4"/>
  <c r="BM211" i="4" s="1"/>
  <c r="BM212" i="4" s="1"/>
  <c r="BD85" i="4"/>
  <c r="BD211" i="4" s="1"/>
  <c r="BD212" i="4" s="1"/>
  <c r="AV85" i="4"/>
  <c r="AV211" i="4" s="1"/>
  <c r="AV212" i="4" s="1"/>
  <c r="BE85" i="4"/>
  <c r="BE211" i="4" s="1"/>
  <c r="BE212" i="4" s="1"/>
  <c r="AR85" i="4"/>
  <c r="AR211" i="4" s="1"/>
  <c r="AR212" i="4" s="1"/>
  <c r="AK85" i="4"/>
  <c r="AK211" i="4" s="1"/>
  <c r="AK212" i="4" s="1"/>
  <c r="AU85" i="4"/>
  <c r="AU211" i="4" s="1"/>
  <c r="AU212" i="4" s="1"/>
  <c r="R85" i="4"/>
  <c r="R211" i="4" s="1"/>
  <c r="R212" i="4" s="1"/>
  <c r="BJ85" i="4"/>
  <c r="BJ211" i="4" s="1"/>
  <c r="BJ212" i="4" s="1"/>
  <c r="T85" i="4"/>
  <c r="T211" i="4" s="1"/>
  <c r="T212" i="4" s="1"/>
  <c r="AF85" i="4"/>
  <c r="AF211" i="4" s="1"/>
  <c r="AF212" i="4" s="1"/>
  <c r="BL85" i="4"/>
  <c r="BL211" i="4" s="1"/>
  <c r="BL212" i="4" s="1"/>
  <c r="BI85" i="4"/>
  <c r="BI211" i="4" s="1"/>
  <c r="BI212" i="4" s="1"/>
  <c r="BT85" i="4"/>
  <c r="BT211" i="4" s="1"/>
  <c r="BT212" i="4" s="1"/>
  <c r="BN85" i="4"/>
  <c r="BN211" i="4" s="1"/>
  <c r="BN212" i="4" s="1"/>
  <c r="BK85" i="4"/>
  <c r="BK211" i="4" s="1"/>
  <c r="BK212" i="4" s="1"/>
  <c r="AD85" i="4"/>
  <c r="AD211" i="4" s="1"/>
  <c r="AD212" i="4" s="1"/>
  <c r="BP85" i="4"/>
  <c r="BP211" i="4" s="1"/>
  <c r="BP212" i="4" s="1"/>
  <c r="BW85" i="4"/>
  <c r="BW211" i="4" s="1"/>
  <c r="BW212" i="4" s="1"/>
  <c r="AA85" i="4"/>
  <c r="AA211" i="4" s="1"/>
  <c r="AA212" i="4" s="1"/>
  <c r="AN85" i="4"/>
  <c r="AN211" i="4" s="1"/>
  <c r="AN212" i="4" s="1"/>
  <c r="BS85" i="4"/>
  <c r="BS211" i="4" s="1"/>
  <c r="BS212" i="4" s="1"/>
  <c r="BB85" i="4"/>
  <c r="BB211" i="4" s="1"/>
  <c r="BB212" i="4" s="1"/>
  <c r="BQ85" i="4"/>
  <c r="BQ211" i="4" s="1"/>
  <c r="BQ212" i="4" s="1"/>
  <c r="S85" i="4"/>
  <c r="S211" i="4" s="1"/>
  <c r="S212" i="4" s="1"/>
  <c r="W85" i="4"/>
  <c r="W211" i="4" s="1"/>
  <c r="W212" i="4" s="1"/>
  <c r="Z85" i="4"/>
  <c r="Z211" i="4" s="1"/>
  <c r="Z212" i="4" s="1"/>
  <c r="AP85" i="4"/>
  <c r="AP211" i="4" s="1"/>
  <c r="AP212" i="4" s="1"/>
  <c r="U85" i="4"/>
  <c r="U211" i="4" s="1"/>
  <c r="U212" i="4" s="1"/>
  <c r="BV85" i="4"/>
  <c r="BV211" i="4" s="1"/>
  <c r="BV212" i="4" s="1"/>
  <c r="AI85" i="4"/>
  <c r="AI211" i="4" s="1"/>
  <c r="AI212" i="4" s="1"/>
  <c r="AH85" i="4"/>
  <c r="AH211" i="4" s="1"/>
  <c r="AH212" i="4" s="1"/>
  <c r="BO85" i="4"/>
  <c r="BO211" i="4" s="1"/>
  <c r="BO212" i="4" s="1"/>
  <c r="Q85" i="4"/>
  <c r="Q211" i="4" s="1"/>
  <c r="Q216" i="4" s="1"/>
  <c r="AZ85" i="4"/>
  <c r="AZ211" i="4" s="1"/>
  <c r="AZ212" i="4" s="1"/>
  <c r="AQ85" i="4"/>
  <c r="AQ211" i="4" s="1"/>
  <c r="AQ212" i="4" s="1"/>
  <c r="BX85" i="4"/>
  <c r="BX211" i="4" s="1"/>
  <c r="BX212" i="4" s="1"/>
  <c r="AG85" i="4"/>
  <c r="AG211" i="4" s="1"/>
  <c r="AG212" i="4" s="1"/>
  <c r="AC85" i="4"/>
  <c r="AC211" i="4" s="1"/>
  <c r="AC212" i="4" s="1"/>
  <c r="BC85" i="4"/>
  <c r="BC211" i="4" s="1"/>
  <c r="BC212" i="4" s="1"/>
  <c r="BG85" i="4"/>
  <c r="BG211" i="4" s="1"/>
  <c r="BG212" i="4" s="1"/>
  <c r="AX85" i="4"/>
  <c r="AX211" i="4" s="1"/>
  <c r="AX212" i="4" s="1"/>
  <c r="BA85" i="4"/>
  <c r="BA211" i="4" s="1"/>
  <c r="BA212" i="4" s="1"/>
  <c r="Y85" i="4"/>
  <c r="Y211" i="4" s="1"/>
  <c r="Y212" i="4" s="1"/>
  <c r="AM85" i="4"/>
  <c r="AM211" i="4" s="1"/>
  <c r="AM212" i="4" s="1"/>
  <c r="BU85" i="4"/>
  <c r="BU211" i="4" s="1"/>
  <c r="BU212" i="4" s="1"/>
  <c r="AL85" i="4"/>
  <c r="AL211" i="4" s="1"/>
  <c r="AL212" i="4" s="1"/>
  <c r="AT85" i="4"/>
  <c r="AT211" i="4" s="1"/>
  <c r="AT212" i="4" s="1"/>
  <c r="DX85" i="4"/>
  <c r="DX211" i="4" s="1"/>
  <c r="DX212" i="4" s="1"/>
  <c r="EA85" i="4"/>
  <c r="EA211" i="4" s="1"/>
  <c r="EA212" i="4" s="1"/>
  <c r="DL85" i="4"/>
  <c r="DL211" i="4" s="1"/>
  <c r="DL212" i="4" s="1"/>
  <c r="CC85" i="4"/>
  <c r="CC211" i="4" s="1"/>
  <c r="CC212" i="4" s="1"/>
  <c r="V85" i="4"/>
  <c r="V211" i="4" s="1"/>
  <c r="V212" i="4" s="1"/>
  <c r="CE85" i="4"/>
  <c r="CE211" i="4" s="1"/>
  <c r="CE212" i="4" s="1"/>
  <c r="DG85" i="4"/>
  <c r="DG211" i="4" s="1"/>
  <c r="DG212" i="4" s="1"/>
  <c r="DC85" i="4"/>
  <c r="DC211" i="4" s="1"/>
  <c r="DC212" i="4" s="1"/>
  <c r="BH85" i="4"/>
  <c r="BH211" i="4" s="1"/>
  <c r="BH212" i="4" s="1"/>
  <c r="EC85" i="4"/>
  <c r="EC211" i="4" s="1"/>
  <c r="EC212" i="4" s="1"/>
  <c r="EN85" i="4"/>
  <c r="DA85" i="4"/>
  <c r="DA211" i="4" s="1"/>
  <c r="DA212" i="4" s="1"/>
  <c r="AW85" i="4"/>
  <c r="AW211" i="4" s="1"/>
  <c r="AW212" i="4" s="1"/>
  <c r="EB85" i="4"/>
  <c r="EB211" i="4" s="1"/>
  <c r="EB212" i="4" s="1"/>
  <c r="DW85" i="4"/>
  <c r="DW211" i="4" s="1"/>
  <c r="DW212" i="4" s="1"/>
  <c r="DM85" i="4"/>
  <c r="DM211" i="4" s="1"/>
  <c r="DM212" i="4" s="1"/>
  <c r="EK85" i="4"/>
  <c r="EH85" i="4"/>
  <c r="DD85" i="4"/>
  <c r="DD211" i="4" s="1"/>
  <c r="DD212" i="4" s="1"/>
  <c r="DV85" i="4"/>
  <c r="DV211" i="4" s="1"/>
  <c r="DV212" i="4" s="1"/>
  <c r="EP85" i="4"/>
  <c r="CV85" i="4"/>
  <c r="CV211" i="4" s="1"/>
  <c r="CV212" i="4" s="1"/>
  <c r="EG85" i="4"/>
  <c r="EG211" i="4" s="1"/>
  <c r="EG212" i="4" s="1"/>
  <c r="EL85" i="4"/>
  <c r="DE85" i="4"/>
  <c r="DE211" i="4" s="1"/>
  <c r="DE212" i="4" s="1"/>
  <c r="ED85" i="4"/>
  <c r="ED211" i="4" s="1"/>
  <c r="ED212" i="4" s="1"/>
  <c r="CB85" i="4"/>
  <c r="CB211" i="4" s="1"/>
  <c r="CB212" i="4" s="1"/>
  <c r="CT85" i="4"/>
  <c r="CT211" i="4" s="1"/>
  <c r="CT212" i="4" s="1"/>
  <c r="EQ85" i="4"/>
  <c r="BY85" i="4"/>
  <c r="BY211" i="4" s="1"/>
  <c r="BY212" i="4" s="1"/>
  <c r="BF85" i="4"/>
  <c r="BF211" i="4" s="1"/>
  <c r="BF212" i="4" s="1"/>
  <c r="AJ85" i="4"/>
  <c r="AJ211" i="4" s="1"/>
  <c r="AJ212" i="4" s="1"/>
  <c r="CN85" i="4"/>
  <c r="CN211" i="4" s="1"/>
  <c r="CN212" i="4" s="1"/>
  <c r="ES85" i="4"/>
  <c r="AO85" i="4"/>
  <c r="AO211" i="4" s="1"/>
  <c r="AO212" i="4" s="1"/>
  <c r="EF85" i="4"/>
  <c r="EF211" i="4" s="1"/>
  <c r="EF212" i="4" s="1"/>
  <c r="DJ85" i="4"/>
  <c r="DJ211" i="4" s="1"/>
  <c r="DJ212" i="4" s="1"/>
  <c r="CS85" i="4"/>
  <c r="CS211" i="4" s="1"/>
  <c r="CS212" i="4" s="1"/>
  <c r="DO85" i="4"/>
  <c r="DO211" i="4" s="1"/>
  <c r="DO212" i="4" s="1"/>
  <c r="CX85" i="4"/>
  <c r="CX211" i="4" s="1"/>
  <c r="CX212" i="4" s="1"/>
  <c r="CQ85" i="4"/>
  <c r="CQ211" i="4" s="1"/>
  <c r="CQ212" i="4" s="1"/>
  <c r="CA85" i="4"/>
  <c r="CA211" i="4" s="1"/>
  <c r="CA212" i="4" s="1"/>
  <c r="DB85" i="4"/>
  <c r="DB211" i="4" s="1"/>
  <c r="DB212" i="4" s="1"/>
  <c r="DT85" i="4"/>
  <c r="DT211" i="4" s="1"/>
  <c r="DT212" i="4" s="1"/>
  <c r="EE85" i="4"/>
  <c r="EE211" i="4" s="1"/>
  <c r="EE212" i="4" s="1"/>
  <c r="X85" i="4"/>
  <c r="X211" i="4" s="1"/>
  <c r="X212" i="4" s="1"/>
  <c r="CD85" i="4"/>
  <c r="CD211" i="4" s="1"/>
  <c r="CD212" i="4" s="1"/>
  <c r="CJ85" i="4"/>
  <c r="CJ211" i="4" s="1"/>
  <c r="CJ212" i="4" s="1"/>
  <c r="CP85" i="4"/>
  <c r="CP211" i="4" s="1"/>
  <c r="CP212" i="4" s="1"/>
  <c r="CG85" i="4"/>
  <c r="CG211" i="4" s="1"/>
  <c r="CG212" i="4" s="1"/>
  <c r="DK85" i="4"/>
  <c r="DK211" i="4" s="1"/>
  <c r="DK212" i="4" s="1"/>
  <c r="CF85" i="4"/>
  <c r="CF211" i="4" s="1"/>
  <c r="CF212" i="4" s="1"/>
  <c r="CR85" i="4"/>
  <c r="CR211" i="4" s="1"/>
  <c r="CR212" i="4" s="1"/>
  <c r="CZ85" i="4"/>
  <c r="CZ211" i="4" s="1"/>
  <c r="CZ212" i="4" s="1"/>
  <c r="BR85" i="4"/>
  <c r="BR211" i="4" s="1"/>
  <c r="BR212" i="4" s="1"/>
  <c r="DN85" i="4"/>
  <c r="DN211" i="4" s="1"/>
  <c r="DN212" i="4" s="1"/>
  <c r="EI85" i="4"/>
  <c r="CU85" i="4"/>
  <c r="CU211" i="4" s="1"/>
  <c r="CU212" i="4" s="1"/>
  <c r="DR85" i="4"/>
  <c r="DR211" i="4" s="1"/>
  <c r="DR212" i="4" s="1"/>
  <c r="F26" i="1"/>
  <c r="E194" i="4" s="1"/>
  <c r="CW85" i="4"/>
  <c r="CW211" i="4" s="1"/>
  <c r="CW212" i="4" s="1"/>
  <c r="DF85" i="4"/>
  <c r="DF211" i="4" s="1"/>
  <c r="DF212" i="4" s="1"/>
  <c r="DQ85" i="4"/>
  <c r="DQ211" i="4" s="1"/>
  <c r="DQ212" i="4" s="1"/>
  <c r="CO85" i="4"/>
  <c r="CO211" i="4" s="1"/>
  <c r="CO212" i="4" s="1"/>
  <c r="DH85" i="4"/>
  <c r="DH211" i="4" s="1"/>
  <c r="DH212" i="4" s="1"/>
  <c r="DS85" i="4"/>
  <c r="DS211" i="4" s="1"/>
  <c r="DS212" i="4" s="1"/>
  <c r="CM85" i="4"/>
  <c r="CM211" i="4" s="1"/>
  <c r="CM212" i="4" s="1"/>
  <c r="DI85" i="4"/>
  <c r="DI211" i="4" s="1"/>
  <c r="DI212" i="4" s="1"/>
  <c r="EM85" i="4"/>
  <c r="CH85" i="4"/>
  <c r="CH211" i="4" s="1"/>
  <c r="CH212" i="4" s="1"/>
  <c r="CI85" i="4"/>
  <c r="CI211" i="4" s="1"/>
  <c r="CI212" i="4" s="1"/>
  <c r="AB85" i="4"/>
  <c r="AB211" i="4" s="1"/>
  <c r="AB212" i="4" s="1"/>
  <c r="DP85" i="4"/>
  <c r="DP211" i="4" s="1"/>
  <c r="DP212" i="4" s="1"/>
  <c r="EO85" i="4"/>
  <c r="EJ85" i="4"/>
  <c r="DZ85" i="4"/>
  <c r="DZ211" i="4" s="1"/>
  <c r="DZ212" i="4" s="1"/>
  <c r="ER85" i="4"/>
  <c r="AY85" i="4"/>
  <c r="AY211" i="4" s="1"/>
  <c r="AY212" i="4" s="1"/>
  <c r="CY85" i="4"/>
  <c r="CY211" i="4" s="1"/>
  <c r="CY212" i="4" s="1"/>
  <c r="CK85" i="4"/>
  <c r="CK211" i="4" s="1"/>
  <c r="CK212" i="4" s="1"/>
  <c r="BZ85" i="4"/>
  <c r="BZ211" i="4" s="1"/>
  <c r="BZ212" i="4" s="1"/>
  <c r="DU85" i="4"/>
  <c r="DU211" i="4" s="1"/>
  <c r="DU212" i="4" s="1"/>
  <c r="DY85" i="4"/>
  <c r="DY211" i="4" s="1"/>
  <c r="DY212" i="4" s="1"/>
  <c r="CL85" i="4"/>
  <c r="CL211" i="4" s="1"/>
  <c r="CL212" i="4" s="1"/>
  <c r="EE25" i="4"/>
  <c r="DI25" i="4"/>
  <c r="CM25" i="4"/>
  <c r="BQ25" i="4"/>
  <c r="AU25" i="4"/>
  <c r="Y25" i="4"/>
  <c r="D25" i="11" l="1"/>
  <c r="D26" i="11" s="1"/>
  <c r="D6" i="11"/>
  <c r="D4" i="11"/>
  <c r="D7" i="11" s="1"/>
  <c r="DN143" i="4"/>
  <c r="DN207" i="4"/>
  <c r="DN216" i="4" s="1"/>
  <c r="DC143" i="4"/>
  <c r="DC207" i="4"/>
  <c r="DC216" i="4" s="1"/>
  <c r="CN143" i="4"/>
  <c r="CN207" i="4"/>
  <c r="CN216" i="4" s="1"/>
  <c r="CW143" i="4"/>
  <c r="CW207" i="4"/>
  <c r="CW216" i="4" s="1"/>
  <c r="CK143" i="4"/>
  <c r="CK207" i="4"/>
  <c r="CK216" i="4" s="1"/>
  <c r="DE143" i="4"/>
  <c r="DE207" i="4"/>
  <c r="DE216" i="4" s="1"/>
  <c r="DY143" i="4"/>
  <c r="DY207" i="4"/>
  <c r="DY216" i="4" s="1"/>
  <c r="CF143" i="4"/>
  <c r="CF207" i="4"/>
  <c r="CF216" i="4" s="1"/>
  <c r="DD143" i="4"/>
  <c r="DD207" i="4"/>
  <c r="DD216" i="4" s="1"/>
  <c r="EF143" i="4"/>
  <c r="EF207" i="4"/>
  <c r="EF216" i="4" s="1"/>
  <c r="CV143" i="4"/>
  <c r="CV207" i="4"/>
  <c r="CV216" i="4" s="1"/>
  <c r="CA143" i="4"/>
  <c r="CA207" i="4"/>
  <c r="CA216" i="4" s="1"/>
  <c r="DJ143" i="4"/>
  <c r="DJ207" i="4"/>
  <c r="DJ216" i="4" s="1"/>
  <c r="CP143" i="4"/>
  <c r="CP207" i="4"/>
  <c r="CP216" i="4" s="1"/>
  <c r="CC143" i="4"/>
  <c r="CC207" i="4"/>
  <c r="CC216" i="4" s="1"/>
  <c r="CJ143" i="4"/>
  <c r="CJ207" i="4"/>
  <c r="CJ216" i="4" s="1"/>
  <c r="DR143" i="4"/>
  <c r="DR207" i="4"/>
  <c r="DR216" i="4" s="1"/>
  <c r="DH143" i="4"/>
  <c r="DH207" i="4"/>
  <c r="DH216" i="4" s="1"/>
  <c r="CU143" i="4"/>
  <c r="CU207" i="4"/>
  <c r="CU216" i="4" s="1"/>
  <c r="CR143" i="4"/>
  <c r="CR207" i="4"/>
  <c r="CR216" i="4" s="1"/>
  <c r="EE143" i="4"/>
  <c r="EE207" i="4"/>
  <c r="EE216" i="4" s="1"/>
  <c r="DZ143" i="4"/>
  <c r="DZ207" i="4"/>
  <c r="DZ216" i="4" s="1"/>
  <c r="CI143" i="4"/>
  <c r="CI207" i="4"/>
  <c r="CI216" i="4" s="1"/>
  <c r="BZ143" i="4"/>
  <c r="BZ207" i="4"/>
  <c r="BZ216" i="4" s="1"/>
  <c r="DA143" i="4"/>
  <c r="DA207" i="4"/>
  <c r="DA216" i="4" s="1"/>
  <c r="CT143" i="4"/>
  <c r="CT207" i="4"/>
  <c r="CT216" i="4" s="1"/>
  <c r="CM143" i="4"/>
  <c r="CM207" i="4"/>
  <c r="CM216" i="4" s="1"/>
  <c r="CG143" i="4"/>
  <c r="CG207" i="4"/>
  <c r="CG216" i="4" s="1"/>
  <c r="EG143" i="4"/>
  <c r="EG207" i="4"/>
  <c r="EG216" i="4" s="1"/>
  <c r="CX143" i="4"/>
  <c r="CX207" i="4"/>
  <c r="CX216" i="4" s="1"/>
  <c r="DM143" i="4"/>
  <c r="DM207" i="4"/>
  <c r="DM216" i="4" s="1"/>
  <c r="CL143" i="4"/>
  <c r="CL207" i="4"/>
  <c r="CL216" i="4" s="1"/>
  <c r="EC143" i="4"/>
  <c r="EC207" i="4"/>
  <c r="EC216" i="4" s="1"/>
  <c r="DS143" i="4"/>
  <c r="DS207" i="4"/>
  <c r="DS216" i="4" s="1"/>
  <c r="DG143" i="4"/>
  <c r="DG207" i="4"/>
  <c r="DG216" i="4" s="1"/>
  <c r="CO143" i="4"/>
  <c r="CO207" i="4"/>
  <c r="CO216" i="4" s="1"/>
  <c r="DU143" i="4"/>
  <c r="DU207" i="4"/>
  <c r="DU216" i="4" s="1"/>
  <c r="DT143" i="4"/>
  <c r="DT207" i="4"/>
  <c r="DT216" i="4" s="1"/>
  <c r="DW143" i="4"/>
  <c r="DW207" i="4"/>
  <c r="DW216" i="4" s="1"/>
  <c r="DL143" i="4"/>
  <c r="DL207" i="4"/>
  <c r="DL216" i="4" s="1"/>
  <c r="DP143" i="4"/>
  <c r="DP207" i="4"/>
  <c r="DP216" i="4" s="1"/>
  <c r="DK143" i="4"/>
  <c r="DK207" i="4"/>
  <c r="DK216" i="4" s="1"/>
  <c r="DO143" i="4"/>
  <c r="DO207" i="4"/>
  <c r="DO216" i="4" s="1"/>
  <c r="CQ143" i="4"/>
  <c r="CQ207" i="4"/>
  <c r="CQ216" i="4" s="1"/>
  <c r="CD143" i="4"/>
  <c r="CD207" i="4"/>
  <c r="CD216" i="4" s="1"/>
  <c r="CB143" i="4"/>
  <c r="CB207" i="4"/>
  <c r="CB216" i="4" s="1"/>
  <c r="DF143" i="4"/>
  <c r="DF207" i="4"/>
  <c r="DF216" i="4" s="1"/>
  <c r="EB143" i="4"/>
  <c r="EB207" i="4"/>
  <c r="EB216" i="4" s="1"/>
  <c r="CH143" i="4"/>
  <c r="CH207" i="4"/>
  <c r="CH216" i="4" s="1"/>
  <c r="EA143" i="4"/>
  <c r="EA207" i="4"/>
  <c r="EA216" i="4" s="1"/>
  <c r="CE143" i="4"/>
  <c r="CE207" i="4"/>
  <c r="CE216" i="4" s="1"/>
  <c r="CS143" i="4"/>
  <c r="CS207" i="4"/>
  <c r="CS216" i="4" s="1"/>
  <c r="DB143" i="4"/>
  <c r="DB207" i="4"/>
  <c r="DB216" i="4" s="1"/>
  <c r="CZ143" i="4"/>
  <c r="CZ207" i="4"/>
  <c r="CZ216" i="4" s="1"/>
  <c r="ED143" i="4"/>
  <c r="ED207" i="4"/>
  <c r="ED216" i="4" s="1"/>
  <c r="DX143" i="4"/>
  <c r="DX207" i="4"/>
  <c r="DX216" i="4" s="1"/>
  <c r="CY143" i="4"/>
  <c r="CY207" i="4"/>
  <c r="CY216" i="4" s="1"/>
  <c r="DQ143" i="4"/>
  <c r="DQ207" i="4"/>
  <c r="DQ216" i="4" s="1"/>
  <c r="DV143" i="4"/>
  <c r="DV207" i="4"/>
  <c r="DV216" i="4" s="1"/>
  <c r="DI143" i="4"/>
  <c r="DI207" i="4"/>
  <c r="DI216" i="4" s="1"/>
  <c r="F64" i="4"/>
  <c r="F68" i="4"/>
  <c r="Q233" i="4"/>
  <c r="G97" i="9"/>
  <c r="G50" i="9" s="1"/>
  <c r="FA200" i="4"/>
  <c r="Q232" i="4"/>
  <c r="BY143" i="4"/>
  <c r="BY207" i="4"/>
  <c r="BY216" i="4" s="1"/>
  <c r="BD207" i="4"/>
  <c r="BD216" i="4" s="1"/>
  <c r="BD143" i="4"/>
  <c r="BM207" i="4"/>
  <c r="BM216" i="4" s="1"/>
  <c r="BM143" i="4"/>
  <c r="AN143" i="4"/>
  <c r="AN207" i="4"/>
  <c r="AN216" i="4" s="1"/>
  <c r="AJ207" i="4"/>
  <c r="AJ216" i="4" s="1"/>
  <c r="AJ143" i="4"/>
  <c r="AQ143" i="4"/>
  <c r="AQ207" i="4"/>
  <c r="AQ216" i="4" s="1"/>
  <c r="D194" i="4"/>
  <c r="D195" i="4" s="1"/>
  <c r="E195" i="4"/>
  <c r="F27" i="1" s="1"/>
  <c r="BJ207" i="4"/>
  <c r="BJ216" i="4" s="1"/>
  <c r="BJ143" i="4"/>
  <c r="AH207" i="4"/>
  <c r="AH216" i="4" s="1"/>
  <c r="AH143" i="4"/>
  <c r="BX207" i="4"/>
  <c r="BX216" i="4" s="1"/>
  <c r="BX143" i="4"/>
  <c r="BE143" i="4"/>
  <c r="BE207" i="4"/>
  <c r="BE216" i="4" s="1"/>
  <c r="H276" i="4"/>
  <c r="O34" i="1" s="1"/>
  <c r="H285" i="4"/>
  <c r="D276" i="4"/>
  <c r="P31" i="1"/>
  <c r="D285" i="4"/>
  <c r="BH207" i="4"/>
  <c r="BH216" i="4" s="1"/>
  <c r="BH143" i="4"/>
  <c r="AV207" i="4"/>
  <c r="AV216" i="4" s="1"/>
  <c r="AV143" i="4"/>
  <c r="BS143" i="4"/>
  <c r="BS207" i="4"/>
  <c r="BS216" i="4" s="1"/>
  <c r="E33" i="1"/>
  <c r="X143" i="4"/>
  <c r="X207" i="4"/>
  <c r="X216" i="4" s="1"/>
  <c r="AP207" i="4"/>
  <c r="AP216" i="4" s="1"/>
  <c r="AP143" i="4"/>
  <c r="T207" i="4"/>
  <c r="T216" i="4" s="1"/>
  <c r="T143" i="4"/>
  <c r="BB143" i="4"/>
  <c r="BB207" i="4"/>
  <c r="BB216" i="4" s="1"/>
  <c r="AK143" i="4"/>
  <c r="AK207" i="4"/>
  <c r="AK216" i="4" s="1"/>
  <c r="BL143" i="4"/>
  <c r="BL207" i="4"/>
  <c r="BL216" i="4" s="1"/>
  <c r="AS143" i="4"/>
  <c r="AS207" i="4"/>
  <c r="AS216" i="4" s="1"/>
  <c r="AW207" i="4"/>
  <c r="AW216" i="4" s="1"/>
  <c r="AW143" i="4"/>
  <c r="I5" i="4"/>
  <c r="N31" i="1"/>
  <c r="AG207" i="4"/>
  <c r="AG216" i="4" s="1"/>
  <c r="AG143" i="4"/>
  <c r="AM143" i="4"/>
  <c r="AM207" i="4"/>
  <c r="AM216" i="4" s="1"/>
  <c r="AZ143" i="4"/>
  <c r="AZ207" i="4"/>
  <c r="AZ216" i="4" s="1"/>
  <c r="W143" i="4"/>
  <c r="W207" i="4"/>
  <c r="W216" i="4" s="1"/>
  <c r="BW207" i="4"/>
  <c r="BW216" i="4" s="1"/>
  <c r="BW143" i="4"/>
  <c r="BP207" i="4"/>
  <c r="BP216" i="4" s="1"/>
  <c r="BP143" i="4"/>
  <c r="V143" i="4"/>
  <c r="V207" i="4"/>
  <c r="V216" i="4" s="1"/>
  <c r="AX207" i="4"/>
  <c r="AX216" i="4" s="1"/>
  <c r="AX143" i="4"/>
  <c r="F67" i="4"/>
  <c r="C294" i="4" s="1"/>
  <c r="C295" i="4" s="1"/>
  <c r="D298" i="4"/>
  <c r="D299" i="4" s="1"/>
  <c r="AY143" i="4"/>
  <c r="AY207" i="4"/>
  <c r="AY216" i="4" s="1"/>
  <c r="BR143" i="4"/>
  <c r="BR207" i="4"/>
  <c r="BR216" i="4" s="1"/>
  <c r="BT207" i="4"/>
  <c r="BT216" i="4" s="1"/>
  <c r="BT143" i="4"/>
  <c r="AL143" i="4"/>
  <c r="AL207" i="4"/>
  <c r="AL216" i="4" s="1"/>
  <c r="AT143" i="4"/>
  <c r="AT207" i="4"/>
  <c r="AT216" i="4" s="1"/>
  <c r="BU207" i="4"/>
  <c r="BU216" i="4" s="1"/>
  <c r="BU143" i="4"/>
  <c r="AI143" i="4"/>
  <c r="AI207" i="4"/>
  <c r="AI216" i="4" s="1"/>
  <c r="E32" i="1"/>
  <c r="F36" i="1"/>
  <c r="D33" i="1" s="1"/>
  <c r="BQ207" i="4"/>
  <c r="BQ216" i="4" s="1"/>
  <c r="BQ143" i="4"/>
  <c r="AE207" i="4"/>
  <c r="AE216" i="4" s="1"/>
  <c r="AE143" i="4"/>
  <c r="AU143" i="4"/>
  <c r="AU207" i="4"/>
  <c r="AU216" i="4" s="1"/>
  <c r="Y143" i="4"/>
  <c r="Y207" i="4"/>
  <c r="Y216" i="4" s="1"/>
  <c r="AA143" i="4"/>
  <c r="AA207" i="4"/>
  <c r="AA216" i="4" s="1"/>
  <c r="AO143" i="4"/>
  <c r="AO207" i="4"/>
  <c r="AO216" i="4" s="1"/>
  <c r="AB143" i="4"/>
  <c r="AB207" i="4"/>
  <c r="AB216" i="4" s="1"/>
  <c r="BN207" i="4"/>
  <c r="BN216" i="4" s="1"/>
  <c r="BN143" i="4"/>
  <c r="BI207" i="4"/>
  <c r="BI216" i="4" s="1"/>
  <c r="BI143" i="4"/>
  <c r="U207" i="4"/>
  <c r="U216" i="4" s="1"/>
  <c r="U143" i="4"/>
  <c r="BA143" i="4"/>
  <c r="BA207" i="4"/>
  <c r="BA216" i="4" s="1"/>
  <c r="BK207" i="4"/>
  <c r="BK216" i="4" s="1"/>
  <c r="BK143" i="4"/>
  <c r="AD143" i="4"/>
  <c r="AD207" i="4"/>
  <c r="AD216" i="4" s="1"/>
  <c r="BV143" i="4"/>
  <c r="BV207" i="4"/>
  <c r="BV216" i="4" s="1"/>
  <c r="Z143" i="4"/>
  <c r="Z207" i="4"/>
  <c r="Z216" i="4" s="1"/>
  <c r="AC143" i="4"/>
  <c r="AC207" i="4"/>
  <c r="AC216" i="4" s="1"/>
  <c r="I211" i="4"/>
  <c r="I212" i="4" s="1"/>
  <c r="Q212" i="4"/>
  <c r="AR207" i="4"/>
  <c r="AR216" i="4" s="1"/>
  <c r="AR143" i="4"/>
  <c r="R207" i="4"/>
  <c r="R143" i="4"/>
  <c r="AF207" i="4"/>
  <c r="AF216" i="4" s="1"/>
  <c r="AF143" i="4"/>
  <c r="S143" i="4"/>
  <c r="S207" i="4"/>
  <c r="S216" i="4" s="1"/>
  <c r="BO207" i="4"/>
  <c r="BO216" i="4" s="1"/>
  <c r="BO143" i="4"/>
  <c r="BF207" i="4"/>
  <c r="BF216" i="4" s="1"/>
  <c r="BF143" i="4"/>
  <c r="BG143" i="4"/>
  <c r="BG207" i="4"/>
  <c r="BG216" i="4" s="1"/>
  <c r="BC207" i="4"/>
  <c r="BC216" i="4" s="1"/>
  <c r="BC143" i="4"/>
  <c r="IE200" i="4" l="1"/>
  <c r="CU233" i="4"/>
  <c r="CU232" i="4"/>
  <c r="CK97" i="9"/>
  <c r="JI200" i="4"/>
  <c r="DY233" i="4"/>
  <c r="DY232" i="4"/>
  <c r="DO97" i="9"/>
  <c r="JO200" i="4"/>
  <c r="EE232" i="4"/>
  <c r="EE233" i="4"/>
  <c r="DU97" i="9"/>
  <c r="JN200" i="4"/>
  <c r="ED233" i="4"/>
  <c r="ED232" i="4"/>
  <c r="DT97" i="9"/>
  <c r="IJ200" i="4"/>
  <c r="CZ233" i="4"/>
  <c r="CZ232" i="4"/>
  <c r="CP97" i="9"/>
  <c r="IU200" i="4"/>
  <c r="DK233" i="4"/>
  <c r="DK232" i="4"/>
  <c r="DA97" i="9"/>
  <c r="IH200" i="4"/>
  <c r="CX232" i="4"/>
  <c r="CX233" i="4"/>
  <c r="CN97" i="9"/>
  <c r="JK200" i="4"/>
  <c r="EA233" i="4"/>
  <c r="EA232" i="4"/>
  <c r="DQ97" i="9"/>
  <c r="IS200" i="4"/>
  <c r="DI232" i="4"/>
  <c r="DI233" i="4"/>
  <c r="CY97" i="9"/>
  <c r="HR200" i="4"/>
  <c r="CH233" i="4"/>
  <c r="CH232" i="4"/>
  <c r="BX97" i="9"/>
  <c r="JD200" i="4"/>
  <c r="DT232" i="4"/>
  <c r="DT233" i="4"/>
  <c r="DJ97" i="9"/>
  <c r="HW200" i="4"/>
  <c r="CM232" i="4"/>
  <c r="CM233" i="4"/>
  <c r="CC97" i="9"/>
  <c r="HT200" i="4"/>
  <c r="CJ232" i="4"/>
  <c r="CJ233" i="4"/>
  <c r="BZ97" i="9"/>
  <c r="HU200" i="4"/>
  <c r="CK232" i="4"/>
  <c r="CK233" i="4"/>
  <c r="CA97" i="9"/>
  <c r="IF200" i="4"/>
  <c r="CV233" i="4"/>
  <c r="CV232" i="4"/>
  <c r="CL97" i="9"/>
  <c r="IY200" i="4"/>
  <c r="DO233" i="4"/>
  <c r="DO232" i="4"/>
  <c r="DE97" i="9"/>
  <c r="IL200" i="4"/>
  <c r="DB232" i="4"/>
  <c r="DB233" i="4"/>
  <c r="CR97" i="9"/>
  <c r="JJ200" i="4"/>
  <c r="DZ232" i="4"/>
  <c r="DZ233" i="4"/>
  <c r="DP97" i="9"/>
  <c r="ID200" i="4"/>
  <c r="CT233" i="4"/>
  <c r="CT232" i="4"/>
  <c r="CJ97" i="9"/>
  <c r="HM200" i="4"/>
  <c r="CC233" i="4"/>
  <c r="CC232" i="4"/>
  <c r="BS97" i="9"/>
  <c r="IG200" i="4"/>
  <c r="CW233" i="4"/>
  <c r="CW232" i="4"/>
  <c r="CM97" i="9"/>
  <c r="IN200" i="4"/>
  <c r="DD232" i="4"/>
  <c r="DD233" i="4"/>
  <c r="CT97" i="9"/>
  <c r="HP200" i="4"/>
  <c r="CF232" i="4"/>
  <c r="CF233" i="4"/>
  <c r="BV97" i="9"/>
  <c r="IR200" i="4"/>
  <c r="DH233" i="4"/>
  <c r="DH232" i="4"/>
  <c r="CX97" i="9"/>
  <c r="HQ200" i="4"/>
  <c r="CG233" i="4"/>
  <c r="CG232" i="4"/>
  <c r="BW97" i="9"/>
  <c r="JF200" i="4"/>
  <c r="DV233" i="4"/>
  <c r="DV232" i="4"/>
  <c r="DL97" i="9"/>
  <c r="JA200" i="4"/>
  <c r="DQ233" i="4"/>
  <c r="DQ232" i="4"/>
  <c r="DG97" i="9"/>
  <c r="IP200" i="4"/>
  <c r="DF232" i="4"/>
  <c r="DF233" i="4"/>
  <c r="CV97" i="9"/>
  <c r="HY200" i="4"/>
  <c r="CO232" i="4"/>
  <c r="CO233" i="4"/>
  <c r="CE97" i="9"/>
  <c r="IK200" i="4"/>
  <c r="DA233" i="4"/>
  <c r="DA232" i="4"/>
  <c r="CQ97" i="9"/>
  <c r="HZ200" i="4"/>
  <c r="CP233" i="4"/>
  <c r="CP232" i="4"/>
  <c r="CF97" i="9"/>
  <c r="HX200" i="4"/>
  <c r="CN232" i="4"/>
  <c r="CN233" i="4"/>
  <c r="CD97" i="9"/>
  <c r="IZ200" i="4"/>
  <c r="DP232" i="4"/>
  <c r="DP233" i="4"/>
  <c r="DF97" i="9"/>
  <c r="HO200" i="4"/>
  <c r="CE233" i="4"/>
  <c r="CE232" i="4"/>
  <c r="BU97" i="9"/>
  <c r="JB200" i="4"/>
  <c r="DR233" i="4"/>
  <c r="DR232" i="4"/>
  <c r="DH97" i="9"/>
  <c r="JE200" i="4"/>
  <c r="DU232" i="4"/>
  <c r="DU233" i="4"/>
  <c r="DK97" i="9"/>
  <c r="HV200" i="4"/>
  <c r="CL233" i="4"/>
  <c r="CL232" i="4"/>
  <c r="CB97" i="9"/>
  <c r="IW200" i="4"/>
  <c r="DM233" i="4"/>
  <c r="DM232" i="4"/>
  <c r="DC97" i="9"/>
  <c r="II200" i="4"/>
  <c r="CY232" i="4"/>
  <c r="CY233" i="4"/>
  <c r="CO97" i="9"/>
  <c r="HL200" i="4"/>
  <c r="CB232" i="4"/>
  <c r="CB233" i="4"/>
  <c r="BR97" i="9"/>
  <c r="IQ200" i="4"/>
  <c r="DG232" i="4"/>
  <c r="DG233" i="4"/>
  <c r="CW97" i="9"/>
  <c r="HJ200" i="4"/>
  <c r="BZ232" i="4"/>
  <c r="BZ233" i="4"/>
  <c r="BP97" i="9"/>
  <c r="IT200" i="4"/>
  <c r="DJ233" i="4"/>
  <c r="DJ232" i="4"/>
  <c r="CZ97" i="9"/>
  <c r="IM200" i="4"/>
  <c r="DC233" i="4"/>
  <c r="DC232" i="4"/>
  <c r="CS97" i="9"/>
  <c r="IV200" i="4"/>
  <c r="DL233" i="4"/>
  <c r="DL232" i="4"/>
  <c r="DB97" i="9"/>
  <c r="JG200" i="4"/>
  <c r="DW233" i="4"/>
  <c r="DW232" i="4"/>
  <c r="DM97" i="9"/>
  <c r="IA200" i="4"/>
  <c r="CQ232" i="4"/>
  <c r="CQ233" i="4"/>
  <c r="CG97" i="9"/>
  <c r="IC200" i="4"/>
  <c r="CS232" i="4"/>
  <c r="CS233" i="4"/>
  <c r="CI97" i="9"/>
  <c r="JH200" i="4"/>
  <c r="DX232" i="4"/>
  <c r="DX233" i="4"/>
  <c r="DN97" i="9"/>
  <c r="HN200" i="4"/>
  <c r="CD232" i="4"/>
  <c r="CD233" i="4"/>
  <c r="BT97" i="9"/>
  <c r="JC200" i="4"/>
  <c r="DS233" i="4"/>
  <c r="DS232" i="4"/>
  <c r="DI97" i="9"/>
  <c r="HS200" i="4"/>
  <c r="CI232" i="4"/>
  <c r="CI233" i="4"/>
  <c r="BY97" i="9"/>
  <c r="HK200" i="4"/>
  <c r="CA233" i="4"/>
  <c r="CA232" i="4"/>
  <c r="BQ97" i="9"/>
  <c r="IX200" i="4"/>
  <c r="DN233" i="4"/>
  <c r="DN232" i="4"/>
  <c r="DD97" i="9"/>
  <c r="JM200" i="4"/>
  <c r="EC232" i="4"/>
  <c r="EC233" i="4"/>
  <c r="DS97" i="9"/>
  <c r="JP200" i="4"/>
  <c r="EF233" i="4"/>
  <c r="EF232" i="4"/>
  <c r="DV97" i="9"/>
  <c r="IB200" i="4"/>
  <c r="CR233" i="4"/>
  <c r="CR232" i="4"/>
  <c r="CH97" i="9"/>
  <c r="JQ200" i="4"/>
  <c r="EG232" i="4"/>
  <c r="EG233" i="4"/>
  <c r="DW97" i="9"/>
  <c r="IO200" i="4"/>
  <c r="DE233" i="4"/>
  <c r="DE232" i="4"/>
  <c r="CU97" i="9"/>
  <c r="JL200" i="4"/>
  <c r="EB232" i="4"/>
  <c r="EB233" i="4"/>
  <c r="DR97" i="9"/>
  <c r="D300" i="4"/>
  <c r="D2" i="4" s="1"/>
  <c r="FH200" i="4"/>
  <c r="N97" i="9"/>
  <c r="X233" i="4"/>
  <c r="X232" i="4"/>
  <c r="AB233" i="4"/>
  <c r="FL200" i="4"/>
  <c r="AB232" i="4"/>
  <c r="R97" i="9"/>
  <c r="AR233" i="4"/>
  <c r="AH97" i="9"/>
  <c r="AR232" i="4"/>
  <c r="GB200" i="4"/>
  <c r="BT233" i="4"/>
  <c r="BJ97" i="9"/>
  <c r="HD200" i="4"/>
  <c r="BT232" i="4"/>
  <c r="Y233" i="4"/>
  <c r="O97" i="9"/>
  <c r="Y232" i="4"/>
  <c r="FI200" i="4"/>
  <c r="AD97" i="9"/>
  <c r="FX200" i="4"/>
  <c r="AN233" i="4"/>
  <c r="AN232" i="4"/>
  <c r="AY233" i="4"/>
  <c r="GI200" i="4"/>
  <c r="AY232" i="4"/>
  <c r="AO97" i="9"/>
  <c r="AE97" i="9"/>
  <c r="FY200" i="4"/>
  <c r="AO233" i="4"/>
  <c r="AO232" i="4"/>
  <c r="HC200" i="4"/>
  <c r="BS233" i="4"/>
  <c r="BI97" i="9"/>
  <c r="BS232" i="4"/>
  <c r="AJ233" i="4"/>
  <c r="Z97" i="9"/>
  <c r="AJ232" i="4"/>
  <c r="FT200" i="4"/>
  <c r="Z232" i="4"/>
  <c r="Z233" i="4"/>
  <c r="P97" i="9"/>
  <c r="FJ200" i="4"/>
  <c r="AL97" i="9"/>
  <c r="AV233" i="4"/>
  <c r="GF200" i="4"/>
  <c r="AV232" i="4"/>
  <c r="BV233" i="4"/>
  <c r="HF200" i="4"/>
  <c r="BL97" i="9"/>
  <c r="BV232" i="4"/>
  <c r="AK97" i="9"/>
  <c r="GE200" i="4"/>
  <c r="AU233" i="4"/>
  <c r="AU232" i="4"/>
  <c r="AW233" i="4"/>
  <c r="AM97" i="9"/>
  <c r="GG200" i="4"/>
  <c r="AW232" i="4"/>
  <c r="BH233" i="4"/>
  <c r="AX97" i="9"/>
  <c r="GR200" i="4"/>
  <c r="BH232" i="4"/>
  <c r="AC233" i="4"/>
  <c r="S97" i="9"/>
  <c r="AC232" i="4"/>
  <c r="FM200" i="4"/>
  <c r="BC233" i="4"/>
  <c r="GM200" i="4"/>
  <c r="AS97" i="9"/>
  <c r="BC232" i="4"/>
  <c r="AI97" i="9"/>
  <c r="AS233" i="4"/>
  <c r="GC200" i="4"/>
  <c r="AS232" i="4"/>
  <c r="BM233" i="4"/>
  <c r="BC97" i="9"/>
  <c r="GW200" i="4"/>
  <c r="BM232" i="4"/>
  <c r="FV200" i="4"/>
  <c r="AB97" i="9"/>
  <c r="AL233" i="4"/>
  <c r="AL232" i="4"/>
  <c r="GD200" i="4"/>
  <c r="AT233" i="4"/>
  <c r="AJ97" i="9"/>
  <c r="AT232" i="4"/>
  <c r="AG233" i="4"/>
  <c r="W97" i="9"/>
  <c r="AG232" i="4"/>
  <c r="FQ200" i="4"/>
  <c r="BL233" i="4"/>
  <c r="GV200" i="4"/>
  <c r="BB97" i="9"/>
  <c r="BL232" i="4"/>
  <c r="GN200" i="4"/>
  <c r="BD233" i="4"/>
  <c r="AT97" i="9"/>
  <c r="BD232" i="4"/>
  <c r="GJ200" i="4"/>
  <c r="AP97" i="9"/>
  <c r="AZ233" i="4"/>
  <c r="AZ232" i="4"/>
  <c r="AN97" i="9"/>
  <c r="AX233" i="4"/>
  <c r="GH200" i="4"/>
  <c r="AX232" i="4"/>
  <c r="HI200" i="4"/>
  <c r="BO97" i="9"/>
  <c r="BY232" i="4"/>
  <c r="BY233" i="4"/>
  <c r="FW200" i="4"/>
  <c r="AM233" i="4"/>
  <c r="AM232" i="4"/>
  <c r="AC97" i="9"/>
  <c r="L97" i="9"/>
  <c r="V232" i="4"/>
  <c r="FF200" i="4"/>
  <c r="V233" i="4"/>
  <c r="Q234" i="4"/>
  <c r="Q253" i="4"/>
  <c r="FA210" i="4"/>
  <c r="Q254" i="4"/>
  <c r="AA232" i="4"/>
  <c r="AA233" i="4"/>
  <c r="Q97" i="9"/>
  <c r="FK200" i="4"/>
  <c r="FO200" i="4"/>
  <c r="U97" i="9"/>
  <c r="AE233" i="4"/>
  <c r="AE232" i="4"/>
  <c r="HA200" i="4"/>
  <c r="BQ233" i="4"/>
  <c r="BQ232" i="4"/>
  <c r="BG97" i="9"/>
  <c r="BP232" i="4"/>
  <c r="BF97" i="9"/>
  <c r="GZ200" i="4"/>
  <c r="BP233" i="4"/>
  <c r="FA205" i="4"/>
  <c r="I207" i="4"/>
  <c r="R216" i="4"/>
  <c r="BJ233" i="4"/>
  <c r="GT200" i="4"/>
  <c r="AZ97" i="9"/>
  <c r="BJ232" i="4"/>
  <c r="AQ233" i="4"/>
  <c r="AG97" i="9"/>
  <c r="GA200" i="4"/>
  <c r="AQ232" i="4"/>
  <c r="BH97" i="9"/>
  <c r="BR232" i="4"/>
  <c r="HB200" i="4"/>
  <c r="BR233" i="4"/>
  <c r="AD233" i="4"/>
  <c r="FN200" i="4"/>
  <c r="AD232" i="4"/>
  <c r="T97" i="9"/>
  <c r="GP200" i="4"/>
  <c r="AV97" i="9"/>
  <c r="BF233" i="4"/>
  <c r="BF232" i="4"/>
  <c r="AK233" i="4"/>
  <c r="AA97" i="9"/>
  <c r="AK232" i="4"/>
  <c r="FU200" i="4"/>
  <c r="D35" i="1"/>
  <c r="E36" i="1"/>
  <c r="D36" i="1"/>
  <c r="D34" i="1"/>
  <c r="D32" i="1"/>
  <c r="FE200" i="4"/>
  <c r="K97" i="9"/>
  <c r="U233" i="4"/>
  <c r="U232" i="4"/>
  <c r="HG200" i="4"/>
  <c r="BW233" i="4"/>
  <c r="BW232" i="4"/>
  <c r="BM97" i="9"/>
  <c r="J97" i="9"/>
  <c r="T233" i="4"/>
  <c r="FD200" i="4"/>
  <c r="T232" i="4"/>
  <c r="FA204" i="4"/>
  <c r="BD97" i="9"/>
  <c r="BN233" i="4"/>
  <c r="GX200" i="4"/>
  <c r="BN232" i="4"/>
  <c r="F143" i="4"/>
  <c r="F28" i="1" s="1"/>
  <c r="AW97" i="9"/>
  <c r="BG232" i="4"/>
  <c r="BG233" i="4"/>
  <c r="GQ200" i="4"/>
  <c r="BA97" i="9"/>
  <c r="GU200" i="4"/>
  <c r="BK233" i="4"/>
  <c r="BK232" i="4"/>
  <c r="BA233" i="4"/>
  <c r="GK200" i="4"/>
  <c r="AQ97" i="9"/>
  <c r="BA232" i="4"/>
  <c r="BE233" i="4"/>
  <c r="BE232" i="4"/>
  <c r="GO200" i="4"/>
  <c r="AU97" i="9"/>
  <c r="BO232" i="4"/>
  <c r="BO233" i="4"/>
  <c r="GY200" i="4"/>
  <c r="BE97" i="9"/>
  <c r="BB233" i="4"/>
  <c r="BB232" i="4"/>
  <c r="AR97" i="9"/>
  <c r="GL200" i="4"/>
  <c r="FC200" i="4"/>
  <c r="I97" i="9"/>
  <c r="S233" i="4"/>
  <c r="S232" i="4"/>
  <c r="AI233" i="4"/>
  <c r="FS200" i="4"/>
  <c r="Y97" i="9"/>
  <c r="AI232" i="4"/>
  <c r="BN97" i="9"/>
  <c r="BX233" i="4"/>
  <c r="HH200" i="4"/>
  <c r="BX232" i="4"/>
  <c r="AF233" i="4"/>
  <c r="AF232" i="4"/>
  <c r="FP200" i="4"/>
  <c r="V97" i="9"/>
  <c r="BI233" i="4"/>
  <c r="GS200" i="4"/>
  <c r="AY97" i="9"/>
  <c r="BI232" i="4"/>
  <c r="W233" i="4"/>
  <c r="M97" i="9"/>
  <c r="FG200" i="4"/>
  <c r="W232" i="4"/>
  <c r="FR200" i="4"/>
  <c r="AH232" i="4"/>
  <c r="X97" i="9"/>
  <c r="AH233" i="4"/>
  <c r="BK97" i="9"/>
  <c r="BU232" i="4"/>
  <c r="BU233" i="4"/>
  <c r="HE200" i="4"/>
  <c r="AP233" i="4"/>
  <c r="FZ200" i="4"/>
  <c r="AF97" i="9"/>
  <c r="AP232" i="4"/>
  <c r="IP210" i="4" l="1"/>
  <c r="DF253" i="4"/>
  <c r="DF234" i="4"/>
  <c r="DF254" i="4"/>
  <c r="IL210" i="4"/>
  <c r="DB254" i="4"/>
  <c r="DB253" i="4"/>
  <c r="DB234" i="4"/>
  <c r="IU204" i="4"/>
  <c r="HN210" i="4"/>
  <c r="CD254" i="4"/>
  <c r="CD253" i="4"/>
  <c r="CD234" i="4"/>
  <c r="II210" i="4"/>
  <c r="CY254" i="4"/>
  <c r="CY234" i="4"/>
  <c r="CY253" i="4"/>
  <c r="JM204" i="4"/>
  <c r="IM210" i="4"/>
  <c r="DC234" i="4"/>
  <c r="DC253" i="4"/>
  <c r="DC254" i="4"/>
  <c r="IZ204" i="4"/>
  <c r="IN204" i="4"/>
  <c r="JD204" i="4"/>
  <c r="JM210" i="4"/>
  <c r="EC254" i="4"/>
  <c r="EC253" i="4"/>
  <c r="EC234" i="4"/>
  <c r="IM204" i="4"/>
  <c r="IZ210" i="4"/>
  <c r="DP254" i="4"/>
  <c r="DP253" i="4"/>
  <c r="DP234" i="4"/>
  <c r="IN210" i="4"/>
  <c r="DD254" i="4"/>
  <c r="DD253" i="4"/>
  <c r="DD234" i="4"/>
  <c r="JD210" i="4"/>
  <c r="DT254" i="4"/>
  <c r="DT234" i="4"/>
  <c r="DT253" i="4"/>
  <c r="JL204" i="4"/>
  <c r="JH204" i="4"/>
  <c r="IW210" i="4"/>
  <c r="DM254" i="4"/>
  <c r="DM234" i="4"/>
  <c r="DM253" i="4"/>
  <c r="JA210" i="4"/>
  <c r="DQ253" i="4"/>
  <c r="DQ234" i="4"/>
  <c r="DQ254" i="4"/>
  <c r="IY210" i="4"/>
  <c r="DO253" i="4"/>
  <c r="DO234" i="4"/>
  <c r="DO254" i="4"/>
  <c r="IJ210" i="4"/>
  <c r="CZ254" i="4"/>
  <c r="CZ234" i="4"/>
  <c r="CZ253" i="4"/>
  <c r="JL210" i="4"/>
  <c r="EB254" i="4"/>
  <c r="EB234" i="4"/>
  <c r="EB253" i="4"/>
  <c r="P50" i="9"/>
  <c r="IW204" i="4"/>
  <c r="JA204" i="4"/>
  <c r="IY204" i="4"/>
  <c r="IJ204" i="4"/>
  <c r="JH210" i="4"/>
  <c r="DX234" i="4"/>
  <c r="DX254" i="4"/>
  <c r="DX253" i="4"/>
  <c r="IX210" i="4"/>
  <c r="DN254" i="4"/>
  <c r="DN253" i="4"/>
  <c r="DN234" i="4"/>
  <c r="IT210" i="4"/>
  <c r="DJ253" i="4"/>
  <c r="DJ254" i="4"/>
  <c r="DJ234" i="4"/>
  <c r="HX204" i="4"/>
  <c r="IG210" i="4"/>
  <c r="CW253" i="4"/>
  <c r="CW234" i="4"/>
  <c r="CW254" i="4"/>
  <c r="HR210" i="4"/>
  <c r="CH234" i="4"/>
  <c r="CH253" i="4"/>
  <c r="CH254" i="4"/>
  <c r="IX204" i="4"/>
  <c r="HX210" i="4"/>
  <c r="CN253" i="4"/>
  <c r="CN234" i="4"/>
  <c r="CN254" i="4"/>
  <c r="Q50" i="9"/>
  <c r="IG204" i="4"/>
  <c r="HR204" i="4"/>
  <c r="IO210" i="4"/>
  <c r="DE254" i="4"/>
  <c r="DE234" i="4"/>
  <c r="DE253" i="4"/>
  <c r="IC204" i="4"/>
  <c r="HV210" i="4"/>
  <c r="CL234" i="4"/>
  <c r="CL254" i="4"/>
  <c r="CL253" i="4"/>
  <c r="JF210" i="4"/>
  <c r="DV254" i="4"/>
  <c r="DV253" i="4"/>
  <c r="DV234" i="4"/>
  <c r="IF210" i="4"/>
  <c r="CV234" i="4"/>
  <c r="CV253" i="4"/>
  <c r="CV254" i="4"/>
  <c r="JN210" i="4"/>
  <c r="ED253" i="4"/>
  <c r="ED234" i="4"/>
  <c r="ED254" i="4"/>
  <c r="HV204" i="4"/>
  <c r="JF204" i="4"/>
  <c r="IF204" i="4"/>
  <c r="JN204" i="4"/>
  <c r="HK210" i="4"/>
  <c r="CA234" i="4"/>
  <c r="CA253" i="4"/>
  <c r="CA254" i="4"/>
  <c r="HJ204" i="4"/>
  <c r="HZ210" i="4"/>
  <c r="CP234" i="4"/>
  <c r="CP254" i="4"/>
  <c r="CP253" i="4"/>
  <c r="HM210" i="4"/>
  <c r="CC253" i="4"/>
  <c r="CC254" i="4"/>
  <c r="CC234" i="4"/>
  <c r="IS204" i="4"/>
  <c r="HM204" i="4"/>
  <c r="IS210" i="4"/>
  <c r="DI234" i="4"/>
  <c r="DI254" i="4"/>
  <c r="DI253" i="4"/>
  <c r="IT204" i="4"/>
  <c r="JQ204" i="4"/>
  <c r="IA204" i="4"/>
  <c r="JE204" i="4"/>
  <c r="HQ210" i="4"/>
  <c r="CG234" i="4"/>
  <c r="CG253" i="4"/>
  <c r="CG254" i="4"/>
  <c r="HU204" i="4"/>
  <c r="JO204" i="4"/>
  <c r="IO204" i="4"/>
  <c r="IC210" i="4"/>
  <c r="CS253" i="4"/>
  <c r="CS254" i="4"/>
  <c r="CS234" i="4"/>
  <c r="HK204" i="4"/>
  <c r="JE210" i="4"/>
  <c r="DU234" i="4"/>
  <c r="DU253" i="4"/>
  <c r="DU254" i="4"/>
  <c r="HU210" i="4"/>
  <c r="CK254" i="4"/>
  <c r="CK253" i="4"/>
  <c r="CK234" i="4"/>
  <c r="JO210" i="4"/>
  <c r="EE254" i="4"/>
  <c r="EE234" i="4"/>
  <c r="EE253" i="4"/>
  <c r="JQ210" i="4"/>
  <c r="EG254" i="4"/>
  <c r="EG234" i="4"/>
  <c r="EG253" i="4"/>
  <c r="IA210" i="4"/>
  <c r="CQ253" i="4"/>
  <c r="CQ234" i="4"/>
  <c r="CQ254" i="4"/>
  <c r="HQ204" i="4"/>
  <c r="HS204" i="4"/>
  <c r="IQ204" i="4"/>
  <c r="IK210" i="4"/>
  <c r="DA254" i="4"/>
  <c r="DA234" i="4"/>
  <c r="DA253" i="4"/>
  <c r="ID210" i="4"/>
  <c r="CT234" i="4"/>
  <c r="CT254" i="4"/>
  <c r="CT253" i="4"/>
  <c r="JK210" i="4"/>
  <c r="EA234" i="4"/>
  <c r="EA254" i="4"/>
  <c r="EA253" i="4"/>
  <c r="HZ204" i="4"/>
  <c r="ID204" i="4"/>
  <c r="JK204" i="4"/>
  <c r="HJ210" i="4"/>
  <c r="BZ253" i="4"/>
  <c r="BZ234" i="4"/>
  <c r="BZ254" i="4"/>
  <c r="IB210" i="4"/>
  <c r="CR253" i="4"/>
  <c r="CR254" i="4"/>
  <c r="CR234" i="4"/>
  <c r="JG210" i="4"/>
  <c r="DW254" i="4"/>
  <c r="DW234" i="4"/>
  <c r="DW253" i="4"/>
  <c r="JB210" i="4"/>
  <c r="DR253" i="4"/>
  <c r="DR254" i="4"/>
  <c r="DR234" i="4"/>
  <c r="IR210" i="4"/>
  <c r="DH254" i="4"/>
  <c r="DH253" i="4"/>
  <c r="DH234" i="4"/>
  <c r="HT204" i="4"/>
  <c r="JI210" i="4"/>
  <c r="DY253" i="4"/>
  <c r="DY254" i="4"/>
  <c r="DY234" i="4"/>
  <c r="IQ210" i="4"/>
  <c r="DG234" i="4"/>
  <c r="DG254" i="4"/>
  <c r="DG253" i="4"/>
  <c r="HT210" i="4"/>
  <c r="CJ253" i="4"/>
  <c r="CJ234" i="4"/>
  <c r="CJ254" i="4"/>
  <c r="O50" i="9"/>
  <c r="JI204" i="4"/>
  <c r="M50" i="9"/>
  <c r="HS210" i="4"/>
  <c r="CI234" i="4"/>
  <c r="CI253" i="4"/>
  <c r="CI254" i="4"/>
  <c r="JC210" i="4"/>
  <c r="DS234" i="4"/>
  <c r="DS253" i="4"/>
  <c r="DS254" i="4"/>
  <c r="HL204" i="4"/>
  <c r="HY204" i="4"/>
  <c r="JJ204" i="4"/>
  <c r="IH204" i="4"/>
  <c r="N50" i="9"/>
  <c r="IB204" i="4"/>
  <c r="JB204" i="4"/>
  <c r="HL210" i="4"/>
  <c r="CB253" i="4"/>
  <c r="CB254" i="4"/>
  <c r="CB234" i="4"/>
  <c r="HY210" i="4"/>
  <c r="CO234" i="4"/>
  <c r="CO254" i="4"/>
  <c r="CO253" i="4"/>
  <c r="JJ210" i="4"/>
  <c r="DZ234" i="4"/>
  <c r="DZ253" i="4"/>
  <c r="DZ254" i="4"/>
  <c r="IH210" i="4"/>
  <c r="CX254" i="4"/>
  <c r="CX253" i="4"/>
  <c r="CX234" i="4"/>
  <c r="IK204" i="4"/>
  <c r="JP210" i="4"/>
  <c r="EF253" i="4"/>
  <c r="EF234" i="4"/>
  <c r="EF254" i="4"/>
  <c r="IV210" i="4"/>
  <c r="DL234" i="4"/>
  <c r="DL253" i="4"/>
  <c r="DL254" i="4"/>
  <c r="HO210" i="4"/>
  <c r="CE253" i="4"/>
  <c r="CE234" i="4"/>
  <c r="CE254" i="4"/>
  <c r="HP204" i="4"/>
  <c r="HW204" i="4"/>
  <c r="IE210" i="4"/>
  <c r="CU254" i="4"/>
  <c r="CU253" i="4"/>
  <c r="CU234" i="4"/>
  <c r="JC204" i="4"/>
  <c r="JP204" i="4"/>
  <c r="IV204" i="4"/>
  <c r="HO204" i="4"/>
  <c r="HP210" i="4"/>
  <c r="CF234" i="4"/>
  <c r="CF254" i="4"/>
  <c r="CF253" i="4"/>
  <c r="HW210" i="4"/>
  <c r="CM254" i="4"/>
  <c r="CM234" i="4"/>
  <c r="CM253" i="4"/>
  <c r="IE204" i="4"/>
  <c r="JG204" i="4"/>
  <c r="IR204" i="4"/>
  <c r="HN204" i="4"/>
  <c r="II204" i="4"/>
  <c r="IP204" i="4"/>
  <c r="IL204" i="4"/>
  <c r="IU210" i="4"/>
  <c r="DK254" i="4"/>
  <c r="DK253" i="4"/>
  <c r="DK234" i="4"/>
  <c r="K50" i="9"/>
  <c r="HD204" i="4"/>
  <c r="FI204" i="4"/>
  <c r="GY204" i="4"/>
  <c r="GT204" i="4"/>
  <c r="GJ210" i="4"/>
  <c r="AZ234" i="4"/>
  <c r="AZ254" i="4"/>
  <c r="AZ253" i="4"/>
  <c r="FA207" i="4"/>
  <c r="FA206" i="4"/>
  <c r="FB202" i="4" s="1"/>
  <c r="FP204" i="4"/>
  <c r="Q255" i="4"/>
  <c r="GG204" i="4"/>
  <c r="HH210" i="4"/>
  <c r="BX254" i="4"/>
  <c r="BX234" i="4"/>
  <c r="BX253" i="4"/>
  <c r="BE253" i="4"/>
  <c r="BE234" i="4"/>
  <c r="BE254" i="4"/>
  <c r="GO210" i="4"/>
  <c r="T254" i="4"/>
  <c r="FD210" i="4"/>
  <c r="T234" i="4"/>
  <c r="T253" i="4"/>
  <c r="GP204" i="4"/>
  <c r="BD253" i="4"/>
  <c r="GN210" i="4"/>
  <c r="BD234" i="4"/>
  <c r="BD254" i="4"/>
  <c r="GE210" i="4"/>
  <c r="AU254" i="4"/>
  <c r="AU234" i="4"/>
  <c r="AU253" i="4"/>
  <c r="HC204" i="4"/>
  <c r="BB253" i="4"/>
  <c r="BB254" i="4"/>
  <c r="BB234" i="4"/>
  <c r="GL210" i="4"/>
  <c r="FJ204" i="4"/>
  <c r="BJ254" i="4"/>
  <c r="BJ234" i="4"/>
  <c r="GT210" i="4"/>
  <c r="BJ253" i="4"/>
  <c r="GH204" i="4"/>
  <c r="L50" i="9"/>
  <c r="FU204" i="4"/>
  <c r="J50" i="9"/>
  <c r="FA211" i="4"/>
  <c r="FA212" i="4" s="1"/>
  <c r="FB208" i="4" s="1"/>
  <c r="FA220" i="4"/>
  <c r="FZ204" i="4"/>
  <c r="GO204" i="4"/>
  <c r="GW204" i="4"/>
  <c r="GE204" i="4"/>
  <c r="AR254" i="4"/>
  <c r="GB210" i="4"/>
  <c r="AR253" i="4"/>
  <c r="AR234" i="4"/>
  <c r="AT254" i="4"/>
  <c r="GD210" i="4"/>
  <c r="AT234" i="4"/>
  <c r="AT253" i="4"/>
  <c r="GH210" i="4"/>
  <c r="AX234" i="4"/>
  <c r="AX253" i="4"/>
  <c r="AX254" i="4"/>
  <c r="GR204" i="4"/>
  <c r="BT254" i="4"/>
  <c r="BT253" i="4"/>
  <c r="BT234" i="4"/>
  <c r="HD210" i="4"/>
  <c r="GY210" i="4"/>
  <c r="BO253" i="4"/>
  <c r="BO234" i="4"/>
  <c r="BO254" i="4"/>
  <c r="BS253" i="4"/>
  <c r="HC210" i="4"/>
  <c r="BS254" i="4"/>
  <c r="BS234" i="4"/>
  <c r="BF254" i="4"/>
  <c r="BF253" i="4"/>
  <c r="GP210" i="4"/>
  <c r="BF234" i="4"/>
  <c r="HH204" i="4"/>
  <c r="GK210" i="4"/>
  <c r="BA253" i="4"/>
  <c r="BA234" i="4"/>
  <c r="BA254" i="4"/>
  <c r="FD204" i="4"/>
  <c r="GZ204" i="4"/>
  <c r="FF204" i="4"/>
  <c r="GN204" i="4"/>
  <c r="GC210" i="4"/>
  <c r="AS253" i="4"/>
  <c r="AS234" i="4"/>
  <c r="AS254" i="4"/>
  <c r="FY210" i="4"/>
  <c r="AO254" i="4"/>
  <c r="AO253" i="4"/>
  <c r="AO234" i="4"/>
  <c r="GX210" i="4"/>
  <c r="BN234" i="4"/>
  <c r="BN254" i="4"/>
  <c r="BN253" i="4"/>
  <c r="I50" i="9"/>
  <c r="FY204" i="4"/>
  <c r="GB204" i="4"/>
  <c r="BH253" i="4"/>
  <c r="BH234" i="4"/>
  <c r="BH254" i="4"/>
  <c r="GR210" i="4"/>
  <c r="FJ210" i="4"/>
  <c r="Z234" i="4"/>
  <c r="Z253" i="4"/>
  <c r="Z254" i="4"/>
  <c r="GS204" i="4"/>
  <c r="BM253" i="4"/>
  <c r="BM234" i="4"/>
  <c r="GW210" i="4"/>
  <c r="BM254" i="4"/>
  <c r="FF210" i="4"/>
  <c r="V234" i="4"/>
  <c r="V254" i="4"/>
  <c r="V253" i="4"/>
  <c r="BL234" i="4"/>
  <c r="BL253" i="4"/>
  <c r="GV210" i="4"/>
  <c r="BL254" i="4"/>
  <c r="GC204" i="4"/>
  <c r="BV254" i="4"/>
  <c r="BV253" i="4"/>
  <c r="BV234" i="4"/>
  <c r="HF210" i="4"/>
  <c r="FM204" i="4"/>
  <c r="GS210" i="4"/>
  <c r="BI254" i="4"/>
  <c r="BI253" i="4"/>
  <c r="BI234" i="4"/>
  <c r="GA204" i="4"/>
  <c r="GL204" i="4"/>
  <c r="Y253" i="4"/>
  <c r="Y254" i="4"/>
  <c r="Y234" i="4"/>
  <c r="FI210" i="4"/>
  <c r="GX204" i="4"/>
  <c r="AJ253" i="4"/>
  <c r="FT210" i="4"/>
  <c r="AJ234" i="4"/>
  <c r="AJ254" i="4"/>
  <c r="FU210" i="4"/>
  <c r="AK254" i="4"/>
  <c r="AK253" i="4"/>
  <c r="AK234" i="4"/>
  <c r="AW254" i="4"/>
  <c r="AW234" i="4"/>
  <c r="GG210" i="4"/>
  <c r="AW253" i="4"/>
  <c r="HE204" i="4"/>
  <c r="GZ210" i="4"/>
  <c r="BP253" i="4"/>
  <c r="BP234" i="4"/>
  <c r="BP254" i="4"/>
  <c r="AB253" i="4"/>
  <c r="AB254" i="4"/>
  <c r="FL210" i="4"/>
  <c r="AB234" i="4"/>
  <c r="AL253" i="4"/>
  <c r="FV210" i="4"/>
  <c r="AL254" i="4"/>
  <c r="AL234" i="4"/>
  <c r="GJ204" i="4"/>
  <c r="AF234" i="4"/>
  <c r="FP210" i="4"/>
  <c r="AF253" i="4"/>
  <c r="AF254" i="4"/>
  <c r="BU253" i="4"/>
  <c r="HE210" i="4"/>
  <c r="BU254" i="4"/>
  <c r="BU234" i="4"/>
  <c r="FN210" i="4"/>
  <c r="AD253" i="4"/>
  <c r="AD234" i="4"/>
  <c r="AD254" i="4"/>
  <c r="FR204" i="4"/>
  <c r="BK253" i="4"/>
  <c r="BK234" i="4"/>
  <c r="GU210" i="4"/>
  <c r="BK254" i="4"/>
  <c r="HG204" i="4"/>
  <c r="FN204" i="4"/>
  <c r="HF204" i="4"/>
  <c r="GI210" i="4"/>
  <c r="AY253" i="4"/>
  <c r="AY254" i="4"/>
  <c r="AY234" i="4"/>
  <c r="FL204" i="4"/>
  <c r="FK204" i="4"/>
  <c r="AA253" i="4"/>
  <c r="FK210" i="4"/>
  <c r="AA234" i="4"/>
  <c r="AA254" i="4"/>
  <c r="H97" i="9"/>
  <c r="H50" i="9" s="1"/>
  <c r="FB200" i="4"/>
  <c r="R232" i="4"/>
  <c r="R233" i="4"/>
  <c r="I216" i="4"/>
  <c r="N26" i="1" s="1"/>
  <c r="G216" i="4"/>
  <c r="F20" i="11" s="1"/>
  <c r="H216" i="4"/>
  <c r="F19" i="11" s="1"/>
  <c r="FS210" i="4"/>
  <c r="AI254" i="4"/>
  <c r="AI253" i="4"/>
  <c r="AI234" i="4"/>
  <c r="GK204" i="4"/>
  <c r="U254" i="4"/>
  <c r="FE210" i="4"/>
  <c r="U234" i="4"/>
  <c r="U253" i="4"/>
  <c r="AV253" i="4"/>
  <c r="AV254" i="4"/>
  <c r="AV234" i="4"/>
  <c r="GF210" i="4"/>
  <c r="FH210" i="4"/>
  <c r="X254" i="4"/>
  <c r="X234" i="4"/>
  <c r="X253" i="4"/>
  <c r="GD204" i="4"/>
  <c r="FV204" i="4"/>
  <c r="FA244" i="4"/>
  <c r="FT204" i="4"/>
  <c r="FZ210" i="4"/>
  <c r="AP253" i="4"/>
  <c r="AP254" i="4"/>
  <c r="AP234" i="4"/>
  <c r="HG210" i="4"/>
  <c r="BW254" i="4"/>
  <c r="BW234" i="4"/>
  <c r="BW253" i="4"/>
  <c r="FS204" i="4"/>
  <c r="FW210" i="4"/>
  <c r="AM253" i="4"/>
  <c r="AM234" i="4"/>
  <c r="AM254" i="4"/>
  <c r="AH234" i="4"/>
  <c r="AH254" i="4"/>
  <c r="FR210" i="4"/>
  <c r="AH253" i="4"/>
  <c r="HB210" i="4"/>
  <c r="BR254" i="4"/>
  <c r="BR253" i="4"/>
  <c r="BR234" i="4"/>
  <c r="FQ210" i="4"/>
  <c r="AG253" i="4"/>
  <c r="AG234" i="4"/>
  <c r="AG254" i="4"/>
  <c r="GM204" i="4"/>
  <c r="GI204" i="4"/>
  <c r="FH204" i="4"/>
  <c r="BG253" i="4"/>
  <c r="BG254" i="4"/>
  <c r="GQ210" i="4"/>
  <c r="BG234" i="4"/>
  <c r="FW204" i="4"/>
  <c r="AE254" i="4"/>
  <c r="AE234" i="4"/>
  <c r="FO210" i="4"/>
  <c r="AE253" i="4"/>
  <c r="HI204" i="4"/>
  <c r="GF204" i="4"/>
  <c r="AN254" i="4"/>
  <c r="FX210" i="4"/>
  <c r="AN253" i="4"/>
  <c r="AN234" i="4"/>
  <c r="FG204" i="4"/>
  <c r="GM210" i="4"/>
  <c r="BC254" i="4"/>
  <c r="BC253" i="4"/>
  <c r="BC234" i="4"/>
  <c r="GU204" i="4"/>
  <c r="HB204" i="4"/>
  <c r="HA210" i="4"/>
  <c r="BQ254" i="4"/>
  <c r="BQ253" i="4"/>
  <c r="BQ234" i="4"/>
  <c r="GV204" i="4"/>
  <c r="S253" i="4"/>
  <c r="S234" i="4"/>
  <c r="S254" i="4"/>
  <c r="FC210" i="4"/>
  <c r="HA204" i="4"/>
  <c r="FC204" i="4"/>
  <c r="FE204" i="4"/>
  <c r="W253" i="4"/>
  <c r="W234" i="4"/>
  <c r="FG210" i="4"/>
  <c r="W254" i="4"/>
  <c r="GQ204" i="4"/>
  <c r="GA210" i="4"/>
  <c r="AQ254" i="4"/>
  <c r="AQ234" i="4"/>
  <c r="AQ253" i="4"/>
  <c r="FO204" i="4"/>
  <c r="HI210" i="4"/>
  <c r="BY253" i="4"/>
  <c r="BY234" i="4"/>
  <c r="BY254" i="4"/>
  <c r="FQ204" i="4"/>
  <c r="AC254" i="4"/>
  <c r="AC253" i="4"/>
  <c r="FM210" i="4"/>
  <c r="AC234" i="4"/>
  <c r="FX204" i="4"/>
  <c r="EB255" i="4" l="1"/>
  <c r="ID244" i="4"/>
  <c r="DI255" i="4"/>
  <c r="CA255" i="4"/>
  <c r="HX244" i="4"/>
  <c r="DJ255" i="4"/>
  <c r="IW244" i="4"/>
  <c r="II244" i="4"/>
  <c r="IB244" i="4"/>
  <c r="JQ244" i="4"/>
  <c r="CS255" i="4"/>
  <c r="DV255" i="4"/>
  <c r="EG255" i="4"/>
  <c r="CT255" i="4"/>
  <c r="JP244" i="4"/>
  <c r="JI244" i="4"/>
  <c r="IS244" i="4"/>
  <c r="JF244" i="4"/>
  <c r="JL244" i="4"/>
  <c r="EC255" i="4"/>
  <c r="IV244" i="4"/>
  <c r="HL244" i="4"/>
  <c r="EE255" i="4"/>
  <c r="CN255" i="4"/>
  <c r="DN255" i="4"/>
  <c r="JM244" i="4"/>
  <c r="CD255" i="4"/>
  <c r="CY255" i="4"/>
  <c r="HS244" i="4"/>
  <c r="DA255" i="4"/>
  <c r="CZ255" i="4"/>
  <c r="HN244" i="4"/>
  <c r="CO255" i="4"/>
  <c r="EF255" i="4"/>
  <c r="CB255" i="4"/>
  <c r="CI255" i="4"/>
  <c r="HJ244" i="4"/>
  <c r="JO244" i="4"/>
  <c r="IX244" i="4"/>
  <c r="DM255" i="4"/>
  <c r="CU255" i="4"/>
  <c r="CL255" i="4"/>
  <c r="DT255" i="4"/>
  <c r="IC244" i="4"/>
  <c r="IE244" i="4"/>
  <c r="IK244" i="4"/>
  <c r="HV244" i="4"/>
  <c r="HR244" i="4"/>
  <c r="DX255" i="4"/>
  <c r="IJ244" i="4"/>
  <c r="IT244" i="4"/>
  <c r="DH255" i="4"/>
  <c r="BZ255" i="4"/>
  <c r="CH255" i="4"/>
  <c r="DS255" i="4"/>
  <c r="CM255" i="4"/>
  <c r="IR244" i="4"/>
  <c r="CK255" i="4"/>
  <c r="HQ244" i="4"/>
  <c r="JH244" i="4"/>
  <c r="IY244" i="4"/>
  <c r="JD244" i="4"/>
  <c r="JC244" i="4"/>
  <c r="HK244" i="4"/>
  <c r="HU244" i="4"/>
  <c r="CG255" i="4"/>
  <c r="HM244" i="4"/>
  <c r="DB255" i="4"/>
  <c r="IH244" i="4"/>
  <c r="HT244" i="4"/>
  <c r="CC255" i="4"/>
  <c r="JN244" i="4"/>
  <c r="DE255" i="4"/>
  <c r="IG244" i="4"/>
  <c r="DO255" i="4"/>
  <c r="IM244" i="4"/>
  <c r="IL244" i="4"/>
  <c r="HY244" i="4"/>
  <c r="JB244" i="4"/>
  <c r="JE244" i="4"/>
  <c r="DD255" i="4"/>
  <c r="DC255" i="4"/>
  <c r="DY255" i="4"/>
  <c r="DK255" i="4"/>
  <c r="CF255" i="4"/>
  <c r="HO244" i="4"/>
  <c r="JJ244" i="4"/>
  <c r="CJ255" i="4"/>
  <c r="IO244" i="4"/>
  <c r="CW255" i="4"/>
  <c r="JA244" i="4"/>
  <c r="IN244" i="4"/>
  <c r="IP244" i="4"/>
  <c r="JG244" i="4"/>
  <c r="CX255" i="4"/>
  <c r="IU244" i="4"/>
  <c r="HP244" i="4"/>
  <c r="DZ255" i="4"/>
  <c r="DR255" i="4"/>
  <c r="IA244" i="4"/>
  <c r="DU255" i="4"/>
  <c r="CP255" i="4"/>
  <c r="ED255" i="4"/>
  <c r="CR255" i="4"/>
  <c r="EA255" i="4"/>
  <c r="HZ244" i="4"/>
  <c r="CE255" i="4"/>
  <c r="DG255" i="4"/>
  <c r="DW255" i="4"/>
  <c r="IF244" i="4"/>
  <c r="DQ255" i="4"/>
  <c r="DP255" i="4"/>
  <c r="DF255" i="4"/>
  <c r="DL255" i="4"/>
  <c r="HW244" i="4"/>
  <c r="IQ244" i="4"/>
  <c r="JK244" i="4"/>
  <c r="CQ255" i="4"/>
  <c r="CV255" i="4"/>
  <c r="IZ244" i="4"/>
  <c r="AK255" i="4"/>
  <c r="AD255" i="4"/>
  <c r="BI255" i="4"/>
  <c r="FZ244" i="4"/>
  <c r="BG255" i="4"/>
  <c r="HA244" i="4"/>
  <c r="BU255" i="4"/>
  <c r="GZ244" i="4"/>
  <c r="BM255" i="4"/>
  <c r="GK244" i="4"/>
  <c r="AR255" i="4"/>
  <c r="GG244" i="4"/>
  <c r="FT244" i="4"/>
  <c r="AH255" i="4"/>
  <c r="FL244" i="4"/>
  <c r="FX244" i="4"/>
  <c r="FR244" i="4"/>
  <c r="R253" i="4"/>
  <c r="FB210" i="4"/>
  <c r="R254" i="4"/>
  <c r="R234" i="4"/>
  <c r="I232" i="4"/>
  <c r="FP244" i="4"/>
  <c r="FA215" i="4"/>
  <c r="AI255" i="4"/>
  <c r="GI244" i="4"/>
  <c r="FU244" i="4"/>
  <c r="GS244" i="4"/>
  <c r="GE244" i="4"/>
  <c r="GW244" i="4"/>
  <c r="HH244" i="4"/>
  <c r="AP255" i="4"/>
  <c r="BO255" i="4"/>
  <c r="GN244" i="4"/>
  <c r="AQ255" i="4"/>
  <c r="FB204" i="4"/>
  <c r="I233" i="4"/>
  <c r="D227" i="4" s="1"/>
  <c r="AJ255" i="4"/>
  <c r="AF255" i="4"/>
  <c r="BP255" i="4"/>
  <c r="FB209" i="4"/>
  <c r="AO255" i="4"/>
  <c r="FC244" i="4"/>
  <c r="FG244" i="4"/>
  <c r="BJ255" i="4"/>
  <c r="W255" i="4"/>
  <c r="AB255" i="4"/>
  <c r="GA244" i="4"/>
  <c r="U255" i="4"/>
  <c r="FA213" i="4"/>
  <c r="FY244" i="4"/>
  <c r="BA255" i="4"/>
  <c r="GB244" i="4"/>
  <c r="GL244" i="4"/>
  <c r="BD255" i="4"/>
  <c r="GP244" i="4"/>
  <c r="S255" i="4"/>
  <c r="HC244" i="4"/>
  <c r="BH255" i="4"/>
  <c r="BY255" i="4"/>
  <c r="AN255" i="4"/>
  <c r="GJ244" i="4"/>
  <c r="FK244" i="4"/>
  <c r="BT255" i="4"/>
  <c r="BB255" i="4"/>
  <c r="BR255" i="4"/>
  <c r="GR244" i="4"/>
  <c r="BN255" i="4"/>
  <c r="HE244" i="4"/>
  <c r="BQ255" i="4"/>
  <c r="BV255" i="4"/>
  <c r="HD244" i="4"/>
  <c r="V255" i="4"/>
  <c r="HG244" i="4"/>
  <c r="FS244" i="4"/>
  <c r="GX244" i="4"/>
  <c r="GF244" i="4"/>
  <c r="AM255" i="4"/>
  <c r="FE244" i="4"/>
  <c r="HF244" i="4"/>
  <c r="FN244" i="4"/>
  <c r="HB244" i="4"/>
  <c r="GQ244" i="4"/>
  <c r="GC244" i="4"/>
  <c r="T255" i="4"/>
  <c r="P26" i="1"/>
  <c r="C5" i="4"/>
  <c r="C5" i="7" s="1"/>
  <c r="BC255" i="4"/>
  <c r="AE255" i="4"/>
  <c r="FQ244" i="4"/>
  <c r="AA255" i="4"/>
  <c r="FJ244" i="4"/>
  <c r="FF244" i="4"/>
  <c r="AY255" i="4"/>
  <c r="GY244" i="4"/>
  <c r="GU244" i="4"/>
  <c r="GM244" i="4"/>
  <c r="AW255" i="4"/>
  <c r="FI244" i="4"/>
  <c r="GV244" i="4"/>
  <c r="FH244" i="4"/>
  <c r="HI244" i="4"/>
  <c r="AT255" i="4"/>
  <c r="BS255" i="4"/>
  <c r="GT244" i="4"/>
  <c r="AV255" i="4"/>
  <c r="AS255" i="4"/>
  <c r="FD244" i="4"/>
  <c r="BX255" i="4"/>
  <c r="AZ255" i="4"/>
  <c r="BE255" i="4"/>
  <c r="AU255" i="4"/>
  <c r="E5" i="4"/>
  <c r="E5" i="7" s="1"/>
  <c r="I285" i="4"/>
  <c r="I276" i="4"/>
  <c r="P34" i="1" s="1"/>
  <c r="E276" i="4"/>
  <c r="E285" i="4"/>
  <c r="O26" i="1"/>
  <c r="GD244" i="4"/>
  <c r="FW244" i="4"/>
  <c r="BK255" i="4"/>
  <c r="FV244" i="4"/>
  <c r="Y255" i="4"/>
  <c r="Z255" i="4"/>
  <c r="AC255" i="4"/>
  <c r="AG255" i="4"/>
  <c r="X255" i="4"/>
  <c r="BL255" i="4"/>
  <c r="GH244" i="4"/>
  <c r="FM244" i="4"/>
  <c r="FO244" i="4"/>
  <c r="BW255" i="4"/>
  <c r="AL255" i="4"/>
  <c r="BF255" i="4"/>
  <c r="AX255" i="4"/>
  <c r="GO244" i="4"/>
  <c r="FB203" i="4"/>
  <c r="R255" i="4" l="1"/>
  <c r="I253" i="4"/>
  <c r="FB244" i="4"/>
  <c r="I254" i="4"/>
  <c r="Q237" i="4"/>
  <c r="FA216" i="4"/>
  <c r="FA221" i="4" s="1"/>
  <c r="FB205" i="4"/>
  <c r="FB207" i="4" s="1"/>
  <c r="D228" i="4"/>
  <c r="I234" i="4"/>
  <c r="I255" i="4" l="1"/>
  <c r="FA224" i="4"/>
  <c r="FA222" i="4"/>
  <c r="FB218" i="4" s="1"/>
  <c r="FA230" i="4"/>
  <c r="FA223" i="4"/>
  <c r="FB211" i="4"/>
  <c r="FB220" i="4"/>
  <c r="FB206" i="4"/>
  <c r="FC202" i="4" s="1"/>
  <c r="FB219" i="4" l="1"/>
  <c r="FC203" i="4"/>
  <c r="FC205" i="4" s="1"/>
  <c r="FB215" i="4"/>
  <c r="FB212" i="4"/>
  <c r="FC208" i="4" s="1"/>
  <c r="FB213" i="4"/>
  <c r="FA226" i="4"/>
  <c r="FC209" i="4" l="1"/>
  <c r="R237" i="4"/>
  <c r="FB216" i="4"/>
  <c r="FB221" i="4" s="1"/>
  <c r="FB222" i="4" s="1"/>
  <c r="FC218" i="4" s="1"/>
  <c r="FC211" i="4"/>
  <c r="FC220" i="4"/>
  <c r="FC207" i="4"/>
  <c r="FC206" i="4"/>
  <c r="FD202" i="4" s="1"/>
  <c r="Q238" i="4"/>
  <c r="FA227" i="4"/>
  <c r="FA231" i="4" l="1"/>
  <c r="FD203" i="4"/>
  <c r="FD205" i="4" s="1"/>
  <c r="FC215" i="4"/>
  <c r="FC213" i="4"/>
  <c r="FB224" i="4"/>
  <c r="FB230" i="4"/>
  <c r="FB223" i="4"/>
  <c r="FC212" i="4"/>
  <c r="FD208" i="4" s="1"/>
  <c r="FC219" i="4"/>
  <c r="FD220" i="4" l="1"/>
  <c r="FD211" i="4"/>
  <c r="FD207" i="4"/>
  <c r="S237" i="4"/>
  <c r="FC216" i="4"/>
  <c r="FC221" i="4" s="1"/>
  <c r="FD206" i="4"/>
  <c r="FE202" i="4" s="1"/>
  <c r="FB226" i="4"/>
  <c r="FA234" i="4"/>
  <c r="FA233" i="4"/>
  <c r="FA232" i="4"/>
  <c r="FB228" i="4" s="1"/>
  <c r="FD209" i="4"/>
  <c r="FD212" i="4" l="1"/>
  <c r="FE208" i="4" s="1"/>
  <c r="FE209" i="4" s="1"/>
  <c r="FC224" i="4"/>
  <c r="FC230" i="4"/>
  <c r="FC223" i="4"/>
  <c r="FC222" i="4"/>
  <c r="FD218" i="4" s="1"/>
  <c r="FE203" i="4"/>
  <c r="FE205" i="4" s="1"/>
  <c r="FE206" i="4" s="1"/>
  <c r="FF202" i="4" s="1"/>
  <c r="FA235" i="4"/>
  <c r="R238" i="4"/>
  <c r="FB227" i="4"/>
  <c r="FD215" i="4"/>
  <c r="FD213" i="4"/>
  <c r="FB229" i="4"/>
  <c r="FB231" i="4" l="1"/>
  <c r="FB232" i="4" s="1"/>
  <c r="FC228" i="4" s="1"/>
  <c r="FF203" i="4"/>
  <c r="FF205" i="4" s="1"/>
  <c r="T237" i="4"/>
  <c r="FD216" i="4"/>
  <c r="Q239" i="4"/>
  <c r="FA236" i="4"/>
  <c r="FD219" i="4"/>
  <c r="FE211" i="4"/>
  <c r="FE220" i="4"/>
  <c r="FE207" i="4"/>
  <c r="FC226" i="4"/>
  <c r="FB234" i="4" l="1"/>
  <c r="FB235" i="4" s="1"/>
  <c r="FD221" i="4"/>
  <c r="FD222" i="4" s="1"/>
  <c r="FE218" i="4" s="1"/>
  <c r="FE219" i="4" s="1"/>
  <c r="FB233" i="4"/>
  <c r="FF211" i="4"/>
  <c r="FF220" i="4"/>
  <c r="FF207" i="4"/>
  <c r="FE215" i="4"/>
  <c r="FE213" i="4"/>
  <c r="FA237" i="4"/>
  <c r="FA238" i="4"/>
  <c r="Q243" i="4" s="1"/>
  <c r="FF206" i="4"/>
  <c r="FG202" i="4" s="1"/>
  <c r="S238" i="4"/>
  <c r="FC227" i="4"/>
  <c r="FC229" i="4"/>
  <c r="FE212" i="4"/>
  <c r="FF208" i="4" s="1"/>
  <c r="FD223" i="4" l="1"/>
  <c r="FD230" i="4"/>
  <c r="FD224" i="4"/>
  <c r="FD226" i="4" s="1"/>
  <c r="FC231" i="4"/>
  <c r="FC232" i="4" s="1"/>
  <c r="FD228" i="4" s="1"/>
  <c r="FD229" i="4" s="1"/>
  <c r="FG203" i="4"/>
  <c r="FG205" i="4" s="1"/>
  <c r="FG206" i="4" s="1"/>
  <c r="FH202" i="4" s="1"/>
  <c r="Q248" i="4"/>
  <c r="R239" i="4"/>
  <c r="FB236" i="4"/>
  <c r="FA239" i="4"/>
  <c r="Q240" i="4" s="1"/>
  <c r="Q244" i="4"/>
  <c r="U237" i="4"/>
  <c r="FE216" i="4"/>
  <c r="FE221" i="4" s="1"/>
  <c r="FF209" i="4"/>
  <c r="FF212" i="4" s="1"/>
  <c r="FG208" i="4" s="1"/>
  <c r="FF215" i="4"/>
  <c r="FF213" i="4"/>
  <c r="FC233" i="4" l="1"/>
  <c r="FC234" i="4"/>
  <c r="FC235" i="4" s="1"/>
  <c r="FG209" i="4"/>
  <c r="FE224" i="4"/>
  <c r="FE230" i="4"/>
  <c r="FE222" i="4"/>
  <c r="FF218" i="4" s="1"/>
  <c r="FE223" i="4"/>
  <c r="Q249" i="4"/>
  <c r="Q250" i="4" s="1"/>
  <c r="T238" i="4"/>
  <c r="FD227" i="4"/>
  <c r="FD231" i="4" s="1"/>
  <c r="V237" i="4"/>
  <c r="FF216" i="4"/>
  <c r="FB238" i="4"/>
  <c r="R243" i="4" s="1"/>
  <c r="FB237" i="4"/>
  <c r="FA240" i="4"/>
  <c r="Q245" i="4"/>
  <c r="FH203" i="4"/>
  <c r="FH205" i="4" s="1"/>
  <c r="FH206" i="4" s="1"/>
  <c r="FI202" i="4" s="1"/>
  <c r="FG211" i="4"/>
  <c r="FG220" i="4"/>
  <c r="FG207" i="4"/>
  <c r="FG212" i="4" l="1"/>
  <c r="FH208" i="4" s="1"/>
  <c r="FH209" i="4" s="1"/>
  <c r="FB239" i="4"/>
  <c r="R240" i="4" s="1"/>
  <c r="R244" i="4"/>
  <c r="R245" i="4" s="1"/>
  <c r="FA245" i="4"/>
  <c r="R248" i="4"/>
  <c r="S239" i="4"/>
  <c r="FC236" i="4"/>
  <c r="FD234" i="4"/>
  <c r="FD233" i="4"/>
  <c r="FG215" i="4"/>
  <c r="FG213" i="4"/>
  <c r="FF219" i="4"/>
  <c r="FF221" i="4" s="1"/>
  <c r="FI203" i="4"/>
  <c r="FI205" i="4" s="1"/>
  <c r="FE226" i="4"/>
  <c r="FH211" i="4"/>
  <c r="FH220" i="4"/>
  <c r="FH207" i="4"/>
  <c r="FD232" i="4"/>
  <c r="FE228" i="4" s="1"/>
  <c r="FI211" i="4" l="1"/>
  <c r="FI220" i="4"/>
  <c r="FI207" i="4"/>
  <c r="W237" i="4"/>
  <c r="FG216" i="4"/>
  <c r="FE229" i="4"/>
  <c r="FH215" i="4"/>
  <c r="FH213" i="4"/>
  <c r="FD235" i="4"/>
  <c r="FC237" i="4"/>
  <c r="FC238" i="4"/>
  <c r="S243" i="4" s="1"/>
  <c r="U238" i="4"/>
  <c r="FE227" i="4"/>
  <c r="FB240" i="4"/>
  <c r="FA248" i="4"/>
  <c r="FA253" i="4"/>
  <c r="FA247" i="4"/>
  <c r="FA246" i="4"/>
  <c r="FB242" i="4" s="1"/>
  <c r="R249" i="4"/>
  <c r="FI206" i="4"/>
  <c r="FJ202" i="4" s="1"/>
  <c r="FH212" i="4"/>
  <c r="FI208" i="4" s="1"/>
  <c r="FF224" i="4"/>
  <c r="FF230" i="4"/>
  <c r="FF223" i="4"/>
  <c r="FF222" i="4"/>
  <c r="FG218" i="4" s="1"/>
  <c r="FE231" i="4" l="1"/>
  <c r="FE234" i="4" s="1"/>
  <c r="S248" i="4"/>
  <c r="FB243" i="4"/>
  <c r="FB245" i="4" s="1"/>
  <c r="FC239" i="4"/>
  <c r="S240" i="4" s="1"/>
  <c r="S244" i="4"/>
  <c r="S245" i="4" s="1"/>
  <c r="FF226" i="4"/>
  <c r="FJ203" i="4"/>
  <c r="FJ205" i="4" s="1"/>
  <c r="FA249" i="4"/>
  <c r="FG219" i="4"/>
  <c r="FG221" i="4" s="1"/>
  <c r="FG222" i="4" s="1"/>
  <c r="FH218" i="4" s="1"/>
  <c r="T239" i="4"/>
  <c r="FD236" i="4"/>
  <c r="FI209" i="4"/>
  <c r="FI212" i="4" s="1"/>
  <c r="FJ208" i="4" s="1"/>
  <c r="X237" i="4"/>
  <c r="FH216" i="4"/>
  <c r="R250" i="4"/>
  <c r="FI215" i="4"/>
  <c r="FI213" i="4"/>
  <c r="FE232" i="4" l="1"/>
  <c r="FF228" i="4" s="1"/>
  <c r="FF229" i="4" s="1"/>
  <c r="FE233" i="4"/>
  <c r="Y237" i="4"/>
  <c r="FI216" i="4"/>
  <c r="FJ211" i="4"/>
  <c r="FJ220" i="4"/>
  <c r="FJ207" i="4"/>
  <c r="FJ206" i="4"/>
  <c r="FK202" i="4" s="1"/>
  <c r="FB253" i="4"/>
  <c r="FB248" i="4"/>
  <c r="FB247" i="4"/>
  <c r="FH219" i="4"/>
  <c r="FH221" i="4" s="1"/>
  <c r="V238" i="4"/>
  <c r="FF227" i="4"/>
  <c r="S249" i="4"/>
  <c r="S250" i="4" s="1"/>
  <c r="FJ209" i="4"/>
  <c r="FB246" i="4"/>
  <c r="FC242" i="4" s="1"/>
  <c r="FD238" i="4"/>
  <c r="T243" i="4" s="1"/>
  <c r="FD237" i="4"/>
  <c r="FG224" i="4"/>
  <c r="FG230" i="4"/>
  <c r="FG223" i="4"/>
  <c r="FC240" i="4"/>
  <c r="Q258" i="4"/>
  <c r="FA250" i="4"/>
  <c r="FA254" i="4" s="1"/>
  <c r="FE235" i="4"/>
  <c r="FJ212" i="4" l="1"/>
  <c r="FK208" i="4" s="1"/>
  <c r="FK209" i="4" s="1"/>
  <c r="FF231" i="4"/>
  <c r="FF234" i="4" s="1"/>
  <c r="FH224" i="4"/>
  <c r="FH230" i="4"/>
  <c r="FH223" i="4"/>
  <c r="FH222" i="4"/>
  <c r="FI218" i="4" s="1"/>
  <c r="U239" i="4"/>
  <c r="FE236" i="4"/>
  <c r="FB249" i="4"/>
  <c r="FA257" i="4"/>
  <c r="FA262" i="4"/>
  <c r="FA256" i="4"/>
  <c r="FA255" i="4"/>
  <c r="FB251" i="4" s="1"/>
  <c r="FG226" i="4"/>
  <c r="FD239" i="4"/>
  <c r="T240" i="4" s="1"/>
  <c r="T244" i="4"/>
  <c r="T245" i="4" s="1"/>
  <c r="T248" i="4"/>
  <c r="FC243" i="4"/>
  <c r="FC245" i="4" s="1"/>
  <c r="FK203" i="4"/>
  <c r="FK205" i="4" s="1"/>
  <c r="FK206" i="4" s="1"/>
  <c r="FL202" i="4" s="1"/>
  <c r="FJ215" i="4"/>
  <c r="FJ213" i="4"/>
  <c r="FF232" i="4" l="1"/>
  <c r="FG228" i="4" s="1"/>
  <c r="FG229" i="4" s="1"/>
  <c r="FF233" i="4"/>
  <c r="FC253" i="4"/>
  <c r="FC248" i="4"/>
  <c r="FC247" i="4"/>
  <c r="FK220" i="4"/>
  <c r="FK211" i="4"/>
  <c r="FK207" i="4"/>
  <c r="FA258" i="4"/>
  <c r="FE238" i="4"/>
  <c r="U243" i="4" s="1"/>
  <c r="FE237" i="4"/>
  <c r="Z237" i="4"/>
  <c r="FJ216" i="4"/>
  <c r="FL203" i="4"/>
  <c r="FL205" i="4" s="1"/>
  <c r="FC246" i="4"/>
  <c r="FD242" i="4" s="1"/>
  <c r="FH226" i="4"/>
  <c r="FD240" i="4"/>
  <c r="R258" i="4"/>
  <c r="FB250" i="4"/>
  <c r="T249" i="4"/>
  <c r="T250" i="4" s="1"/>
  <c r="FF235" i="4"/>
  <c r="FI219" i="4"/>
  <c r="W238" i="4"/>
  <c r="FG227" i="4"/>
  <c r="FB252" i="4"/>
  <c r="FG231" i="4" l="1"/>
  <c r="FG232" i="4" s="1"/>
  <c r="FH228" i="4" s="1"/>
  <c r="FH229" i="4" s="1"/>
  <c r="FB254" i="4"/>
  <c r="FB262" i="4" s="1"/>
  <c r="FL220" i="4"/>
  <c r="FL211" i="4"/>
  <c r="FL207" i="4"/>
  <c r="FL206" i="4"/>
  <c r="FM202" i="4" s="1"/>
  <c r="FI221" i="4"/>
  <c r="Q259" i="4"/>
  <c r="FA259" i="4"/>
  <c r="U248" i="4"/>
  <c r="FK215" i="4"/>
  <c r="FK213" i="4"/>
  <c r="FK212" i="4"/>
  <c r="FL208" i="4" s="1"/>
  <c r="FE239" i="4"/>
  <c r="U240" i="4" s="1"/>
  <c r="U244" i="4"/>
  <c r="U245" i="4" s="1"/>
  <c r="V239" i="4"/>
  <c r="FF236" i="4"/>
  <c r="X238" i="4"/>
  <c r="FH227" i="4"/>
  <c r="FC249" i="4"/>
  <c r="FD243" i="4"/>
  <c r="FD245" i="4" s="1"/>
  <c r="FG233" i="4" l="1"/>
  <c r="FG234" i="4"/>
  <c r="FG235" i="4" s="1"/>
  <c r="FB256" i="4"/>
  <c r="FB257" i="4"/>
  <c r="FB258" i="4" s="1"/>
  <c r="FB255" i="4"/>
  <c r="FC251" i="4" s="1"/>
  <c r="FC252" i="4" s="1"/>
  <c r="S258" i="4"/>
  <c r="FC250" i="4"/>
  <c r="FI224" i="4"/>
  <c r="FI230" i="4"/>
  <c r="FI223" i="4"/>
  <c r="FD248" i="4"/>
  <c r="FD253" i="4"/>
  <c r="FD247" i="4"/>
  <c r="FE240" i="4"/>
  <c r="FA263" i="4"/>
  <c r="FF237" i="4"/>
  <c r="FF238" i="4"/>
  <c r="V243" i="4" s="1"/>
  <c r="U249" i="4"/>
  <c r="U250" i="4" s="1"/>
  <c r="FM203" i="4"/>
  <c r="FM205" i="4" s="1"/>
  <c r="FM206" i="4" s="1"/>
  <c r="FN202" i="4" s="1"/>
  <c r="FL209" i="4"/>
  <c r="FL212" i="4" s="1"/>
  <c r="FM208" i="4" s="1"/>
  <c r="FL215" i="4"/>
  <c r="FL213" i="4"/>
  <c r="AA237" i="4"/>
  <c r="FK216" i="4"/>
  <c r="FH231" i="4"/>
  <c r="FD246" i="4"/>
  <c r="FE242" i="4" s="1"/>
  <c r="FI222" i="4"/>
  <c r="FJ218" i="4" s="1"/>
  <c r="FC254" i="4" l="1"/>
  <c r="FC257" i="4" s="1"/>
  <c r="AB237" i="4"/>
  <c r="FL216" i="4"/>
  <c r="FD249" i="4"/>
  <c r="FM209" i="4"/>
  <c r="FI226" i="4"/>
  <c r="FN203" i="4"/>
  <c r="FN205" i="4" s="1"/>
  <c r="FM220" i="4"/>
  <c r="FM211" i="4"/>
  <c r="FM207" i="4"/>
  <c r="V248" i="4"/>
  <c r="FF239" i="4"/>
  <c r="V240" i="4" s="1"/>
  <c r="V244" i="4"/>
  <c r="V249" i="4" s="1"/>
  <c r="FA266" i="4"/>
  <c r="FA265" i="4"/>
  <c r="FA264" i="4"/>
  <c r="FB260" i="4" s="1"/>
  <c r="FJ219" i="4"/>
  <c r="FE243" i="4"/>
  <c r="FE245" i="4" s="1"/>
  <c r="FE246" i="4" s="1"/>
  <c r="FF242" i="4" s="1"/>
  <c r="FH234" i="4"/>
  <c r="FH233" i="4"/>
  <c r="FH232" i="4"/>
  <c r="FI228" i="4" s="1"/>
  <c r="R259" i="4"/>
  <c r="FB259" i="4"/>
  <c r="W239" i="4"/>
  <c r="FG236" i="4"/>
  <c r="FC255" i="4" l="1"/>
  <c r="FD251" i="4" s="1"/>
  <c r="FD252" i="4" s="1"/>
  <c r="FC256" i="4"/>
  <c r="FC262" i="4"/>
  <c r="FM212" i="4"/>
  <c r="FN208" i="4" s="1"/>
  <c r="FN209" i="4" s="1"/>
  <c r="FF243" i="4"/>
  <c r="FN220" i="4"/>
  <c r="FN211" i="4"/>
  <c r="FN207" i="4"/>
  <c r="Y238" i="4"/>
  <c r="FI227" i="4"/>
  <c r="FN206" i="4"/>
  <c r="FO202" i="4" s="1"/>
  <c r="FJ221" i="4"/>
  <c r="FE253" i="4"/>
  <c r="FE248" i="4"/>
  <c r="FE247" i="4"/>
  <c r="FB261" i="4"/>
  <c r="FG237" i="4"/>
  <c r="FG238" i="4"/>
  <c r="W243" i="4" s="1"/>
  <c r="FH235" i="4"/>
  <c r="FI229" i="4"/>
  <c r="T258" i="4"/>
  <c r="FD250" i="4"/>
  <c r="FA267" i="4"/>
  <c r="V250" i="4"/>
  <c r="FF240" i="4"/>
  <c r="V245" i="4"/>
  <c r="FM215" i="4"/>
  <c r="FM213" i="4"/>
  <c r="FC258" i="4"/>
  <c r="FN212" i="4" l="1"/>
  <c r="FO208" i="4" s="1"/>
  <c r="FO209" i="4" s="1"/>
  <c r="FD254" i="4"/>
  <c r="FD257" i="4" s="1"/>
  <c r="FJ224" i="4"/>
  <c r="FJ230" i="4"/>
  <c r="FJ223" i="4"/>
  <c r="FO203" i="4"/>
  <c r="FO205" i="4" s="1"/>
  <c r="FO206" i="4" s="1"/>
  <c r="FP202" i="4" s="1"/>
  <c r="S259" i="4"/>
  <c r="FC259" i="4"/>
  <c r="W248" i="4"/>
  <c r="FG239" i="4"/>
  <c r="W240" i="4" s="1"/>
  <c r="W244" i="4"/>
  <c r="W249" i="4" s="1"/>
  <c r="FJ222" i="4"/>
  <c r="FK218" i="4" s="1"/>
  <c r="AC237" i="4"/>
  <c r="FM216" i="4"/>
  <c r="FB263" i="4"/>
  <c r="FB264" i="4" s="1"/>
  <c r="FC260" i="4" s="1"/>
  <c r="Q260" i="4"/>
  <c r="FA268" i="4"/>
  <c r="FI231" i="4"/>
  <c r="FN215" i="4"/>
  <c r="FN213" i="4"/>
  <c r="FF245" i="4"/>
  <c r="FE249" i="4"/>
  <c r="X239" i="4"/>
  <c r="FH236" i="4"/>
  <c r="FD255" i="4" l="1"/>
  <c r="FE251" i="4" s="1"/>
  <c r="FE252" i="4" s="1"/>
  <c r="FD256" i="4"/>
  <c r="FD262" i="4"/>
  <c r="W250" i="4"/>
  <c r="FG240" i="4"/>
  <c r="AD237" i="4"/>
  <c r="FN216" i="4"/>
  <c r="FH238" i="4"/>
  <c r="X243" i="4" s="1"/>
  <c r="FH237" i="4"/>
  <c r="W245" i="4"/>
  <c r="U258" i="4"/>
  <c r="FE250" i="4"/>
  <c r="FF248" i="4"/>
  <c r="FF253" i="4"/>
  <c r="FF247" i="4"/>
  <c r="FF246" i="4"/>
  <c r="FG242" i="4" s="1"/>
  <c r="FP203" i="4"/>
  <c r="FP205" i="4" s="1"/>
  <c r="FO220" i="4"/>
  <c r="FO211" i="4"/>
  <c r="FO207" i="4"/>
  <c r="FI234" i="4"/>
  <c r="FI233" i="4"/>
  <c r="FI232" i="4"/>
  <c r="FJ228" i="4" s="1"/>
  <c r="FJ226" i="4"/>
  <c r="FA270" i="4"/>
  <c r="Q264" i="4" s="1"/>
  <c r="FA269" i="4"/>
  <c r="FC261" i="4"/>
  <c r="FC263" i="4" s="1"/>
  <c r="FB266" i="4"/>
  <c r="FB265" i="4"/>
  <c r="FK219" i="4"/>
  <c r="FK221" i="4" s="1"/>
  <c r="FK222" i="4" s="1"/>
  <c r="FL218" i="4" s="1"/>
  <c r="FD258" i="4"/>
  <c r="FL219" i="4" l="1"/>
  <c r="FL221" i="4" s="1"/>
  <c r="FC266" i="4"/>
  <c r="FC265" i="4"/>
  <c r="FP220" i="4"/>
  <c r="FP211" i="4"/>
  <c r="FP207" i="4"/>
  <c r="FB267" i="4"/>
  <c r="FF249" i="4"/>
  <c r="X248" i="4"/>
  <c r="FE254" i="4"/>
  <c r="FC264" i="4"/>
  <c r="FD260" i="4" s="1"/>
  <c r="FA271" i="4"/>
  <c r="Q261" i="4" s="1"/>
  <c r="Q265" i="4"/>
  <c r="Q266" i="4" s="1"/>
  <c r="FJ229" i="4"/>
  <c r="FH239" i="4"/>
  <c r="X240" i="4" s="1"/>
  <c r="X244" i="4"/>
  <c r="X249" i="4" s="1"/>
  <c r="T259" i="4"/>
  <c r="FD259" i="4"/>
  <c r="FP206" i="4"/>
  <c r="FQ202" i="4" s="1"/>
  <c r="Z238" i="4"/>
  <c r="FJ227" i="4"/>
  <c r="FI235" i="4"/>
  <c r="FO215" i="4"/>
  <c r="FO213" i="4"/>
  <c r="FO212" i="4"/>
  <c r="FP208" i="4" s="1"/>
  <c r="FK224" i="4"/>
  <c r="FK230" i="4"/>
  <c r="FK223" i="4"/>
  <c r="FG243" i="4"/>
  <c r="FG245" i="4" s="1"/>
  <c r="FG246" i="4" s="1"/>
  <c r="FH242" i="4" s="1"/>
  <c r="Q269" i="4"/>
  <c r="X245" i="4" l="1"/>
  <c r="FL224" i="4"/>
  <c r="FL230" i="4"/>
  <c r="FL223" i="4"/>
  <c r="FL222" i="4"/>
  <c r="FM218" i="4" s="1"/>
  <c r="FD261" i="4"/>
  <c r="FD263" i="4" s="1"/>
  <c r="FD264" i="4" s="1"/>
  <c r="FE260" i="4" s="1"/>
  <c r="FK226" i="4"/>
  <c r="FP209" i="4"/>
  <c r="FP212" i="4" s="1"/>
  <c r="FQ208" i="4" s="1"/>
  <c r="FP215" i="4"/>
  <c r="FP213" i="4"/>
  <c r="AE237" i="4"/>
  <c r="FO216" i="4"/>
  <c r="FH243" i="4"/>
  <c r="FG253" i="4"/>
  <c r="FG248" i="4"/>
  <c r="FG247" i="4"/>
  <c r="FE257" i="4"/>
  <c r="FE262" i="4"/>
  <c r="FE256" i="4"/>
  <c r="FH240" i="4"/>
  <c r="X250" i="4"/>
  <c r="V258" i="4"/>
  <c r="FF250" i="4"/>
  <c r="R260" i="4"/>
  <c r="FB268" i="4"/>
  <c r="Y239" i="4"/>
  <c r="FI236" i="4"/>
  <c r="FQ203" i="4"/>
  <c r="FQ205" i="4" s="1"/>
  <c r="FQ206" i="4" s="1"/>
  <c r="FR202" i="4" s="1"/>
  <c r="FC267" i="4"/>
  <c r="FJ231" i="4"/>
  <c r="Q270" i="4"/>
  <c r="FE255" i="4"/>
  <c r="FF251" i="4" s="1"/>
  <c r="FH245" i="4" l="1"/>
  <c r="FH253" i="4" s="1"/>
  <c r="FQ209" i="4"/>
  <c r="FB269" i="4"/>
  <c r="FB270" i="4"/>
  <c r="R264" i="4" s="1"/>
  <c r="FI237" i="4"/>
  <c r="FI238" i="4"/>
  <c r="Y243" i="4" s="1"/>
  <c r="AF237" i="4"/>
  <c r="FP216" i="4"/>
  <c r="AA238" i="4"/>
  <c r="FK227" i="4"/>
  <c r="FG249" i="4"/>
  <c r="FM219" i="4"/>
  <c r="FM221" i="4" s="1"/>
  <c r="FQ220" i="4"/>
  <c r="FQ211" i="4"/>
  <c r="FQ207" i="4"/>
  <c r="FF252" i="4"/>
  <c r="FJ234" i="4"/>
  <c r="FJ233" i="4"/>
  <c r="FJ232" i="4"/>
  <c r="FK228" i="4" s="1"/>
  <c r="FE258" i="4"/>
  <c r="FE261" i="4"/>
  <c r="S260" i="4"/>
  <c r="FC268" i="4"/>
  <c r="FD266" i="4"/>
  <c r="FD265" i="4"/>
  <c r="Q271" i="4"/>
  <c r="FR203" i="4"/>
  <c r="FR205" i="4" s="1"/>
  <c r="FL226" i="4"/>
  <c r="FH246" i="4" l="1"/>
  <c r="FI242" i="4" s="1"/>
  <c r="FI243" i="4" s="1"/>
  <c r="FH247" i="4"/>
  <c r="FH248" i="4"/>
  <c r="FH249" i="4" s="1"/>
  <c r="FF254" i="4"/>
  <c r="FF255" i="4" s="1"/>
  <c r="FG251" i="4" s="1"/>
  <c r="FG252" i="4" s="1"/>
  <c r="FR211" i="4"/>
  <c r="FR220" i="4"/>
  <c r="FR207" i="4"/>
  <c r="FR206" i="4"/>
  <c r="FS202" i="4" s="1"/>
  <c r="FQ215" i="4"/>
  <c r="FQ213" i="4"/>
  <c r="FQ212" i="4"/>
  <c r="FR208" i="4" s="1"/>
  <c r="FK229" i="4"/>
  <c r="Y248" i="4"/>
  <c r="R269" i="4"/>
  <c r="FB271" i="4"/>
  <c r="R261" i="4" s="1"/>
  <c r="R265" i="4"/>
  <c r="AB238" i="4"/>
  <c r="FL227" i="4"/>
  <c r="FI239" i="4"/>
  <c r="Y240" i="4" s="1"/>
  <c r="Y244" i="4"/>
  <c r="Y249" i="4" s="1"/>
  <c r="FM224" i="4"/>
  <c r="FM230" i="4"/>
  <c r="FM223" i="4"/>
  <c r="U259" i="4"/>
  <c r="FE259" i="4"/>
  <c r="FJ235" i="4"/>
  <c r="FM222" i="4"/>
  <c r="FN218" i="4" s="1"/>
  <c r="W258" i="4"/>
  <c r="FG250" i="4"/>
  <c r="FD267" i="4"/>
  <c r="FC269" i="4"/>
  <c r="FC270" i="4"/>
  <c r="S264" i="4" s="1"/>
  <c r="FF256" i="4" l="1"/>
  <c r="FF257" i="4"/>
  <c r="FF258" i="4" s="1"/>
  <c r="FF262" i="4"/>
  <c r="FG254" i="4"/>
  <c r="FG257" i="4" s="1"/>
  <c r="FR209" i="4"/>
  <c r="FR212" i="4" s="1"/>
  <c r="FS208" i="4" s="1"/>
  <c r="X258" i="4"/>
  <c r="FH250" i="4"/>
  <c r="FC271" i="4"/>
  <c r="S261" i="4" s="1"/>
  <c r="S265" i="4"/>
  <c r="S270" i="4" s="1"/>
  <c r="S269" i="4"/>
  <c r="T260" i="4"/>
  <c r="FD268" i="4"/>
  <c r="FK231" i="4"/>
  <c r="FM226" i="4"/>
  <c r="AG237" i="4"/>
  <c r="FQ216" i="4"/>
  <c r="FS203" i="4"/>
  <c r="FS205" i="4" s="1"/>
  <c r="R270" i="4"/>
  <c r="R271" i="4" s="1"/>
  <c r="R266" i="4"/>
  <c r="FI240" i="4"/>
  <c r="Y250" i="4"/>
  <c r="FN219" i="4"/>
  <c r="Y245" i="4"/>
  <c r="FR215" i="4"/>
  <c r="FR213" i="4"/>
  <c r="Z239" i="4"/>
  <c r="FJ236" i="4"/>
  <c r="FE263" i="4"/>
  <c r="FG255" i="4" l="1"/>
  <c r="FH251" i="4" s="1"/>
  <c r="FH252" i="4" s="1"/>
  <c r="FH254" i="4" s="1"/>
  <c r="FH255" i="4" s="1"/>
  <c r="FI251" i="4" s="1"/>
  <c r="FG256" i="4"/>
  <c r="FG262" i="4"/>
  <c r="FS220" i="4"/>
  <c r="FS211" i="4"/>
  <c r="FS207" i="4"/>
  <c r="FS209" i="4"/>
  <c r="FS206" i="4"/>
  <c r="FT202" i="4" s="1"/>
  <c r="FI245" i="4"/>
  <c r="FN221" i="4"/>
  <c r="FE266" i="4"/>
  <c r="FE265" i="4"/>
  <c r="FE264" i="4"/>
  <c r="FF260" i="4" s="1"/>
  <c r="V259" i="4"/>
  <c r="FF259" i="4"/>
  <c r="FJ237" i="4"/>
  <c r="FJ238" i="4"/>
  <c r="Z243" i="4" s="1"/>
  <c r="AC238" i="4"/>
  <c r="FM227" i="4"/>
  <c r="FK234" i="4"/>
  <c r="FK233" i="4"/>
  <c r="AH237" i="4"/>
  <c r="FR216" i="4"/>
  <c r="FD270" i="4"/>
  <c r="T264" i="4" s="1"/>
  <c r="FD269" i="4"/>
  <c r="FG258" i="4"/>
  <c r="S271" i="4"/>
  <c r="S266" i="4"/>
  <c r="FK232" i="4"/>
  <c r="FL228" i="4" s="1"/>
  <c r="FS212" i="4" l="1"/>
  <c r="FT208" i="4" s="1"/>
  <c r="FT209" i="4" s="1"/>
  <c r="FI252" i="4"/>
  <c r="FL229" i="4"/>
  <c r="FL231" i="4" s="1"/>
  <c r="FE267" i="4"/>
  <c r="FT203" i="4"/>
  <c r="FT205" i="4" s="1"/>
  <c r="FT206" i="4" s="1"/>
  <c r="FU202" i="4" s="1"/>
  <c r="T269" i="4"/>
  <c r="FI248" i="4"/>
  <c r="FI253" i="4"/>
  <c r="FI247" i="4"/>
  <c r="FI246" i="4"/>
  <c r="FJ242" i="4" s="1"/>
  <c r="W259" i="4"/>
  <c r="FG259" i="4"/>
  <c r="FD271" i="4"/>
  <c r="T261" i="4" s="1"/>
  <c r="T265" i="4"/>
  <c r="T266" i="4" s="1"/>
  <c r="FN224" i="4"/>
  <c r="FN230" i="4"/>
  <c r="FN223" i="4"/>
  <c r="FK235" i="4"/>
  <c r="FN222" i="4"/>
  <c r="FO218" i="4" s="1"/>
  <c r="FF261" i="4"/>
  <c r="FF263" i="4" s="1"/>
  <c r="Z248" i="4"/>
  <c r="FS215" i="4"/>
  <c r="FS213" i="4"/>
  <c r="FH257" i="4"/>
  <c r="FH262" i="4"/>
  <c r="FH256" i="4"/>
  <c r="FJ239" i="4"/>
  <c r="Z240" i="4" s="1"/>
  <c r="Z244" i="4"/>
  <c r="Z249" i="4" s="1"/>
  <c r="Z245" i="4" l="1"/>
  <c r="FL234" i="4"/>
  <c r="FL233" i="4"/>
  <c r="FL232" i="4"/>
  <c r="FM228" i="4" s="1"/>
  <c r="FU203" i="4"/>
  <c r="FU205" i="4" s="1"/>
  <c r="FU206" i="4" s="1"/>
  <c r="FV202" i="4" s="1"/>
  <c r="FN226" i="4"/>
  <c r="FF266" i="4"/>
  <c r="FF265" i="4"/>
  <c r="FH258" i="4"/>
  <c r="FJ243" i="4"/>
  <c r="FI249" i="4"/>
  <c r="FF264" i="4"/>
  <c r="FG260" i="4" s="1"/>
  <c r="FO219" i="4"/>
  <c r="FO221" i="4" s="1"/>
  <c r="AA239" i="4"/>
  <c r="FK236" i="4"/>
  <c r="T270" i="4"/>
  <c r="AI237" i="4"/>
  <c r="FS216" i="4"/>
  <c r="FJ240" i="4"/>
  <c r="Z250" i="4"/>
  <c r="FT220" i="4"/>
  <c r="FT211" i="4"/>
  <c r="FT207" i="4"/>
  <c r="U260" i="4"/>
  <c r="FE268" i="4"/>
  <c r="FJ245" i="4" l="1"/>
  <c r="FJ248" i="4" s="1"/>
  <c r="FO224" i="4"/>
  <c r="FO230" i="4"/>
  <c r="FO223" i="4"/>
  <c r="FO222" i="4"/>
  <c r="FP218" i="4" s="1"/>
  <c r="FV203" i="4"/>
  <c r="FV205" i="4" s="1"/>
  <c r="FK237" i="4"/>
  <c r="FK238" i="4"/>
  <c r="AA243" i="4" s="1"/>
  <c r="FE270" i="4"/>
  <c r="U264" i="4" s="1"/>
  <c r="FE269" i="4"/>
  <c r="FG261" i="4"/>
  <c r="Y258" i="4"/>
  <c r="FI250" i="4"/>
  <c r="FI254" i="4" s="1"/>
  <c r="X259" i="4"/>
  <c r="FH259" i="4"/>
  <c r="FF267" i="4"/>
  <c r="AD238" i="4"/>
  <c r="FN227" i="4"/>
  <c r="FU220" i="4"/>
  <c r="FU211" i="4"/>
  <c r="FU207" i="4"/>
  <c r="FM229" i="4"/>
  <c r="FM231" i="4" s="1"/>
  <c r="T271" i="4"/>
  <c r="FT215" i="4"/>
  <c r="FT213" i="4"/>
  <c r="FT212" i="4"/>
  <c r="FU208" i="4" s="1"/>
  <c r="FL235" i="4"/>
  <c r="FJ246" i="4" l="1"/>
  <c r="FK242" i="4" s="1"/>
  <c r="FK243" i="4" s="1"/>
  <c r="FJ247" i="4"/>
  <c r="FJ253" i="4"/>
  <c r="FG263" i="4"/>
  <c r="FG264" i="4" s="1"/>
  <c r="FH260" i="4" s="1"/>
  <c r="FV220" i="4"/>
  <c r="FV211" i="4"/>
  <c r="FV207" i="4"/>
  <c r="FV206" i="4"/>
  <c r="FW202" i="4" s="1"/>
  <c r="FM234" i="4"/>
  <c r="FM233" i="4"/>
  <c r="U269" i="4"/>
  <c r="FM232" i="4"/>
  <c r="FN228" i="4" s="1"/>
  <c r="FK239" i="4"/>
  <c r="AA240" i="4" s="1"/>
  <c r="AA244" i="4"/>
  <c r="AA249" i="4" s="1"/>
  <c r="FU209" i="4"/>
  <c r="FU212" i="4" s="1"/>
  <c r="FV208" i="4" s="1"/>
  <c r="FE271" i="4"/>
  <c r="U261" i="4" s="1"/>
  <c r="U265" i="4"/>
  <c r="U266" i="4" s="1"/>
  <c r="AA248" i="4"/>
  <c r="FU215" i="4"/>
  <c r="FU213" i="4"/>
  <c r="FP219" i="4"/>
  <c r="FO226" i="4"/>
  <c r="FI257" i="4"/>
  <c r="FI262" i="4"/>
  <c r="FI256" i="4"/>
  <c r="FI255" i="4"/>
  <c r="FJ251" i="4" s="1"/>
  <c r="V260" i="4"/>
  <c r="FF268" i="4"/>
  <c r="AB239" i="4"/>
  <c r="FL236" i="4"/>
  <c r="AJ237" i="4"/>
  <c r="FT216" i="4"/>
  <c r="FJ249" i="4"/>
  <c r="FG265" i="4" l="1"/>
  <c r="FG266" i="4"/>
  <c r="FG267" i="4" s="1"/>
  <c r="FP221" i="4"/>
  <c r="FP222" i="4" s="1"/>
  <c r="FQ218" i="4" s="1"/>
  <c r="FH261" i="4"/>
  <c r="FH263" i="4" s="1"/>
  <c r="FH264" i="4" s="1"/>
  <c r="FI260" i="4" s="1"/>
  <c r="FI261" i="4" s="1"/>
  <c r="AE238" i="4"/>
  <c r="FO227" i="4"/>
  <c r="FJ252" i="4"/>
  <c r="Z258" i="4"/>
  <c r="FJ250" i="4"/>
  <c r="FW203" i="4"/>
  <c r="FW205" i="4" s="1"/>
  <c r="AA245" i="4"/>
  <c r="U270" i="4"/>
  <c r="U271" i="4" s="1"/>
  <c r="FV209" i="4"/>
  <c r="FV212" i="4" s="1"/>
  <c r="FW208" i="4" s="1"/>
  <c r="FN229" i="4"/>
  <c r="FN231" i="4" s="1"/>
  <c r="FN232" i="4" s="1"/>
  <c r="FO228" i="4" s="1"/>
  <c r="FV215" i="4"/>
  <c r="FV213" i="4"/>
  <c r="FL238" i="4"/>
  <c r="AB243" i="4" s="1"/>
  <c r="FL237" i="4"/>
  <c r="FF269" i="4"/>
  <c r="FF270" i="4"/>
  <c r="V264" i="4" s="1"/>
  <c r="FI258" i="4"/>
  <c r="FM235" i="4"/>
  <c r="AK237" i="4"/>
  <c r="FU216" i="4"/>
  <c r="AA250" i="4"/>
  <c r="FK240" i="4"/>
  <c r="FP223" i="4" l="1"/>
  <c r="FP230" i="4"/>
  <c r="FP224" i="4"/>
  <c r="FP226" i="4" s="1"/>
  <c r="FJ254" i="4"/>
  <c r="FJ257" i="4" s="1"/>
  <c r="FH265" i="4"/>
  <c r="FH266" i="4"/>
  <c r="FH267" i="4" s="1"/>
  <c r="FQ219" i="4"/>
  <c r="FQ221" i="4" s="1"/>
  <c r="FW220" i="4"/>
  <c r="FW211" i="4"/>
  <c r="FW207" i="4"/>
  <c r="FW206" i="4"/>
  <c r="FX202" i="4" s="1"/>
  <c r="FF271" i="4"/>
  <c r="V261" i="4" s="1"/>
  <c r="V265" i="4"/>
  <c r="V270" i="4" s="1"/>
  <c r="AL237" i="4"/>
  <c r="FV216" i="4"/>
  <c r="FO229" i="4"/>
  <c r="FO231" i="4" s="1"/>
  <c r="FN234" i="4"/>
  <c r="FN233" i="4"/>
  <c r="Y259" i="4"/>
  <c r="FI259" i="4"/>
  <c r="FK245" i="4"/>
  <c r="FL239" i="4"/>
  <c r="AB240" i="4" s="1"/>
  <c r="AB244" i="4"/>
  <c r="AB249" i="4" s="1"/>
  <c r="AB248" i="4"/>
  <c r="FW209" i="4"/>
  <c r="V269" i="4"/>
  <c r="AC239" i="4"/>
  <c r="FM236" i="4"/>
  <c r="W260" i="4"/>
  <c r="FG268" i="4"/>
  <c r="FJ255" i="4" l="1"/>
  <c r="FK251" i="4" s="1"/>
  <c r="FK252" i="4" s="1"/>
  <c r="FJ262" i="4"/>
  <c r="FJ256" i="4"/>
  <c r="AB245" i="4"/>
  <c r="FW212" i="4"/>
  <c r="FX208" i="4" s="1"/>
  <c r="FX209" i="4" s="1"/>
  <c r="FQ230" i="4"/>
  <c r="FQ223" i="4"/>
  <c r="FQ222" i="4"/>
  <c r="FR218" i="4" s="1"/>
  <c r="FQ224" i="4"/>
  <c r="FQ226" i="4" s="1"/>
  <c r="FO234" i="4"/>
  <c r="FO233" i="4"/>
  <c r="FO232" i="4"/>
  <c r="FP228" i="4" s="1"/>
  <c r="FJ258" i="4"/>
  <c r="AF238" i="4"/>
  <c r="FP227" i="4"/>
  <c r="FG269" i="4"/>
  <c r="FG270" i="4"/>
  <c r="W264" i="4" s="1"/>
  <c r="FN235" i="4"/>
  <c r="V271" i="4"/>
  <c r="V266" i="4"/>
  <c r="AB250" i="4"/>
  <c r="FL240" i="4"/>
  <c r="FK253" i="4"/>
  <c r="FK248" i="4"/>
  <c r="FK247" i="4"/>
  <c r="FK246" i="4"/>
  <c r="FL242" i="4" s="1"/>
  <c r="X260" i="4"/>
  <c r="FH268" i="4"/>
  <c r="FM237" i="4"/>
  <c r="FM238" i="4"/>
  <c r="AC243" i="4" s="1"/>
  <c r="FX203" i="4"/>
  <c r="FX205" i="4" s="1"/>
  <c r="FX206" i="4" s="1"/>
  <c r="FY202" i="4" s="1"/>
  <c r="FW215" i="4"/>
  <c r="FW213" i="4"/>
  <c r="FI263" i="4"/>
  <c r="FR219" i="4" l="1"/>
  <c r="FR221" i="4" s="1"/>
  <c r="FH269" i="4"/>
  <c r="FH270" i="4"/>
  <c r="X264" i="4" s="1"/>
  <c r="Z259" i="4"/>
  <c r="FJ259" i="4"/>
  <c r="FI266" i="4"/>
  <c r="FI265" i="4"/>
  <c r="FI264" i="4"/>
  <c r="FJ260" i="4" s="1"/>
  <c r="FY203" i="4"/>
  <c r="FY205" i="4" s="1"/>
  <c r="FX220" i="4"/>
  <c r="FX211" i="4"/>
  <c r="FX207" i="4"/>
  <c r="W269" i="4"/>
  <c r="FG271" i="4"/>
  <c r="W261" i="4" s="1"/>
  <c r="W265" i="4"/>
  <c r="W270" i="4" s="1"/>
  <c r="FL243" i="4"/>
  <c r="FL245" i="4" s="1"/>
  <c r="FM239" i="4"/>
  <c r="AC240" i="4" s="1"/>
  <c r="AC244" i="4"/>
  <c r="AC249" i="4" s="1"/>
  <c r="AD239" i="4"/>
  <c r="FN236" i="4"/>
  <c r="AG238" i="4"/>
  <c r="FQ227" i="4"/>
  <c r="FK249" i="4"/>
  <c r="AM237" i="4"/>
  <c r="FW216" i="4"/>
  <c r="FP229" i="4"/>
  <c r="FP231" i="4" s="1"/>
  <c r="AC248" i="4"/>
  <c r="FO235" i="4"/>
  <c r="FR230" i="4" l="1"/>
  <c r="FR224" i="4"/>
  <c r="FR226" i="4" s="1"/>
  <c r="AH238" i="4" s="1"/>
  <c r="FR223" i="4"/>
  <c r="FR222" i="4"/>
  <c r="FS218" i="4" s="1"/>
  <c r="FP234" i="4"/>
  <c r="FP233" i="4"/>
  <c r="FP232" i="4"/>
  <c r="FQ228" i="4" s="1"/>
  <c r="FY220" i="4"/>
  <c r="FY211" i="4"/>
  <c r="FY207" i="4"/>
  <c r="FM240" i="4"/>
  <c r="AC250" i="4"/>
  <c r="X269" i="4"/>
  <c r="FN238" i="4"/>
  <c r="AD243" i="4" s="1"/>
  <c r="FN237" i="4"/>
  <c r="FY206" i="4"/>
  <c r="FZ202" i="4" s="1"/>
  <c r="FJ261" i="4"/>
  <c r="AE239" i="4"/>
  <c r="FO236" i="4"/>
  <c r="AC245" i="4"/>
  <c r="AA258" i="4"/>
  <c r="FK250" i="4"/>
  <c r="FK254" i="4" s="1"/>
  <c r="FH271" i="4"/>
  <c r="X261" i="4" s="1"/>
  <c r="X265" i="4"/>
  <c r="X270" i="4" s="1"/>
  <c r="FL253" i="4"/>
  <c r="FL248" i="4"/>
  <c r="FL247" i="4"/>
  <c r="FL246" i="4"/>
  <c r="FM242" i="4" s="1"/>
  <c r="FI267" i="4"/>
  <c r="W271" i="4"/>
  <c r="W266" i="4"/>
  <c r="FX215" i="4"/>
  <c r="FX213" i="4"/>
  <c r="FX212" i="4"/>
  <c r="FY208" i="4" s="1"/>
  <c r="FR227" i="4" l="1"/>
  <c r="FS219" i="4"/>
  <c r="FS221" i="4" s="1"/>
  <c r="X271" i="4"/>
  <c r="X266" i="4"/>
  <c r="FZ203" i="4"/>
  <c r="FY215" i="4"/>
  <c r="FY213" i="4"/>
  <c r="FO238" i="4"/>
  <c r="AE243" i="4" s="1"/>
  <c r="FO237" i="4"/>
  <c r="FJ263" i="4"/>
  <c r="Y260" i="4"/>
  <c r="FI268" i="4"/>
  <c r="AD248" i="4"/>
  <c r="FY209" i="4"/>
  <c r="FY212" i="4" s="1"/>
  <c r="FZ208" i="4" s="1"/>
  <c r="FN239" i="4"/>
  <c r="AD240" i="4" s="1"/>
  <c r="AD244" i="4"/>
  <c r="AD249" i="4" s="1"/>
  <c r="FM243" i="4"/>
  <c r="FM245" i="4" s="1"/>
  <c r="FL249" i="4"/>
  <c r="AN237" i="4"/>
  <c r="FX216" i="4"/>
  <c r="FK257" i="4"/>
  <c r="FK262" i="4"/>
  <c r="FK255" i="4"/>
  <c r="FL251" i="4" s="1"/>
  <c r="FK256" i="4"/>
  <c r="FQ229" i="4"/>
  <c r="FQ231" i="4" s="1"/>
  <c r="FQ232" i="4" s="1"/>
  <c r="FR228" i="4" s="1"/>
  <c r="FP235" i="4"/>
  <c r="FS222" i="4" l="1"/>
  <c r="FT218" i="4" s="1"/>
  <c r="FT219" i="4" s="1"/>
  <c r="FT221" i="4" s="1"/>
  <c r="FS230" i="4"/>
  <c r="FS223" i="4"/>
  <c r="FS224" i="4"/>
  <c r="FS226" i="4" s="1"/>
  <c r="AD245" i="4"/>
  <c r="FZ209" i="4"/>
  <c r="FI269" i="4"/>
  <c r="FI270" i="4"/>
  <c r="Y264" i="4" s="1"/>
  <c r="AB258" i="4"/>
  <c r="FL250" i="4"/>
  <c r="FM248" i="4"/>
  <c r="FM253" i="4"/>
  <c r="FM247" i="4"/>
  <c r="FZ205" i="4"/>
  <c r="FK258" i="4"/>
  <c r="AE248" i="4"/>
  <c r="FM246" i="4"/>
  <c r="FN242" i="4" s="1"/>
  <c r="AF239" i="4"/>
  <c r="FP236" i="4"/>
  <c r="FR229" i="4"/>
  <c r="FL252" i="4"/>
  <c r="FJ266" i="4"/>
  <c r="FJ265" i="4"/>
  <c r="FO239" i="4"/>
  <c r="AE240" i="4" s="1"/>
  <c r="AE244" i="4"/>
  <c r="AE249" i="4" s="1"/>
  <c r="AO237" i="4"/>
  <c r="FY216" i="4"/>
  <c r="FQ234" i="4"/>
  <c r="FQ233" i="4"/>
  <c r="FN240" i="4"/>
  <c r="AD250" i="4"/>
  <c r="FJ264" i="4"/>
  <c r="FK260" i="4" s="1"/>
  <c r="FT230" i="4" l="1"/>
  <c r="FT223" i="4"/>
  <c r="FT224" i="4"/>
  <c r="FT226" i="4" s="1"/>
  <c r="FT222" i="4"/>
  <c r="FU218" i="4" s="1"/>
  <c r="AI238" i="4"/>
  <c r="FS227" i="4"/>
  <c r="FR231" i="4"/>
  <c r="FR232" i="4" s="1"/>
  <c r="FS228" i="4" s="1"/>
  <c r="FS229" i="4" s="1"/>
  <c r="FL254" i="4"/>
  <c r="FL257" i="4" s="1"/>
  <c r="AA259" i="4"/>
  <c r="FK259" i="4"/>
  <c r="FZ211" i="4"/>
  <c r="FZ220" i="4"/>
  <c r="FZ207" i="4"/>
  <c r="FJ267" i="4"/>
  <c r="FM249" i="4"/>
  <c r="FZ206" i="4"/>
  <c r="GA202" i="4" s="1"/>
  <c r="FP238" i="4"/>
  <c r="AF243" i="4" s="1"/>
  <c r="FP237" i="4"/>
  <c r="Y269" i="4"/>
  <c r="FQ235" i="4"/>
  <c r="AE245" i="4"/>
  <c r="FK261" i="4"/>
  <c r="FN243" i="4"/>
  <c r="FN245" i="4" s="1"/>
  <c r="FN246" i="4" s="1"/>
  <c r="FO242" i="4" s="1"/>
  <c r="FI271" i="4"/>
  <c r="Y261" i="4" s="1"/>
  <c r="Y265" i="4"/>
  <c r="Y270" i="4" s="1"/>
  <c r="FO240" i="4"/>
  <c r="AE250" i="4"/>
  <c r="FR233" i="4" l="1"/>
  <c r="FR234" i="4"/>
  <c r="FR235" i="4" s="1"/>
  <c r="FS231" i="4"/>
  <c r="FS233" i="4" s="1"/>
  <c r="FL255" i="4"/>
  <c r="FM251" i="4" s="1"/>
  <c r="FM252" i="4" s="1"/>
  <c r="FL256" i="4"/>
  <c r="FL262" i="4"/>
  <c r="FU219" i="4"/>
  <c r="FU221" i="4" s="1"/>
  <c r="FU222" i="4" s="1"/>
  <c r="FV218" i="4" s="1"/>
  <c r="AJ238" i="4"/>
  <c r="FT227" i="4"/>
  <c r="FK263" i="4"/>
  <c r="FK265" i="4" s="1"/>
  <c r="Y271" i="4"/>
  <c r="Y266" i="4"/>
  <c r="FZ215" i="4"/>
  <c r="FZ213" i="4"/>
  <c r="FZ212" i="4"/>
  <c r="GA208" i="4" s="1"/>
  <c r="AC258" i="4"/>
  <c r="FM250" i="4"/>
  <c r="Z260" i="4"/>
  <c r="FJ268" i="4"/>
  <c r="AG239" i="4"/>
  <c r="FQ236" i="4"/>
  <c r="FP239" i="4"/>
  <c r="AF240" i="4" s="1"/>
  <c r="AF244" i="4"/>
  <c r="AF249" i="4" s="1"/>
  <c r="AF248" i="4"/>
  <c r="GA203" i="4"/>
  <c r="GA205" i="4" s="1"/>
  <c r="GA206" i="4" s="1"/>
  <c r="GB202" i="4" s="1"/>
  <c r="FO243" i="4"/>
  <c r="FO245" i="4" s="1"/>
  <c r="FO246" i="4" s="1"/>
  <c r="FP242" i="4" s="1"/>
  <c r="FN253" i="4"/>
  <c r="FN248" i="4"/>
  <c r="FN247" i="4"/>
  <c r="FL258" i="4"/>
  <c r="FS232" i="4" l="1"/>
  <c r="FT228" i="4" s="1"/>
  <c r="FT229" i="4" s="1"/>
  <c r="FT231" i="4" s="1"/>
  <c r="FS234" i="4"/>
  <c r="FS235" i="4" s="1"/>
  <c r="FK264" i="4"/>
  <c r="FL260" i="4" s="1"/>
  <c r="FL261" i="4" s="1"/>
  <c r="FK266" i="4"/>
  <c r="FK267" i="4" s="1"/>
  <c r="AF245" i="4"/>
  <c r="FM254" i="4"/>
  <c r="FM255" i="4" s="1"/>
  <c r="FN251" i="4" s="1"/>
  <c r="FN252" i="4" s="1"/>
  <c r="FV219" i="4"/>
  <c r="FV221" i="4" s="1"/>
  <c r="FU224" i="4"/>
  <c r="FU226" i="4" s="1"/>
  <c r="FU230" i="4"/>
  <c r="FU223" i="4"/>
  <c r="GB203" i="4"/>
  <c r="GB205" i="4" s="1"/>
  <c r="GB206" i="4" s="1"/>
  <c r="GC202" i="4" s="1"/>
  <c r="AP237" i="4"/>
  <c r="FZ216" i="4"/>
  <c r="FJ270" i="4"/>
  <c r="Z264" i="4" s="1"/>
  <c r="FJ269" i="4"/>
  <c r="GA220" i="4"/>
  <c r="GA211" i="4"/>
  <c r="GA207" i="4"/>
  <c r="FP240" i="4"/>
  <c r="AF250" i="4"/>
  <c r="FQ238" i="4"/>
  <c r="AG243" i="4" s="1"/>
  <c r="FQ237" i="4"/>
  <c r="FN249" i="4"/>
  <c r="GA209" i="4"/>
  <c r="AH239" i="4"/>
  <c r="FR236" i="4"/>
  <c r="AB259" i="4"/>
  <c r="FL259" i="4"/>
  <c r="FP243" i="4"/>
  <c r="FO253" i="4"/>
  <c r="FO248" i="4"/>
  <c r="FO247" i="4"/>
  <c r="FM256" i="4" l="1"/>
  <c r="FM262" i="4"/>
  <c r="GA212" i="4"/>
  <c r="GB208" i="4" s="1"/>
  <c r="GB209" i="4" s="1"/>
  <c r="FM257" i="4"/>
  <c r="FM258" i="4" s="1"/>
  <c r="FV222" i="4"/>
  <c r="FW218" i="4" s="1"/>
  <c r="FV224" i="4"/>
  <c r="FV226" i="4" s="1"/>
  <c r="FV230" i="4"/>
  <c r="FV223" i="4"/>
  <c r="FP245" i="4"/>
  <c r="FP253" i="4" s="1"/>
  <c r="AK238" i="4"/>
  <c r="FU227" i="4"/>
  <c r="FL263" i="4"/>
  <c r="FL266" i="4" s="1"/>
  <c r="AA260" i="4"/>
  <c r="FK268" i="4"/>
  <c r="FJ271" i="4"/>
  <c r="Z261" i="4" s="1"/>
  <c r="Z265" i="4"/>
  <c r="Z270" i="4" s="1"/>
  <c r="FR237" i="4"/>
  <c r="FR238" i="4"/>
  <c r="AH243" i="4" s="1"/>
  <c r="Z269" i="4"/>
  <c r="FO249" i="4"/>
  <c r="AI239" i="4"/>
  <c r="FS236" i="4"/>
  <c r="AD258" i="4"/>
  <c r="FN250" i="4"/>
  <c r="FN254" i="4" s="1"/>
  <c r="GB220" i="4"/>
  <c r="GB211" i="4"/>
  <c r="GB207" i="4"/>
  <c r="AG248" i="4"/>
  <c r="GA215" i="4"/>
  <c r="GA213" i="4"/>
  <c r="FT234" i="4"/>
  <c r="FT233" i="4"/>
  <c r="FT232" i="4"/>
  <c r="FU228" i="4" s="1"/>
  <c r="GC203" i="4"/>
  <c r="GC205" i="4" s="1"/>
  <c r="FQ239" i="4"/>
  <c r="AG240" i="4" s="1"/>
  <c r="AG244" i="4"/>
  <c r="AG249" i="4" s="1"/>
  <c r="FL264" i="4" l="1"/>
  <c r="FM260" i="4" s="1"/>
  <c r="FM261" i="4" s="1"/>
  <c r="FL265" i="4"/>
  <c r="FP246" i="4"/>
  <c r="FQ242" i="4" s="1"/>
  <c r="FQ243" i="4" s="1"/>
  <c r="FP247" i="4"/>
  <c r="Z271" i="4"/>
  <c r="FP248" i="4"/>
  <c r="FP249" i="4" s="1"/>
  <c r="AL238" i="4"/>
  <c r="FV227" i="4"/>
  <c r="Z266" i="4"/>
  <c r="FW219" i="4"/>
  <c r="FW221" i="4" s="1"/>
  <c r="FW222" i="4" s="1"/>
  <c r="FX218" i="4" s="1"/>
  <c r="AQ237" i="4"/>
  <c r="GA216" i="4"/>
  <c r="GC220" i="4"/>
  <c r="GC211" i="4"/>
  <c r="GC207" i="4"/>
  <c r="FK269" i="4"/>
  <c r="FK270" i="4"/>
  <c r="AA264" i="4" s="1"/>
  <c r="FR239" i="4"/>
  <c r="AH240" i="4" s="1"/>
  <c r="AH244" i="4"/>
  <c r="AH249" i="4" s="1"/>
  <c r="FS237" i="4"/>
  <c r="FS238" i="4"/>
  <c r="AI243" i="4" s="1"/>
  <c r="FT235" i="4"/>
  <c r="AH248" i="4"/>
  <c r="FQ240" i="4"/>
  <c r="AG250" i="4"/>
  <c r="GC206" i="4"/>
  <c r="GD202" i="4" s="1"/>
  <c r="AG245" i="4"/>
  <c r="GB215" i="4"/>
  <c r="GB213" i="4"/>
  <c r="FN257" i="4"/>
  <c r="FN262" i="4"/>
  <c r="FN255" i="4"/>
  <c r="FO251" i="4" s="1"/>
  <c r="FN256" i="4"/>
  <c r="GB212" i="4"/>
  <c r="GC208" i="4" s="1"/>
  <c r="FU229" i="4"/>
  <c r="FU231" i="4" s="1"/>
  <c r="AC259" i="4"/>
  <c r="FM259" i="4"/>
  <c r="AE258" i="4"/>
  <c r="FO250" i="4"/>
  <c r="FL267" i="4"/>
  <c r="FM263" i="4" l="1"/>
  <c r="FM266" i="4" s="1"/>
  <c r="FX219" i="4"/>
  <c r="FX221" i="4" s="1"/>
  <c r="FW223" i="4"/>
  <c r="FW230" i="4"/>
  <c r="FW224" i="4"/>
  <c r="FW226" i="4" s="1"/>
  <c r="FU234" i="4"/>
  <c r="FU233" i="4"/>
  <c r="FO252" i="4"/>
  <c r="FO254" i="4" s="1"/>
  <c r="FO255" i="4" s="1"/>
  <c r="FP251" i="4" s="1"/>
  <c r="AB260" i="4"/>
  <c r="FL268" i="4"/>
  <c r="GC209" i="4"/>
  <c r="GC212" i="4" s="1"/>
  <c r="GD208" i="4" s="1"/>
  <c r="AJ239" i="4"/>
  <c r="FT236" i="4"/>
  <c r="FN258" i="4"/>
  <c r="AA269" i="4"/>
  <c r="FK271" i="4"/>
  <c r="AA261" i="4" s="1"/>
  <c r="AA265" i="4"/>
  <c r="AA270" i="4" s="1"/>
  <c r="GC215" i="4"/>
  <c r="GC213" i="4"/>
  <c r="FU232" i="4"/>
  <c r="FV228" i="4" s="1"/>
  <c r="AH245" i="4"/>
  <c r="AI248" i="4"/>
  <c r="FS239" i="4"/>
  <c r="AI240" i="4" s="1"/>
  <c r="AI244" i="4"/>
  <c r="AI249" i="4" s="1"/>
  <c r="AF258" i="4"/>
  <c r="FP250" i="4"/>
  <c r="AR237" i="4"/>
  <c r="GB216" i="4"/>
  <c r="GD203" i="4"/>
  <c r="GD205" i="4" s="1"/>
  <c r="FQ245" i="4"/>
  <c r="FR240" i="4"/>
  <c r="AH250" i="4"/>
  <c r="FM264" i="4" l="1"/>
  <c r="FN260" i="4" s="1"/>
  <c r="FN261" i="4" s="1"/>
  <c r="FM265" i="4"/>
  <c r="AM238" i="4"/>
  <c r="FW227" i="4"/>
  <c r="FX222" i="4"/>
  <c r="FY218" i="4" s="1"/>
  <c r="FX224" i="4"/>
  <c r="FX226" i="4" s="1"/>
  <c r="FX223" i="4"/>
  <c r="FX230" i="4"/>
  <c r="GD206" i="4"/>
  <c r="GE202" i="4" s="1"/>
  <c r="GE203" i="4" s="1"/>
  <c r="GE205" i="4" s="1"/>
  <c r="FP252" i="4"/>
  <c r="FP254" i="4" s="1"/>
  <c r="FP255" i="4" s="1"/>
  <c r="FQ251" i="4" s="1"/>
  <c r="FQ253" i="4"/>
  <c r="FQ248" i="4"/>
  <c r="FQ247" i="4"/>
  <c r="FQ246" i="4"/>
  <c r="FR242" i="4" s="1"/>
  <c r="AD259" i="4"/>
  <c r="FN259" i="4"/>
  <c r="GD209" i="4"/>
  <c r="FO257" i="4"/>
  <c r="FO262" i="4"/>
  <c r="FO256" i="4"/>
  <c r="FV229" i="4"/>
  <c r="FV231" i="4" s="1"/>
  <c r="FU235" i="4"/>
  <c r="AS237" i="4"/>
  <c r="GC216" i="4"/>
  <c r="GD220" i="4"/>
  <c r="GD211" i="4"/>
  <c r="GD207" i="4"/>
  <c r="FM267" i="4"/>
  <c r="AA266" i="4"/>
  <c r="FT238" i="4"/>
  <c r="AJ243" i="4" s="1"/>
  <c r="FT237" i="4"/>
  <c r="FL269" i="4"/>
  <c r="FL270" i="4"/>
  <c r="AB264" i="4" s="1"/>
  <c r="AI250" i="4"/>
  <c r="FS240" i="4"/>
  <c r="AI245" i="4"/>
  <c r="AA271" i="4"/>
  <c r="FN263" i="4" l="1"/>
  <c r="FN266" i="4" s="1"/>
  <c r="AN238" i="4"/>
  <c r="FX227" i="4"/>
  <c r="FY219" i="4"/>
  <c r="FY221" i="4" s="1"/>
  <c r="GD212" i="4"/>
  <c r="GE208" i="4" s="1"/>
  <c r="GE209" i="4" s="1"/>
  <c r="GE220" i="4"/>
  <c r="GE211" i="4"/>
  <c r="GE207" i="4"/>
  <c r="FV234" i="4"/>
  <c r="FV233" i="4"/>
  <c r="FV232" i="4"/>
  <c r="FW228" i="4" s="1"/>
  <c r="AK239" i="4"/>
  <c r="FU236" i="4"/>
  <c r="FT239" i="4"/>
  <c r="AJ240" i="4" s="1"/>
  <c r="AJ244" i="4"/>
  <c r="AJ249" i="4" s="1"/>
  <c r="FO258" i="4"/>
  <c r="AC260" i="4"/>
  <c r="FM268" i="4"/>
  <c r="FR243" i="4"/>
  <c r="FR245" i="4" s="1"/>
  <c r="FQ249" i="4"/>
  <c r="FQ252" i="4"/>
  <c r="AB269" i="4"/>
  <c r="AJ248" i="4"/>
  <c r="GE206" i="4"/>
  <c r="GF202" i="4" s="1"/>
  <c r="GD215" i="4"/>
  <c r="GD213" i="4"/>
  <c r="FL271" i="4"/>
  <c r="AB261" i="4" s="1"/>
  <c r="AB265" i="4"/>
  <c r="AB270" i="4" s="1"/>
  <c r="FP257" i="4"/>
  <c r="FP262" i="4"/>
  <c r="FP256" i="4"/>
  <c r="FN264" i="4" l="1"/>
  <c r="FO260" i="4" s="1"/>
  <c r="FO261" i="4" s="1"/>
  <c r="FN265" i="4"/>
  <c r="GE212" i="4"/>
  <c r="GF208" i="4" s="1"/>
  <c r="GF209" i="4" s="1"/>
  <c r="FY222" i="4"/>
  <c r="FZ218" i="4" s="1"/>
  <c r="FY230" i="4"/>
  <c r="FY223" i="4"/>
  <c r="FY224" i="4"/>
  <c r="FY226" i="4" s="1"/>
  <c r="AB271" i="4"/>
  <c r="AB266" i="4"/>
  <c r="FR248" i="4"/>
  <c r="FR253" i="4"/>
  <c r="FR247" i="4"/>
  <c r="FR246" i="4"/>
  <c r="FS242" i="4" s="1"/>
  <c r="FN267" i="4"/>
  <c r="AJ250" i="4"/>
  <c r="FT240" i="4"/>
  <c r="FV235" i="4"/>
  <c r="FM269" i="4"/>
  <c r="FM270" i="4"/>
  <c r="AC264" i="4" s="1"/>
  <c r="FU237" i="4"/>
  <c r="FU238" i="4"/>
  <c r="AK243" i="4" s="1"/>
  <c r="FW229" i="4"/>
  <c r="FW231" i="4" s="1"/>
  <c r="AG258" i="4"/>
  <c r="FQ250" i="4"/>
  <c r="FQ254" i="4" s="1"/>
  <c r="GE215" i="4"/>
  <c r="GE213" i="4"/>
  <c r="AE259" i="4"/>
  <c r="FO259" i="4"/>
  <c r="AJ245" i="4"/>
  <c r="FP258" i="4"/>
  <c r="AT237" i="4"/>
  <c r="GD216" i="4"/>
  <c r="GF203" i="4"/>
  <c r="GF205" i="4" s="1"/>
  <c r="FO263" i="4" l="1"/>
  <c r="FO264" i="4" s="1"/>
  <c r="FP260" i="4" s="1"/>
  <c r="FW232" i="4"/>
  <c r="FX228" i="4" s="1"/>
  <c r="FX229" i="4" s="1"/>
  <c r="FX231" i="4" s="1"/>
  <c r="FY227" i="4"/>
  <c r="AO238" i="4"/>
  <c r="FZ219" i="4"/>
  <c r="FZ221" i="4" s="1"/>
  <c r="FQ257" i="4"/>
  <c r="FQ262" i="4"/>
  <c r="FQ256" i="4"/>
  <c r="FQ255" i="4"/>
  <c r="FR251" i="4" s="1"/>
  <c r="GF220" i="4"/>
  <c r="GF211" i="4"/>
  <c r="GF212" i="4" s="1"/>
  <c r="GG208" i="4" s="1"/>
  <c r="GF207" i="4"/>
  <c r="GF206" i="4"/>
  <c r="GG202" i="4" s="1"/>
  <c r="FU239" i="4"/>
  <c r="AK240" i="4" s="1"/>
  <c r="AK244" i="4"/>
  <c r="AK249" i="4" s="1"/>
  <c r="FM271" i="4"/>
  <c r="AC261" i="4" s="1"/>
  <c r="AC265" i="4"/>
  <c r="AC270" i="4" s="1"/>
  <c r="AF259" i="4"/>
  <c r="FP259" i="4"/>
  <c r="FS243" i="4"/>
  <c r="FS245" i="4" s="1"/>
  <c r="FW234" i="4"/>
  <c r="FW233" i="4"/>
  <c r="FR249" i="4"/>
  <c r="AK248" i="4"/>
  <c r="AC269" i="4"/>
  <c r="AL239" i="4"/>
  <c r="FV236" i="4"/>
  <c r="AD260" i="4"/>
  <c r="FN268" i="4"/>
  <c r="AU237" i="4"/>
  <c r="GE216" i="4"/>
  <c r="FO266" i="4" l="1"/>
  <c r="FO267" i="4" s="1"/>
  <c r="FO265" i="4"/>
  <c r="FZ223" i="4"/>
  <c r="FZ224" i="4"/>
  <c r="FZ226" i="4" s="1"/>
  <c r="FZ230" i="4"/>
  <c r="FZ222" i="4"/>
  <c r="GA218" i="4" s="1"/>
  <c r="AC271" i="4"/>
  <c r="AC266" i="4"/>
  <c r="AK245" i="4"/>
  <c r="FX234" i="4"/>
  <c r="FX233" i="4"/>
  <c r="FP261" i="4"/>
  <c r="GG203" i="4"/>
  <c r="GG205" i="4" s="1"/>
  <c r="GF215" i="4"/>
  <c r="GF213" i="4"/>
  <c r="FN269" i="4"/>
  <c r="FN270" i="4"/>
  <c r="AD264" i="4" s="1"/>
  <c r="FX232" i="4"/>
  <c r="FY228" i="4" s="1"/>
  <c r="GG209" i="4"/>
  <c r="FW235" i="4"/>
  <c r="FS248" i="4"/>
  <c r="FS253" i="4"/>
  <c r="FS247" i="4"/>
  <c r="FV237" i="4"/>
  <c r="FV238" i="4"/>
  <c r="AL243" i="4" s="1"/>
  <c r="AK250" i="4"/>
  <c r="FU240" i="4"/>
  <c r="AH258" i="4"/>
  <c r="FR250" i="4"/>
  <c r="FS246" i="4"/>
  <c r="FT242" i="4" s="1"/>
  <c r="FR252" i="4"/>
  <c r="FQ258" i="4"/>
  <c r="FZ227" i="4" l="1"/>
  <c r="AP238" i="4"/>
  <c r="GA219" i="4"/>
  <c r="GA221" i="4" s="1"/>
  <c r="GA222" i="4" s="1"/>
  <c r="GB218" i="4" s="1"/>
  <c r="FR254" i="4"/>
  <c r="FR257" i="4" s="1"/>
  <c r="GG211" i="4"/>
  <c r="GG220" i="4"/>
  <c r="GG207" i="4"/>
  <c r="GG206" i="4"/>
  <c r="GH202" i="4" s="1"/>
  <c r="AD269" i="4"/>
  <c r="AV237" i="4"/>
  <c r="GF216" i="4"/>
  <c r="AL248" i="4"/>
  <c r="FP263" i="4"/>
  <c r="AG259" i="4"/>
  <c r="FQ259" i="4"/>
  <c r="FS249" i="4"/>
  <c r="FY229" i="4"/>
  <c r="FY231" i="4" s="1"/>
  <c r="AE260" i="4"/>
  <c r="FO268" i="4"/>
  <c r="FT243" i="4"/>
  <c r="FT245" i="4" s="1"/>
  <c r="FN271" i="4"/>
  <c r="AD261" i="4" s="1"/>
  <c r="AD265" i="4"/>
  <c r="AD270" i="4" s="1"/>
  <c r="FV239" i="4"/>
  <c r="AL240" i="4" s="1"/>
  <c r="AL244" i="4"/>
  <c r="AL249" i="4" s="1"/>
  <c r="AM239" i="4"/>
  <c r="FW236" i="4"/>
  <c r="FX235" i="4"/>
  <c r="FR256" i="4" l="1"/>
  <c r="FR255" i="4"/>
  <c r="FS251" i="4" s="1"/>
  <c r="FS252" i="4" s="1"/>
  <c r="FR262" i="4"/>
  <c r="GB219" i="4"/>
  <c r="GB221" i="4" s="1"/>
  <c r="GB222" i="4" s="1"/>
  <c r="GC218" i="4" s="1"/>
  <c r="GA223" i="4"/>
  <c r="GA224" i="4"/>
  <c r="GA226" i="4" s="1"/>
  <c r="GA230" i="4"/>
  <c r="FY234" i="4"/>
  <c r="FY233" i="4"/>
  <c r="FY232" i="4"/>
  <c r="FZ228" i="4" s="1"/>
  <c r="FT248" i="4"/>
  <c r="FT253" i="4"/>
  <c r="FT247" i="4"/>
  <c r="FT246" i="4"/>
  <c r="FU242" i="4" s="1"/>
  <c r="AL250" i="4"/>
  <c r="FV240" i="4"/>
  <c r="AD266" i="4"/>
  <c r="FW237" i="4"/>
  <c r="FW238" i="4"/>
  <c r="AM243" i="4" s="1"/>
  <c r="GG215" i="4"/>
  <c r="GG213" i="4"/>
  <c r="GG212" i="4"/>
  <c r="GH208" i="4" s="1"/>
  <c r="FP266" i="4"/>
  <c r="FP265" i="4"/>
  <c r="AD271" i="4"/>
  <c r="AI258" i="4"/>
  <c r="FS250" i="4"/>
  <c r="AL245" i="4"/>
  <c r="FO269" i="4"/>
  <c r="FO270" i="4"/>
  <c r="AE264" i="4" s="1"/>
  <c r="FR258" i="4"/>
  <c r="GH203" i="4"/>
  <c r="GH205" i="4" s="1"/>
  <c r="GH206" i="4" s="1"/>
  <c r="GI202" i="4" s="1"/>
  <c r="AN239" i="4"/>
  <c r="FX236" i="4"/>
  <c r="FP264" i="4"/>
  <c r="FQ260" i="4" s="1"/>
  <c r="FS254" i="4" l="1"/>
  <c r="FS257" i="4" s="1"/>
  <c r="GC219" i="4"/>
  <c r="GC221" i="4" s="1"/>
  <c r="AQ238" i="4"/>
  <c r="GA227" i="4"/>
  <c r="GB224" i="4"/>
  <c r="GB226" i="4" s="1"/>
  <c r="GB230" i="4"/>
  <c r="GB223" i="4"/>
  <c r="GI203" i="4"/>
  <c r="GI205" i="4" s="1"/>
  <c r="AM248" i="4"/>
  <c r="FQ261" i="4"/>
  <c r="FQ263" i="4" s="1"/>
  <c r="FP267" i="4"/>
  <c r="AW237" i="4"/>
  <c r="GG216" i="4"/>
  <c r="FW239" i="4"/>
  <c r="AM240" i="4" s="1"/>
  <c r="AM244" i="4"/>
  <c r="AM249" i="4" s="1"/>
  <c r="FU243" i="4"/>
  <c r="GH209" i="4"/>
  <c r="GH211" i="4"/>
  <c r="GH220" i="4"/>
  <c r="GH207" i="4"/>
  <c r="AH259" i="4"/>
  <c r="FR259" i="4"/>
  <c r="AE269" i="4"/>
  <c r="FO271" i="4"/>
  <c r="AE261" i="4" s="1"/>
  <c r="AE265" i="4"/>
  <c r="AE270" i="4" s="1"/>
  <c r="FT249" i="4"/>
  <c r="FZ229" i="4"/>
  <c r="FZ231" i="4" s="1"/>
  <c r="FX238" i="4"/>
  <c r="AN243" i="4" s="1"/>
  <c r="FX237" i="4"/>
  <c r="FY235" i="4"/>
  <c r="FS256" i="4" l="1"/>
  <c r="FS255" i="4"/>
  <c r="FT251" i="4" s="1"/>
  <c r="FT252" i="4" s="1"/>
  <c r="FS262" i="4"/>
  <c r="GC222" i="4"/>
  <c r="GD218" i="4" s="1"/>
  <c r="GD219" i="4" s="1"/>
  <c r="GC224" i="4"/>
  <c r="GC226" i="4" s="1"/>
  <c r="GC230" i="4"/>
  <c r="GC223" i="4"/>
  <c r="AR238" i="4"/>
  <c r="GB227" i="4"/>
  <c r="FU245" i="4"/>
  <c r="FU246" i="4" s="1"/>
  <c r="FV242" i="4" s="1"/>
  <c r="AM245" i="4"/>
  <c r="FZ234" i="4"/>
  <c r="FZ233" i="4"/>
  <c r="FZ232" i="4"/>
  <c r="GA228" i="4" s="1"/>
  <c r="GI220" i="4"/>
  <c r="GI211" i="4"/>
  <c r="GI207" i="4"/>
  <c r="GI206" i="4"/>
  <c r="GJ202" i="4" s="1"/>
  <c r="AE266" i="4"/>
  <c r="AE271" i="4"/>
  <c r="AN248" i="4"/>
  <c r="FQ266" i="4"/>
  <c r="FQ265" i="4"/>
  <c r="AF260" i="4"/>
  <c r="FP268" i="4"/>
  <c r="FQ264" i="4"/>
  <c r="FR260" i="4" s="1"/>
  <c r="GH215" i="4"/>
  <c r="GH213" i="4"/>
  <c r="GH212" i="4"/>
  <c r="GI208" i="4" s="1"/>
  <c r="AM250" i="4"/>
  <c r="FW240" i="4"/>
  <c r="AO239" i="4"/>
  <c r="FY236" i="4"/>
  <c r="FX239" i="4"/>
  <c r="AN240" i="4" s="1"/>
  <c r="AN244" i="4"/>
  <c r="AN249" i="4" s="1"/>
  <c r="AJ258" i="4"/>
  <c r="FT250" i="4"/>
  <c r="FS258" i="4"/>
  <c r="AN245" i="4" l="1"/>
  <c r="FT254" i="4"/>
  <c r="FT262" i="4" s="1"/>
  <c r="FV243" i="4"/>
  <c r="FU248" i="4"/>
  <c r="FU249" i="4" s="1"/>
  <c r="FU253" i="4"/>
  <c r="FU247" i="4"/>
  <c r="FP269" i="4"/>
  <c r="FP270" i="4"/>
  <c r="AF264" i="4" s="1"/>
  <c r="FQ267" i="4"/>
  <c r="GD221" i="4"/>
  <c r="GI209" i="4"/>
  <c r="GI212" i="4" s="1"/>
  <c r="GJ208" i="4" s="1"/>
  <c r="FX240" i="4"/>
  <c r="AN250" i="4"/>
  <c r="FY237" i="4"/>
  <c r="FY238" i="4"/>
  <c r="AO243" i="4" s="1"/>
  <c r="AI259" i="4"/>
  <c r="FS259" i="4"/>
  <c r="GJ203" i="4"/>
  <c r="GI215" i="4"/>
  <c r="GI213" i="4"/>
  <c r="AS238" i="4"/>
  <c r="GC227" i="4"/>
  <c r="GA229" i="4"/>
  <c r="AX237" i="4"/>
  <c r="GH216" i="4"/>
  <c r="FR261" i="4"/>
  <c r="FR263" i="4" s="1"/>
  <c r="FZ235" i="4"/>
  <c r="FT256" i="4" l="1"/>
  <c r="FT255" i="4"/>
  <c r="FU251" i="4" s="1"/>
  <c r="FU252" i="4" s="1"/>
  <c r="FT257" i="4"/>
  <c r="FT258" i="4" s="1"/>
  <c r="FV245" i="4"/>
  <c r="FV246" i="4" s="1"/>
  <c r="FW242" i="4" s="1"/>
  <c r="GA231" i="4"/>
  <c r="AG260" i="4"/>
  <c r="FQ268" i="4"/>
  <c r="FP271" i="4"/>
  <c r="AF261" i="4" s="1"/>
  <c r="AF265" i="4"/>
  <c r="AF270" i="4" s="1"/>
  <c r="GD224" i="4"/>
  <c r="GD230" i="4"/>
  <c r="GD223" i="4"/>
  <c r="GJ205" i="4"/>
  <c r="AY237" i="4"/>
  <c r="GI216" i="4"/>
  <c r="AF269" i="4"/>
  <c r="FY239" i="4"/>
  <c r="AO240" i="4" s="1"/>
  <c r="AO244" i="4"/>
  <c r="AO249" i="4" s="1"/>
  <c r="FR266" i="4"/>
  <c r="FR265" i="4"/>
  <c r="AP239" i="4"/>
  <c r="FZ236" i="4"/>
  <c r="AO248" i="4"/>
  <c r="FR264" i="4"/>
  <c r="FS260" i="4" s="1"/>
  <c r="GJ209" i="4"/>
  <c r="AK258" i="4"/>
  <c r="FU250" i="4"/>
  <c r="GD222" i="4"/>
  <c r="GE218" i="4" s="1"/>
  <c r="AF271" i="4" l="1"/>
  <c r="AF266" i="4"/>
  <c r="FU254" i="4"/>
  <c r="FU257" i="4" s="1"/>
  <c r="AO245" i="4"/>
  <c r="FV253" i="4"/>
  <c r="FV248" i="4"/>
  <c r="FV249" i="4" s="1"/>
  <c r="FV250" i="4" s="1"/>
  <c r="FV247" i="4"/>
  <c r="FW243" i="4"/>
  <c r="FW245" i="4" s="1"/>
  <c r="FY240" i="4"/>
  <c r="AO250" i="4"/>
  <c r="FZ237" i="4"/>
  <c r="FZ238" i="4"/>
  <c r="AP243" i="4" s="1"/>
  <c r="GE219" i="4"/>
  <c r="GJ211" i="4"/>
  <c r="GJ220" i="4"/>
  <c r="GJ207" i="4"/>
  <c r="GD226" i="4"/>
  <c r="FR267" i="4"/>
  <c r="FQ269" i="4"/>
  <c r="FQ270" i="4"/>
  <c r="AG264" i="4" s="1"/>
  <c r="GA234" i="4"/>
  <c r="GA233" i="4"/>
  <c r="GJ206" i="4"/>
  <c r="GK202" i="4" s="1"/>
  <c r="FS261" i="4"/>
  <c r="AJ259" i="4"/>
  <c r="FT259" i="4"/>
  <c r="GA232" i="4"/>
  <c r="GB228" i="4" s="1"/>
  <c r="AL258" i="4" l="1"/>
  <c r="FW246" i="4"/>
  <c r="FX242" i="4" s="1"/>
  <c r="FW247" i="4"/>
  <c r="FW248" i="4"/>
  <c r="FW249" i="4" s="1"/>
  <c r="FW250" i="4" s="1"/>
  <c r="FW253" i="4"/>
  <c r="FU256" i="4"/>
  <c r="FU262" i="4"/>
  <c r="FU255" i="4"/>
  <c r="FV251" i="4" s="1"/>
  <c r="FV252" i="4" s="1"/>
  <c r="FV254" i="4" s="1"/>
  <c r="FS263" i="4"/>
  <c r="AP248" i="4"/>
  <c r="FZ239" i="4"/>
  <c r="AP240" i="4" s="1"/>
  <c r="AP244" i="4"/>
  <c r="AP249" i="4" s="1"/>
  <c r="AG269" i="4"/>
  <c r="GK203" i="4"/>
  <c r="GK205" i="4" s="1"/>
  <c r="AT238" i="4"/>
  <c r="GD227" i="4"/>
  <c r="GJ215" i="4"/>
  <c r="GJ213" i="4"/>
  <c r="GJ212" i="4"/>
  <c r="GK208" i="4" s="1"/>
  <c r="GE221" i="4"/>
  <c r="GA235" i="4"/>
  <c r="FQ271" i="4"/>
  <c r="AG261" i="4" s="1"/>
  <c r="AG265" i="4"/>
  <c r="AG270" i="4" s="1"/>
  <c r="AH260" i="4"/>
  <c r="FR268" i="4"/>
  <c r="GB229" i="4"/>
  <c r="FU258" i="4"/>
  <c r="AM258" i="4" l="1"/>
  <c r="GK206" i="4"/>
  <c r="GL202" i="4" s="1"/>
  <c r="GL203" i="4" s="1"/>
  <c r="GL205" i="4" s="1"/>
  <c r="GL206" i="4" s="1"/>
  <c r="GM202" i="4" s="1"/>
  <c r="FX243" i="4"/>
  <c r="FX245" i="4" s="1"/>
  <c r="FV257" i="4"/>
  <c r="FV262" i="4"/>
  <c r="FV256" i="4"/>
  <c r="FV255" i="4"/>
  <c r="FW251" i="4" s="1"/>
  <c r="GB231" i="4"/>
  <c r="AZ237" i="4"/>
  <c r="GJ216" i="4"/>
  <c r="AG271" i="4"/>
  <c r="AG266" i="4"/>
  <c r="AQ239" i="4"/>
  <c r="GA236" i="4"/>
  <c r="AP245" i="4"/>
  <c r="GK209" i="4"/>
  <c r="FR270" i="4"/>
  <c r="AH264" i="4" s="1"/>
  <c r="FR269" i="4"/>
  <c r="GK211" i="4"/>
  <c r="GK220" i="4"/>
  <c r="GK207" i="4"/>
  <c r="FZ240" i="4"/>
  <c r="AP250" i="4"/>
  <c r="FS266" i="4"/>
  <c r="FS265" i="4"/>
  <c r="FS264" i="4"/>
  <c r="FT260" i="4" s="1"/>
  <c r="AK259" i="4"/>
  <c r="FU259" i="4"/>
  <c r="GE224" i="4"/>
  <c r="GE230" i="4"/>
  <c r="GE223" i="4"/>
  <c r="GE222" i="4"/>
  <c r="GF218" i="4" s="1"/>
  <c r="FX246" i="4" l="1"/>
  <c r="FY242" i="4" s="1"/>
  <c r="FX253" i="4"/>
  <c r="FX247" i="4"/>
  <c r="FX248" i="4"/>
  <c r="FX249" i="4" s="1"/>
  <c r="GM203" i="4"/>
  <c r="GM205" i="4" s="1"/>
  <c r="FT261" i="4"/>
  <c r="FT263" i="4" s="1"/>
  <c r="FT264" i="4" s="1"/>
  <c r="FU260" i="4" s="1"/>
  <c r="FS267" i="4"/>
  <c r="FW252" i="4"/>
  <c r="FW254" i="4" s="1"/>
  <c r="FR271" i="4"/>
  <c r="AH261" i="4" s="1"/>
  <c r="AH265" i="4"/>
  <c r="AH270" i="4" s="1"/>
  <c r="AH269" i="4"/>
  <c r="FV258" i="4"/>
  <c r="GE226" i="4"/>
  <c r="GK215" i="4"/>
  <c r="GK213" i="4"/>
  <c r="GF219" i="4"/>
  <c r="GF221" i="4" s="1"/>
  <c r="GA238" i="4"/>
  <c r="AQ243" i="4" s="1"/>
  <c r="GA237" i="4"/>
  <c r="GL220" i="4"/>
  <c r="GL211" i="4"/>
  <c r="GL207" i="4"/>
  <c r="GB234" i="4"/>
  <c r="GB233" i="4"/>
  <c r="GK212" i="4"/>
  <c r="GL208" i="4" s="1"/>
  <c r="GB232" i="4"/>
  <c r="GC228" i="4" s="1"/>
  <c r="AH271" i="4" l="1"/>
  <c r="AH266" i="4"/>
  <c r="GM206" i="4"/>
  <c r="GN202" i="4" s="1"/>
  <c r="GN203" i="4" s="1"/>
  <c r="GN205" i="4" s="1"/>
  <c r="AN258" i="4"/>
  <c r="FX250" i="4"/>
  <c r="FY243" i="4"/>
  <c r="FY245" i="4" s="1"/>
  <c r="FY246" i="4" s="1"/>
  <c r="FZ242" i="4" s="1"/>
  <c r="GF224" i="4"/>
  <c r="GF230" i="4"/>
  <c r="GF223" i="4"/>
  <c r="GF222" i="4"/>
  <c r="GG218" i="4" s="1"/>
  <c r="FW257" i="4"/>
  <c r="FW262" i="4"/>
  <c r="FW256" i="4"/>
  <c r="FW255" i="4"/>
  <c r="FX251" i="4" s="1"/>
  <c r="BA237" i="4"/>
  <c r="GK216" i="4"/>
  <c r="GC229" i="4"/>
  <c r="GC231" i="4" s="1"/>
  <c r="AU238" i="4"/>
  <c r="GE227" i="4"/>
  <c r="GL215" i="4"/>
  <c r="GL213" i="4"/>
  <c r="GA239" i="4"/>
  <c r="AQ240" i="4" s="1"/>
  <c r="AQ244" i="4"/>
  <c r="AQ249" i="4" s="1"/>
  <c r="AI260" i="4"/>
  <c r="FS268" i="4"/>
  <c r="FT266" i="4"/>
  <c r="FT265" i="4"/>
  <c r="GM220" i="4"/>
  <c r="GM211" i="4"/>
  <c r="GM207" i="4"/>
  <c r="GB235" i="4"/>
  <c r="AL259" i="4"/>
  <c r="FV259" i="4"/>
  <c r="AQ248" i="4"/>
  <c r="FU261" i="4"/>
  <c r="FU263" i="4" s="1"/>
  <c r="GL209" i="4"/>
  <c r="GL212" i="4" s="1"/>
  <c r="GM208" i="4" s="1"/>
  <c r="FZ243" i="4" l="1"/>
  <c r="FZ245" i="4" s="1"/>
  <c r="FY253" i="4"/>
  <c r="FY248" i="4"/>
  <c r="FY249" i="4" s="1"/>
  <c r="FY247" i="4"/>
  <c r="FU266" i="4"/>
  <c r="FU265" i="4"/>
  <c r="FU264" i="4"/>
  <c r="FV260" i="4" s="1"/>
  <c r="GC234" i="4"/>
  <c r="GC233" i="4"/>
  <c r="GC232" i="4"/>
  <c r="GD228" i="4" s="1"/>
  <c r="GM215" i="4"/>
  <c r="GM213" i="4"/>
  <c r="GG219" i="4"/>
  <c r="GG221" i="4" s="1"/>
  <c r="BB237" i="4"/>
  <c r="GL216" i="4"/>
  <c r="GN220" i="4"/>
  <c r="GN211" i="4"/>
  <c r="GN207" i="4"/>
  <c r="FT267" i="4"/>
  <c r="FS269" i="4"/>
  <c r="FS270" i="4"/>
  <c r="AI264" i="4" s="1"/>
  <c r="GN206" i="4"/>
  <c r="GO202" i="4" s="1"/>
  <c r="GM209" i="4"/>
  <c r="GM212" i="4" s="1"/>
  <c r="GN208" i="4" s="1"/>
  <c r="FX252" i="4"/>
  <c r="FX254" i="4" s="1"/>
  <c r="AQ250" i="4"/>
  <c r="GA240" i="4"/>
  <c r="AQ245" i="4"/>
  <c r="FW258" i="4"/>
  <c r="AR239" i="4"/>
  <c r="GB236" i="4"/>
  <c r="GF226" i="4"/>
  <c r="FZ253" i="4" l="1"/>
  <c r="FZ248" i="4"/>
  <c r="FZ249" i="4" s="1"/>
  <c r="FZ250" i="4" s="1"/>
  <c r="FZ247" i="4"/>
  <c r="FZ246" i="4"/>
  <c r="GA242" i="4" s="1"/>
  <c r="GA243" i="4" s="1"/>
  <c r="GA245" i="4" s="1"/>
  <c r="AO258" i="4"/>
  <c r="FY250" i="4"/>
  <c r="FX257" i="4"/>
  <c r="FX262" i="4"/>
  <c r="FX256" i="4"/>
  <c r="FX255" i="4"/>
  <c r="FY251" i="4" s="1"/>
  <c r="GN209" i="4"/>
  <c r="GN212" i="4" s="1"/>
  <c r="GO208" i="4" s="1"/>
  <c r="GG224" i="4"/>
  <c r="GG230" i="4"/>
  <c r="GG223" i="4"/>
  <c r="GG222" i="4"/>
  <c r="GH218" i="4" s="1"/>
  <c r="AI269" i="4"/>
  <c r="FS271" i="4"/>
  <c r="AI261" i="4" s="1"/>
  <c r="AI265" i="4"/>
  <c r="AI270" i="4" s="1"/>
  <c r="GB237" i="4"/>
  <c r="GB238" i="4"/>
  <c r="AR243" i="4" s="1"/>
  <c r="GO203" i="4"/>
  <c r="GO205" i="4" s="1"/>
  <c r="GO206" i="4" s="1"/>
  <c r="GP202" i="4" s="1"/>
  <c r="BC237" i="4"/>
  <c r="GM216" i="4"/>
  <c r="GD229" i="4"/>
  <c r="GD231" i="4" s="1"/>
  <c r="AV238" i="4"/>
  <c r="GF227" i="4"/>
  <c r="AJ260" i="4"/>
  <c r="FT268" i="4"/>
  <c r="GN215" i="4"/>
  <c r="GN213" i="4"/>
  <c r="AM259" i="4"/>
  <c r="FW259" i="4"/>
  <c r="GC235" i="4"/>
  <c r="FV261" i="4"/>
  <c r="FV263" i="4" s="1"/>
  <c r="FU267" i="4"/>
  <c r="AP258" i="4" l="1"/>
  <c r="GD232" i="4"/>
  <c r="GE228" i="4" s="1"/>
  <c r="GE229" i="4" s="1"/>
  <c r="GE231" i="4" s="1"/>
  <c r="FV266" i="4"/>
  <c r="FV265" i="4"/>
  <c r="FV264" i="4"/>
  <c r="FW260" i="4" s="1"/>
  <c r="AI271" i="4"/>
  <c r="AI266" i="4"/>
  <c r="AK260" i="4"/>
  <c r="FU268" i="4"/>
  <c r="GP203" i="4"/>
  <c r="GP205" i="4" s="1"/>
  <c r="AS239" i="4"/>
  <c r="GC236" i="4"/>
  <c r="GB239" i="4"/>
  <c r="AR240" i="4" s="1"/>
  <c r="AR244" i="4"/>
  <c r="AR249" i="4" s="1"/>
  <c r="FT270" i="4"/>
  <c r="AJ264" i="4" s="1"/>
  <c r="FT269" i="4"/>
  <c r="GO209" i="4"/>
  <c r="GO220" i="4"/>
  <c r="GO211" i="4"/>
  <c r="GO207" i="4"/>
  <c r="GA253" i="4"/>
  <c r="GA248" i="4"/>
  <c r="GA247" i="4"/>
  <c r="GA246" i="4"/>
  <c r="GB242" i="4" s="1"/>
  <c r="AR248" i="4"/>
  <c r="BD237" i="4"/>
  <c r="GN216" i="4"/>
  <c r="GH219" i="4"/>
  <c r="GH221" i="4" s="1"/>
  <c r="GD234" i="4"/>
  <c r="GD233" i="4"/>
  <c r="GG226" i="4"/>
  <c r="FY252" i="4"/>
  <c r="FY254" i="4" s="1"/>
  <c r="FY255" i="4" s="1"/>
  <c r="FZ251" i="4" s="1"/>
  <c r="FX258" i="4"/>
  <c r="GO212" i="4" l="1"/>
  <c r="GP208" i="4" s="1"/>
  <c r="GP209" i="4" s="1"/>
  <c r="GP206" i="4"/>
  <c r="GQ202" i="4" s="1"/>
  <c r="GQ203" i="4" s="1"/>
  <c r="GQ205" i="4" s="1"/>
  <c r="GH222" i="4"/>
  <c r="GI218" i="4" s="1"/>
  <c r="GI219" i="4" s="1"/>
  <c r="GI221" i="4" s="1"/>
  <c r="FZ252" i="4"/>
  <c r="FZ254" i="4" s="1"/>
  <c r="GE234" i="4"/>
  <c r="GE233" i="4"/>
  <c r="AJ269" i="4"/>
  <c r="AR245" i="4"/>
  <c r="GB243" i="4"/>
  <c r="GA249" i="4"/>
  <c r="AN259" i="4"/>
  <c r="FX259" i="4"/>
  <c r="GE232" i="4"/>
  <c r="GF228" i="4" s="1"/>
  <c r="GH224" i="4"/>
  <c r="GH230" i="4"/>
  <c r="GH223" i="4"/>
  <c r="GC238" i="4"/>
  <c r="AS243" i="4" s="1"/>
  <c r="GC237" i="4"/>
  <c r="AR250" i="4"/>
  <c r="GB240" i="4"/>
  <c r="AW238" i="4"/>
  <c r="GG227" i="4"/>
  <c r="GD235" i="4"/>
  <c r="GP220" i="4"/>
  <c r="GP211" i="4"/>
  <c r="GP207" i="4"/>
  <c r="FU269" i="4"/>
  <c r="FU270" i="4"/>
  <c r="AK264" i="4" s="1"/>
  <c r="FY257" i="4"/>
  <c r="FY262" i="4"/>
  <c r="FY256" i="4"/>
  <c r="GO215" i="4"/>
  <c r="GO213" i="4"/>
  <c r="FW261" i="4"/>
  <c r="FW263" i="4" s="1"/>
  <c r="FT271" i="4"/>
  <c r="AJ261" i="4" s="1"/>
  <c r="AJ265" i="4"/>
  <c r="AJ270" i="4" s="1"/>
  <c r="FV267" i="4"/>
  <c r="FW264" i="4" l="1"/>
  <c r="FX260" i="4" s="1"/>
  <c r="FX261" i="4" s="1"/>
  <c r="FX263" i="4" s="1"/>
  <c r="GB245" i="4"/>
  <c r="GB248" i="4" s="1"/>
  <c r="GP212" i="4"/>
  <c r="GQ208" i="4" s="1"/>
  <c r="GQ209" i="4" s="1"/>
  <c r="GQ206" i="4"/>
  <c r="GR202" i="4" s="1"/>
  <c r="GR203" i="4" s="1"/>
  <c r="GR205" i="4" s="1"/>
  <c r="FZ257" i="4"/>
  <c r="FZ262" i="4"/>
  <c r="FZ256" i="4"/>
  <c r="FZ255" i="4"/>
  <c r="GA251" i="4" s="1"/>
  <c r="GI224" i="4"/>
  <c r="GI230" i="4"/>
  <c r="GI223" i="4"/>
  <c r="GI222" i="4"/>
  <c r="GJ218" i="4" s="1"/>
  <c r="GP215" i="4"/>
  <c r="GP213" i="4"/>
  <c r="AJ271" i="4"/>
  <c r="GQ211" i="4"/>
  <c r="GQ220" i="4"/>
  <c r="GQ207" i="4"/>
  <c r="GC239" i="4"/>
  <c r="AS240" i="4" s="1"/>
  <c r="AS244" i="4"/>
  <c r="AS249" i="4" s="1"/>
  <c r="AS248" i="4"/>
  <c r="GF229" i="4"/>
  <c r="GF231" i="4" s="1"/>
  <c r="AQ258" i="4"/>
  <c r="GA250" i="4"/>
  <c r="AT239" i="4"/>
  <c r="GD236" i="4"/>
  <c r="FW266" i="4"/>
  <c r="FW265" i="4"/>
  <c r="AJ266" i="4"/>
  <c r="BE237" i="4"/>
  <c r="GO216" i="4"/>
  <c r="AK269" i="4"/>
  <c r="AL260" i="4"/>
  <c r="FV268" i="4"/>
  <c r="GE235" i="4"/>
  <c r="FY258" i="4"/>
  <c r="FU271" i="4"/>
  <c r="AK261" i="4" s="1"/>
  <c r="AK265" i="4"/>
  <c r="AK270" i="4" s="1"/>
  <c r="GH226" i="4"/>
  <c r="GB247" i="4" l="1"/>
  <c r="GB246" i="4"/>
  <c r="GC242" i="4" s="1"/>
  <c r="GC243" i="4" s="1"/>
  <c r="GB253" i="4"/>
  <c r="AK271" i="4"/>
  <c r="AK266" i="4"/>
  <c r="GQ212" i="4"/>
  <c r="GR208" i="4" s="1"/>
  <c r="GR209" i="4" s="1"/>
  <c r="AS245" i="4"/>
  <c r="GR206" i="4"/>
  <c r="GS202" i="4" s="1"/>
  <c r="GS203" i="4" s="1"/>
  <c r="GS205" i="4" s="1"/>
  <c r="FX266" i="4"/>
  <c r="FX265" i="4"/>
  <c r="FX264" i="4"/>
  <c r="FY260" i="4" s="1"/>
  <c r="GF234" i="4"/>
  <c r="GF233" i="4"/>
  <c r="GF232" i="4"/>
  <c r="GG228" i="4" s="1"/>
  <c r="GR220" i="4"/>
  <c r="GR211" i="4"/>
  <c r="GR207" i="4"/>
  <c r="AO259" i="4"/>
  <c r="FY259" i="4"/>
  <c r="BF237" i="4"/>
  <c r="GP216" i="4"/>
  <c r="AU239" i="4"/>
  <c r="GE236" i="4"/>
  <c r="FV269" i="4"/>
  <c r="FV270" i="4"/>
  <c r="AL264" i="4" s="1"/>
  <c r="GJ219" i="4"/>
  <c r="GJ221" i="4" s="1"/>
  <c r="AS250" i="4"/>
  <c r="GC240" i="4"/>
  <c r="GI226" i="4"/>
  <c r="FW267" i="4"/>
  <c r="GD237" i="4"/>
  <c r="GD238" i="4"/>
  <c r="AT243" i="4" s="1"/>
  <c r="GB249" i="4"/>
  <c r="GA252" i="4"/>
  <c r="GA254" i="4" s="1"/>
  <c r="AX238" i="4"/>
  <c r="GH227" i="4"/>
  <c r="GQ215" i="4"/>
  <c r="GQ213" i="4"/>
  <c r="FZ258" i="4"/>
  <c r="GC245" i="4" l="1"/>
  <c r="GC253" i="4" s="1"/>
  <c r="GS220" i="4"/>
  <c r="GS211" i="4"/>
  <c r="GS207" i="4"/>
  <c r="GJ224" i="4"/>
  <c r="GJ230" i="4"/>
  <c r="GJ223" i="4"/>
  <c r="GJ222" i="4"/>
  <c r="GK218" i="4" s="1"/>
  <c r="GA257" i="4"/>
  <c r="GA262" i="4"/>
  <c r="GA256" i="4"/>
  <c r="GA255" i="4"/>
  <c r="GB251" i="4" s="1"/>
  <c r="AL269" i="4"/>
  <c r="GS206" i="4"/>
  <c r="GT202" i="4" s="1"/>
  <c r="AM260" i="4"/>
  <c r="FW268" i="4"/>
  <c r="AY238" i="4"/>
  <c r="GI227" i="4"/>
  <c r="GR215" i="4"/>
  <c r="GR213" i="4"/>
  <c r="GE238" i="4"/>
  <c r="AU243" i="4" s="1"/>
  <c r="GE237" i="4"/>
  <c r="AP259" i="4"/>
  <c r="FZ259" i="4"/>
  <c r="BG237" i="4"/>
  <c r="GQ216" i="4"/>
  <c r="GR212" i="4"/>
  <c r="GS208" i="4" s="1"/>
  <c r="FV271" i="4"/>
  <c r="AL261" i="4" s="1"/>
  <c r="AL265" i="4"/>
  <c r="AL270" i="4" s="1"/>
  <c r="GG229" i="4"/>
  <c r="GG231" i="4" s="1"/>
  <c r="GF235" i="4"/>
  <c r="AR258" i="4"/>
  <c r="GB250" i="4"/>
  <c r="FY261" i="4"/>
  <c r="FY263" i="4" s="1"/>
  <c r="AT248" i="4"/>
  <c r="GD239" i="4"/>
  <c r="AT240" i="4" s="1"/>
  <c r="AT244" i="4"/>
  <c r="AT249" i="4" s="1"/>
  <c r="FX267" i="4"/>
  <c r="GC247" i="4" l="1"/>
  <c r="GC246" i="4"/>
  <c r="GD242" i="4" s="1"/>
  <c r="GD243" i="4" s="1"/>
  <c r="GC248" i="4"/>
  <c r="GC249" i="4" s="1"/>
  <c r="FY266" i="4"/>
  <c r="FY265" i="4"/>
  <c r="GG234" i="4"/>
  <c r="GG233" i="4"/>
  <c r="GG232" i="4"/>
  <c r="GH228" i="4" s="1"/>
  <c r="GS209" i="4"/>
  <c r="GS212" i="4" s="1"/>
  <c r="GT208" i="4" s="1"/>
  <c r="AT245" i="4"/>
  <c r="FY264" i="4"/>
  <c r="FZ260" i="4" s="1"/>
  <c r="GA258" i="4"/>
  <c r="BH237" i="4"/>
  <c r="GR216" i="4"/>
  <c r="AL271" i="4"/>
  <c r="AN260" i="4"/>
  <c r="FX268" i="4"/>
  <c r="GB252" i="4"/>
  <c r="GB254" i="4" s="1"/>
  <c r="GB255" i="4" s="1"/>
  <c r="GC251" i="4" s="1"/>
  <c r="GE239" i="4"/>
  <c r="AU240" i="4" s="1"/>
  <c r="AU244" i="4"/>
  <c r="AU249" i="4" s="1"/>
  <c r="GK219" i="4"/>
  <c r="GK221" i="4" s="1"/>
  <c r="FW270" i="4"/>
  <c r="AM264" i="4" s="1"/>
  <c r="FW269" i="4"/>
  <c r="AL266" i="4"/>
  <c r="AT250" i="4"/>
  <c r="GD240" i="4"/>
  <c r="AU248" i="4"/>
  <c r="AV239" i="4"/>
  <c r="GF236" i="4"/>
  <c r="GJ226" i="4"/>
  <c r="GT203" i="4"/>
  <c r="GT205" i="4" s="1"/>
  <c r="GT206" i="4" s="1"/>
  <c r="GU202" i="4" s="1"/>
  <c r="GS215" i="4"/>
  <c r="GS213" i="4"/>
  <c r="GK222" i="4" l="1"/>
  <c r="GL218" i="4" s="1"/>
  <c r="GL219" i="4" s="1"/>
  <c r="GD245" i="4"/>
  <c r="FZ261" i="4"/>
  <c r="FZ263" i="4" s="1"/>
  <c r="GU203" i="4"/>
  <c r="GU205" i="4" s="1"/>
  <c r="GU206" i="4" s="1"/>
  <c r="GV202" i="4" s="1"/>
  <c r="GC252" i="4"/>
  <c r="AZ238" i="4"/>
  <c r="GJ227" i="4"/>
  <c r="FX269" i="4"/>
  <c r="FX270" i="4"/>
  <c r="AN264" i="4" s="1"/>
  <c r="AM269" i="4"/>
  <c r="GT220" i="4"/>
  <c r="GT211" i="4"/>
  <c r="GT207" i="4"/>
  <c r="GH229" i="4"/>
  <c r="GH231" i="4" s="1"/>
  <c r="AU250" i="4"/>
  <c r="GE240" i="4"/>
  <c r="AS258" i="4"/>
  <c r="GC250" i="4"/>
  <c r="FW271" i="4"/>
  <c r="AM261" i="4" s="1"/>
  <c r="AM265" i="4"/>
  <c r="AM270" i="4" s="1"/>
  <c r="AQ259" i="4"/>
  <c r="GA259" i="4"/>
  <c r="BI237" i="4"/>
  <c r="GS216" i="4"/>
  <c r="GK224" i="4"/>
  <c r="GK230" i="4"/>
  <c r="GK223" i="4"/>
  <c r="GT209" i="4"/>
  <c r="GB257" i="4"/>
  <c r="GB262" i="4"/>
  <c r="GB256" i="4"/>
  <c r="GF237" i="4"/>
  <c r="GF238" i="4"/>
  <c r="AV243" i="4" s="1"/>
  <c r="GG235" i="4"/>
  <c r="AU245" i="4"/>
  <c r="FY267" i="4"/>
  <c r="GC254" i="4" l="1"/>
  <c r="GC255" i="4" s="1"/>
  <c r="GD251" i="4" s="1"/>
  <c r="GD252" i="4" s="1"/>
  <c r="AM271" i="4"/>
  <c r="GT212" i="4"/>
  <c r="GU208" i="4" s="1"/>
  <c r="GU209" i="4" s="1"/>
  <c r="AM266" i="4"/>
  <c r="GL221" i="4"/>
  <c r="GL222" i="4" s="1"/>
  <c r="GM218" i="4" s="1"/>
  <c r="FZ266" i="4"/>
  <c r="FZ265" i="4"/>
  <c r="FZ264" i="4"/>
  <c r="GA260" i="4" s="1"/>
  <c r="GH234" i="4"/>
  <c r="GH233" i="4"/>
  <c r="GH232" i="4"/>
  <c r="GI228" i="4" s="1"/>
  <c r="AN269" i="4"/>
  <c r="FX271" i="4"/>
  <c r="AN261" i="4" s="1"/>
  <c r="AN265" i="4"/>
  <c r="AN270" i="4" s="1"/>
  <c r="AO260" i="4"/>
  <c r="FY268" i="4"/>
  <c r="AV248" i="4"/>
  <c r="GB258" i="4"/>
  <c r="GD248" i="4"/>
  <c r="GD253" i="4"/>
  <c r="GD247" i="4"/>
  <c r="GK226" i="4"/>
  <c r="GV203" i="4"/>
  <c r="GV205" i="4" s="1"/>
  <c r="GV206" i="4" s="1"/>
  <c r="GW202" i="4" s="1"/>
  <c r="AW239" i="4"/>
  <c r="GG236" i="4"/>
  <c r="GU211" i="4"/>
  <c r="GU220" i="4"/>
  <c r="GU207" i="4"/>
  <c r="GF239" i="4"/>
  <c r="AV240" i="4" s="1"/>
  <c r="AV244" i="4"/>
  <c r="AV249" i="4" s="1"/>
  <c r="GT215" i="4"/>
  <c r="GT213" i="4"/>
  <c r="GD246" i="4"/>
  <c r="GE242" i="4" s="1"/>
  <c r="GC256" i="4" l="1"/>
  <c r="GC257" i="4"/>
  <c r="GC258" i="4" s="1"/>
  <c r="GC262" i="4"/>
  <c r="GL223" i="4"/>
  <c r="GU212" i="4"/>
  <c r="GV208" i="4" s="1"/>
  <c r="GV209" i="4" s="1"/>
  <c r="GL230" i="4"/>
  <c r="GL224" i="4"/>
  <c r="GL226" i="4" s="1"/>
  <c r="GM219" i="4"/>
  <c r="AV245" i="4"/>
  <c r="GD249" i="4"/>
  <c r="GE243" i="4"/>
  <c r="GE245" i="4" s="1"/>
  <c r="BJ237" i="4"/>
  <c r="GT216" i="4"/>
  <c r="GW203" i="4"/>
  <c r="GW205" i="4" s="1"/>
  <c r="GW206" i="4" s="1"/>
  <c r="GX202" i="4" s="1"/>
  <c r="GI229" i="4"/>
  <c r="GI231" i="4" s="1"/>
  <c r="GH235" i="4"/>
  <c r="AR259" i="4"/>
  <c r="GB259" i="4"/>
  <c r="GF240" i="4"/>
  <c r="AV250" i="4"/>
  <c r="GV211" i="4"/>
  <c r="GV220" i="4"/>
  <c r="GV207" i="4"/>
  <c r="BA238" i="4"/>
  <c r="GK227" i="4"/>
  <c r="FY269" i="4"/>
  <c r="FY270" i="4"/>
  <c r="AO264" i="4" s="1"/>
  <c r="AN271" i="4"/>
  <c r="AN266" i="4"/>
  <c r="GU215" i="4"/>
  <c r="GU213" i="4"/>
  <c r="GA261" i="4"/>
  <c r="GA263" i="4" s="1"/>
  <c r="GG237" i="4"/>
  <c r="GG238" i="4"/>
  <c r="AW243" i="4" s="1"/>
  <c r="FZ267" i="4"/>
  <c r="GM221" i="4" l="1"/>
  <c r="GI234" i="4"/>
  <c r="GI233" i="4"/>
  <c r="GE253" i="4"/>
  <c r="GE248" i="4"/>
  <c r="GE247" i="4"/>
  <c r="GE246" i="4"/>
  <c r="GF242" i="4" s="1"/>
  <c r="GA266" i="4"/>
  <c r="GA265" i="4"/>
  <c r="GA264" i="4"/>
  <c r="GB260" i="4" s="1"/>
  <c r="GX203" i="4"/>
  <c r="GX205" i="4" s="1"/>
  <c r="GI232" i="4"/>
  <c r="GJ228" i="4" s="1"/>
  <c r="AP260" i="4"/>
  <c r="FZ268" i="4"/>
  <c r="GG239" i="4"/>
  <c r="AW240" i="4" s="1"/>
  <c r="AW244" i="4"/>
  <c r="AW249" i="4" s="1"/>
  <c r="GV215" i="4"/>
  <c r="GV213" i="4"/>
  <c r="BB238" i="4"/>
  <c r="GL227" i="4"/>
  <c r="AX239" i="4"/>
  <c r="GH236" i="4"/>
  <c r="AW248" i="4"/>
  <c r="AO269" i="4"/>
  <c r="FY271" i="4"/>
  <c r="AO261" i="4" s="1"/>
  <c r="AO265" i="4"/>
  <c r="AO270" i="4" s="1"/>
  <c r="AS259" i="4"/>
  <c r="GC259" i="4"/>
  <c r="GW220" i="4"/>
  <c r="GW211" i="4"/>
  <c r="GW207" i="4"/>
  <c r="BK237" i="4"/>
  <c r="GU216" i="4"/>
  <c r="GV212" i="4"/>
  <c r="GW208" i="4" s="1"/>
  <c r="AT258" i="4"/>
  <c r="GD250" i="4"/>
  <c r="GD254" i="4" s="1"/>
  <c r="AW245" i="4" l="1"/>
  <c r="GM224" i="4"/>
  <c r="GM226" i="4" s="1"/>
  <c r="BC238" i="4" s="1"/>
  <c r="GM230" i="4"/>
  <c r="GM223" i="4"/>
  <c r="GM222" i="4"/>
  <c r="GN218" i="4" s="1"/>
  <c r="GX220" i="4"/>
  <c r="GX211" i="4"/>
  <c r="GX207" i="4"/>
  <c r="GX206" i="4"/>
  <c r="GY202" i="4" s="1"/>
  <c r="FZ269" i="4"/>
  <c r="FZ270" i="4"/>
  <c r="AP264" i="4" s="1"/>
  <c r="GB261" i="4"/>
  <c r="AW250" i="4"/>
  <c r="GG240" i="4"/>
  <c r="GW209" i="4"/>
  <c r="GW212" i="4" s="1"/>
  <c r="GX208" i="4" s="1"/>
  <c r="GE249" i="4"/>
  <c r="GJ229" i="4"/>
  <c r="GJ231" i="4" s="1"/>
  <c r="AO271" i="4"/>
  <c r="GF243" i="4"/>
  <c r="GF245" i="4" s="1"/>
  <c r="GW215" i="4"/>
  <c r="GW213" i="4"/>
  <c r="AO266" i="4"/>
  <c r="GD257" i="4"/>
  <c r="GD262" i="4"/>
  <c r="GD255" i="4"/>
  <c r="GE251" i="4" s="1"/>
  <c r="GD256" i="4"/>
  <c r="GH238" i="4"/>
  <c r="AX243" i="4" s="1"/>
  <c r="GH237" i="4"/>
  <c r="GA267" i="4"/>
  <c r="BL237" i="4"/>
  <c r="GV216" i="4"/>
  <c r="GI235" i="4"/>
  <c r="GM227" i="4" l="1"/>
  <c r="GF246" i="4"/>
  <c r="GG242" i="4" s="1"/>
  <c r="GG243" i="4" s="1"/>
  <c r="GG245" i="4" s="1"/>
  <c r="GN219" i="4"/>
  <c r="GN221" i="4" s="1"/>
  <c r="GJ234" i="4"/>
  <c r="GJ233" i="4"/>
  <c r="GJ232" i="4"/>
  <c r="GK228" i="4" s="1"/>
  <c r="AU258" i="4"/>
  <c r="GE250" i="4"/>
  <c r="GB263" i="4"/>
  <c r="BM237" i="4"/>
  <c r="GW216" i="4"/>
  <c r="FZ271" i="4"/>
  <c r="AP261" i="4" s="1"/>
  <c r="AP265" i="4"/>
  <c r="AP270" i="4" s="1"/>
  <c r="AX248" i="4"/>
  <c r="GE252" i="4"/>
  <c r="GD258" i="4"/>
  <c r="AY239" i="4"/>
  <c r="GI236" i="4"/>
  <c r="GH239" i="4"/>
  <c r="AX240" i="4" s="1"/>
  <c r="AX244" i="4"/>
  <c r="AX249" i="4" s="1"/>
  <c r="GX209" i="4"/>
  <c r="GX212" i="4" s="1"/>
  <c r="GY208" i="4" s="1"/>
  <c r="AP269" i="4"/>
  <c r="GY203" i="4"/>
  <c r="GY205" i="4" s="1"/>
  <c r="GY206" i="4" s="1"/>
  <c r="GZ202" i="4" s="1"/>
  <c r="GF253" i="4"/>
  <c r="GF248" i="4"/>
  <c r="GF247" i="4"/>
  <c r="GX215" i="4"/>
  <c r="GX213" i="4"/>
  <c r="AQ260" i="4"/>
  <c r="GA268" i="4"/>
  <c r="GE254" i="4" l="1"/>
  <c r="GE257" i="4" s="1"/>
  <c r="GN223" i="4"/>
  <c r="GN224" i="4"/>
  <c r="GN226" i="4" s="1"/>
  <c r="BD238" i="4" s="1"/>
  <c r="GN230" i="4"/>
  <c r="GG246" i="4"/>
  <c r="GH242" i="4" s="1"/>
  <c r="GH243" i="4" s="1"/>
  <c r="AP266" i="4"/>
  <c r="AP271" i="4"/>
  <c r="GN222" i="4"/>
  <c r="GO218" i="4" s="1"/>
  <c r="GZ203" i="4"/>
  <c r="GZ205" i="4" s="1"/>
  <c r="GZ206" i="4" s="1"/>
  <c r="HA202" i="4" s="1"/>
  <c r="GY209" i="4"/>
  <c r="GB266" i="4"/>
  <c r="GB265" i="4"/>
  <c r="BN237" i="4"/>
  <c r="GX216" i="4"/>
  <c r="GH240" i="4"/>
  <c r="AX250" i="4"/>
  <c r="GG248" i="4"/>
  <c r="GG253" i="4"/>
  <c r="GG247" i="4"/>
  <c r="GI237" i="4"/>
  <c r="GI238" i="4"/>
  <c r="AY243" i="4" s="1"/>
  <c r="GF249" i="4"/>
  <c r="GY220" i="4"/>
  <c r="GY211" i="4"/>
  <c r="GY207" i="4"/>
  <c r="AX245" i="4"/>
  <c r="GA269" i="4"/>
  <c r="GA270" i="4"/>
  <c r="AQ264" i="4" s="1"/>
  <c r="AT259" i="4"/>
  <c r="GD259" i="4"/>
  <c r="GB264" i="4"/>
  <c r="GC260" i="4" s="1"/>
  <c r="GK229" i="4"/>
  <c r="GK231" i="4" s="1"/>
  <c r="GJ235" i="4"/>
  <c r="GE255" i="4" l="1"/>
  <c r="GF251" i="4" s="1"/>
  <c r="GF252" i="4" s="1"/>
  <c r="GN227" i="4"/>
  <c r="GE256" i="4"/>
  <c r="GE262" i="4"/>
  <c r="GH245" i="4"/>
  <c r="GH253" i="4" s="1"/>
  <c r="GO219" i="4"/>
  <c r="GO221" i="4" s="1"/>
  <c r="GO222" i="4" s="1"/>
  <c r="GP218" i="4" s="1"/>
  <c r="GK234" i="4"/>
  <c r="GK233" i="4"/>
  <c r="GK232" i="4"/>
  <c r="GL228" i="4" s="1"/>
  <c r="AZ239" i="4"/>
  <c r="GJ236" i="4"/>
  <c r="GG249" i="4"/>
  <c r="GY215" i="4"/>
  <c r="GY213" i="4"/>
  <c r="GB267" i="4"/>
  <c r="GZ211" i="4"/>
  <c r="GZ220" i="4"/>
  <c r="GZ207" i="4"/>
  <c r="GA271" i="4"/>
  <c r="AQ261" i="4" s="1"/>
  <c r="AQ265" i="4"/>
  <c r="AQ270" i="4" s="1"/>
  <c r="AV258" i="4"/>
  <c r="GF250" i="4"/>
  <c r="GC261" i="4"/>
  <c r="GY212" i="4"/>
  <c r="GZ208" i="4" s="1"/>
  <c r="HA203" i="4"/>
  <c r="HA205" i="4" s="1"/>
  <c r="HA206" i="4" s="1"/>
  <c r="HB202" i="4" s="1"/>
  <c r="AY248" i="4"/>
  <c r="GI239" i="4"/>
  <c r="AY240" i="4" s="1"/>
  <c r="AY244" i="4"/>
  <c r="AY249" i="4" s="1"/>
  <c r="AQ269" i="4"/>
  <c r="GE258" i="4"/>
  <c r="GH246" i="4" l="1"/>
  <c r="GI242" i="4" s="1"/>
  <c r="GI243" i="4" s="1"/>
  <c r="GH247" i="4"/>
  <c r="GH248" i="4"/>
  <c r="GH249" i="4" s="1"/>
  <c r="AQ271" i="4"/>
  <c r="GF254" i="4"/>
  <c r="GF257" i="4" s="1"/>
  <c r="AQ266" i="4"/>
  <c r="GC263" i="4"/>
  <c r="GC264" i="4" s="1"/>
  <c r="GD260" i="4" s="1"/>
  <c r="GP219" i="4"/>
  <c r="GP221" i="4" s="1"/>
  <c r="GP222" i="4" s="1"/>
  <c r="GQ218" i="4" s="1"/>
  <c r="GO224" i="4"/>
  <c r="GO226" i="4" s="1"/>
  <c r="GO230" i="4"/>
  <c r="GO223" i="4"/>
  <c r="GJ238" i="4"/>
  <c r="AZ243" i="4" s="1"/>
  <c r="GJ237" i="4"/>
  <c r="AR260" i="4"/>
  <c r="GB268" i="4"/>
  <c r="GZ215" i="4"/>
  <c r="GZ213" i="4"/>
  <c r="GZ209" i="4"/>
  <c r="GZ212" i="4" s="1"/>
  <c r="HA208" i="4" s="1"/>
  <c r="BO237" i="4"/>
  <c r="GY216" i="4"/>
  <c r="AU259" i="4"/>
  <c r="GE259" i="4"/>
  <c r="AW258" i="4"/>
  <c r="GG250" i="4"/>
  <c r="AY250" i="4"/>
  <c r="GI240" i="4"/>
  <c r="AY245" i="4"/>
  <c r="HB203" i="4"/>
  <c r="HB205" i="4" s="1"/>
  <c r="HA220" i="4"/>
  <c r="HA211" i="4"/>
  <c r="HA207" i="4"/>
  <c r="GL229" i="4"/>
  <c r="GL231" i="4" s="1"/>
  <c r="GK235" i="4"/>
  <c r="GF255" i="4" l="1"/>
  <c r="GG251" i="4" s="1"/>
  <c r="GG252" i="4" s="1"/>
  <c r="GG254" i="4" s="1"/>
  <c r="GF256" i="4"/>
  <c r="GF262" i="4"/>
  <c r="GC266" i="4"/>
  <c r="GC267" i="4" s="1"/>
  <c r="GC265" i="4"/>
  <c r="GI245" i="4"/>
  <c r="GI246" i="4" s="1"/>
  <c r="GJ242" i="4" s="1"/>
  <c r="GD261" i="4"/>
  <c r="GD263" i="4" s="1"/>
  <c r="GO227" i="4"/>
  <c r="BE238" i="4"/>
  <c r="GQ219" i="4"/>
  <c r="GQ221" i="4" s="1"/>
  <c r="GP224" i="4"/>
  <c r="GP226" i="4" s="1"/>
  <c r="GP230" i="4"/>
  <c r="GP223" i="4"/>
  <c r="HB211" i="4"/>
  <c r="HB220" i="4"/>
  <c r="HB207" i="4"/>
  <c r="HB206" i="4"/>
  <c r="HC202" i="4" s="1"/>
  <c r="GL234" i="4"/>
  <c r="GL233" i="4"/>
  <c r="GL232" i="4"/>
  <c r="GM228" i="4" s="1"/>
  <c r="GJ239" i="4"/>
  <c r="AZ240" i="4" s="1"/>
  <c r="AZ244" i="4"/>
  <c r="AZ249" i="4" s="1"/>
  <c r="AZ248" i="4"/>
  <c r="BP237" i="4"/>
  <c r="GZ216" i="4"/>
  <c r="BA239" i="4"/>
  <c r="GK236" i="4"/>
  <c r="HA215" i="4"/>
  <c r="HA213" i="4"/>
  <c r="HA209" i="4"/>
  <c r="HA212" i="4" s="1"/>
  <c r="HB208" i="4" s="1"/>
  <c r="GB269" i="4"/>
  <c r="GB270" i="4"/>
  <c r="AR264" i="4" s="1"/>
  <c r="AX258" i="4"/>
  <c r="GH250" i="4"/>
  <c r="GF258" i="4"/>
  <c r="GI248" i="4" l="1"/>
  <c r="GI249" i="4" s="1"/>
  <c r="GI247" i="4"/>
  <c r="GI253" i="4"/>
  <c r="AZ245" i="4"/>
  <c r="GD264" i="4"/>
  <c r="GE260" i="4" s="1"/>
  <c r="GD266" i="4"/>
  <c r="GD267" i="4" s="1"/>
  <c r="GD265" i="4"/>
  <c r="GQ224" i="4"/>
  <c r="GQ226" i="4" s="1"/>
  <c r="GQ230" i="4"/>
  <c r="GQ223" i="4"/>
  <c r="BF238" i="4"/>
  <c r="GP227" i="4"/>
  <c r="GQ222" i="4"/>
  <c r="GR218" i="4" s="1"/>
  <c r="GG257" i="4"/>
  <c r="GG262" i="4"/>
  <c r="GG256" i="4"/>
  <c r="GG255" i="4"/>
  <c r="GH251" i="4" s="1"/>
  <c r="AS260" i="4"/>
  <c r="GC268" i="4"/>
  <c r="GB271" i="4"/>
  <c r="AR261" i="4" s="1"/>
  <c r="AR265" i="4"/>
  <c r="AR270" i="4" s="1"/>
  <c r="HB209" i="4"/>
  <c r="HB212" i="4" s="1"/>
  <c r="HC208" i="4" s="1"/>
  <c r="HC203" i="4"/>
  <c r="HC205" i="4" s="1"/>
  <c r="HC206" i="4" s="1"/>
  <c r="HD202" i="4" s="1"/>
  <c r="GM229" i="4"/>
  <c r="GM231" i="4" s="1"/>
  <c r="AV259" i="4"/>
  <c r="GF259" i="4"/>
  <c r="AR269" i="4"/>
  <c r="GL235" i="4"/>
  <c r="GJ243" i="4"/>
  <c r="GJ240" i="4"/>
  <c r="AZ250" i="4"/>
  <c r="BQ237" i="4"/>
  <c r="HA216" i="4"/>
  <c r="GK238" i="4"/>
  <c r="BA243" i="4" s="1"/>
  <c r="GK237" i="4"/>
  <c r="HB215" i="4"/>
  <c r="HB213" i="4"/>
  <c r="GJ245" i="4" l="1"/>
  <c r="GJ246" i="4" s="1"/>
  <c r="GK242" i="4" s="1"/>
  <c r="GK243" i="4" s="1"/>
  <c r="GE261" i="4"/>
  <c r="GE263" i="4" s="1"/>
  <c r="GE264" i="4" s="1"/>
  <c r="GF260" i="4" s="1"/>
  <c r="GF261" i="4" s="1"/>
  <c r="GM232" i="4"/>
  <c r="GN228" i="4" s="1"/>
  <c r="GN229" i="4" s="1"/>
  <c r="GN231" i="4" s="1"/>
  <c r="GR219" i="4"/>
  <c r="GR221" i="4" s="1"/>
  <c r="BG238" i="4"/>
  <c r="GQ227" i="4"/>
  <c r="HC209" i="4"/>
  <c r="AT260" i="4"/>
  <c r="GD268" i="4"/>
  <c r="BR237" i="4"/>
  <c r="HB216" i="4"/>
  <c r="GC270" i="4"/>
  <c r="AS264" i="4" s="1"/>
  <c r="GC269" i="4"/>
  <c r="BB239" i="4"/>
  <c r="GL236" i="4"/>
  <c r="GM234" i="4"/>
  <c r="GM233" i="4"/>
  <c r="HC211" i="4"/>
  <c r="HC220" i="4"/>
  <c r="HC207" i="4"/>
  <c r="AY258" i="4"/>
  <c r="GI250" i="4"/>
  <c r="BA248" i="4"/>
  <c r="GH252" i="4"/>
  <c r="GH254" i="4" s="1"/>
  <c r="AR271" i="4"/>
  <c r="HD203" i="4"/>
  <c r="HD205" i="4" s="1"/>
  <c r="GK239" i="4"/>
  <c r="BA240" i="4" s="1"/>
  <c r="BA244" i="4"/>
  <c r="BA249" i="4" s="1"/>
  <c r="AR266" i="4"/>
  <c r="GG258" i="4"/>
  <c r="GJ247" i="4" l="1"/>
  <c r="GJ253" i="4"/>
  <c r="GJ248" i="4"/>
  <c r="GJ249" i="4" s="1"/>
  <c r="GF263" i="4"/>
  <c r="GE265" i="4"/>
  <c r="GE266" i="4"/>
  <c r="GE267" i="4" s="1"/>
  <c r="AU260" i="4" s="1"/>
  <c r="GR222" i="4"/>
  <c r="GS218" i="4" s="1"/>
  <c r="GS219" i="4" s="1"/>
  <c r="GS221" i="4" s="1"/>
  <c r="BA245" i="4"/>
  <c r="HC212" i="4"/>
  <c r="HD208" i="4" s="1"/>
  <c r="HD209" i="4" s="1"/>
  <c r="GR223" i="4"/>
  <c r="GR224" i="4"/>
  <c r="GR226" i="4" s="1"/>
  <c r="GR230" i="4"/>
  <c r="HD211" i="4"/>
  <c r="HD220" i="4"/>
  <c r="HD207" i="4"/>
  <c r="HD206" i="4"/>
  <c r="HE202" i="4" s="1"/>
  <c r="GL238" i="4"/>
  <c r="BB243" i="4" s="1"/>
  <c r="GL237" i="4"/>
  <c r="AS269" i="4"/>
  <c r="GH257" i="4"/>
  <c r="GH262" i="4"/>
  <c r="GH256" i="4"/>
  <c r="AW259" i="4"/>
  <c r="GG259" i="4"/>
  <c r="BA250" i="4"/>
  <c r="GK240" i="4"/>
  <c r="GM235" i="4"/>
  <c r="GC271" i="4"/>
  <c r="AS261" i="4" s="1"/>
  <c r="AS265" i="4"/>
  <c r="AS270" i="4" s="1"/>
  <c r="GN234" i="4"/>
  <c r="GN233" i="4"/>
  <c r="GH255" i="4"/>
  <c r="GI251" i="4" s="1"/>
  <c r="GD269" i="4"/>
  <c r="GD270" i="4"/>
  <c r="AT264" i="4" s="1"/>
  <c r="HC215" i="4"/>
  <c r="HC213" i="4"/>
  <c r="GN232" i="4"/>
  <c r="GO228" i="4" s="1"/>
  <c r="AS266" i="4" l="1"/>
  <c r="AS271" i="4"/>
  <c r="GE268" i="4"/>
  <c r="GE269" i="4" s="1"/>
  <c r="GF264" i="4"/>
  <c r="GG260" i="4" s="1"/>
  <c r="GG261" i="4" s="1"/>
  <c r="GF266" i="4"/>
  <c r="GF267" i="4" s="1"/>
  <c r="GF268" i="4" s="1"/>
  <c r="GF265" i="4"/>
  <c r="GS222" i="4"/>
  <c r="GT218" i="4" s="1"/>
  <c r="GS230" i="4"/>
  <c r="GS223" i="4"/>
  <c r="GS224" i="4"/>
  <c r="GS226" i="4" s="1"/>
  <c r="BH238" i="4"/>
  <c r="GR227" i="4"/>
  <c r="GN235" i="4"/>
  <c r="GH258" i="4"/>
  <c r="GO229" i="4"/>
  <c r="GO231" i="4" s="1"/>
  <c r="HD215" i="4"/>
  <c r="HD213" i="4"/>
  <c r="GK245" i="4"/>
  <c r="AT269" i="4"/>
  <c r="GI252" i="4"/>
  <c r="GI254" i="4" s="1"/>
  <c r="GL239" i="4"/>
  <c r="BB240" i="4" s="1"/>
  <c r="BB244" i="4"/>
  <c r="BB249" i="4" s="1"/>
  <c r="HE203" i="4"/>
  <c r="HE205" i="4" s="1"/>
  <c r="HE206" i="4" s="1"/>
  <c r="HF202" i="4" s="1"/>
  <c r="HD212" i="4"/>
  <c r="HE208" i="4" s="1"/>
  <c r="GD271" i="4"/>
  <c r="AT261" i="4" s="1"/>
  <c r="AT265" i="4"/>
  <c r="AT270" i="4" s="1"/>
  <c r="AZ258" i="4"/>
  <c r="GJ250" i="4"/>
  <c r="BB248" i="4"/>
  <c r="BC239" i="4"/>
  <c r="GM236" i="4"/>
  <c r="BS237" i="4"/>
  <c r="HC216" i="4"/>
  <c r="AV260" i="4" l="1"/>
  <c r="GE270" i="4"/>
  <c r="AU264" i="4" s="1"/>
  <c r="AU269" i="4" s="1"/>
  <c r="GG263" i="4"/>
  <c r="BI238" i="4"/>
  <c r="GS227" i="4"/>
  <c r="GT219" i="4"/>
  <c r="GT221" i="4" s="1"/>
  <c r="GI257" i="4"/>
  <c r="GI262" i="4"/>
  <c r="GI256" i="4"/>
  <c r="GI255" i="4"/>
  <c r="GJ251" i="4" s="1"/>
  <c r="GO234" i="4"/>
  <c r="GO233" i="4"/>
  <c r="GO232" i="4"/>
  <c r="GP228" i="4" s="1"/>
  <c r="HE209" i="4"/>
  <c r="HE211" i="4"/>
  <c r="HE220" i="4"/>
  <c r="HE207" i="4"/>
  <c r="GF269" i="4"/>
  <c r="GF270" i="4"/>
  <c r="AV264" i="4" s="1"/>
  <c r="BD239" i="4"/>
  <c r="GN236" i="4"/>
  <c r="AT266" i="4"/>
  <c r="HF203" i="4"/>
  <c r="HF205" i="4" s="1"/>
  <c r="AX259" i="4"/>
  <c r="GH259" i="4"/>
  <c r="GM237" i="4"/>
  <c r="GM238" i="4"/>
  <c r="BC243" i="4" s="1"/>
  <c r="BB245" i="4"/>
  <c r="GK248" i="4"/>
  <c r="GK253" i="4"/>
  <c r="GK247" i="4"/>
  <c r="GK246" i="4"/>
  <c r="GL242" i="4" s="1"/>
  <c r="BT237" i="4"/>
  <c r="HD216" i="4"/>
  <c r="AU265" i="4"/>
  <c r="AU270" i="4" s="1"/>
  <c r="GL240" i="4"/>
  <c r="BB250" i="4"/>
  <c r="AT271" i="4"/>
  <c r="GE271" i="4" l="1"/>
  <c r="AU261" i="4" s="1"/>
  <c r="GG266" i="4"/>
  <c r="GG267" i="4" s="1"/>
  <c r="AW260" i="4" s="1"/>
  <c r="GG264" i="4"/>
  <c r="GH260" i="4" s="1"/>
  <c r="GH261" i="4" s="1"/>
  <c r="GH263" i="4" s="1"/>
  <c r="GH266" i="4" s="1"/>
  <c r="GG265" i="4"/>
  <c r="GT222" i="4"/>
  <c r="GU218" i="4" s="1"/>
  <c r="GU219" i="4" s="1"/>
  <c r="GU221" i="4" s="1"/>
  <c r="HE212" i="4"/>
  <c r="HF208" i="4" s="1"/>
  <c r="HF209" i="4" s="1"/>
  <c r="GT230" i="4"/>
  <c r="GT224" i="4"/>
  <c r="GT226" i="4" s="1"/>
  <c r="GT223" i="4"/>
  <c r="HF220" i="4"/>
  <c r="HF211" i="4"/>
  <c r="HF207" i="4"/>
  <c r="HF206" i="4"/>
  <c r="HG202" i="4" s="1"/>
  <c r="GN237" i="4"/>
  <c r="GN238" i="4"/>
  <c r="BD243" i="4" s="1"/>
  <c r="AV269" i="4"/>
  <c r="GK249" i="4"/>
  <c r="HE215" i="4"/>
  <c r="HE213" i="4"/>
  <c r="AU271" i="4"/>
  <c r="AU266" i="4"/>
  <c r="GL243" i="4"/>
  <c r="GL245" i="4" s="1"/>
  <c r="GF271" i="4"/>
  <c r="AV261" i="4" s="1"/>
  <c r="AV265" i="4"/>
  <c r="AV270" i="4" s="1"/>
  <c r="BC248" i="4"/>
  <c r="GM239" i="4"/>
  <c r="BC240" i="4" s="1"/>
  <c r="BC244" i="4"/>
  <c r="BC249" i="4" s="1"/>
  <c r="GP229" i="4"/>
  <c r="GP231" i="4" s="1"/>
  <c r="GO235" i="4"/>
  <c r="GJ252" i="4"/>
  <c r="GJ254" i="4" s="1"/>
  <c r="GI258" i="4"/>
  <c r="AV271" i="4" l="1"/>
  <c r="AV266" i="4"/>
  <c r="HF212" i="4"/>
  <c r="HG208" i="4" s="1"/>
  <c r="HG209" i="4" s="1"/>
  <c r="GG268" i="4"/>
  <c r="GG270" i="4" s="1"/>
  <c r="AW264" i="4" s="1"/>
  <c r="GH264" i="4"/>
  <c r="GI260" i="4" s="1"/>
  <c r="GI261" i="4" s="1"/>
  <c r="GH265" i="4"/>
  <c r="GU230" i="4"/>
  <c r="GU223" i="4"/>
  <c r="GU224" i="4"/>
  <c r="GU226" i="4" s="1"/>
  <c r="GT227" i="4"/>
  <c r="BJ238" i="4"/>
  <c r="GU222" i="4"/>
  <c r="GV218" i="4" s="1"/>
  <c r="GL253" i="4"/>
  <c r="GL248" i="4"/>
  <c r="GL247" i="4"/>
  <c r="GL246" i="4"/>
  <c r="GM242" i="4" s="1"/>
  <c r="GJ257" i="4"/>
  <c r="GJ262" i="4"/>
  <c r="GJ256" i="4"/>
  <c r="GJ255" i="4"/>
  <c r="GK251" i="4" s="1"/>
  <c r="GP234" i="4"/>
  <c r="GP233" i="4"/>
  <c r="GM240" i="4"/>
  <c r="BC250" i="4"/>
  <c r="BA258" i="4"/>
  <c r="GK250" i="4"/>
  <c r="BC245" i="4"/>
  <c r="AY259" i="4"/>
  <c r="GI259" i="4"/>
  <c r="GH267" i="4"/>
  <c r="BE239" i="4"/>
  <c r="GO236" i="4"/>
  <c r="GP232" i="4"/>
  <c r="GQ228" i="4" s="1"/>
  <c r="BD248" i="4"/>
  <c r="GN239" i="4"/>
  <c r="BD240" i="4" s="1"/>
  <c r="BD244" i="4"/>
  <c r="BD249" i="4" s="1"/>
  <c r="HG203" i="4"/>
  <c r="HG205" i="4" s="1"/>
  <c r="HF215" i="4"/>
  <c r="HF213" i="4"/>
  <c r="BU237" i="4"/>
  <c r="HE216" i="4"/>
  <c r="GG269" i="4" l="1"/>
  <c r="GG271" i="4" s="1"/>
  <c r="AW261" i="4" s="1"/>
  <c r="GI263" i="4"/>
  <c r="GI266" i="4" s="1"/>
  <c r="GV219" i="4"/>
  <c r="GV221" i="4" s="1"/>
  <c r="BD245" i="4"/>
  <c r="BK238" i="4"/>
  <c r="GU227" i="4"/>
  <c r="HG220" i="4"/>
  <c r="HG211" i="4"/>
  <c r="HG207" i="4"/>
  <c r="HG206" i="4"/>
  <c r="HH202" i="4" s="1"/>
  <c r="AW269" i="4"/>
  <c r="AX260" i="4"/>
  <c r="GH268" i="4"/>
  <c r="BV237" i="4"/>
  <c r="HF216" i="4"/>
  <c r="GM243" i="4"/>
  <c r="GM245" i="4" s="1"/>
  <c r="GQ229" i="4"/>
  <c r="GQ231" i="4" s="1"/>
  <c r="GO237" i="4"/>
  <c r="GO238" i="4"/>
  <c r="BE243" i="4" s="1"/>
  <c r="GP235" i="4"/>
  <c r="GK252" i="4"/>
  <c r="GK254" i="4" s="1"/>
  <c r="GJ258" i="4"/>
  <c r="GL249" i="4"/>
  <c r="GN240" i="4"/>
  <c r="BD250" i="4"/>
  <c r="AW265" i="4" l="1"/>
  <c r="AW270" i="4" s="1"/>
  <c r="AW271" i="4" s="1"/>
  <c r="GI264" i="4"/>
  <c r="GJ260" i="4" s="1"/>
  <c r="GJ261" i="4" s="1"/>
  <c r="GI265" i="4"/>
  <c r="GV223" i="4"/>
  <c r="GV224" i="4"/>
  <c r="GV226" i="4" s="1"/>
  <c r="GV230" i="4"/>
  <c r="GV222" i="4"/>
  <c r="GW218" i="4" s="1"/>
  <c r="GK257" i="4"/>
  <c r="GK262" i="4"/>
  <c r="GK256" i="4"/>
  <c r="GK255" i="4"/>
  <c r="GL251" i="4" s="1"/>
  <c r="GQ234" i="4"/>
  <c r="GQ233" i="4"/>
  <c r="GQ232" i="4"/>
  <c r="GR228" i="4" s="1"/>
  <c r="GM248" i="4"/>
  <c r="GM253" i="4"/>
  <c r="GM247" i="4"/>
  <c r="GM246" i="4"/>
  <c r="GN242" i="4" s="1"/>
  <c r="AZ259" i="4"/>
  <c r="GJ259" i="4"/>
  <c r="GH269" i="4"/>
  <c r="GH270" i="4"/>
  <c r="AX264" i="4" s="1"/>
  <c r="BF239" i="4"/>
  <c r="GP236" i="4"/>
  <c r="GI267" i="4"/>
  <c r="BE248" i="4"/>
  <c r="HH203" i="4"/>
  <c r="HH205" i="4" s="1"/>
  <c r="GO239" i="4"/>
  <c r="BE240" i="4" s="1"/>
  <c r="BE244" i="4"/>
  <c r="BE249" i="4" s="1"/>
  <c r="HG215" i="4"/>
  <c r="HG213" i="4"/>
  <c r="HG212" i="4"/>
  <c r="HH208" i="4" s="1"/>
  <c r="BB258" i="4"/>
  <c r="GL250" i="4"/>
  <c r="AW266" i="4" l="1"/>
  <c r="GJ263" i="4"/>
  <c r="GJ266" i="4" s="1"/>
  <c r="HH206" i="4"/>
  <c r="HI202" i="4" s="1"/>
  <c r="HI203" i="4" s="1"/>
  <c r="HI205" i="4" s="1"/>
  <c r="HI206" i="4" s="1"/>
  <c r="HJ202" i="4" s="1"/>
  <c r="GW219" i="4"/>
  <c r="GW221" i="4" s="1"/>
  <c r="BL238" i="4"/>
  <c r="GV227" i="4"/>
  <c r="BW237" i="4"/>
  <c r="HG216" i="4"/>
  <c r="GN243" i="4"/>
  <c r="GN245" i="4" s="1"/>
  <c r="GM249" i="4"/>
  <c r="BE245" i="4"/>
  <c r="AY260" i="4"/>
  <c r="GI268" i="4"/>
  <c r="GR229" i="4"/>
  <c r="GR231" i="4" s="1"/>
  <c r="GQ235" i="4"/>
  <c r="AX269" i="4"/>
  <c r="HH209" i="4"/>
  <c r="HH220" i="4"/>
  <c r="HH211" i="4"/>
  <c r="HH207" i="4"/>
  <c r="BE250" i="4"/>
  <c r="GO240" i="4"/>
  <c r="GP237" i="4"/>
  <c r="GP238" i="4"/>
  <c r="BF243" i="4" s="1"/>
  <c r="GL252" i="4"/>
  <c r="GL254" i="4" s="1"/>
  <c r="GH271" i="4"/>
  <c r="AX261" i="4" s="1"/>
  <c r="AX265" i="4"/>
  <c r="AX270" i="4" s="1"/>
  <c r="GK258" i="4"/>
  <c r="GJ264" i="4" l="1"/>
  <c r="GK260" i="4" s="1"/>
  <c r="GK261" i="4" s="1"/>
  <c r="GJ265" i="4"/>
  <c r="GW230" i="4"/>
  <c r="GW224" i="4"/>
  <c r="GW226" i="4" s="1"/>
  <c r="GW223" i="4"/>
  <c r="GW222" i="4"/>
  <c r="GX218" i="4" s="1"/>
  <c r="GN246" i="4"/>
  <c r="GO242" i="4" s="1"/>
  <c r="GO243" i="4" s="1"/>
  <c r="GR232" i="4"/>
  <c r="GS228" i="4" s="1"/>
  <c r="GS229" i="4" s="1"/>
  <c r="GS231" i="4" s="1"/>
  <c r="GL257" i="4"/>
  <c r="GL262" i="4"/>
  <c r="GL256" i="4"/>
  <c r="GL255" i="4"/>
  <c r="GM251" i="4" s="1"/>
  <c r="HH215" i="4"/>
  <c r="HH213" i="4"/>
  <c r="GN253" i="4"/>
  <c r="GN248" i="4"/>
  <c r="GN247" i="4"/>
  <c r="BA259" i="4"/>
  <c r="GK259" i="4"/>
  <c r="GI269" i="4"/>
  <c r="GI270" i="4"/>
  <c r="AY264" i="4" s="1"/>
  <c r="BC258" i="4"/>
  <c r="GM250" i="4"/>
  <c r="HI211" i="4"/>
  <c r="HI220" i="4"/>
  <c r="HI207" i="4"/>
  <c r="BG239" i="4"/>
  <c r="GQ236" i="4"/>
  <c r="BF248" i="4"/>
  <c r="HJ203" i="4"/>
  <c r="HH212" i="4"/>
  <c r="HI208" i="4" s="1"/>
  <c r="AX271" i="4"/>
  <c r="AX266" i="4"/>
  <c r="GR234" i="4"/>
  <c r="GR233" i="4"/>
  <c r="GP239" i="4"/>
  <c r="BF240" i="4" s="1"/>
  <c r="BF244" i="4"/>
  <c r="BF249" i="4" s="1"/>
  <c r="GJ267" i="4"/>
  <c r="GK263" i="4" l="1"/>
  <c r="GK264" i="4" s="1"/>
  <c r="GL260" i="4" s="1"/>
  <c r="GL261" i="4" s="1"/>
  <c r="GO245" i="4"/>
  <c r="GO246" i="4" s="1"/>
  <c r="GP242" i="4" s="1"/>
  <c r="GP243" i="4" s="1"/>
  <c r="BF245" i="4"/>
  <c r="HJ205" i="4"/>
  <c r="GX219" i="4"/>
  <c r="GX221" i="4" s="1"/>
  <c r="GX222" i="4" s="1"/>
  <c r="GY218" i="4" s="1"/>
  <c r="BM238" i="4"/>
  <c r="GW227" i="4"/>
  <c r="GS234" i="4"/>
  <c r="GS233" i="4"/>
  <c r="GS232" i="4"/>
  <c r="GT228" i="4" s="1"/>
  <c r="BF250" i="4"/>
  <c r="GP240" i="4"/>
  <c r="GQ238" i="4"/>
  <c r="BG243" i="4" s="1"/>
  <c r="GQ237" i="4"/>
  <c r="AZ260" i="4"/>
  <c r="GJ268" i="4"/>
  <c r="GR235" i="4"/>
  <c r="GM252" i="4"/>
  <c r="GM254" i="4" s="1"/>
  <c r="BX237" i="4"/>
  <c r="HH216" i="4"/>
  <c r="HI215" i="4"/>
  <c r="HI213" i="4"/>
  <c r="AY269" i="4"/>
  <c r="GI271" i="4"/>
  <c r="AY261" i="4" s="1"/>
  <c r="AY265" i="4"/>
  <c r="AY270" i="4" s="1"/>
  <c r="HI209" i="4"/>
  <c r="HI212" i="4" s="1"/>
  <c r="HJ208" i="4" s="1"/>
  <c r="GN249" i="4"/>
  <c r="GL258" i="4"/>
  <c r="HJ206" i="4" l="1"/>
  <c r="HK202" i="4" s="1"/>
  <c r="HK203" i="4" s="1"/>
  <c r="HK205" i="4" s="1"/>
  <c r="HJ211" i="4"/>
  <c r="HJ207" i="4"/>
  <c r="HJ220" i="4"/>
  <c r="GO247" i="4"/>
  <c r="GO248" i="4"/>
  <c r="GO249" i="4" s="1"/>
  <c r="GO253" i="4"/>
  <c r="GK265" i="4"/>
  <c r="GK266" i="4"/>
  <c r="GK267" i="4" s="1"/>
  <c r="GY219" i="4"/>
  <c r="GY221" i="4" s="1"/>
  <c r="GY222" i="4" s="1"/>
  <c r="GZ218" i="4" s="1"/>
  <c r="GX224" i="4"/>
  <c r="GX226" i="4" s="1"/>
  <c r="GX230" i="4"/>
  <c r="GX223" i="4"/>
  <c r="GM257" i="4"/>
  <c r="GM262" i="4"/>
  <c r="GM256" i="4"/>
  <c r="GM255" i="4"/>
  <c r="GN251" i="4" s="1"/>
  <c r="BH239" i="4"/>
  <c r="GR236" i="4"/>
  <c r="GP245" i="4"/>
  <c r="BB259" i="4"/>
  <c r="GL259" i="4"/>
  <c r="BD258" i="4"/>
  <c r="GN250" i="4"/>
  <c r="BY237" i="4"/>
  <c r="HI216" i="4"/>
  <c r="BG248" i="4"/>
  <c r="AY271" i="4"/>
  <c r="GJ269" i="4"/>
  <c r="GJ270" i="4"/>
  <c r="AZ264" i="4" s="1"/>
  <c r="GQ239" i="4"/>
  <c r="BG240" i="4" s="1"/>
  <c r="BG244" i="4"/>
  <c r="BG249" i="4" s="1"/>
  <c r="HJ209" i="4"/>
  <c r="GT229" i="4"/>
  <c r="AY266" i="4"/>
  <c r="GS235" i="4"/>
  <c r="HJ213" i="4" l="1"/>
  <c r="HJ212" i="4"/>
  <c r="HK208" i="4" s="1"/>
  <c r="HK209" i="4" s="1"/>
  <c r="HJ215" i="4"/>
  <c r="GT231" i="4"/>
  <c r="GT232" i="4" s="1"/>
  <c r="GU228" i="4" s="1"/>
  <c r="GU229" i="4" s="1"/>
  <c r="GU231" i="4" s="1"/>
  <c r="GZ219" i="4"/>
  <c r="GZ221" i="4" s="1"/>
  <c r="HK211" i="4"/>
  <c r="HK220" i="4"/>
  <c r="HK207" i="4"/>
  <c r="BN238" i="4"/>
  <c r="GX227" i="4"/>
  <c r="HK206" i="4"/>
  <c r="HL202" i="4" s="1"/>
  <c r="GY230" i="4"/>
  <c r="GY223" i="4"/>
  <c r="GY224" i="4"/>
  <c r="GY226" i="4" s="1"/>
  <c r="GP248" i="4"/>
  <c r="GP253" i="4"/>
  <c r="GP247" i="4"/>
  <c r="GP246" i="4"/>
  <c r="GQ242" i="4" s="1"/>
  <c r="BE258" i="4"/>
  <c r="GO250" i="4"/>
  <c r="GL263" i="4"/>
  <c r="AZ269" i="4"/>
  <c r="BA260" i="4"/>
  <c r="GK268" i="4"/>
  <c r="GJ271" i="4"/>
  <c r="AZ261" i="4" s="1"/>
  <c r="AZ265" i="4"/>
  <c r="AZ270" i="4" s="1"/>
  <c r="GR237" i="4"/>
  <c r="GR238" i="4"/>
  <c r="BH243" i="4" s="1"/>
  <c r="BI239" i="4"/>
  <c r="GS236" i="4"/>
  <c r="GQ240" i="4"/>
  <c r="BG250" i="4"/>
  <c r="BG245" i="4"/>
  <c r="GN252" i="4"/>
  <c r="GN254" i="4" s="1"/>
  <c r="GM258" i="4"/>
  <c r="HJ216" i="4" l="1"/>
  <c r="BZ237" i="4"/>
  <c r="HK213" i="4"/>
  <c r="HK215" i="4"/>
  <c r="GT233" i="4"/>
  <c r="HK212" i="4"/>
  <c r="HL208" i="4" s="1"/>
  <c r="HL209" i="4" s="1"/>
  <c r="GT234" i="4"/>
  <c r="GT235" i="4" s="1"/>
  <c r="GZ222" i="4"/>
  <c r="HA218" i="4" s="1"/>
  <c r="HA219" i="4" s="1"/>
  <c r="HA221" i="4" s="1"/>
  <c r="HA222" i="4" s="1"/>
  <c r="HB218" i="4" s="1"/>
  <c r="HB219" i="4" s="1"/>
  <c r="HB221" i="4" s="1"/>
  <c r="GZ224" i="4"/>
  <c r="GZ226" i="4" s="1"/>
  <c r="BP238" i="4" s="1"/>
  <c r="GZ223" i="4"/>
  <c r="GZ230" i="4"/>
  <c r="GY227" i="4"/>
  <c r="BO238" i="4"/>
  <c r="HL203" i="4"/>
  <c r="HL205" i="4" s="1"/>
  <c r="GN257" i="4"/>
  <c r="GN262" i="4"/>
  <c r="GN256" i="4"/>
  <c r="GN255" i="4"/>
  <c r="GO251" i="4" s="1"/>
  <c r="GU234" i="4"/>
  <c r="GU233" i="4"/>
  <c r="GU232" i="4"/>
  <c r="GV228" i="4" s="1"/>
  <c r="AZ271" i="4"/>
  <c r="GP249" i="4"/>
  <c r="GK269" i="4"/>
  <c r="GK270" i="4"/>
  <c r="BA264" i="4" s="1"/>
  <c r="AZ266" i="4"/>
  <c r="BH248" i="4"/>
  <c r="GR239" i="4"/>
  <c r="BH240" i="4" s="1"/>
  <c r="BH244" i="4"/>
  <c r="BH249" i="4" s="1"/>
  <c r="BC259" i="4"/>
  <c r="GM259" i="4"/>
  <c r="GL266" i="4"/>
  <c r="GL264" i="4"/>
  <c r="GM260" i="4" s="1"/>
  <c r="GL265" i="4"/>
  <c r="GQ243" i="4"/>
  <c r="GQ245" i="4" s="1"/>
  <c r="GS238" i="4"/>
  <c r="BI243" i="4" s="1"/>
  <c r="GS237" i="4"/>
  <c r="HK216" i="4" l="1"/>
  <c r="CA237" i="4"/>
  <c r="GZ227" i="4"/>
  <c r="HA223" i="4"/>
  <c r="HA230" i="4"/>
  <c r="HA224" i="4"/>
  <c r="HA226" i="4" s="1"/>
  <c r="HL211" i="4"/>
  <c r="HL220" i="4"/>
  <c r="HL207" i="4"/>
  <c r="HL206" i="4"/>
  <c r="HM202" i="4" s="1"/>
  <c r="GQ248" i="4"/>
  <c r="GQ253" i="4"/>
  <c r="GQ247" i="4"/>
  <c r="GQ246" i="4"/>
  <c r="GR242" i="4" s="1"/>
  <c r="HB224" i="4"/>
  <c r="HB230" i="4"/>
  <c r="HB223" i="4"/>
  <c r="HB222" i="4"/>
  <c r="HC218" i="4" s="1"/>
  <c r="GL267" i="4"/>
  <c r="BF258" i="4"/>
  <c r="GP250" i="4"/>
  <c r="GO252" i="4"/>
  <c r="GO254" i="4" s="1"/>
  <c r="GN258" i="4"/>
  <c r="GM261" i="4"/>
  <c r="GM263" i="4" s="1"/>
  <c r="GV229" i="4"/>
  <c r="GV231" i="4" s="1"/>
  <c r="BJ239" i="4"/>
  <c r="GT236" i="4"/>
  <c r="BA269" i="4"/>
  <c r="GS239" i="4"/>
  <c r="BI240" i="4" s="1"/>
  <c r="BI244" i="4"/>
  <c r="BI249" i="4" s="1"/>
  <c r="BI248" i="4"/>
  <c r="GU235" i="4"/>
  <c r="BH250" i="4"/>
  <c r="GR240" i="4"/>
  <c r="BH245" i="4"/>
  <c r="GK271" i="4"/>
  <c r="BA261" i="4" s="1"/>
  <c r="BA265" i="4"/>
  <c r="BA270" i="4" s="1"/>
  <c r="BI245" i="4" l="1"/>
  <c r="BA271" i="4"/>
  <c r="GM264" i="4"/>
  <c r="GN260" i="4" s="1"/>
  <c r="GN261" i="4" s="1"/>
  <c r="HM203" i="4"/>
  <c r="HM205" i="4" s="1"/>
  <c r="HL212" i="4"/>
  <c r="HM208" i="4" s="1"/>
  <c r="HM209" i="4" s="1"/>
  <c r="HL213" i="4"/>
  <c r="HL215" i="4"/>
  <c r="GO257" i="4"/>
  <c r="GO262" i="4"/>
  <c r="GO256" i="4"/>
  <c r="GO255" i="4"/>
  <c r="GP251" i="4" s="1"/>
  <c r="HC219" i="4"/>
  <c r="HC221" i="4" s="1"/>
  <c r="HC222" i="4" s="1"/>
  <c r="HD218" i="4" s="1"/>
  <c r="GV234" i="4"/>
  <c r="GV233" i="4"/>
  <c r="GR243" i="4"/>
  <c r="GR245" i="4" s="1"/>
  <c r="BQ238" i="4"/>
  <c r="HA227" i="4"/>
  <c r="GV232" i="4"/>
  <c r="GW228" i="4" s="1"/>
  <c r="BK239" i="4"/>
  <c r="GU236" i="4"/>
  <c r="BA266" i="4"/>
  <c r="BB260" i="4"/>
  <c r="GL268" i="4"/>
  <c r="GT237" i="4"/>
  <c r="GT238" i="4"/>
  <c r="BJ243" i="4" s="1"/>
  <c r="HB226" i="4"/>
  <c r="GM266" i="4"/>
  <c r="GM265" i="4"/>
  <c r="BI250" i="4"/>
  <c r="GS240" i="4"/>
  <c r="BD259" i="4"/>
  <c r="GN259" i="4"/>
  <c r="GQ249" i="4"/>
  <c r="HL216" i="4" l="1"/>
  <c r="CB237" i="4"/>
  <c r="HM220" i="4"/>
  <c r="HM211" i="4"/>
  <c r="HM207" i="4"/>
  <c r="GN263" i="4"/>
  <c r="GN265" i="4" s="1"/>
  <c r="HM206" i="4"/>
  <c r="HN202" i="4" s="1"/>
  <c r="GR253" i="4"/>
  <c r="GR248" i="4"/>
  <c r="GR247" i="4"/>
  <c r="HD219" i="4"/>
  <c r="HD221" i="4" s="1"/>
  <c r="GP252" i="4"/>
  <c r="GP254" i="4" s="1"/>
  <c r="GL269" i="4"/>
  <c r="GL270" i="4"/>
  <c r="BB264" i="4" s="1"/>
  <c r="BG258" i="4"/>
  <c r="GQ250" i="4"/>
  <c r="GV235" i="4"/>
  <c r="BR238" i="4"/>
  <c r="HB227" i="4"/>
  <c r="GU237" i="4"/>
  <c r="GU238" i="4"/>
  <c r="BK243" i="4" s="1"/>
  <c r="GR246" i="4"/>
  <c r="GS242" i="4" s="1"/>
  <c r="GM267" i="4"/>
  <c r="HC224" i="4"/>
  <c r="HC230" i="4"/>
  <c r="HC223" i="4"/>
  <c r="BJ248" i="4"/>
  <c r="GT239" i="4"/>
  <c r="BJ240" i="4" s="1"/>
  <c r="BJ244" i="4"/>
  <c r="BJ249" i="4" s="1"/>
  <c r="GO258" i="4"/>
  <c r="GW229" i="4"/>
  <c r="GW231" i="4" s="1"/>
  <c r="HM212" i="4" l="1"/>
  <c r="HN208" i="4" s="1"/>
  <c r="HN209" i="4" s="1"/>
  <c r="GN264" i="4"/>
  <c r="GO260" i="4" s="1"/>
  <c r="GO261" i="4" s="1"/>
  <c r="GN266" i="4"/>
  <c r="GN267" i="4" s="1"/>
  <c r="HN203" i="4"/>
  <c r="HN205" i="4" s="1"/>
  <c r="HM213" i="4"/>
  <c r="HM215" i="4"/>
  <c r="GP257" i="4"/>
  <c r="GP262" i="4"/>
  <c r="GP256" i="4"/>
  <c r="GP255" i="4"/>
  <c r="GQ251" i="4" s="1"/>
  <c r="GW234" i="4"/>
  <c r="GW233" i="4"/>
  <c r="GW232" i="4"/>
  <c r="GX228" i="4" s="1"/>
  <c r="HD224" i="4"/>
  <c r="HD230" i="4"/>
  <c r="HD223" i="4"/>
  <c r="GT240" i="4"/>
  <c r="BJ250" i="4"/>
  <c r="BJ245" i="4"/>
  <c r="HC226" i="4"/>
  <c r="HD222" i="4"/>
  <c r="HE218" i="4" s="1"/>
  <c r="BC260" i="4"/>
  <c r="GM268" i="4"/>
  <c r="GS243" i="4"/>
  <c r="GS245" i="4" s="1"/>
  <c r="BL239" i="4"/>
  <c r="GV236" i="4"/>
  <c r="BE259" i="4"/>
  <c r="GO259" i="4"/>
  <c r="BB269" i="4"/>
  <c r="GL271" i="4"/>
  <c r="BB261" i="4" s="1"/>
  <c r="BB265" i="4"/>
  <c r="BB270" i="4" s="1"/>
  <c r="BK248" i="4"/>
  <c r="GU239" i="4"/>
  <c r="BK240" i="4" s="1"/>
  <c r="BK244" i="4"/>
  <c r="BK249" i="4" s="1"/>
  <c r="GR249" i="4"/>
  <c r="HM216" i="4" l="1"/>
  <c r="CC237" i="4"/>
  <c r="GO263" i="4"/>
  <c r="GO264" i="4" s="1"/>
  <c r="GP260" i="4" s="1"/>
  <c r="HN206" i="4"/>
  <c r="HO202" i="4" s="1"/>
  <c r="HO203" i="4" s="1"/>
  <c r="HO205" i="4" s="1"/>
  <c r="BB271" i="4"/>
  <c r="BB266" i="4"/>
  <c r="HN220" i="4"/>
  <c r="HN207" i="4"/>
  <c r="HN211" i="4"/>
  <c r="GS253" i="4"/>
  <c r="GS248" i="4"/>
  <c r="GS247" i="4"/>
  <c r="GS246" i="4"/>
  <c r="GT242" i="4" s="1"/>
  <c r="BK250" i="4"/>
  <c r="GU240" i="4"/>
  <c r="BS238" i="4"/>
  <c r="HC227" i="4"/>
  <c r="GV237" i="4"/>
  <c r="GV238" i="4"/>
  <c r="BL243" i="4" s="1"/>
  <c r="BD260" i="4"/>
  <c r="GN268" i="4"/>
  <c r="HD226" i="4"/>
  <c r="GX229" i="4"/>
  <c r="GX231" i="4" s="1"/>
  <c r="GQ252" i="4"/>
  <c r="GQ254" i="4" s="1"/>
  <c r="BH258" i="4"/>
  <c r="GR250" i="4"/>
  <c r="GM269" i="4"/>
  <c r="GM270" i="4"/>
  <c r="BC264" i="4" s="1"/>
  <c r="GW235" i="4"/>
  <c r="HE219" i="4"/>
  <c r="HE221" i="4" s="1"/>
  <c r="BK245" i="4"/>
  <c r="GP258" i="4"/>
  <c r="GO266" i="4" l="1"/>
  <c r="GO267" i="4" s="1"/>
  <c r="GO265" i="4"/>
  <c r="HN215" i="4"/>
  <c r="HN213" i="4"/>
  <c r="HN212" i="4"/>
  <c r="HO208" i="4" s="1"/>
  <c r="HO207" i="4"/>
  <c r="HO211" i="4"/>
  <c r="HO220" i="4"/>
  <c r="HO206" i="4"/>
  <c r="HP202" i="4" s="1"/>
  <c r="HP203" i="4" s="1"/>
  <c r="HP205" i="4" s="1"/>
  <c r="GQ257" i="4"/>
  <c r="GQ262" i="4"/>
  <c r="GQ256" i="4"/>
  <c r="GX234" i="4"/>
  <c r="GX233" i="4"/>
  <c r="GX232" i="4"/>
  <c r="GY228" i="4" s="1"/>
  <c r="HE224" i="4"/>
  <c r="HE230" i="4"/>
  <c r="HE223" i="4"/>
  <c r="HE222" i="4"/>
  <c r="HF218" i="4" s="1"/>
  <c r="GQ255" i="4"/>
  <c r="GR251" i="4" s="1"/>
  <c r="GT243" i="4"/>
  <c r="GT245" i="4" s="1"/>
  <c r="BC269" i="4"/>
  <c r="GM271" i="4"/>
  <c r="BC261" i="4" s="1"/>
  <c r="BC265" i="4"/>
  <c r="BC270" i="4" s="1"/>
  <c r="GN269" i="4"/>
  <c r="GN270" i="4"/>
  <c r="BD264" i="4" s="1"/>
  <c r="BL248" i="4"/>
  <c r="GP261" i="4"/>
  <c r="BF259" i="4"/>
  <c r="GP259" i="4"/>
  <c r="BT238" i="4"/>
  <c r="HD227" i="4"/>
  <c r="GS249" i="4"/>
  <c r="BM239" i="4"/>
  <c r="GW236" i="4"/>
  <c r="GV239" i="4"/>
  <c r="BL240" i="4" s="1"/>
  <c r="BL244" i="4"/>
  <c r="BL249" i="4" s="1"/>
  <c r="HP211" i="4" l="1"/>
  <c r="HP215" i="4" s="1"/>
  <c r="CF237" i="4" s="1"/>
  <c r="HN216" i="4"/>
  <c r="CD237" i="4"/>
  <c r="HP206" i="4"/>
  <c r="HQ202" i="4" s="1"/>
  <c r="HQ203" i="4" s="1"/>
  <c r="HQ205" i="4" s="1"/>
  <c r="HP207" i="4"/>
  <c r="HP220" i="4"/>
  <c r="GP263" i="4"/>
  <c r="GP266" i="4" s="1"/>
  <c r="BL245" i="4"/>
  <c r="HO209" i="4"/>
  <c r="HO212" i="4" s="1"/>
  <c r="HP208" i="4" s="1"/>
  <c r="HO215" i="4"/>
  <c r="HO213" i="4"/>
  <c r="GT253" i="4"/>
  <c r="GT248" i="4"/>
  <c r="GT247" i="4"/>
  <c r="GT246" i="4"/>
  <c r="GU242" i="4" s="1"/>
  <c r="HE226" i="4"/>
  <c r="BD269" i="4"/>
  <c r="GN271" i="4"/>
  <c r="BD261" i="4" s="1"/>
  <c r="BD265" i="4"/>
  <c r="BD270" i="4" s="1"/>
  <c r="BI258" i="4"/>
  <c r="GS250" i="4"/>
  <c r="BC271" i="4"/>
  <c r="GR252" i="4"/>
  <c r="GR254" i="4" s="1"/>
  <c r="GX235" i="4"/>
  <c r="BE260" i="4"/>
  <c r="GO268" i="4"/>
  <c r="BC266" i="4"/>
  <c r="HF219" i="4"/>
  <c r="GV240" i="4"/>
  <c r="BL250" i="4"/>
  <c r="GY229" i="4"/>
  <c r="GY231" i="4" s="1"/>
  <c r="GW238" i="4"/>
  <c r="BM243" i="4" s="1"/>
  <c r="GW237" i="4"/>
  <c r="GQ258" i="4"/>
  <c r="HP213" i="4" l="1"/>
  <c r="HO216" i="4"/>
  <c r="CE237" i="4"/>
  <c r="GP264" i="4"/>
  <c r="GQ260" i="4" s="1"/>
  <c r="GQ261" i="4" s="1"/>
  <c r="GP265" i="4"/>
  <c r="HP209" i="4"/>
  <c r="HP212" i="4" s="1"/>
  <c r="HQ208" i="4" s="1"/>
  <c r="HQ209" i="4" s="1"/>
  <c r="HQ220" i="4"/>
  <c r="HQ207" i="4"/>
  <c r="HQ211" i="4"/>
  <c r="GR257" i="4"/>
  <c r="GR262" i="4"/>
  <c r="GR256" i="4"/>
  <c r="GR255" i="4"/>
  <c r="GS251" i="4" s="1"/>
  <c r="GY234" i="4"/>
  <c r="GY233" i="4"/>
  <c r="GY232" i="4"/>
  <c r="GZ228" i="4" s="1"/>
  <c r="HF221" i="4"/>
  <c r="BU238" i="4"/>
  <c r="HE227" i="4"/>
  <c r="BG259" i="4"/>
  <c r="GQ259" i="4"/>
  <c r="GP267" i="4"/>
  <c r="BD271" i="4"/>
  <c r="GO269" i="4"/>
  <c r="GO270" i="4"/>
  <c r="BE264" i="4" s="1"/>
  <c r="GU243" i="4"/>
  <c r="GU245" i="4" s="1"/>
  <c r="HQ206" i="4"/>
  <c r="HR202" i="4" s="1"/>
  <c r="HP216" i="4"/>
  <c r="BD266" i="4"/>
  <c r="BN239" i="4"/>
  <c r="GX236" i="4"/>
  <c r="GW239" i="4"/>
  <c r="BM240" i="4" s="1"/>
  <c r="BM244" i="4"/>
  <c r="BM249" i="4" s="1"/>
  <c r="GT249" i="4"/>
  <c r="BM248" i="4"/>
  <c r="GQ263" i="4" l="1"/>
  <c r="GQ265" i="4" s="1"/>
  <c r="BM245" i="4"/>
  <c r="GU246" i="4"/>
  <c r="GV242" i="4" s="1"/>
  <c r="GV243" i="4" s="1"/>
  <c r="GV245" i="4" s="1"/>
  <c r="BF260" i="4"/>
  <c r="GP268" i="4"/>
  <c r="BJ258" i="4"/>
  <c r="GT250" i="4"/>
  <c r="HF224" i="4"/>
  <c r="HF230" i="4"/>
  <c r="HF223" i="4"/>
  <c r="GY235" i="4"/>
  <c r="GR258" i="4"/>
  <c r="GW240" i="4"/>
  <c r="BM250" i="4"/>
  <c r="GX238" i="4"/>
  <c r="BN243" i="4" s="1"/>
  <c r="GX237" i="4"/>
  <c r="HF222" i="4"/>
  <c r="HG218" i="4" s="1"/>
  <c r="GS252" i="4"/>
  <c r="GS254" i="4" s="1"/>
  <c r="HR203" i="4"/>
  <c r="HR205" i="4" s="1"/>
  <c r="BE269" i="4"/>
  <c r="GZ229" i="4"/>
  <c r="GZ231" i="4" s="1"/>
  <c r="GU248" i="4"/>
  <c r="GU253" i="4"/>
  <c r="GU247" i="4"/>
  <c r="HQ213" i="4"/>
  <c r="HQ215" i="4"/>
  <c r="CG237" i="4" s="1"/>
  <c r="HQ212" i="4"/>
  <c r="HR208" i="4" s="1"/>
  <c r="GO271" i="4"/>
  <c r="BE261" i="4" s="1"/>
  <c r="BE265" i="4"/>
  <c r="BE270" i="4" s="1"/>
  <c r="HR206" i="4" l="1"/>
  <c r="HS202" i="4" s="1"/>
  <c r="HS203" i="4" s="1"/>
  <c r="HS205" i="4" s="1"/>
  <c r="GQ266" i="4"/>
  <c r="GQ267" i="4" s="1"/>
  <c r="GQ264" i="4"/>
  <c r="GR260" i="4" s="1"/>
  <c r="GR261" i="4" s="1"/>
  <c r="BE266" i="4"/>
  <c r="BE271" i="4"/>
  <c r="GS257" i="4"/>
  <c r="GS262" i="4"/>
  <c r="GS256" i="4"/>
  <c r="GS255" i="4"/>
  <c r="GT251" i="4" s="1"/>
  <c r="GZ234" i="4"/>
  <c r="GZ233" i="4"/>
  <c r="GV248" i="4"/>
  <c r="GV253" i="4"/>
  <c r="GV247" i="4"/>
  <c r="HG219" i="4"/>
  <c r="HG221" i="4" s="1"/>
  <c r="HG222" i="4" s="1"/>
  <c r="HH218" i="4" s="1"/>
  <c r="GU249" i="4"/>
  <c r="BH259" i="4"/>
  <c r="GR259" i="4"/>
  <c r="HF226" i="4"/>
  <c r="HR209" i="4"/>
  <c r="GX239" i="4"/>
  <c r="BN240" i="4" s="1"/>
  <c r="BN244" i="4"/>
  <c r="BN249" i="4" s="1"/>
  <c r="GZ232" i="4"/>
  <c r="HA228" i="4" s="1"/>
  <c r="BO239" i="4"/>
  <c r="GY236" i="4"/>
  <c r="GV246" i="4"/>
  <c r="GW242" i="4" s="1"/>
  <c r="HR220" i="4"/>
  <c r="HR211" i="4"/>
  <c r="HR207" i="4"/>
  <c r="GP270" i="4"/>
  <c r="BF264" i="4" s="1"/>
  <c r="GP269" i="4"/>
  <c r="HQ216" i="4"/>
  <c r="BN248" i="4"/>
  <c r="GR263" i="4" l="1"/>
  <c r="GR264" i="4" s="1"/>
  <c r="GS260" i="4" s="1"/>
  <c r="GS261" i="4" s="1"/>
  <c r="HH219" i="4"/>
  <c r="HH221" i="4" s="1"/>
  <c r="HH222" i="4" s="1"/>
  <c r="HI218" i="4" s="1"/>
  <c r="HS211" i="4"/>
  <c r="HS220" i="4"/>
  <c r="HS207" i="4"/>
  <c r="HS206" i="4"/>
  <c r="HT202" i="4" s="1"/>
  <c r="BF269" i="4"/>
  <c r="HR213" i="4"/>
  <c r="HR215" i="4"/>
  <c r="CH237" i="4" s="1"/>
  <c r="HA229" i="4"/>
  <c r="HA231" i="4" s="1"/>
  <c r="HA232" i="4" s="1"/>
  <c r="HB228" i="4" s="1"/>
  <c r="GT252" i="4"/>
  <c r="GT254" i="4" s="1"/>
  <c r="GT255" i="4" s="1"/>
  <c r="GU251" i="4" s="1"/>
  <c r="BK258" i="4"/>
  <c r="GU250" i="4"/>
  <c r="GP271" i="4"/>
  <c r="BF261" i="4" s="1"/>
  <c r="BF265" i="4"/>
  <c r="BF270" i="4" s="1"/>
  <c r="GY238" i="4"/>
  <c r="BO243" i="4" s="1"/>
  <c r="GY237" i="4"/>
  <c r="BN250" i="4"/>
  <c r="GX240" i="4"/>
  <c r="BN245" i="4"/>
  <c r="HG224" i="4"/>
  <c r="HG230" i="4"/>
  <c r="HG223" i="4"/>
  <c r="GW243" i="4"/>
  <c r="GV249" i="4"/>
  <c r="HR212" i="4"/>
  <c r="HS208" i="4" s="1"/>
  <c r="BG260" i="4"/>
  <c r="GQ268" i="4"/>
  <c r="GZ235" i="4"/>
  <c r="BV238" i="4"/>
  <c r="HF227" i="4"/>
  <c r="GS258" i="4"/>
  <c r="GR266" i="4" l="1"/>
  <c r="GR267" i="4" s="1"/>
  <c r="GR265" i="4"/>
  <c r="BF266" i="4"/>
  <c r="BF271" i="4"/>
  <c r="GU252" i="4"/>
  <c r="GU254" i="4" s="1"/>
  <c r="GW245" i="4"/>
  <c r="BP239" i="4"/>
  <c r="GZ236" i="4"/>
  <c r="GQ269" i="4"/>
  <c r="GQ270" i="4"/>
  <c r="BG264" i="4" s="1"/>
  <c r="HS209" i="4"/>
  <c r="HS212" i="4" s="1"/>
  <c r="HT208" i="4" s="1"/>
  <c r="BL258" i="4"/>
  <c r="GV250" i="4"/>
  <c r="HI219" i="4"/>
  <c r="HI221" i="4" s="1"/>
  <c r="HB229" i="4"/>
  <c r="HB231" i="4" s="1"/>
  <c r="HR216" i="4"/>
  <c r="BI259" i="4"/>
  <c r="GS259" i="4"/>
  <c r="HT203" i="4"/>
  <c r="HT205" i="4" s="1"/>
  <c r="HH224" i="4"/>
  <c r="HH230" i="4"/>
  <c r="HH223" i="4"/>
  <c r="GT257" i="4"/>
  <c r="GT262" i="4"/>
  <c r="GT256" i="4"/>
  <c r="HA234" i="4"/>
  <c r="HA233" i="4"/>
  <c r="HG226" i="4"/>
  <c r="GY239" i="4"/>
  <c r="BO240" i="4" s="1"/>
  <c r="BO244" i="4"/>
  <c r="BO249" i="4" s="1"/>
  <c r="BO248" i="4"/>
  <c r="HS215" i="4"/>
  <c r="CI237" i="4" s="1"/>
  <c r="HS213" i="4"/>
  <c r="BO245" i="4" l="1"/>
  <c r="HT209" i="4"/>
  <c r="GU257" i="4"/>
  <c r="GU262" i="4"/>
  <c r="GU256" i="4"/>
  <c r="GU255" i="4"/>
  <c r="GV251" i="4" s="1"/>
  <c r="HI224" i="4"/>
  <c r="HI230" i="4"/>
  <c r="HI223" i="4"/>
  <c r="GZ237" i="4"/>
  <c r="GZ238" i="4"/>
  <c r="BP243" i="4" s="1"/>
  <c r="BW238" i="4"/>
  <c r="HG227" i="4"/>
  <c r="HB234" i="4"/>
  <c r="HB233" i="4"/>
  <c r="HA235" i="4"/>
  <c r="HH226" i="4"/>
  <c r="GQ271" i="4"/>
  <c r="BG261" i="4" s="1"/>
  <c r="BG265" i="4"/>
  <c r="BG270" i="4" s="1"/>
  <c r="HT220" i="4"/>
  <c r="HT207" i="4"/>
  <c r="HT211" i="4"/>
  <c r="HB232" i="4"/>
  <c r="HC228" i="4" s="1"/>
  <c r="HI222" i="4"/>
  <c r="HJ218" i="4" s="1"/>
  <c r="GT258" i="4"/>
  <c r="BG269" i="4"/>
  <c r="HS216" i="4"/>
  <c r="HT206" i="4"/>
  <c r="HU202" i="4" s="1"/>
  <c r="GY240" i="4"/>
  <c r="BO250" i="4"/>
  <c r="GW253" i="4"/>
  <c r="GW248" i="4"/>
  <c r="GW247" i="4"/>
  <c r="BH260" i="4"/>
  <c r="GR268" i="4"/>
  <c r="GW246" i="4"/>
  <c r="GX242" i="4" s="1"/>
  <c r="GS263" i="4"/>
  <c r="HT212" i="4" l="1"/>
  <c r="HU208" i="4" s="1"/>
  <c r="HU209" i="4" s="1"/>
  <c r="BG271" i="4"/>
  <c r="BG266" i="4"/>
  <c r="BQ239" i="4"/>
  <c r="HA236" i="4"/>
  <c r="HJ219" i="4"/>
  <c r="HJ221" i="4" s="1"/>
  <c r="HI226" i="4"/>
  <c r="GX243" i="4"/>
  <c r="GX245" i="4" s="1"/>
  <c r="GX246" i="4" s="1"/>
  <c r="GY242" i="4" s="1"/>
  <c r="GU258" i="4"/>
  <c r="HB235" i="4"/>
  <c r="HU203" i="4"/>
  <c r="HU205" i="4" s="1"/>
  <c r="BP248" i="4"/>
  <c r="GZ239" i="4"/>
  <c r="BP240" i="4" s="1"/>
  <c r="BP244" i="4"/>
  <c r="BP249" i="4" s="1"/>
  <c r="BJ259" i="4"/>
  <c r="GT259" i="4"/>
  <c r="HC229" i="4"/>
  <c r="HC231" i="4" s="1"/>
  <c r="GS266" i="4"/>
  <c r="GS264" i="4"/>
  <c r="GT260" i="4" s="1"/>
  <c r="GS265" i="4"/>
  <c r="GV252" i="4"/>
  <c r="GR270" i="4"/>
  <c r="BH264" i="4" s="1"/>
  <c r="GR269" i="4"/>
  <c r="GW249" i="4"/>
  <c r="HT213" i="4"/>
  <c r="HT215" i="4"/>
  <c r="CJ237" i="4" s="1"/>
  <c r="BX238" i="4"/>
  <c r="HH227" i="4"/>
  <c r="HJ222" i="4" l="1"/>
  <c r="HK218" i="4" s="1"/>
  <c r="HK219" i="4" s="1"/>
  <c r="HK221" i="4" s="1"/>
  <c r="HC234" i="4"/>
  <c r="HC233" i="4"/>
  <c r="HC232" i="4"/>
  <c r="HD228" i="4" s="1"/>
  <c r="HU220" i="4"/>
  <c r="HU211" i="4"/>
  <c r="HU207" i="4"/>
  <c r="GY243" i="4"/>
  <c r="GY245" i="4" s="1"/>
  <c r="GR271" i="4"/>
  <c r="BH261" i="4" s="1"/>
  <c r="BH265" i="4"/>
  <c r="BH270" i="4" s="1"/>
  <c r="BR239" i="4"/>
  <c r="HB236" i="4"/>
  <c r="GV254" i="4"/>
  <c r="BY238" i="4"/>
  <c r="HI227" i="4"/>
  <c r="HJ224" i="4"/>
  <c r="HJ230" i="4"/>
  <c r="HJ223" i="4"/>
  <c r="BP250" i="4"/>
  <c r="GZ240" i="4"/>
  <c r="HU206" i="4"/>
  <c r="HV202" i="4" s="1"/>
  <c r="BK259" i="4"/>
  <c r="GU259" i="4"/>
  <c r="GT261" i="4"/>
  <c r="GT263" i="4" s="1"/>
  <c r="HT216" i="4"/>
  <c r="BP245" i="4"/>
  <c r="BM258" i="4"/>
  <c r="GW250" i="4"/>
  <c r="BH269" i="4"/>
  <c r="GX248" i="4"/>
  <c r="GX253" i="4"/>
  <c r="GX247" i="4"/>
  <c r="GS267" i="4"/>
  <c r="HA237" i="4"/>
  <c r="HA238" i="4"/>
  <c r="BQ243" i="4" s="1"/>
  <c r="HJ226" i="4" l="1"/>
  <c r="BH271" i="4"/>
  <c r="BH266" i="4"/>
  <c r="GT266" i="4"/>
  <c r="GT265" i="4"/>
  <c r="HK224" i="4"/>
  <c r="HK230" i="4"/>
  <c r="HK223" i="4"/>
  <c r="HK222" i="4"/>
  <c r="HL218" i="4" s="1"/>
  <c r="GV257" i="4"/>
  <c r="GV262" i="4"/>
  <c r="GV256" i="4"/>
  <c r="GY253" i="4"/>
  <c r="GY248" i="4"/>
  <c r="GY247" i="4"/>
  <c r="HB237" i="4"/>
  <c r="HB238" i="4"/>
  <c r="BR243" i="4" s="1"/>
  <c r="GY246" i="4"/>
  <c r="GZ242" i="4" s="1"/>
  <c r="BQ248" i="4"/>
  <c r="HA239" i="4"/>
  <c r="BQ240" i="4" s="1"/>
  <c r="BQ244" i="4"/>
  <c r="BQ249" i="4" s="1"/>
  <c r="HU215" i="4"/>
  <c r="CK237" i="4" s="1"/>
  <c r="HU213" i="4"/>
  <c r="HU212" i="4"/>
  <c r="HV208" i="4" s="1"/>
  <c r="GT264" i="4"/>
  <c r="GU260" i="4" s="1"/>
  <c r="GV255" i="4"/>
  <c r="GW251" i="4" s="1"/>
  <c r="BI260" i="4"/>
  <c r="GS268" i="4"/>
  <c r="HV203" i="4"/>
  <c r="HV205" i="4" s="1"/>
  <c r="HD229" i="4"/>
  <c r="HD231" i="4" s="1"/>
  <c r="GX249" i="4"/>
  <c r="HC235" i="4"/>
  <c r="HK226" i="4" l="1"/>
  <c r="HJ227" i="4"/>
  <c r="BZ238" i="4"/>
  <c r="HV206" i="4"/>
  <c r="HW202" i="4" s="1"/>
  <c r="HW203" i="4" s="1"/>
  <c r="HW205" i="4" s="1"/>
  <c r="HD232" i="4"/>
  <c r="HE228" i="4" s="1"/>
  <c r="HE229" i="4" s="1"/>
  <c r="HB239" i="4"/>
  <c r="BR240" i="4" s="1"/>
  <c r="BR244" i="4"/>
  <c r="BR249" i="4" s="1"/>
  <c r="GY249" i="4"/>
  <c r="GW252" i="4"/>
  <c r="HL219" i="4"/>
  <c r="HL221" i="4" s="1"/>
  <c r="BS239" i="4"/>
  <c r="HC236" i="4"/>
  <c r="HV220" i="4"/>
  <c r="HV207" i="4"/>
  <c r="HV211" i="4"/>
  <c r="GU261" i="4"/>
  <c r="GU263" i="4" s="1"/>
  <c r="GV258" i="4"/>
  <c r="HU216" i="4"/>
  <c r="GZ243" i="4"/>
  <c r="GZ245" i="4" s="1"/>
  <c r="GT267" i="4"/>
  <c r="HD234" i="4"/>
  <c r="HD233" i="4"/>
  <c r="GS269" i="4"/>
  <c r="GS270" i="4"/>
  <c r="BI264" i="4" s="1"/>
  <c r="HV209" i="4"/>
  <c r="BQ250" i="4"/>
  <c r="HA240" i="4"/>
  <c r="BQ245" i="4"/>
  <c r="BN258" i="4"/>
  <c r="GX250" i="4"/>
  <c r="BR248" i="4"/>
  <c r="HW206" i="4" l="1"/>
  <c r="HX202" i="4" s="1"/>
  <c r="HX203" i="4" s="1"/>
  <c r="HX205" i="4" s="1"/>
  <c r="HK227" i="4"/>
  <c r="CA238" i="4"/>
  <c r="BR245" i="4"/>
  <c r="HE231" i="4"/>
  <c r="HE232" i="4" s="1"/>
  <c r="HF228" i="4" s="1"/>
  <c r="HF229" i="4" s="1"/>
  <c r="HF231" i="4" s="1"/>
  <c r="HV212" i="4"/>
  <c r="HW208" i="4" s="1"/>
  <c r="HW209" i="4" s="1"/>
  <c r="HL224" i="4"/>
  <c r="HL230" i="4"/>
  <c r="HL223" i="4"/>
  <c r="HL222" i="4"/>
  <c r="HM218" i="4" s="1"/>
  <c r="GZ248" i="4"/>
  <c r="GZ253" i="4"/>
  <c r="GZ247" i="4"/>
  <c r="GZ246" i="4"/>
  <c r="HA242" i="4" s="1"/>
  <c r="GW254" i="4"/>
  <c r="GW255" i="4" s="1"/>
  <c r="GX251" i="4" s="1"/>
  <c r="BO258" i="4"/>
  <c r="GY250" i="4"/>
  <c r="GU266" i="4"/>
  <c r="GU265" i="4"/>
  <c r="HV213" i="4"/>
  <c r="HV215" i="4"/>
  <c r="CL237" i="4" s="1"/>
  <c r="BI269" i="4"/>
  <c r="HD235" i="4"/>
  <c r="HW211" i="4"/>
  <c r="HW220" i="4"/>
  <c r="HW207" i="4"/>
  <c r="GU264" i="4"/>
  <c r="GV260" i="4" s="1"/>
  <c r="HC237" i="4"/>
  <c r="HC238" i="4"/>
  <c r="BS243" i="4" s="1"/>
  <c r="GS271" i="4"/>
  <c r="BI261" i="4" s="1"/>
  <c r="BI265" i="4"/>
  <c r="BI270" i="4" s="1"/>
  <c r="BJ260" i="4"/>
  <c r="GT268" i="4"/>
  <c r="HB240" i="4"/>
  <c r="BR250" i="4"/>
  <c r="BL259" i="4"/>
  <c r="GV259" i="4"/>
  <c r="HL226" i="4" l="1"/>
  <c r="HX206" i="4"/>
  <c r="HY202" i="4" s="1"/>
  <c r="HY203" i="4" s="1"/>
  <c r="HY205" i="4" s="1"/>
  <c r="HE233" i="4"/>
  <c r="HW212" i="4"/>
  <c r="HX208" i="4" s="1"/>
  <c r="HX209" i="4" s="1"/>
  <c r="BI266" i="4"/>
  <c r="HE234" i="4"/>
  <c r="HE235" i="4" s="1"/>
  <c r="BI271" i="4"/>
  <c r="BS248" i="4"/>
  <c r="GX252" i="4"/>
  <c r="GX254" i="4" s="1"/>
  <c r="HF234" i="4"/>
  <c r="HF233" i="4"/>
  <c r="HC239" i="4"/>
  <c r="BS240" i="4" s="1"/>
  <c r="BS244" i="4"/>
  <c r="BS249" i="4" s="1"/>
  <c r="GU267" i="4"/>
  <c r="GW257" i="4"/>
  <c r="GW262" i="4"/>
  <c r="GW256" i="4"/>
  <c r="HX211" i="4"/>
  <c r="HX220" i="4"/>
  <c r="HX207" i="4"/>
  <c r="HV216" i="4"/>
  <c r="GT269" i="4"/>
  <c r="GT270" i="4"/>
  <c r="BJ264" i="4" s="1"/>
  <c r="HF232" i="4"/>
  <c r="HG228" i="4" s="1"/>
  <c r="GV261" i="4"/>
  <c r="GV263" i="4" s="1"/>
  <c r="HW213" i="4"/>
  <c r="HW215" i="4"/>
  <c r="CM237" i="4" s="1"/>
  <c r="HA243" i="4"/>
  <c r="HA245" i="4" s="1"/>
  <c r="HA246" i="4" s="1"/>
  <c r="HB242" i="4" s="1"/>
  <c r="BT239" i="4"/>
  <c r="HD236" i="4"/>
  <c r="GZ249" i="4"/>
  <c r="HM219" i="4"/>
  <c r="HM221" i="4" s="1"/>
  <c r="HY206" i="4" l="1"/>
  <c r="HZ202" i="4" s="1"/>
  <c r="HZ203" i="4" s="1"/>
  <c r="HZ205" i="4" s="1"/>
  <c r="HL227" i="4"/>
  <c r="CB238" i="4"/>
  <c r="HX212" i="4"/>
  <c r="HY208" i="4" s="1"/>
  <c r="HY209" i="4" s="1"/>
  <c r="GV266" i="4"/>
  <c r="GV265" i="4"/>
  <c r="GV264" i="4"/>
  <c r="GW260" i="4" s="1"/>
  <c r="HM224" i="4"/>
  <c r="HM230" i="4"/>
  <c r="HM223" i="4"/>
  <c r="HM222" i="4"/>
  <c r="HN218" i="4" s="1"/>
  <c r="GX257" i="4"/>
  <c r="GX262" i="4"/>
  <c r="GX256" i="4"/>
  <c r="HA253" i="4"/>
  <c r="HA248" i="4"/>
  <c r="HA247" i="4"/>
  <c r="GW258" i="4"/>
  <c r="HG229" i="4"/>
  <c r="HG231" i="4" s="1"/>
  <c r="BJ269" i="4"/>
  <c r="GX255" i="4"/>
  <c r="GY251" i="4" s="1"/>
  <c r="BP258" i="4"/>
  <c r="GZ250" i="4"/>
  <c r="HC240" i="4"/>
  <c r="BS250" i="4"/>
  <c r="HB243" i="4"/>
  <c r="HB245" i="4" s="1"/>
  <c r="HB246" i="4" s="1"/>
  <c r="HC242" i="4" s="1"/>
  <c r="HY211" i="4"/>
  <c r="HY207" i="4"/>
  <c r="HY220" i="4"/>
  <c r="HW216" i="4"/>
  <c r="BK260" i="4"/>
  <c r="GU268" i="4"/>
  <c r="HF235" i="4"/>
  <c r="GT271" i="4"/>
  <c r="BJ261" i="4" s="1"/>
  <c r="BJ265" i="4"/>
  <c r="BJ270" i="4" s="1"/>
  <c r="HD238" i="4"/>
  <c r="BT243" i="4" s="1"/>
  <c r="HD237" i="4"/>
  <c r="BU239" i="4"/>
  <c r="HE236" i="4"/>
  <c r="HX213" i="4"/>
  <c r="HX215" i="4"/>
  <c r="CN237" i="4" s="1"/>
  <c r="BS245" i="4"/>
  <c r="HZ206" i="4" l="1"/>
  <c r="IA202" i="4" s="1"/>
  <c r="IA203" i="4" s="1"/>
  <c r="HM226" i="4"/>
  <c r="HY212" i="4"/>
  <c r="HZ208" i="4" s="1"/>
  <c r="HZ209" i="4" s="1"/>
  <c r="HG234" i="4"/>
  <c r="HG233" i="4"/>
  <c r="HG232" i="4"/>
  <c r="HH228" i="4" s="1"/>
  <c r="HA249" i="4"/>
  <c r="HX216" i="4"/>
  <c r="BT248" i="4"/>
  <c r="BM259" i="4"/>
  <c r="GW259" i="4"/>
  <c r="HC243" i="4"/>
  <c r="HC245" i="4" s="1"/>
  <c r="HD239" i="4"/>
  <c r="BT240" i="4" s="1"/>
  <c r="BT244" i="4"/>
  <c r="BT249" i="4" s="1"/>
  <c r="HN219" i="4"/>
  <c r="HN221" i="4" s="1"/>
  <c r="BV239" i="4"/>
  <c r="HF236" i="4"/>
  <c r="HY215" i="4"/>
  <c r="CO237" i="4" s="1"/>
  <c r="HY213" i="4"/>
  <c r="HB248" i="4"/>
  <c r="HB253" i="4"/>
  <c r="HB247" i="4"/>
  <c r="HZ211" i="4"/>
  <c r="HZ220" i="4"/>
  <c r="HZ207" i="4"/>
  <c r="HE237" i="4"/>
  <c r="HE238" i="4"/>
  <c r="BU243" i="4" s="1"/>
  <c r="GX258" i="4"/>
  <c r="GY252" i="4"/>
  <c r="GY254" i="4" s="1"/>
  <c r="BJ271" i="4"/>
  <c r="GU269" i="4"/>
  <c r="GU270" i="4"/>
  <c r="BK264" i="4" s="1"/>
  <c r="BJ266" i="4"/>
  <c r="GW261" i="4"/>
  <c r="GV267" i="4"/>
  <c r="HM227" i="4" l="1"/>
  <c r="CC238" i="4"/>
  <c r="GW263" i="4"/>
  <c r="GW265" i="4" s="1"/>
  <c r="HC246" i="4"/>
  <c r="HD242" i="4" s="1"/>
  <c r="HD243" i="4" s="1"/>
  <c r="BT245" i="4"/>
  <c r="HN224" i="4"/>
  <c r="HN230" i="4"/>
  <c r="HN223" i="4"/>
  <c r="HN222" i="4"/>
  <c r="HO218" i="4" s="1"/>
  <c r="GY257" i="4"/>
  <c r="GY262" i="4"/>
  <c r="GY256" i="4"/>
  <c r="GY255" i="4"/>
  <c r="GZ251" i="4" s="1"/>
  <c r="HZ213" i="4"/>
  <c r="HZ215" i="4"/>
  <c r="CP237" i="4" s="1"/>
  <c r="HZ212" i="4"/>
  <c r="IA208" i="4" s="1"/>
  <c r="IA205" i="4"/>
  <c r="BL260" i="4"/>
  <c r="GV268" i="4"/>
  <c r="HD240" i="4"/>
  <c r="BT250" i="4"/>
  <c r="GU271" i="4"/>
  <c r="BK261" i="4" s="1"/>
  <c r="BK265" i="4"/>
  <c r="BK270" i="4" s="1"/>
  <c r="BN259" i="4"/>
  <c r="GX259" i="4"/>
  <c r="HE239" i="4"/>
  <c r="BU240" i="4" s="1"/>
  <c r="BU244" i="4"/>
  <c r="BU249" i="4" s="1"/>
  <c r="HC248" i="4"/>
  <c r="HC253" i="4"/>
  <c r="HC247" i="4"/>
  <c r="HB249" i="4"/>
  <c r="HY216" i="4"/>
  <c r="BK269" i="4"/>
  <c r="HF237" i="4"/>
  <c r="HF238" i="4"/>
  <c r="BV243" i="4" s="1"/>
  <c r="BQ258" i="4"/>
  <c r="HA250" i="4"/>
  <c r="HH229" i="4"/>
  <c r="HH231" i="4" s="1"/>
  <c r="BU248" i="4"/>
  <c r="HG235" i="4"/>
  <c r="IA206" i="4" l="1"/>
  <c r="IB202" i="4" s="1"/>
  <c r="IB203" i="4" s="1"/>
  <c r="IB205" i="4" s="1"/>
  <c r="HN226" i="4"/>
  <c r="GW264" i="4"/>
  <c r="GX260" i="4" s="1"/>
  <c r="GX261" i="4" s="1"/>
  <c r="GX263" i="4" s="1"/>
  <c r="GW266" i="4"/>
  <c r="GW267" i="4" s="1"/>
  <c r="HD245" i="4"/>
  <c r="HD253" i="4" s="1"/>
  <c r="HH234" i="4"/>
  <c r="HH233" i="4"/>
  <c r="HH232" i="4"/>
  <c r="HI228" i="4" s="1"/>
  <c r="HC249" i="4"/>
  <c r="BU250" i="4"/>
  <c r="HE240" i="4"/>
  <c r="GV269" i="4"/>
  <c r="GV270" i="4"/>
  <c r="BL264" i="4" s="1"/>
  <c r="IA211" i="4"/>
  <c r="IA207" i="4"/>
  <c r="IA220" i="4"/>
  <c r="HZ216" i="4"/>
  <c r="GZ252" i="4"/>
  <c r="GZ254" i="4" s="1"/>
  <c r="BW239" i="4"/>
  <c r="HG236" i="4"/>
  <c r="GY258" i="4"/>
  <c r="BV248" i="4"/>
  <c r="BK271" i="4"/>
  <c r="BR258" i="4"/>
  <c r="HB250" i="4"/>
  <c r="IA209" i="4"/>
  <c r="BU245" i="4"/>
  <c r="HO219" i="4"/>
  <c r="HO221" i="4" s="1"/>
  <c r="HF239" i="4"/>
  <c r="BV240" i="4" s="1"/>
  <c r="BV244" i="4"/>
  <c r="BV249" i="4" s="1"/>
  <c r="BK266" i="4"/>
  <c r="HN227" i="4" l="1"/>
  <c r="CD238" i="4"/>
  <c r="IA212" i="4"/>
  <c r="IB208" i="4" s="1"/>
  <c r="IB209" i="4" s="1"/>
  <c r="HD246" i="4"/>
  <c r="HE242" i="4" s="1"/>
  <c r="HE243" i="4" s="1"/>
  <c r="HD247" i="4"/>
  <c r="HD248" i="4"/>
  <c r="HD249" i="4" s="1"/>
  <c r="GX264" i="4"/>
  <c r="GY260" i="4" s="1"/>
  <c r="GY261" i="4" s="1"/>
  <c r="BV245" i="4"/>
  <c r="HO224" i="4"/>
  <c r="HO230" i="4"/>
  <c r="HO223" i="4"/>
  <c r="HO222" i="4"/>
  <c r="HP218" i="4" s="1"/>
  <c r="GZ257" i="4"/>
  <c r="GZ262" i="4"/>
  <c r="GZ256" i="4"/>
  <c r="GZ255" i="4"/>
  <c r="HA251" i="4" s="1"/>
  <c r="IB220" i="4"/>
  <c r="IB211" i="4"/>
  <c r="IB207" i="4"/>
  <c r="IB206" i="4"/>
  <c r="IC202" i="4" s="1"/>
  <c r="BL269" i="4"/>
  <c r="HG237" i="4"/>
  <c r="HG238" i="4"/>
  <c r="BW243" i="4" s="1"/>
  <c r="BS258" i="4"/>
  <c r="HC250" i="4"/>
  <c r="BM260" i="4"/>
  <c r="GW268" i="4"/>
  <c r="HI229" i="4"/>
  <c r="HI231" i="4" s="1"/>
  <c r="BO259" i="4"/>
  <c r="GY259" i="4"/>
  <c r="GX266" i="4"/>
  <c r="GX265" i="4"/>
  <c r="GV271" i="4"/>
  <c r="BL261" i="4" s="1"/>
  <c r="BL265" i="4"/>
  <c r="BL270" i="4" s="1"/>
  <c r="HF240" i="4"/>
  <c r="BV250" i="4"/>
  <c r="HH235" i="4"/>
  <c r="IA213" i="4"/>
  <c r="IA215" i="4"/>
  <c r="CQ237" i="4" s="1"/>
  <c r="HO226" i="4" l="1"/>
  <c r="BL271" i="4"/>
  <c r="BL266" i="4"/>
  <c r="IB212" i="4"/>
  <c r="IC208" i="4" s="1"/>
  <c r="IC209" i="4" s="1"/>
  <c r="GY263" i="4"/>
  <c r="GY266" i="4" s="1"/>
  <c r="HI234" i="4"/>
  <c r="HI233" i="4"/>
  <c r="HI232" i="4"/>
  <c r="HJ228" i="4" s="1"/>
  <c r="HE245" i="4"/>
  <c r="GZ258" i="4"/>
  <c r="GW270" i="4"/>
  <c r="BM264" i="4" s="1"/>
  <c r="GW269" i="4"/>
  <c r="BW248" i="4"/>
  <c r="HG239" i="4"/>
  <c r="BW240" i="4" s="1"/>
  <c r="BW244" i="4"/>
  <c r="BW249" i="4" s="1"/>
  <c r="GX267" i="4"/>
  <c r="IA216" i="4"/>
  <c r="BT258" i="4"/>
  <c r="HD250" i="4"/>
  <c r="IC203" i="4"/>
  <c r="IC205" i="4" s="1"/>
  <c r="IB215" i="4"/>
  <c r="CR237" i="4" s="1"/>
  <c r="IB213" i="4"/>
  <c r="HA252" i="4"/>
  <c r="HA254" i="4" s="1"/>
  <c r="BX239" i="4"/>
  <c r="HH236" i="4"/>
  <c r="HP219" i="4"/>
  <c r="HP221" i="4" s="1"/>
  <c r="IC206" i="4" l="1"/>
  <c r="ID202" i="4" s="1"/>
  <c r="ID203" i="4" s="1"/>
  <c r="ID205" i="4" s="1"/>
  <c r="HO227" i="4"/>
  <c r="CE238" i="4"/>
  <c r="GY264" i="4"/>
  <c r="GZ260" i="4" s="1"/>
  <c r="GZ261" i="4" s="1"/>
  <c r="GY265" i="4"/>
  <c r="HP222" i="4"/>
  <c r="HQ218" i="4" s="1"/>
  <c r="HQ219" i="4" s="1"/>
  <c r="HQ221" i="4" s="1"/>
  <c r="BW250" i="4"/>
  <c r="HG240" i="4"/>
  <c r="HA257" i="4"/>
  <c r="HA262" i="4"/>
  <c r="HA256" i="4"/>
  <c r="BM269" i="4"/>
  <c r="IB216" i="4"/>
  <c r="HE253" i="4"/>
  <c r="HE248" i="4"/>
  <c r="HE247" i="4"/>
  <c r="HE246" i="4"/>
  <c r="HF242" i="4" s="1"/>
  <c r="HH237" i="4"/>
  <c r="HH238" i="4"/>
  <c r="BX243" i="4" s="1"/>
  <c r="HA255" i="4"/>
  <c r="HB251" i="4" s="1"/>
  <c r="GW271" i="4"/>
  <c r="BM261" i="4" s="1"/>
  <c r="BM265" i="4"/>
  <c r="BM270" i="4" s="1"/>
  <c r="BP259" i="4"/>
  <c r="GZ259" i="4"/>
  <c r="IC220" i="4"/>
  <c r="IC207" i="4"/>
  <c r="IC211" i="4"/>
  <c r="HJ229" i="4"/>
  <c r="HJ231" i="4" s="1"/>
  <c r="HP224" i="4"/>
  <c r="HP230" i="4"/>
  <c r="HP223" i="4"/>
  <c r="BN260" i="4"/>
  <c r="GX268" i="4"/>
  <c r="BW245" i="4"/>
  <c r="HI235" i="4"/>
  <c r="GY267" i="4"/>
  <c r="HP226" i="4" l="1"/>
  <c r="BM266" i="4"/>
  <c r="GZ263" i="4"/>
  <c r="GZ266" i="4" s="1"/>
  <c r="BM271" i="4"/>
  <c r="ID220" i="4"/>
  <c r="ID207" i="4"/>
  <c r="ID211" i="4"/>
  <c r="ID206" i="4"/>
  <c r="IE202" i="4" s="1"/>
  <c r="HJ234" i="4"/>
  <c r="HJ233" i="4"/>
  <c r="HJ232" i="4"/>
  <c r="HK228" i="4" s="1"/>
  <c r="HQ224" i="4"/>
  <c r="HQ230" i="4"/>
  <c r="HQ223" i="4"/>
  <c r="HQ222" i="4"/>
  <c r="HR218" i="4" s="1"/>
  <c r="BO260" i="4"/>
  <c r="GY268" i="4"/>
  <c r="HH239" i="4"/>
  <c r="BX240" i="4" s="1"/>
  <c r="BX244" i="4"/>
  <c r="BX249" i="4" s="1"/>
  <c r="IC215" i="4"/>
  <c r="CS237" i="4" s="1"/>
  <c r="IC213" i="4"/>
  <c r="BX248" i="4"/>
  <c r="HF243" i="4"/>
  <c r="HF245" i="4" s="1"/>
  <c r="HF246" i="4" s="1"/>
  <c r="HG242" i="4" s="1"/>
  <c r="HE249" i="4"/>
  <c r="HA258" i="4"/>
  <c r="HB252" i="4"/>
  <c r="HB254" i="4" s="1"/>
  <c r="BY239" i="4"/>
  <c r="HI236" i="4"/>
  <c r="IC212" i="4"/>
  <c r="ID208" i="4" s="1"/>
  <c r="GX269" i="4"/>
  <c r="GX270" i="4"/>
  <c r="BN264" i="4" s="1"/>
  <c r="HQ226" i="4" l="1"/>
  <c r="HJ235" i="4"/>
  <c r="HP227" i="4"/>
  <c r="CF238" i="4"/>
  <c r="GZ265" i="4"/>
  <c r="GZ264" i="4"/>
  <c r="HA260" i="4" s="1"/>
  <c r="HA261" i="4" s="1"/>
  <c r="BX245" i="4"/>
  <c r="HB257" i="4"/>
  <c r="HB262" i="4"/>
  <c r="HB256" i="4"/>
  <c r="HB255" i="4"/>
  <c r="HC251" i="4" s="1"/>
  <c r="GY269" i="4"/>
  <c r="GY270" i="4"/>
  <c r="BO264" i="4" s="1"/>
  <c r="HR219" i="4"/>
  <c r="HR221" i="4" s="1"/>
  <c r="BQ259" i="4"/>
  <c r="HA259" i="4"/>
  <c r="BU258" i="4"/>
  <c r="HE250" i="4"/>
  <c r="HK229" i="4"/>
  <c r="HK231" i="4" s="1"/>
  <c r="BN269" i="4"/>
  <c r="IC216" i="4"/>
  <c r="HF248" i="4"/>
  <c r="HF253" i="4"/>
  <c r="HF247" i="4"/>
  <c r="HH240" i="4"/>
  <c r="BX250" i="4"/>
  <c r="IE203" i="4"/>
  <c r="IE205" i="4" s="1"/>
  <c r="GX271" i="4"/>
  <c r="BN261" i="4" s="1"/>
  <c r="BN265" i="4"/>
  <c r="BN270" i="4" s="1"/>
  <c r="HI238" i="4"/>
  <c r="BY243" i="4" s="1"/>
  <c r="HI237" i="4"/>
  <c r="HG243" i="4"/>
  <c r="HG245" i="4" s="1"/>
  <c r="GZ267" i="4"/>
  <c r="ID215" i="4"/>
  <c r="CT237" i="4" s="1"/>
  <c r="ID213" i="4"/>
  <c r="ID209" i="4"/>
  <c r="ID212" i="4" s="1"/>
  <c r="IE208" i="4" s="1"/>
  <c r="IE206" i="4" l="1"/>
  <c r="IF202" i="4" s="1"/>
  <c r="IF203" i="4" s="1"/>
  <c r="IF205" i="4" s="1"/>
  <c r="HJ236" i="4"/>
  <c r="BZ239" i="4"/>
  <c r="HQ227" i="4"/>
  <c r="CG238" i="4"/>
  <c r="BN271" i="4"/>
  <c r="BN266" i="4"/>
  <c r="HA263" i="4"/>
  <c r="HA264" i="4" s="1"/>
  <c r="HB260" i="4" s="1"/>
  <c r="HK234" i="4"/>
  <c r="HK233" i="4"/>
  <c r="HK232" i="4"/>
  <c r="HL228" i="4" s="1"/>
  <c r="HG253" i="4"/>
  <c r="HG248" i="4"/>
  <c r="HG247" i="4"/>
  <c r="HR224" i="4"/>
  <c r="HR230" i="4"/>
  <c r="HR223" i="4"/>
  <c r="HR222" i="4"/>
  <c r="HS218" i="4" s="1"/>
  <c r="IE209" i="4"/>
  <c r="ID216" i="4"/>
  <c r="HC252" i="4"/>
  <c r="HC254" i="4" s="1"/>
  <c r="HF249" i="4"/>
  <c r="HI239" i="4"/>
  <c r="BY240" i="4" s="1"/>
  <c r="BY244" i="4"/>
  <c r="BY245" i="4" s="1"/>
  <c r="BY248" i="4"/>
  <c r="IE220" i="4"/>
  <c r="IE207" i="4"/>
  <c r="IE211" i="4"/>
  <c r="BO269" i="4"/>
  <c r="GY271" i="4"/>
  <c r="BO261" i="4" s="1"/>
  <c r="BO265" i="4"/>
  <c r="BO270" i="4" s="1"/>
  <c r="BP260" i="4"/>
  <c r="GZ268" i="4"/>
  <c r="HG246" i="4"/>
  <c r="HH242" i="4" s="1"/>
  <c r="HB258" i="4"/>
  <c r="HR226" i="4" l="1"/>
  <c r="IF206" i="4"/>
  <c r="IG202" i="4" s="1"/>
  <c r="IG203" i="4" s="1"/>
  <c r="IG205" i="4" s="1"/>
  <c r="HK235" i="4"/>
  <c r="HJ238" i="4"/>
  <c r="BZ243" i="4" s="1"/>
  <c r="HJ237" i="4"/>
  <c r="HA266" i="4"/>
  <c r="HA267" i="4" s="1"/>
  <c r="HA265" i="4"/>
  <c r="IE212" i="4"/>
  <c r="IF208" i="4" s="1"/>
  <c r="IF209" i="4" s="1"/>
  <c r="HC257" i="4"/>
  <c r="HC262" i="4"/>
  <c r="HC256" i="4"/>
  <c r="HC255" i="4"/>
  <c r="HD251" i="4" s="1"/>
  <c r="BO271" i="4"/>
  <c r="HS219" i="4"/>
  <c r="HS221" i="4" s="1"/>
  <c r="HG249" i="4"/>
  <c r="HL229" i="4"/>
  <c r="HL231" i="4" s="1"/>
  <c r="BO266" i="4"/>
  <c r="HI240" i="4"/>
  <c r="BY249" i="4"/>
  <c r="BV258" i="4"/>
  <c r="HF250" i="4"/>
  <c r="HB261" i="4"/>
  <c r="IE213" i="4"/>
  <c r="IE215" i="4"/>
  <c r="CU237" i="4" s="1"/>
  <c r="IF211" i="4"/>
  <c r="IF207" i="4"/>
  <c r="IF220" i="4"/>
  <c r="BR259" i="4"/>
  <c r="HB259" i="4"/>
  <c r="HH243" i="4"/>
  <c r="HH245" i="4" s="1"/>
  <c r="GZ270" i="4"/>
  <c r="BP264" i="4" s="1"/>
  <c r="GZ269" i="4"/>
  <c r="BZ244" i="4" l="1"/>
  <c r="BZ245" i="4" s="1"/>
  <c r="HJ239" i="4"/>
  <c r="BZ240" i="4" s="1"/>
  <c r="IG206" i="4"/>
  <c r="IH202" i="4" s="1"/>
  <c r="IH203" i="4" s="1"/>
  <c r="IH205" i="4" s="1"/>
  <c r="HB263" i="4"/>
  <c r="HB265" i="4" s="1"/>
  <c r="BZ248" i="4"/>
  <c r="HK236" i="4"/>
  <c r="CA239" i="4"/>
  <c r="HR227" i="4"/>
  <c r="CH238" i="4"/>
  <c r="HL234" i="4"/>
  <c r="HL233" i="4"/>
  <c r="HL232" i="4"/>
  <c r="HM228" i="4" s="1"/>
  <c r="HS224" i="4"/>
  <c r="HS230" i="4"/>
  <c r="HS223" i="4"/>
  <c r="HS222" i="4"/>
  <c r="HT218" i="4" s="1"/>
  <c r="BW258" i="4"/>
  <c r="HG250" i="4"/>
  <c r="HC258" i="4"/>
  <c r="IG211" i="4"/>
  <c r="IG220" i="4"/>
  <c r="IG207" i="4"/>
  <c r="GZ271" i="4"/>
  <c r="BP261" i="4" s="1"/>
  <c r="BP265" i="4"/>
  <c r="BP270" i="4" s="1"/>
  <c r="HH253" i="4"/>
  <c r="HH248" i="4"/>
  <c r="HH247" i="4"/>
  <c r="IF215" i="4"/>
  <c r="CV237" i="4" s="1"/>
  <c r="IF213" i="4"/>
  <c r="IF212" i="4"/>
  <c r="IG208" i="4" s="1"/>
  <c r="BQ260" i="4"/>
  <c r="HA268" i="4"/>
  <c r="IE216" i="4"/>
  <c r="BP269" i="4"/>
  <c r="HH246" i="4"/>
  <c r="HI242" i="4" s="1"/>
  <c r="HD252" i="4"/>
  <c r="HD254" i="4" s="1"/>
  <c r="BY250" i="4"/>
  <c r="HB264" i="4" l="1"/>
  <c r="HC260" i="4" s="1"/>
  <c r="HC261" i="4" s="1"/>
  <c r="HB266" i="4"/>
  <c r="HB267" i="4" s="1"/>
  <c r="HL235" i="4"/>
  <c r="HK237" i="4"/>
  <c r="HK238" i="4"/>
  <c r="CA243" i="4" s="1"/>
  <c r="HJ240" i="4"/>
  <c r="BZ249" i="4"/>
  <c r="HS226" i="4"/>
  <c r="BP271" i="4"/>
  <c r="HD257" i="4"/>
  <c r="HD262" i="4"/>
  <c r="HD256" i="4"/>
  <c r="HD255" i="4"/>
  <c r="HE251" i="4" s="1"/>
  <c r="BS259" i="4"/>
  <c r="HC259" i="4"/>
  <c r="IG209" i="4"/>
  <c r="IG212" i="4" s="1"/>
  <c r="IH208" i="4" s="1"/>
  <c r="HT219" i="4"/>
  <c r="HT221" i="4" s="1"/>
  <c r="HA269" i="4"/>
  <c r="HA270" i="4"/>
  <c r="BQ264" i="4" s="1"/>
  <c r="IF216" i="4"/>
  <c r="IH220" i="4"/>
  <c r="IH207" i="4"/>
  <c r="IH211" i="4"/>
  <c r="HM229" i="4"/>
  <c r="HM231" i="4" s="1"/>
  <c r="HH249" i="4"/>
  <c r="HI243" i="4"/>
  <c r="HI245" i="4" s="1"/>
  <c r="HI246" i="4" s="1"/>
  <c r="HJ242" i="4" s="1"/>
  <c r="BP266" i="4"/>
  <c r="IH206" i="4"/>
  <c r="II202" i="4" s="1"/>
  <c r="IG215" i="4"/>
  <c r="CW237" i="4" s="1"/>
  <c r="IG213" i="4"/>
  <c r="HT222" i="4" l="1"/>
  <c r="HU218" i="4" s="1"/>
  <c r="HU219" i="4" s="1"/>
  <c r="HU221" i="4" s="1"/>
  <c r="HS227" i="4"/>
  <c r="CI238" i="4"/>
  <c r="BZ250" i="4"/>
  <c r="CA248" i="4"/>
  <c r="CA244" i="4"/>
  <c r="HK239" i="4"/>
  <c r="CA240" i="4" s="1"/>
  <c r="HL236" i="4"/>
  <c r="CB239" i="4"/>
  <c r="HC263" i="4"/>
  <c r="HC266" i="4" s="1"/>
  <c r="HM234" i="4"/>
  <c r="HM233" i="4"/>
  <c r="HM232" i="4"/>
  <c r="HN228" i="4" s="1"/>
  <c r="IG216" i="4"/>
  <c r="HJ243" i="4"/>
  <c r="HJ245" i="4" s="1"/>
  <c r="HI253" i="4"/>
  <c r="HI248" i="4"/>
  <c r="HI247" i="4"/>
  <c r="HA271" i="4"/>
  <c r="BQ261" i="4" s="1"/>
  <c r="BQ265" i="4"/>
  <c r="BQ270" i="4" s="1"/>
  <c r="BX258" i="4"/>
  <c r="HH250" i="4"/>
  <c r="IH209" i="4"/>
  <c r="IH212" i="4" s="1"/>
  <c r="II208" i="4" s="1"/>
  <c r="BQ269" i="4"/>
  <c r="HT224" i="4"/>
  <c r="HT230" i="4"/>
  <c r="HT223" i="4"/>
  <c r="II203" i="4"/>
  <c r="II205" i="4" s="1"/>
  <c r="BR260" i="4"/>
  <c r="HB268" i="4"/>
  <c r="HE252" i="4"/>
  <c r="HE254" i="4" s="1"/>
  <c r="IH213" i="4"/>
  <c r="IH215" i="4"/>
  <c r="CX237" i="4" s="1"/>
  <c r="HD258" i="4"/>
  <c r="HL237" i="4" l="1"/>
  <c r="HL238" i="4"/>
  <c r="CB243" i="4" s="1"/>
  <c r="CA249" i="4"/>
  <c r="HT226" i="4"/>
  <c r="CA245" i="4"/>
  <c r="HM235" i="4"/>
  <c r="CA250" i="4"/>
  <c r="HK240" i="4"/>
  <c r="HU222" i="4"/>
  <c r="HV218" i="4" s="1"/>
  <c r="HV219" i="4" s="1"/>
  <c r="HV221" i="4" s="1"/>
  <c r="HJ246" i="4"/>
  <c r="HK242" i="4" s="1"/>
  <c r="HK243" i="4" s="1"/>
  <c r="HC264" i="4"/>
  <c r="HD260" i="4" s="1"/>
  <c r="HD261" i="4" s="1"/>
  <c r="HC265" i="4"/>
  <c r="BQ271" i="4"/>
  <c r="BQ266" i="4"/>
  <c r="HE257" i="4"/>
  <c r="HE262" i="4"/>
  <c r="HE256" i="4"/>
  <c r="II220" i="4"/>
  <c r="II207" i="4"/>
  <c r="II211" i="4"/>
  <c r="HC267" i="4"/>
  <c r="HN229" i="4"/>
  <c r="HN231" i="4" s="1"/>
  <c r="II206" i="4"/>
  <c r="IJ202" i="4" s="1"/>
  <c r="BT259" i="4"/>
  <c r="HD259" i="4"/>
  <c r="IH216" i="4"/>
  <c r="HE255" i="4"/>
  <c r="HF251" i="4" s="1"/>
  <c r="HI249" i="4"/>
  <c r="HB269" i="4"/>
  <c r="HB270" i="4"/>
  <c r="BR264" i="4" s="1"/>
  <c r="HJ253" i="4"/>
  <c r="HJ247" i="4"/>
  <c r="HJ248" i="4"/>
  <c r="II209" i="4"/>
  <c r="HU224" i="4"/>
  <c r="HU230" i="4"/>
  <c r="HU223" i="4"/>
  <c r="HK245" i="4" l="1"/>
  <c r="HK246" i="4" s="1"/>
  <c r="HL242" i="4" s="1"/>
  <c r="HL243" i="4" s="1"/>
  <c r="HV222" i="4"/>
  <c r="HW218" i="4" s="1"/>
  <c r="HW219" i="4" s="1"/>
  <c r="HW221" i="4" s="1"/>
  <c r="HM236" i="4"/>
  <c r="CC239" i="4"/>
  <c r="HT227" i="4"/>
  <c r="CJ238" i="4"/>
  <c r="HU226" i="4"/>
  <c r="HJ249" i="4"/>
  <c r="CB248" i="4"/>
  <c r="CB244" i="4"/>
  <c r="CB245" i="4" s="1"/>
  <c r="HL239" i="4"/>
  <c r="CB240" i="4" s="1"/>
  <c r="II212" i="4"/>
  <c r="IJ208" i="4" s="1"/>
  <c r="IJ209" i="4" s="1"/>
  <c r="HN234" i="4"/>
  <c r="HN233" i="4"/>
  <c r="IJ203" i="4"/>
  <c r="IJ205" i="4" s="1"/>
  <c r="II213" i="4"/>
  <c r="II215" i="4"/>
  <c r="CY237" i="4" s="1"/>
  <c r="HD263" i="4"/>
  <c r="HN232" i="4"/>
  <c r="HO228" i="4" s="1"/>
  <c r="BR269" i="4"/>
  <c r="BS260" i="4"/>
  <c r="HC268" i="4"/>
  <c r="BY258" i="4"/>
  <c r="HI250" i="4"/>
  <c r="HF252" i="4"/>
  <c r="HF254" i="4" s="1"/>
  <c r="HB271" i="4"/>
  <c r="BR261" i="4" s="1"/>
  <c r="BR265" i="4"/>
  <c r="BR270" i="4" s="1"/>
  <c r="HV224" i="4"/>
  <c r="HV230" i="4"/>
  <c r="HV223" i="4"/>
  <c r="HE258" i="4"/>
  <c r="HK247" i="4" l="1"/>
  <c r="HK253" i="4"/>
  <c r="HK248" i="4"/>
  <c r="HK249" i="4" s="1"/>
  <c r="HL240" i="4"/>
  <c r="HL245" i="4" s="1"/>
  <c r="CB249" i="4"/>
  <c r="BZ258" i="4"/>
  <c r="HJ250" i="4"/>
  <c r="HU227" i="4"/>
  <c r="CK238" i="4"/>
  <c r="HM238" i="4"/>
  <c r="CC243" i="4" s="1"/>
  <c r="HM237" i="4"/>
  <c r="HN235" i="4"/>
  <c r="HV226" i="4"/>
  <c r="BR266" i="4"/>
  <c r="BR271" i="4"/>
  <c r="IJ220" i="4"/>
  <c r="IJ207" i="4"/>
  <c r="IJ211" i="4"/>
  <c r="IJ206" i="4"/>
  <c r="IK202" i="4" s="1"/>
  <c r="HW224" i="4"/>
  <c r="HW230" i="4"/>
  <c r="HW223" i="4"/>
  <c r="HW222" i="4"/>
  <c r="HX218" i="4" s="1"/>
  <c r="II216" i="4"/>
  <c r="HC269" i="4"/>
  <c r="HC270" i="4"/>
  <c r="BS264" i="4" s="1"/>
  <c r="HO229" i="4"/>
  <c r="HO231" i="4" s="1"/>
  <c r="HD266" i="4"/>
  <c r="HD265" i="4"/>
  <c r="HF257" i="4"/>
  <c r="HF262" i="4"/>
  <c r="HF256" i="4"/>
  <c r="HF255" i="4"/>
  <c r="HG251" i="4" s="1"/>
  <c r="HD264" i="4"/>
  <c r="HE260" i="4" s="1"/>
  <c r="BU259" i="4"/>
  <c r="HE259" i="4"/>
  <c r="HL246" i="4" l="1"/>
  <c r="HM242" i="4" s="1"/>
  <c r="HM243" i="4" s="1"/>
  <c r="HO232" i="4"/>
  <c r="HP228" i="4" s="1"/>
  <c r="HP229" i="4" s="1"/>
  <c r="HP231" i="4" s="1"/>
  <c r="HN236" i="4"/>
  <c r="CD239" i="4"/>
  <c r="HL248" i="4"/>
  <c r="CC248" i="4"/>
  <c r="HW226" i="4"/>
  <c r="HV227" i="4"/>
  <c r="CL238" i="4"/>
  <c r="HL247" i="4"/>
  <c r="HL253" i="4"/>
  <c r="CA258" i="4"/>
  <c r="HK250" i="4"/>
  <c r="CC244" i="4"/>
  <c r="HM239" i="4"/>
  <c r="CC240" i="4" s="1"/>
  <c r="CB250" i="4"/>
  <c r="HG252" i="4"/>
  <c r="HG254" i="4" s="1"/>
  <c r="HF258" i="4"/>
  <c r="IK203" i="4"/>
  <c r="IK205" i="4" s="1"/>
  <c r="HE261" i="4"/>
  <c r="HE263" i="4" s="1"/>
  <c r="IJ213" i="4"/>
  <c r="IJ215" i="4"/>
  <c r="CZ237" i="4" s="1"/>
  <c r="IJ212" i="4"/>
  <c r="IK208" i="4" s="1"/>
  <c r="BS269" i="4"/>
  <c r="HX219" i="4"/>
  <c r="HX221" i="4" s="1"/>
  <c r="HD267" i="4"/>
  <c r="HO234" i="4"/>
  <c r="HO233" i="4"/>
  <c r="HC271" i="4"/>
  <c r="BS261" i="4" s="1"/>
  <c r="BS265" i="4"/>
  <c r="BS270" i="4" s="1"/>
  <c r="HW227" i="4" l="1"/>
  <c r="CM238" i="4"/>
  <c r="HL249" i="4"/>
  <c r="CC249" i="4"/>
  <c r="CC250" i="4" s="1"/>
  <c r="HO235" i="4"/>
  <c r="HM240" i="4"/>
  <c r="HM245" i="4" s="1"/>
  <c r="CC245" i="4"/>
  <c r="HN238" i="4"/>
  <c r="CD243" i="4" s="1"/>
  <c r="HN237" i="4"/>
  <c r="HP232" i="4"/>
  <c r="HQ228" i="4" s="1"/>
  <c r="HQ229" i="4" s="1"/>
  <c r="HQ231" i="4" s="1"/>
  <c r="HX224" i="4"/>
  <c r="HX230" i="4"/>
  <c r="HX223" i="4"/>
  <c r="HX222" i="4"/>
  <c r="HY218" i="4" s="1"/>
  <c r="HE266" i="4"/>
  <c r="HE265" i="4"/>
  <c r="HE264" i="4"/>
  <c r="HF260" i="4" s="1"/>
  <c r="IK220" i="4"/>
  <c r="IK207" i="4"/>
  <c r="IK211" i="4"/>
  <c r="IK206" i="4"/>
  <c r="IL202" i="4" s="1"/>
  <c r="HG257" i="4"/>
  <c r="HG262" i="4"/>
  <c r="HG256" i="4"/>
  <c r="BV259" i="4"/>
  <c r="HF259" i="4"/>
  <c r="HG255" i="4"/>
  <c r="HH251" i="4" s="1"/>
  <c r="IJ216" i="4"/>
  <c r="HP234" i="4"/>
  <c r="HP233" i="4"/>
  <c r="BT260" i="4"/>
  <c r="HD268" i="4"/>
  <c r="BS271" i="4"/>
  <c r="BS266" i="4"/>
  <c r="IK209" i="4"/>
  <c r="HM246" i="4" l="1"/>
  <c r="HN242" i="4" s="1"/>
  <c r="HN243" i="4" s="1"/>
  <c r="HM253" i="4"/>
  <c r="HM247" i="4"/>
  <c r="HM248" i="4"/>
  <c r="HO236" i="4"/>
  <c r="CE239" i="4"/>
  <c r="CD248" i="4"/>
  <c r="CB258" i="4"/>
  <c r="HL250" i="4"/>
  <c r="CD244" i="4"/>
  <c r="HN239" i="4"/>
  <c r="CD240" i="4" s="1"/>
  <c r="HP235" i="4"/>
  <c r="HX226" i="4"/>
  <c r="IK212" i="4"/>
  <c r="IL208" i="4" s="1"/>
  <c r="IL209" i="4" s="1"/>
  <c r="HQ234" i="4"/>
  <c r="HQ233" i="4"/>
  <c r="HQ232" i="4"/>
  <c r="HR228" i="4" s="1"/>
  <c r="HD270" i="4"/>
  <c r="BT264" i="4" s="1"/>
  <c r="HD269" i="4"/>
  <c r="IL203" i="4"/>
  <c r="IL205" i="4" s="1"/>
  <c r="HF261" i="4"/>
  <c r="HF263" i="4" s="1"/>
  <c r="IK213" i="4"/>
  <c r="IK215" i="4"/>
  <c r="DA237" i="4" s="1"/>
  <c r="HG258" i="4"/>
  <c r="HH252" i="4"/>
  <c r="HH254" i="4" s="1"/>
  <c r="HH255" i="4" s="1"/>
  <c r="HI251" i="4" s="1"/>
  <c r="HE267" i="4"/>
  <c r="HY219" i="4"/>
  <c r="HY221" i="4" s="1"/>
  <c r="HP236" i="4" l="1"/>
  <c r="CF239" i="4"/>
  <c r="CD249" i="4"/>
  <c r="CD250" i="4" s="1"/>
  <c r="HX227" i="4"/>
  <c r="CN238" i="4"/>
  <c r="CD245" i="4"/>
  <c r="HM249" i="4"/>
  <c r="HN240" i="4"/>
  <c r="HN245" i="4" s="1"/>
  <c r="HO237" i="4"/>
  <c r="HO238" i="4"/>
  <c r="CE243" i="4" s="1"/>
  <c r="HQ235" i="4"/>
  <c r="HF266" i="4"/>
  <c r="HF265" i="4"/>
  <c r="HF264" i="4"/>
  <c r="HG260" i="4" s="1"/>
  <c r="IL220" i="4"/>
  <c r="IL211" i="4"/>
  <c r="IL207" i="4"/>
  <c r="IL206" i="4"/>
  <c r="IM202" i="4" s="1"/>
  <c r="HY224" i="4"/>
  <c r="HY230" i="4"/>
  <c r="HY223" i="4"/>
  <c r="HY222" i="4"/>
  <c r="HZ218" i="4" s="1"/>
  <c r="BU260" i="4"/>
  <c r="HE268" i="4"/>
  <c r="HD271" i="4"/>
  <c r="BT261" i="4" s="1"/>
  <c r="BT265" i="4"/>
  <c r="BT270" i="4" s="1"/>
  <c r="HR229" i="4"/>
  <c r="HR231" i="4" s="1"/>
  <c r="IK216" i="4"/>
  <c r="HI252" i="4"/>
  <c r="HI254" i="4" s="1"/>
  <c r="BT269" i="4"/>
  <c r="BW259" i="4"/>
  <c r="HG259" i="4"/>
  <c r="HH257" i="4"/>
  <c r="HH262" i="4"/>
  <c r="HH256" i="4"/>
  <c r="HN246" i="4" l="1"/>
  <c r="HO242" i="4" s="1"/>
  <c r="HN253" i="4"/>
  <c r="HN248" i="4"/>
  <c r="HN247" i="4"/>
  <c r="CE244" i="4"/>
  <c r="CE249" i="4" s="1"/>
  <c r="HO239" i="4"/>
  <c r="CE240" i="4" s="1"/>
  <c r="CC258" i="4"/>
  <c r="HM250" i="4"/>
  <c r="HQ236" i="4"/>
  <c r="CG239" i="4"/>
  <c r="CE245" i="4"/>
  <c r="CE248" i="4"/>
  <c r="HY226" i="4"/>
  <c r="HP237" i="4"/>
  <c r="HP238" i="4"/>
  <c r="CF243" i="4" s="1"/>
  <c r="HI257" i="4"/>
  <c r="HI262" i="4"/>
  <c r="HI256" i="4"/>
  <c r="HI255" i="4"/>
  <c r="HJ251" i="4" s="1"/>
  <c r="HR234" i="4"/>
  <c r="HR233" i="4"/>
  <c r="HR232" i="4"/>
  <c r="HS228" i="4" s="1"/>
  <c r="HG261" i="4"/>
  <c r="HG263" i="4" s="1"/>
  <c r="HG264" i="4" s="1"/>
  <c r="HH260" i="4" s="1"/>
  <c r="HE269" i="4"/>
  <c r="HE270" i="4"/>
  <c r="BU264" i="4" s="1"/>
  <c r="HZ219" i="4"/>
  <c r="HZ221" i="4" s="1"/>
  <c r="BT271" i="4"/>
  <c r="HF267" i="4"/>
  <c r="HH258" i="4"/>
  <c r="IM203" i="4"/>
  <c r="IM205" i="4" s="1"/>
  <c r="IL213" i="4"/>
  <c r="IL215" i="4"/>
  <c r="DB237" i="4" s="1"/>
  <c r="BT266" i="4"/>
  <c r="IL212" i="4"/>
  <c r="IM208" i="4" s="1"/>
  <c r="CE250" i="4" l="1"/>
  <c r="HO240" i="4"/>
  <c r="HY227" i="4"/>
  <c r="CO238" i="4"/>
  <c r="CF248" i="4"/>
  <c r="CF244" i="4"/>
  <c r="CF249" i="4" s="1"/>
  <c r="HP239" i="4"/>
  <c r="CF240" i="4" s="1"/>
  <c r="HQ237" i="4"/>
  <c r="HQ238" i="4"/>
  <c r="CG243" i="4" s="1"/>
  <c r="HR235" i="4"/>
  <c r="HN249" i="4"/>
  <c r="HO243" i="4"/>
  <c r="HZ224" i="4"/>
  <c r="HZ230" i="4"/>
  <c r="HZ223" i="4"/>
  <c r="HZ222" i="4"/>
  <c r="IA218" i="4" s="1"/>
  <c r="HH261" i="4"/>
  <c r="HG266" i="4"/>
  <c r="HG265" i="4"/>
  <c r="IL216" i="4"/>
  <c r="HI258" i="4"/>
  <c r="BU269" i="4"/>
  <c r="HE271" i="4"/>
  <c r="BU261" i="4" s="1"/>
  <c r="BU265" i="4"/>
  <c r="BU270" i="4" s="1"/>
  <c r="IM209" i="4"/>
  <c r="HS229" i="4"/>
  <c r="HS231" i="4" s="1"/>
  <c r="IM211" i="4"/>
  <c r="IM207" i="4"/>
  <c r="IM220" i="4"/>
  <c r="IM206" i="4"/>
  <c r="IN202" i="4" s="1"/>
  <c r="HJ252" i="4"/>
  <c r="BX259" i="4"/>
  <c r="HH259" i="4"/>
  <c r="BV260" i="4"/>
  <c r="HF268" i="4"/>
  <c r="HO245" i="4" l="1"/>
  <c r="HO246" i="4" s="1"/>
  <c r="HP242" i="4" s="1"/>
  <c r="HP243" i="4" s="1"/>
  <c r="HZ226" i="4"/>
  <c r="CD258" i="4"/>
  <c r="HN250" i="4"/>
  <c r="HR236" i="4"/>
  <c r="CH239" i="4"/>
  <c r="CG244" i="4"/>
  <c r="CG249" i="4" s="1"/>
  <c r="HQ239" i="4"/>
  <c r="CG240" i="4" s="1"/>
  <c r="CF250" i="4"/>
  <c r="HP240" i="4"/>
  <c r="CF245" i="4"/>
  <c r="CG248" i="4"/>
  <c r="IM212" i="4"/>
  <c r="IN208" i="4" s="1"/>
  <c r="IN209" i="4" s="1"/>
  <c r="HH263" i="4"/>
  <c r="HH265" i="4" s="1"/>
  <c r="HS234" i="4"/>
  <c r="HS233" i="4"/>
  <c r="HS232" i="4"/>
  <c r="HT228" i="4" s="1"/>
  <c r="BU271" i="4"/>
  <c r="BY259" i="4"/>
  <c r="HI259" i="4"/>
  <c r="HJ254" i="4"/>
  <c r="HG267" i="4"/>
  <c r="IA219" i="4"/>
  <c r="IA221" i="4" s="1"/>
  <c r="BU266" i="4"/>
  <c r="HF269" i="4"/>
  <c r="HF270" i="4"/>
  <c r="BV264" i="4" s="1"/>
  <c r="IN203" i="4"/>
  <c r="IN205" i="4" s="1"/>
  <c r="IM215" i="4"/>
  <c r="DC237" i="4" s="1"/>
  <c r="IM213" i="4"/>
  <c r="HO247" i="4" l="1"/>
  <c r="HO253" i="4"/>
  <c r="HO248" i="4"/>
  <c r="HO249" i="4" s="1"/>
  <c r="CG245" i="4"/>
  <c r="HP245" i="4"/>
  <c r="HP246" i="4" s="1"/>
  <c r="HQ242" i="4" s="1"/>
  <c r="HQ243" i="4" s="1"/>
  <c r="CG250" i="4"/>
  <c r="HQ240" i="4"/>
  <c r="HR237" i="4"/>
  <c r="HR238" i="4"/>
  <c r="CH243" i="4" s="1"/>
  <c r="HS235" i="4"/>
  <c r="HZ227" i="4"/>
  <c r="CP238" i="4"/>
  <c r="HH264" i="4"/>
  <c r="HI260" i="4" s="1"/>
  <c r="HI261" i="4" s="1"/>
  <c r="HI263" i="4" s="1"/>
  <c r="HH266" i="4"/>
  <c r="HH267" i="4" s="1"/>
  <c r="IA224" i="4"/>
  <c r="IA230" i="4"/>
  <c r="IA223" i="4"/>
  <c r="IN220" i="4"/>
  <c r="IN207" i="4"/>
  <c r="IN211" i="4"/>
  <c r="IN206" i="4"/>
  <c r="IO202" i="4" s="1"/>
  <c r="HJ257" i="4"/>
  <c r="HJ262" i="4"/>
  <c r="HJ256" i="4"/>
  <c r="BW260" i="4"/>
  <c r="HG268" i="4"/>
  <c r="BV269" i="4"/>
  <c r="HF271" i="4"/>
  <c r="BV261" i="4" s="1"/>
  <c r="BV265" i="4"/>
  <c r="BV270" i="4" s="1"/>
  <c r="IA222" i="4"/>
  <c r="IB218" i="4" s="1"/>
  <c r="IM216" i="4"/>
  <c r="HT229" i="4"/>
  <c r="HT231" i="4" s="1"/>
  <c r="HJ255" i="4"/>
  <c r="HK251" i="4" s="1"/>
  <c r="HP253" i="4" l="1"/>
  <c r="HP247" i="4"/>
  <c r="HP248" i="4"/>
  <c r="HP249" i="4" s="1"/>
  <c r="HQ245" i="4"/>
  <c r="HQ246" i="4" s="1"/>
  <c r="HR242" i="4" s="1"/>
  <c r="CH244" i="4"/>
  <c r="CH249" i="4" s="1"/>
  <c r="HR239" i="4"/>
  <c r="CH240" i="4" s="1"/>
  <c r="IA226" i="4"/>
  <c r="HJ258" i="4"/>
  <c r="CH245" i="4"/>
  <c r="CH248" i="4"/>
  <c r="HS236" i="4"/>
  <c r="CI239" i="4"/>
  <c r="IN212" i="4"/>
  <c r="IO208" i="4" s="1"/>
  <c r="IO209" i="4" s="1"/>
  <c r="CE258" i="4"/>
  <c r="HO250" i="4"/>
  <c r="BV271" i="4"/>
  <c r="BV266" i="4"/>
  <c r="HI266" i="4"/>
  <c r="HI265" i="4"/>
  <c r="HI264" i="4"/>
  <c r="HJ260" i="4" s="1"/>
  <c r="HT234" i="4"/>
  <c r="HT233" i="4"/>
  <c r="HT232" i="4"/>
  <c r="HU228" i="4" s="1"/>
  <c r="HG270" i="4"/>
  <c r="BW264" i="4" s="1"/>
  <c r="HG269" i="4"/>
  <c r="BX260" i="4"/>
  <c r="HH268" i="4"/>
  <c r="IO203" i="4"/>
  <c r="IO205" i="4" s="1"/>
  <c r="HK252" i="4"/>
  <c r="IN215" i="4"/>
  <c r="DD237" i="4" s="1"/>
  <c r="IN213" i="4"/>
  <c r="IB219" i="4"/>
  <c r="IB221" i="4" s="1"/>
  <c r="HQ248" i="4" l="1"/>
  <c r="HQ249" i="4" s="1"/>
  <c r="HQ253" i="4"/>
  <c r="HQ247" i="4"/>
  <c r="HS238" i="4"/>
  <c r="CI243" i="4" s="1"/>
  <c r="HS237" i="4"/>
  <c r="CH250" i="4"/>
  <c r="HR240" i="4"/>
  <c r="IB222" i="4"/>
  <c r="IC218" i="4" s="1"/>
  <c r="IC219" i="4" s="1"/>
  <c r="IC221" i="4" s="1"/>
  <c r="HT235" i="4"/>
  <c r="CF258" i="4"/>
  <c r="HP250" i="4"/>
  <c r="HJ259" i="4"/>
  <c r="BZ259" i="4"/>
  <c r="HR243" i="4"/>
  <c r="HR245" i="4" s="1"/>
  <c r="HR246" i="4" s="1"/>
  <c r="HS242" i="4" s="1"/>
  <c r="IA227" i="4"/>
  <c r="CQ238" i="4"/>
  <c r="HK254" i="4"/>
  <c r="IO211" i="4"/>
  <c r="IO220" i="4"/>
  <c r="IO207" i="4"/>
  <c r="HH269" i="4"/>
  <c r="HH270" i="4"/>
  <c r="BX264" i="4" s="1"/>
  <c r="IO206" i="4"/>
  <c r="IP202" i="4" s="1"/>
  <c r="IB224" i="4"/>
  <c r="IB230" i="4"/>
  <c r="IB223" i="4"/>
  <c r="HG271" i="4"/>
  <c r="BW261" i="4" s="1"/>
  <c r="BW265" i="4"/>
  <c r="BW270" i="4" s="1"/>
  <c r="BW269" i="4"/>
  <c r="HU229" i="4"/>
  <c r="HU231" i="4" s="1"/>
  <c r="IN216" i="4"/>
  <c r="HJ261" i="4"/>
  <c r="HI267" i="4"/>
  <c r="HJ263" i="4" l="1"/>
  <c r="HJ264" i="4" s="1"/>
  <c r="HK260" i="4" s="1"/>
  <c r="HS243" i="4"/>
  <c r="CI244" i="4"/>
  <c r="CI249" i="4" s="1"/>
  <c r="HS239" i="4"/>
  <c r="CI240" i="4" s="1"/>
  <c r="HR248" i="4"/>
  <c r="HR247" i="4"/>
  <c r="HR253" i="4"/>
  <c r="CG258" i="4"/>
  <c r="HQ250" i="4"/>
  <c r="IB226" i="4"/>
  <c r="HT236" i="4"/>
  <c r="CJ239" i="4"/>
  <c r="HK255" i="4"/>
  <c r="HL251" i="4" s="1"/>
  <c r="HL252" i="4" s="1"/>
  <c r="HL254" i="4" s="1"/>
  <c r="CI248" i="4"/>
  <c r="HK256" i="4"/>
  <c r="HK262" i="4"/>
  <c r="HK257" i="4"/>
  <c r="IC224" i="4"/>
  <c r="IC230" i="4"/>
  <c r="IC223" i="4"/>
  <c r="HU234" i="4"/>
  <c r="HU233" i="4"/>
  <c r="HU232" i="4"/>
  <c r="HV228" i="4" s="1"/>
  <c r="IP203" i="4"/>
  <c r="IP205" i="4" s="1"/>
  <c r="IO215" i="4"/>
  <c r="DE237" i="4" s="1"/>
  <c r="IO213" i="4"/>
  <c r="IO212" i="4"/>
  <c r="IP208" i="4" s="1"/>
  <c r="BW271" i="4"/>
  <c r="IC222" i="4"/>
  <c r="ID218" i="4" s="1"/>
  <c r="HH271" i="4"/>
  <c r="BX261" i="4" s="1"/>
  <c r="BX265" i="4"/>
  <c r="BX270" i="4" s="1"/>
  <c r="BY260" i="4"/>
  <c r="HI268" i="4"/>
  <c r="BX269" i="4"/>
  <c r="BW266" i="4"/>
  <c r="CI245" i="4" l="1"/>
  <c r="HJ266" i="4"/>
  <c r="HJ267" i="4" s="1"/>
  <c r="HJ265" i="4"/>
  <c r="IB227" i="4"/>
  <c r="CR238" i="4"/>
  <c r="HU235" i="4"/>
  <c r="IC226" i="4"/>
  <c r="HK258" i="4"/>
  <c r="HT237" i="4"/>
  <c r="HT238" i="4"/>
  <c r="CJ243" i="4" s="1"/>
  <c r="HR249" i="4"/>
  <c r="CI250" i="4"/>
  <c r="HS240" i="4"/>
  <c r="HS245" i="4" s="1"/>
  <c r="BX271" i="4"/>
  <c r="BX266" i="4"/>
  <c r="HL255" i="4"/>
  <c r="HM251" i="4" s="1"/>
  <c r="HM252" i="4" s="1"/>
  <c r="HL257" i="4"/>
  <c r="HL262" i="4"/>
  <c r="HL256" i="4"/>
  <c r="IP207" i="4"/>
  <c r="IP220" i="4"/>
  <c r="IP211" i="4"/>
  <c r="IP206" i="4"/>
  <c r="IQ202" i="4" s="1"/>
  <c r="HV229" i="4"/>
  <c r="HV231" i="4" s="1"/>
  <c r="IP209" i="4"/>
  <c r="IO216" i="4"/>
  <c r="HI270" i="4"/>
  <c r="BY264" i="4" s="1"/>
  <c r="HI269" i="4"/>
  <c r="ID219" i="4"/>
  <c r="ID221" i="4" s="1"/>
  <c r="HK261" i="4"/>
  <c r="CH258" i="4" l="1"/>
  <c r="HR250" i="4"/>
  <c r="HS246" i="4"/>
  <c r="HT242" i="4" s="1"/>
  <c r="HS248" i="4"/>
  <c r="HS247" i="4"/>
  <c r="HS253" i="4"/>
  <c r="CJ248" i="4"/>
  <c r="HJ268" i="4"/>
  <c r="BZ260" i="4"/>
  <c r="CJ244" i="4"/>
  <c r="CJ249" i="4" s="1"/>
  <c r="HT239" i="4"/>
  <c r="CJ240" i="4" s="1"/>
  <c r="HK259" i="4"/>
  <c r="HK263" i="4" s="1"/>
  <c r="CA259" i="4"/>
  <c r="ID222" i="4"/>
  <c r="IE218" i="4" s="1"/>
  <c r="IE219" i="4" s="1"/>
  <c r="IE221" i="4" s="1"/>
  <c r="IC227" i="4"/>
  <c r="CS238" i="4"/>
  <c r="HU236" i="4"/>
  <c r="CK239" i="4"/>
  <c r="HL258" i="4"/>
  <c r="IP212" i="4"/>
  <c r="IQ208" i="4" s="1"/>
  <c r="IQ209" i="4" s="1"/>
  <c r="HM254" i="4"/>
  <c r="HV234" i="4"/>
  <c r="HV233" i="4"/>
  <c r="HI271" i="4"/>
  <c r="BY261" i="4" s="1"/>
  <c r="BY265" i="4"/>
  <c r="BY266" i="4" s="1"/>
  <c r="HV232" i="4"/>
  <c r="HW228" i="4" s="1"/>
  <c r="IP213" i="4"/>
  <c r="IP215" i="4"/>
  <c r="DF237" i="4" s="1"/>
  <c r="ID224" i="4"/>
  <c r="ID230" i="4"/>
  <c r="ID223" i="4"/>
  <c r="BY269" i="4"/>
  <c r="IQ203" i="4"/>
  <c r="IQ205" i="4" s="1"/>
  <c r="HV235" i="4" l="1"/>
  <c r="ID226" i="4"/>
  <c r="CJ250" i="4"/>
  <c r="HT240" i="4"/>
  <c r="HJ269" i="4"/>
  <c r="HJ270" i="4"/>
  <c r="BZ264" i="4" s="1"/>
  <c r="IQ206" i="4"/>
  <c r="IR202" i="4" s="1"/>
  <c r="IR203" i="4" s="1"/>
  <c r="IR205" i="4" s="1"/>
  <c r="HT243" i="4"/>
  <c r="HK264" i="4"/>
  <c r="HL260" i="4" s="1"/>
  <c r="HL261" i="4" s="1"/>
  <c r="HK265" i="4"/>
  <c r="HM255" i="4"/>
  <c r="HN251" i="4" s="1"/>
  <c r="HN252" i="4" s="1"/>
  <c r="HN254" i="4" s="1"/>
  <c r="HS249" i="4"/>
  <c r="CJ245" i="4"/>
  <c r="HK266" i="4"/>
  <c r="HL259" i="4"/>
  <c r="CB259" i="4"/>
  <c r="HU238" i="4"/>
  <c r="CK243" i="4" s="1"/>
  <c r="HU237" i="4"/>
  <c r="HM262" i="4"/>
  <c r="HM257" i="4"/>
  <c r="HM256" i="4"/>
  <c r="IE224" i="4"/>
  <c r="IE230" i="4"/>
  <c r="IE223" i="4"/>
  <c r="IE222" i="4"/>
  <c r="IF218" i="4" s="1"/>
  <c r="IP216" i="4"/>
  <c r="HW229" i="4"/>
  <c r="HW231" i="4" s="1"/>
  <c r="IQ220" i="4"/>
  <c r="IQ211" i="4"/>
  <c r="IQ207" i="4"/>
  <c r="BY270" i="4"/>
  <c r="HT245" i="4" l="1"/>
  <c r="HT246" i="4" s="1"/>
  <c r="HU242" i="4" s="1"/>
  <c r="HU243" i="4" s="1"/>
  <c r="HL263" i="4"/>
  <c r="HL266" i="4" s="1"/>
  <c r="HN255" i="4"/>
  <c r="HO251" i="4" s="1"/>
  <c r="HO252" i="4" s="1"/>
  <c r="HO254" i="4" s="1"/>
  <c r="CI258" i="4"/>
  <c r="HS250" i="4"/>
  <c r="IE226" i="4"/>
  <c r="BZ269" i="4"/>
  <c r="BZ265" i="4"/>
  <c r="BZ266" i="4" s="1"/>
  <c r="HJ271" i="4"/>
  <c r="BZ261" i="4" s="1"/>
  <c r="CK244" i="4"/>
  <c r="CK249" i="4" s="1"/>
  <c r="HU239" i="4"/>
  <c r="CK240" i="4" s="1"/>
  <c r="HV236" i="4"/>
  <c r="CL239" i="4"/>
  <c r="HM258" i="4"/>
  <c r="CK248" i="4"/>
  <c r="ID227" i="4"/>
  <c r="CT238" i="4"/>
  <c r="HK267" i="4"/>
  <c r="IR220" i="4"/>
  <c r="IR211" i="4"/>
  <c r="IR207" i="4"/>
  <c r="IR206" i="4"/>
  <c r="IS202" i="4" s="1"/>
  <c r="HW234" i="4"/>
  <c r="HW233" i="4"/>
  <c r="HW232" i="4"/>
  <c r="HX228" i="4" s="1"/>
  <c r="IQ215" i="4"/>
  <c r="DG237" i="4" s="1"/>
  <c r="IQ213" i="4"/>
  <c r="IQ212" i="4"/>
  <c r="IR208" i="4" s="1"/>
  <c r="HN257" i="4"/>
  <c r="HN262" i="4"/>
  <c r="HN256" i="4"/>
  <c r="IF219" i="4"/>
  <c r="IF221" i="4" s="1"/>
  <c r="BY271" i="4"/>
  <c r="HT248" i="4" l="1"/>
  <c r="HT249" i="4" s="1"/>
  <c r="HT247" i="4"/>
  <c r="HT253" i="4"/>
  <c r="HL264" i="4"/>
  <c r="HM260" i="4" s="1"/>
  <c r="HM261" i="4" s="1"/>
  <c r="HL265" i="4"/>
  <c r="HW235" i="4"/>
  <c r="IE227" i="4"/>
  <c r="CU238" i="4"/>
  <c r="HN258" i="4"/>
  <c r="BZ270" i="4"/>
  <c r="BZ271" i="4" s="1"/>
  <c r="HK268" i="4"/>
  <c r="CA260" i="4"/>
  <c r="HL267" i="4"/>
  <c r="CK250" i="4"/>
  <c r="HU240" i="4"/>
  <c r="HU245" i="4" s="1"/>
  <c r="CK245" i="4"/>
  <c r="HM259" i="4"/>
  <c r="CC259" i="4"/>
  <c r="HV237" i="4"/>
  <c r="HV238" i="4"/>
  <c r="CL243" i="4" s="1"/>
  <c r="HO257" i="4"/>
  <c r="HO262" i="4"/>
  <c r="HO256" i="4"/>
  <c r="HO255" i="4"/>
  <c r="HP251" i="4" s="1"/>
  <c r="IF224" i="4"/>
  <c r="IF230" i="4"/>
  <c r="IF223" i="4"/>
  <c r="IS203" i="4"/>
  <c r="IS205" i="4" s="1"/>
  <c r="IR215" i="4"/>
  <c r="DH237" i="4" s="1"/>
  <c r="IR213" i="4"/>
  <c r="IQ216" i="4"/>
  <c r="IF222" i="4"/>
  <c r="IG218" i="4" s="1"/>
  <c r="HX229" i="4"/>
  <c r="HX231" i="4" s="1"/>
  <c r="IR209" i="4"/>
  <c r="IR212" i="4" s="1"/>
  <c r="IS208" i="4" s="1"/>
  <c r="IS206" i="4" l="1"/>
  <c r="IT202" i="4" s="1"/>
  <c r="IT203" i="4" s="1"/>
  <c r="IT205" i="4" s="1"/>
  <c r="IF226" i="4"/>
  <c r="HN259" i="4"/>
  <c r="CD259" i="4"/>
  <c r="CL248" i="4"/>
  <c r="HL268" i="4"/>
  <c r="CB260" i="4"/>
  <c r="HO258" i="4"/>
  <c r="CJ258" i="4"/>
  <c r="HT250" i="4"/>
  <c r="HK269" i="4"/>
  <c r="HK270" i="4"/>
  <c r="CA264" i="4" s="1"/>
  <c r="CL244" i="4"/>
  <c r="CL249" i="4" s="1"/>
  <c r="HV239" i="4"/>
  <c r="CL240" i="4" s="1"/>
  <c r="HM263" i="4"/>
  <c r="HU246" i="4"/>
  <c r="HV242" i="4" s="1"/>
  <c r="HV243" i="4" s="1"/>
  <c r="HU253" i="4"/>
  <c r="HU248" i="4"/>
  <c r="HU247" i="4"/>
  <c r="HW236" i="4"/>
  <c r="CM239" i="4"/>
  <c r="HX234" i="4"/>
  <c r="HX233" i="4"/>
  <c r="HX232" i="4"/>
  <c r="HY228" i="4" s="1"/>
  <c r="IG219" i="4"/>
  <c r="IG221" i="4" s="1"/>
  <c r="IS209" i="4"/>
  <c r="IS211" i="4"/>
  <c r="IS220" i="4"/>
  <c r="IS207" i="4"/>
  <c r="HP252" i="4"/>
  <c r="IR216" i="4"/>
  <c r="CA269" i="4" l="1"/>
  <c r="CA265" i="4"/>
  <c r="HK271" i="4"/>
  <c r="CA261" i="4" s="1"/>
  <c r="HO259" i="4"/>
  <c r="CE259" i="4"/>
  <c r="IG222" i="4"/>
  <c r="IH218" i="4" s="1"/>
  <c r="IH219" i="4" s="1"/>
  <c r="IH221" i="4" s="1"/>
  <c r="CL245" i="4"/>
  <c r="IT206" i="4"/>
  <c r="IU202" i="4" s="1"/>
  <c r="IU203" i="4" s="1"/>
  <c r="IU205" i="4" s="1"/>
  <c r="HL270" i="4"/>
  <c r="CB264" i="4" s="1"/>
  <c r="HL269" i="4"/>
  <c r="HX235" i="4"/>
  <c r="HM265" i="4"/>
  <c r="HM266" i="4"/>
  <c r="CL250" i="4"/>
  <c r="HV240" i="4"/>
  <c r="HV245" i="4" s="1"/>
  <c r="HW238" i="4"/>
  <c r="CM243" i="4" s="1"/>
  <c r="HW237" i="4"/>
  <c r="HU249" i="4"/>
  <c r="HM264" i="4"/>
  <c r="HN260" i="4" s="1"/>
  <c r="HN261" i="4" s="1"/>
  <c r="HN263" i="4" s="1"/>
  <c r="IF227" i="4"/>
  <c r="CV238" i="4"/>
  <c r="IS212" i="4"/>
  <c r="IT208" i="4" s="1"/>
  <c r="IT209" i="4" s="1"/>
  <c r="IT211" i="4"/>
  <c r="IT220" i="4"/>
  <c r="IT207" i="4"/>
  <c r="IG224" i="4"/>
  <c r="IG230" i="4"/>
  <c r="IG223" i="4"/>
  <c r="HP254" i="4"/>
  <c r="IS215" i="4"/>
  <c r="DI237" i="4" s="1"/>
  <c r="IS213" i="4"/>
  <c r="HY229" i="4"/>
  <c r="HY231" i="4" s="1"/>
  <c r="HM267" i="4" l="1"/>
  <c r="HX236" i="4"/>
  <c r="CN239" i="4"/>
  <c r="CB269" i="4"/>
  <c r="HV246" i="4"/>
  <c r="HW242" i="4" s="1"/>
  <c r="HV253" i="4"/>
  <c r="HV247" i="4"/>
  <c r="HV248" i="4"/>
  <c r="IG226" i="4"/>
  <c r="CB265" i="4"/>
  <c r="CB270" i="4" s="1"/>
  <c r="HL271" i="4"/>
  <c r="CB261" i="4" s="1"/>
  <c r="CM244" i="4"/>
  <c r="CM249" i="4" s="1"/>
  <c r="HW239" i="4"/>
  <c r="CM240" i="4" s="1"/>
  <c r="CM248" i="4"/>
  <c r="CK258" i="4"/>
  <c r="HU250" i="4"/>
  <c r="CA270" i="4"/>
  <c r="HP255" i="4"/>
  <c r="HQ251" i="4" s="1"/>
  <c r="HQ252" i="4" s="1"/>
  <c r="HQ254" i="4" s="1"/>
  <c r="CA266" i="4"/>
  <c r="HN264" i="4"/>
  <c r="HO260" i="4" s="1"/>
  <c r="HO261" i="4" s="1"/>
  <c r="HY232" i="4"/>
  <c r="HZ228" i="4" s="1"/>
  <c r="HZ229" i="4" s="1"/>
  <c r="HZ231" i="4" s="1"/>
  <c r="IH224" i="4"/>
  <c r="IH230" i="4"/>
  <c r="IH223" i="4"/>
  <c r="IH222" i="4"/>
  <c r="II218" i="4" s="1"/>
  <c r="IT213" i="4"/>
  <c r="IT215" i="4"/>
  <c r="DJ237" i="4" s="1"/>
  <c r="IU220" i="4"/>
  <c r="IU211" i="4"/>
  <c r="IU207" i="4"/>
  <c r="IU206" i="4"/>
  <c r="IV202" i="4" s="1"/>
  <c r="HN266" i="4"/>
  <c r="HN265" i="4"/>
  <c r="IS216" i="4"/>
  <c r="HY234" i="4"/>
  <c r="HY233" i="4"/>
  <c r="IT212" i="4"/>
  <c r="IU208" i="4" s="1"/>
  <c r="HP257" i="4"/>
  <c r="HP262" i="4"/>
  <c r="HP256" i="4"/>
  <c r="CM245" i="4" l="1"/>
  <c r="IG227" i="4"/>
  <c r="CW238" i="4"/>
  <c r="HX237" i="4"/>
  <c r="HX238" i="4"/>
  <c r="CN243" i="4" s="1"/>
  <c r="CM250" i="4"/>
  <c r="HW240" i="4"/>
  <c r="IH226" i="4"/>
  <c r="CB271" i="4"/>
  <c r="HN267" i="4"/>
  <c r="HV249" i="4"/>
  <c r="HY235" i="4"/>
  <c r="HW243" i="4"/>
  <c r="HW245" i="4" s="1"/>
  <c r="CB266" i="4"/>
  <c r="HM268" i="4"/>
  <c r="CC260" i="4"/>
  <c r="HP258" i="4"/>
  <c r="CA271" i="4"/>
  <c r="HZ234" i="4"/>
  <c r="HZ233" i="4"/>
  <c r="HQ257" i="4"/>
  <c r="HQ262" i="4"/>
  <c r="HQ256" i="4"/>
  <c r="HO263" i="4"/>
  <c r="IU215" i="4"/>
  <c r="DK237" i="4" s="1"/>
  <c r="IU213" i="4"/>
  <c r="HQ255" i="4"/>
  <c r="HR251" i="4" s="1"/>
  <c r="IV203" i="4"/>
  <c r="IU209" i="4"/>
  <c r="IU212" i="4" s="1"/>
  <c r="IV208" i="4" s="1"/>
  <c r="IT216" i="4"/>
  <c r="HZ232" i="4"/>
  <c r="IA228" i="4" s="1"/>
  <c r="II219" i="4"/>
  <c r="II221" i="4" s="1"/>
  <c r="HW253" i="4" l="1"/>
  <c r="HW247" i="4"/>
  <c r="HW248" i="4"/>
  <c r="HQ258" i="4"/>
  <c r="HP259" i="4"/>
  <c r="CF259" i="4"/>
  <c r="CN244" i="4"/>
  <c r="CN249" i="4" s="1"/>
  <c r="HX239" i="4"/>
  <c r="CN240" i="4" s="1"/>
  <c r="HM270" i="4"/>
  <c r="CC264" i="4" s="1"/>
  <c r="HM269" i="4"/>
  <c r="IH227" i="4"/>
  <c r="CX238" i="4"/>
  <c r="CN248" i="4"/>
  <c r="HW246" i="4"/>
  <c r="HX242" i="4" s="1"/>
  <c r="HY236" i="4"/>
  <c r="CO239" i="4"/>
  <c r="CL258" i="4"/>
  <c r="HV250" i="4"/>
  <c r="HN268" i="4"/>
  <c r="CD260" i="4"/>
  <c r="HZ235" i="4"/>
  <c r="IV209" i="4"/>
  <c r="IV205" i="4"/>
  <c r="IU216" i="4"/>
  <c r="II224" i="4"/>
  <c r="II230" i="4"/>
  <c r="II223" i="4"/>
  <c r="HR252" i="4"/>
  <c r="HR254" i="4" s="1"/>
  <c r="HO266" i="4"/>
  <c r="HO265" i="4"/>
  <c r="II222" i="4"/>
  <c r="IJ218" i="4" s="1"/>
  <c r="IA229" i="4"/>
  <c r="IA231" i="4" s="1"/>
  <c r="HO264" i="4"/>
  <c r="HP260" i="4" s="1"/>
  <c r="CN245" i="4" l="1"/>
  <c r="HX243" i="4"/>
  <c r="CN250" i="4"/>
  <c r="HX240" i="4"/>
  <c r="II226" i="4"/>
  <c r="HY237" i="4"/>
  <c r="HY238" i="4"/>
  <c r="CO243" i="4" s="1"/>
  <c r="HO267" i="4"/>
  <c r="CC265" i="4"/>
  <c r="CC266" i="4" s="1"/>
  <c r="HM271" i="4"/>
  <c r="CC261" i="4" s="1"/>
  <c r="CC269" i="4"/>
  <c r="HZ236" i="4"/>
  <c r="CP239" i="4"/>
  <c r="HQ259" i="4"/>
  <c r="CG259" i="4"/>
  <c r="HW249" i="4"/>
  <c r="HN270" i="4"/>
  <c r="CD264" i="4" s="1"/>
  <c r="HN269" i="4"/>
  <c r="IA234" i="4"/>
  <c r="IA233" i="4"/>
  <c r="IA232" i="4"/>
  <c r="IB228" i="4" s="1"/>
  <c r="HR257" i="4"/>
  <c r="HR262" i="4"/>
  <c r="HR256" i="4"/>
  <c r="HR255" i="4"/>
  <c r="HS251" i="4" s="1"/>
  <c r="HP261" i="4"/>
  <c r="HP263" i="4" s="1"/>
  <c r="IV211" i="4"/>
  <c r="IV207" i="4"/>
  <c r="IV220" i="4"/>
  <c r="IV206" i="4"/>
  <c r="IW202" i="4" s="1"/>
  <c r="IJ219" i="4"/>
  <c r="IJ221" i="4" s="1"/>
  <c r="HR258" i="4" l="1"/>
  <c r="HO268" i="4"/>
  <c r="CE260" i="4"/>
  <c r="CO248" i="4"/>
  <c r="II227" i="4"/>
  <c r="CY238" i="4"/>
  <c r="HZ237" i="4"/>
  <c r="HZ238" i="4"/>
  <c r="CP243" i="4" s="1"/>
  <c r="CC270" i="4"/>
  <c r="CC271" i="4" s="1"/>
  <c r="IA235" i="4"/>
  <c r="CO244" i="4"/>
  <c r="CO249" i="4" s="1"/>
  <c r="HY239" i="4"/>
  <c r="CO240" i="4" s="1"/>
  <c r="CD265" i="4"/>
  <c r="CD270" i="4" s="1"/>
  <c r="HN271" i="4"/>
  <c r="CD261" i="4" s="1"/>
  <c r="CD269" i="4"/>
  <c r="CM258" i="4"/>
  <c r="HW250" i="4"/>
  <c r="HX245" i="4"/>
  <c r="IJ224" i="4"/>
  <c r="IJ230" i="4"/>
  <c r="IJ223" i="4"/>
  <c r="IJ222" i="4"/>
  <c r="IK218" i="4" s="1"/>
  <c r="HP266" i="4"/>
  <c r="HP265" i="4"/>
  <c r="HP264" i="4"/>
  <c r="HQ260" i="4" s="1"/>
  <c r="IW203" i="4"/>
  <c r="IW205" i="4" s="1"/>
  <c r="HS252" i="4"/>
  <c r="HS254" i="4" s="1"/>
  <c r="IV213" i="4"/>
  <c r="IV215" i="4"/>
  <c r="DL237" i="4" s="1"/>
  <c r="IV212" i="4"/>
  <c r="IW208" i="4" s="1"/>
  <c r="IB229" i="4"/>
  <c r="CD266" i="4" l="1"/>
  <c r="CD271" i="4"/>
  <c r="IA236" i="4"/>
  <c r="CQ239" i="4"/>
  <c r="CP248" i="4"/>
  <c r="IJ226" i="4"/>
  <c r="HP267" i="4"/>
  <c r="CO250" i="4"/>
  <c r="HY240" i="4"/>
  <c r="CO245" i="4"/>
  <c r="CP244" i="4"/>
  <c r="CP249" i="4" s="1"/>
  <c r="HZ239" i="4"/>
  <c r="CP240" i="4" s="1"/>
  <c r="HX247" i="4"/>
  <c r="HX248" i="4"/>
  <c r="HX253" i="4"/>
  <c r="HX246" i="4"/>
  <c r="HY242" i="4" s="1"/>
  <c r="HO270" i="4"/>
  <c r="CE264" i="4" s="1"/>
  <c r="HO269" i="4"/>
  <c r="HR259" i="4"/>
  <c r="CH259" i="4"/>
  <c r="IB231" i="4"/>
  <c r="HS257" i="4"/>
  <c r="HS262" i="4"/>
  <c r="HS256" i="4"/>
  <c r="HS255" i="4"/>
  <c r="HT251" i="4" s="1"/>
  <c r="IW211" i="4"/>
  <c r="IW207" i="4"/>
  <c r="IW220" i="4"/>
  <c r="HQ261" i="4"/>
  <c r="IK219" i="4"/>
  <c r="IK221" i="4" s="1"/>
  <c r="IV216" i="4"/>
  <c r="IW206" i="4"/>
  <c r="IX202" i="4" s="1"/>
  <c r="IW209" i="4"/>
  <c r="HX249" i="4" l="1"/>
  <c r="HS258" i="4"/>
  <c r="IJ227" i="4"/>
  <c r="CZ238" i="4"/>
  <c r="CE269" i="4"/>
  <c r="IA237" i="4"/>
  <c r="IA238" i="4"/>
  <c r="CQ243" i="4" s="1"/>
  <c r="IB232" i="4"/>
  <c r="IC228" i="4" s="1"/>
  <c r="IC229" i="4" s="1"/>
  <c r="IC231" i="4" s="1"/>
  <c r="HP268" i="4"/>
  <c r="CF260" i="4"/>
  <c r="CP250" i="4"/>
  <c r="HZ240" i="4"/>
  <c r="CP245" i="4"/>
  <c r="CE265" i="4"/>
  <c r="CE266" i="4" s="1"/>
  <c r="HO271" i="4"/>
  <c r="CE261" i="4" s="1"/>
  <c r="HY243" i="4"/>
  <c r="HY245" i="4" s="1"/>
  <c r="IW212" i="4"/>
  <c r="IX208" i="4" s="1"/>
  <c r="IX209" i="4" s="1"/>
  <c r="IB233" i="4"/>
  <c r="IB234" i="4"/>
  <c r="IK224" i="4"/>
  <c r="IK230" i="4"/>
  <c r="IK223" i="4"/>
  <c r="HQ263" i="4"/>
  <c r="HT252" i="4"/>
  <c r="HT254" i="4" s="1"/>
  <c r="IK222" i="4"/>
  <c r="IL218" i="4" s="1"/>
  <c r="IW213" i="4"/>
  <c r="IW215" i="4"/>
  <c r="DM237" i="4" s="1"/>
  <c r="IX203" i="4"/>
  <c r="IX205" i="4" s="1"/>
  <c r="HY246" i="4" l="1"/>
  <c r="HZ242" i="4" s="1"/>
  <c r="HZ243" i="4" s="1"/>
  <c r="HZ245" i="4" s="1"/>
  <c r="CQ248" i="4"/>
  <c r="IB235" i="4"/>
  <c r="HP270" i="4"/>
  <c r="CF264" i="4" s="1"/>
  <c r="HP269" i="4"/>
  <c r="IK226" i="4"/>
  <c r="CQ244" i="4"/>
  <c r="CQ249" i="4" s="1"/>
  <c r="IA239" i="4"/>
  <c r="CQ240" i="4" s="1"/>
  <c r="HS259" i="4"/>
  <c r="CI259" i="4"/>
  <c r="HY253" i="4"/>
  <c r="HY248" i="4"/>
  <c r="HY247" i="4"/>
  <c r="CN258" i="4"/>
  <c r="HX250" i="4"/>
  <c r="CE270" i="4"/>
  <c r="CE271" i="4" s="1"/>
  <c r="IC234" i="4"/>
  <c r="IC233" i="4"/>
  <c r="IC232" i="4"/>
  <c r="ID228" i="4" s="1"/>
  <c r="ID229" i="4" s="1"/>
  <c r="ID231" i="4" s="1"/>
  <c r="HT257" i="4"/>
  <c r="HT262" i="4"/>
  <c r="HT256" i="4"/>
  <c r="IL219" i="4"/>
  <c r="IL221" i="4" s="1"/>
  <c r="HQ266" i="4"/>
  <c r="HQ265" i="4"/>
  <c r="IX220" i="4"/>
  <c r="IX207" i="4"/>
  <c r="IX211" i="4"/>
  <c r="IX206" i="4"/>
  <c r="IY202" i="4" s="1"/>
  <c r="IW216" i="4"/>
  <c r="HT255" i="4"/>
  <c r="HU251" i="4" s="1"/>
  <c r="HQ264" i="4"/>
  <c r="HR260" i="4" s="1"/>
  <c r="HZ246" i="4" l="1"/>
  <c r="IA242" i="4" s="1"/>
  <c r="HZ248" i="4"/>
  <c r="HZ253" i="4"/>
  <c r="HZ247" i="4"/>
  <c r="CF269" i="4"/>
  <c r="HT258" i="4"/>
  <c r="IB236" i="4"/>
  <c r="CR239" i="4"/>
  <c r="HQ267" i="4"/>
  <c r="IK227" i="4"/>
  <c r="DA238" i="4"/>
  <c r="CF265" i="4"/>
  <c r="CF270" i="4" s="1"/>
  <c r="HP271" i="4"/>
  <c r="CF261" i="4" s="1"/>
  <c r="IC235" i="4"/>
  <c r="CQ250" i="4"/>
  <c r="IA240" i="4"/>
  <c r="CQ245" i="4"/>
  <c r="HY249" i="4"/>
  <c r="IL224" i="4"/>
  <c r="IL230" i="4"/>
  <c r="IL223" i="4"/>
  <c r="IL222" i="4"/>
  <c r="IM218" i="4" s="1"/>
  <c r="IY203" i="4"/>
  <c r="IY205" i="4" s="1"/>
  <c r="HR261" i="4"/>
  <c r="HR263" i="4" s="1"/>
  <c r="ID234" i="4"/>
  <c r="ID233" i="4"/>
  <c r="HU252" i="4"/>
  <c r="HU254" i="4" s="1"/>
  <c r="IX213" i="4"/>
  <c r="IX215" i="4"/>
  <c r="DN237" i="4" s="1"/>
  <c r="IX212" i="4"/>
  <c r="IY208" i="4" s="1"/>
  <c r="ID232" i="4"/>
  <c r="IE228" i="4" s="1"/>
  <c r="IC236" i="4" l="1"/>
  <c r="CS239" i="4"/>
  <c r="ID235" i="4"/>
  <c r="HQ268" i="4"/>
  <c r="CG260" i="4"/>
  <c r="IB237" i="4"/>
  <c r="CR244" i="4" s="1"/>
  <c r="CR249" i="4" s="1"/>
  <c r="IB238" i="4"/>
  <c r="IL226" i="4"/>
  <c r="HT259" i="4"/>
  <c r="CJ259" i="4"/>
  <c r="CF266" i="4"/>
  <c r="CF271" i="4"/>
  <c r="IY206" i="4"/>
  <c r="IZ202" i="4" s="1"/>
  <c r="IZ203" i="4" s="1"/>
  <c r="IZ205" i="4" s="1"/>
  <c r="CO258" i="4"/>
  <c r="HY250" i="4"/>
  <c r="HZ249" i="4"/>
  <c r="IA243" i="4"/>
  <c r="IA245" i="4" s="1"/>
  <c r="HR266" i="4"/>
  <c r="HR265" i="4"/>
  <c r="HR264" i="4"/>
  <c r="HS260" i="4" s="1"/>
  <c r="HU257" i="4"/>
  <c r="HU262" i="4"/>
  <c r="HU256" i="4"/>
  <c r="HU255" i="4"/>
  <c r="HV251" i="4" s="1"/>
  <c r="IX216" i="4"/>
  <c r="IY207" i="4"/>
  <c r="IY211" i="4"/>
  <c r="IY220" i="4"/>
  <c r="IE229" i="4"/>
  <c r="IE231" i="4" s="1"/>
  <c r="IM219" i="4"/>
  <c r="IM221" i="4" s="1"/>
  <c r="IY209" i="4"/>
  <c r="IL227" i="4" l="1"/>
  <c r="DB238" i="4"/>
  <c r="IA248" i="4"/>
  <c r="IA253" i="4"/>
  <c r="IA247" i="4"/>
  <c r="HR267" i="4"/>
  <c r="IA246" i="4"/>
  <c r="IB242" i="4" s="1"/>
  <c r="HU258" i="4"/>
  <c r="IB239" i="4"/>
  <c r="CR240" i="4" s="1"/>
  <c r="CR243" i="4"/>
  <c r="HQ269" i="4"/>
  <c r="HQ270" i="4"/>
  <c r="CG264" i="4" s="1"/>
  <c r="ID236" i="4"/>
  <c r="CT239" i="4"/>
  <c r="IC237" i="4"/>
  <c r="CS244" i="4" s="1"/>
  <c r="CS249" i="4" s="1"/>
  <c r="IC238" i="4"/>
  <c r="CP258" i="4"/>
  <c r="HZ250" i="4"/>
  <c r="IY212" i="4"/>
  <c r="IZ208" i="4" s="1"/>
  <c r="IZ209" i="4" s="1"/>
  <c r="IM224" i="4"/>
  <c r="IM230" i="4"/>
  <c r="IM223" i="4"/>
  <c r="IM222" i="4"/>
  <c r="IN218" i="4" s="1"/>
  <c r="HS261" i="4"/>
  <c r="HS263" i="4" s="1"/>
  <c r="IZ211" i="4"/>
  <c r="IZ220" i="4"/>
  <c r="IZ207" i="4"/>
  <c r="IE234" i="4"/>
  <c r="IE233" i="4"/>
  <c r="IY213" i="4"/>
  <c r="IY215" i="4"/>
  <c r="DO237" i="4" s="1"/>
  <c r="HV252" i="4"/>
  <c r="HV254" i="4" s="1"/>
  <c r="IZ206" i="4"/>
  <c r="JA202" i="4" s="1"/>
  <c r="IE232" i="4"/>
  <c r="IF228" i="4" s="1"/>
  <c r="CR245" i="4" l="1"/>
  <c r="CR248" i="4"/>
  <c r="IM226" i="4"/>
  <c r="IE235" i="4"/>
  <c r="CG269" i="4"/>
  <c r="HU259" i="4"/>
  <c r="CK259" i="4"/>
  <c r="IC239" i="4"/>
  <c r="CS240" i="4" s="1"/>
  <c r="CS243" i="4"/>
  <c r="ID238" i="4"/>
  <c r="CT243" i="4" s="1"/>
  <c r="ID237" i="4"/>
  <c r="CG265" i="4"/>
  <c r="CG270" i="4" s="1"/>
  <c r="HQ271" i="4"/>
  <c r="CG261" i="4" s="1"/>
  <c r="IB243" i="4"/>
  <c r="HR268" i="4"/>
  <c r="CH260" i="4"/>
  <c r="IA249" i="4"/>
  <c r="IZ212" i="4"/>
  <c r="JA208" i="4" s="1"/>
  <c r="JA209" i="4" s="1"/>
  <c r="HS266" i="4"/>
  <c r="HS265" i="4"/>
  <c r="HS264" i="4"/>
  <c r="HT260" i="4" s="1"/>
  <c r="IF229" i="4"/>
  <c r="IF231" i="4" s="1"/>
  <c r="HV257" i="4"/>
  <c r="HV262" i="4"/>
  <c r="HV256" i="4"/>
  <c r="IZ213" i="4"/>
  <c r="IZ215" i="4"/>
  <c r="DP237" i="4" s="1"/>
  <c r="JA203" i="4"/>
  <c r="JA205" i="4" s="1"/>
  <c r="HV255" i="4"/>
  <c r="HW251" i="4" s="1"/>
  <c r="IN219" i="4"/>
  <c r="IN221" i="4" s="1"/>
  <c r="IY216" i="4"/>
  <c r="CT244" i="4" l="1"/>
  <c r="CT249" i="4" s="1"/>
  <c r="ID239" i="4"/>
  <c r="CT240" i="4" s="1"/>
  <c r="CS245" i="4"/>
  <c r="CS248" i="4"/>
  <c r="HV258" i="4"/>
  <c r="HS267" i="4"/>
  <c r="IF232" i="4"/>
  <c r="IG228" i="4" s="1"/>
  <c r="IG229" i="4" s="1"/>
  <c r="IG231" i="4" s="1"/>
  <c r="CG271" i="4"/>
  <c r="CG266" i="4"/>
  <c r="CQ258" i="4"/>
  <c r="IA250" i="4"/>
  <c r="CR250" i="4"/>
  <c r="IB240" i="4"/>
  <c r="IB245" i="4" s="1"/>
  <c r="HR269" i="4"/>
  <c r="HR270" i="4"/>
  <c r="CH264" i="4" s="1"/>
  <c r="CT248" i="4"/>
  <c r="IE236" i="4"/>
  <c r="CU239" i="4"/>
  <c r="IM227" i="4"/>
  <c r="DC238" i="4"/>
  <c r="IN224" i="4"/>
  <c r="IN230" i="4"/>
  <c r="IN223" i="4"/>
  <c r="IN222" i="4"/>
  <c r="IO218" i="4" s="1"/>
  <c r="JA211" i="4"/>
  <c r="JA207" i="4"/>
  <c r="JA220" i="4"/>
  <c r="IZ216" i="4"/>
  <c r="IF234" i="4"/>
  <c r="IF233" i="4"/>
  <c r="HW252" i="4"/>
  <c r="HW254" i="4" s="1"/>
  <c r="HT261" i="4"/>
  <c r="HT263" i="4" s="1"/>
  <c r="JA206" i="4"/>
  <c r="JB202" i="4" s="1"/>
  <c r="IB247" i="4" l="1"/>
  <c r="IB253" i="4"/>
  <c r="IB248" i="4"/>
  <c r="IB246" i="4"/>
  <c r="IC242" i="4" s="1"/>
  <c r="CH269" i="4"/>
  <c r="HS268" i="4"/>
  <c r="CI260" i="4"/>
  <c r="CS250" i="4"/>
  <c r="IC240" i="4"/>
  <c r="IE238" i="4"/>
  <c r="CU243" i="4" s="1"/>
  <c r="IE237" i="4"/>
  <c r="CH265" i="4"/>
  <c r="CH270" i="4" s="1"/>
  <c r="HR271" i="4"/>
  <c r="CH261" i="4" s="1"/>
  <c r="IN226" i="4"/>
  <c r="HV259" i="4"/>
  <c r="CL259" i="4"/>
  <c r="CT250" i="4"/>
  <c r="ID240" i="4"/>
  <c r="IF235" i="4"/>
  <c r="CT245" i="4"/>
  <c r="HW257" i="4"/>
  <c r="HW262" i="4"/>
  <c r="HW256" i="4"/>
  <c r="HW255" i="4"/>
  <c r="HX251" i="4" s="1"/>
  <c r="HT266" i="4"/>
  <c r="HT265" i="4"/>
  <c r="HT264" i="4"/>
  <c r="HU260" i="4" s="1"/>
  <c r="IG234" i="4"/>
  <c r="IG233" i="4"/>
  <c r="IG232" i="4"/>
  <c r="IH228" i="4" s="1"/>
  <c r="JA213" i="4"/>
  <c r="JA215" i="4"/>
  <c r="DQ237" i="4" s="1"/>
  <c r="JA212" i="4"/>
  <c r="JB208" i="4" s="1"/>
  <c r="JB203" i="4"/>
  <c r="JB205" i="4" s="1"/>
  <c r="IO219" i="4"/>
  <c r="IO221" i="4" s="1"/>
  <c r="HT267" i="4" l="1"/>
  <c r="CU244" i="4"/>
  <c r="CU249" i="4" s="1"/>
  <c r="IE239" i="4"/>
  <c r="CU240" i="4" s="1"/>
  <c r="CH271" i="4"/>
  <c r="CU248" i="4"/>
  <c r="IN227" i="4"/>
  <c r="DD238" i="4"/>
  <c r="IG235" i="4"/>
  <c r="HW258" i="4"/>
  <c r="HS269" i="4"/>
  <c r="HS270" i="4"/>
  <c r="CI264" i="4" s="1"/>
  <c r="IF236" i="4"/>
  <c r="CV239" i="4"/>
  <c r="CH266" i="4"/>
  <c r="IC243" i="4"/>
  <c r="IC245" i="4" s="1"/>
  <c r="IB249" i="4"/>
  <c r="JB207" i="4"/>
  <c r="JB220" i="4"/>
  <c r="JB211" i="4"/>
  <c r="IO224" i="4"/>
  <c r="IO230" i="4"/>
  <c r="IO223" i="4"/>
  <c r="IO222" i="4"/>
  <c r="IP218" i="4" s="1"/>
  <c r="JA216" i="4"/>
  <c r="JB206" i="4"/>
  <c r="JC202" i="4" s="1"/>
  <c r="JB209" i="4"/>
  <c r="IH229" i="4"/>
  <c r="IH231" i="4" s="1"/>
  <c r="HU261" i="4"/>
  <c r="HU263" i="4" s="1"/>
  <c r="HX252" i="4"/>
  <c r="HX254" i="4" s="1"/>
  <c r="CU245" i="4" l="1"/>
  <c r="JB212" i="4"/>
  <c r="JC208" i="4" s="1"/>
  <c r="JC209" i="4" s="1"/>
  <c r="IF237" i="4"/>
  <c r="IF238" i="4"/>
  <c r="CV243" i="4" s="1"/>
  <c r="CI265" i="4"/>
  <c r="CI270" i="4" s="1"/>
  <c r="HS271" i="4"/>
  <c r="CI261" i="4" s="1"/>
  <c r="IC247" i="4"/>
  <c r="IC248" i="4"/>
  <c r="IC253" i="4"/>
  <c r="IG236" i="4"/>
  <c r="CW239" i="4"/>
  <c r="CU250" i="4"/>
  <c r="IE240" i="4"/>
  <c r="HT268" i="4"/>
  <c r="CJ260" i="4"/>
  <c r="HW259" i="4"/>
  <c r="CM259" i="4"/>
  <c r="IO226" i="4"/>
  <c r="CR258" i="4"/>
  <c r="IB250" i="4"/>
  <c r="CI269" i="4"/>
  <c r="CI271" i="4" s="1"/>
  <c r="IC246" i="4"/>
  <c r="ID242" i="4" s="1"/>
  <c r="ID243" i="4" s="1"/>
  <c r="ID245" i="4" s="1"/>
  <c r="HU266" i="4"/>
  <c r="HU265" i="4"/>
  <c r="HU264" i="4"/>
  <c r="HV260" i="4" s="1"/>
  <c r="IH234" i="4"/>
  <c r="IH233" i="4"/>
  <c r="HX257" i="4"/>
  <c r="HX262" i="4"/>
  <c r="HX256" i="4"/>
  <c r="HX255" i="4"/>
  <c r="HY251" i="4" s="1"/>
  <c r="IH232" i="4"/>
  <c r="II228" i="4" s="1"/>
  <c r="JB213" i="4"/>
  <c r="JB215" i="4"/>
  <c r="DR237" i="4" s="1"/>
  <c r="JC203" i="4"/>
  <c r="JC205" i="4" s="1"/>
  <c r="IP219" i="4"/>
  <c r="IP221" i="4" s="1"/>
  <c r="HX258" i="4" l="1"/>
  <c r="IG238" i="4"/>
  <c r="CW243" i="4" s="1"/>
  <c r="IG237" i="4"/>
  <c r="IO227" i="4"/>
  <c r="DE238" i="4"/>
  <c r="IC249" i="4"/>
  <c r="IH235" i="4"/>
  <c r="HU267" i="4"/>
  <c r="CV248" i="4"/>
  <c r="JC206" i="4"/>
  <c r="JD202" i="4" s="1"/>
  <c r="JD203" i="4" s="1"/>
  <c r="JD205" i="4" s="1"/>
  <c r="HT270" i="4"/>
  <c r="CJ264" i="4" s="1"/>
  <c r="HT269" i="4"/>
  <c r="ID246" i="4"/>
  <c r="IE242" i="4" s="1"/>
  <c r="ID253" i="4"/>
  <c r="ID248" i="4"/>
  <c r="ID247" i="4"/>
  <c r="CI266" i="4"/>
  <c r="CV244" i="4"/>
  <c r="CV249" i="4" s="1"/>
  <c r="IF239" i="4"/>
  <c r="CV240" i="4" s="1"/>
  <c r="IP224" i="4"/>
  <c r="IP230" i="4"/>
  <c r="IP223" i="4"/>
  <c r="IP222" i="4"/>
  <c r="IQ218" i="4" s="1"/>
  <c r="II229" i="4"/>
  <c r="II231" i="4" s="1"/>
  <c r="HY252" i="4"/>
  <c r="HY254" i="4" s="1"/>
  <c r="HV261" i="4"/>
  <c r="HV263" i="4" s="1"/>
  <c r="JC220" i="4"/>
  <c r="JC207" i="4"/>
  <c r="JC211" i="4"/>
  <c r="JB216" i="4"/>
  <c r="CV245" i="4" l="1"/>
  <c r="JD206" i="4"/>
  <c r="JE202" i="4" s="1"/>
  <c r="JE203" i="4" s="1"/>
  <c r="JE205" i="4" s="1"/>
  <c r="IE243" i="4"/>
  <c r="IE245" i="4" s="1"/>
  <c r="CJ265" i="4"/>
  <c r="CJ270" i="4" s="1"/>
  <c r="HT271" i="4"/>
  <c r="CJ261" i="4" s="1"/>
  <c r="IP226" i="4"/>
  <c r="CV250" i="4"/>
  <c r="IF240" i="4"/>
  <c r="HU268" i="4"/>
  <c r="CK260" i="4"/>
  <c r="IH236" i="4"/>
  <c r="CX239" i="4"/>
  <c r="CW244" i="4"/>
  <c r="CW249" i="4" s="1"/>
  <c r="IG239" i="4"/>
  <c r="CW240" i="4" s="1"/>
  <c r="CJ266" i="4"/>
  <c r="CJ269" i="4"/>
  <c r="CJ271" i="4" s="1"/>
  <c r="CS258" i="4"/>
  <c r="IC250" i="4"/>
  <c r="CW248" i="4"/>
  <c r="ID249" i="4"/>
  <c r="HX259" i="4"/>
  <c r="CN259" i="4"/>
  <c r="HV266" i="4"/>
  <c r="HV265" i="4"/>
  <c r="HV264" i="4"/>
  <c r="HW260" i="4" s="1"/>
  <c r="HY257" i="4"/>
  <c r="HY262" i="4"/>
  <c r="HY256" i="4"/>
  <c r="II234" i="4"/>
  <c r="II233" i="4"/>
  <c r="HY255" i="4"/>
  <c r="HZ251" i="4" s="1"/>
  <c r="II232" i="4"/>
  <c r="IJ228" i="4" s="1"/>
  <c r="JC215" i="4"/>
  <c r="DS237" i="4" s="1"/>
  <c r="JC213" i="4"/>
  <c r="JC212" i="4"/>
  <c r="JD208" i="4" s="1"/>
  <c r="IQ219" i="4"/>
  <c r="IQ221" i="4" s="1"/>
  <c r="JD211" i="4"/>
  <c r="JD207" i="4"/>
  <c r="JD220" i="4"/>
  <c r="IE246" i="4" l="1"/>
  <c r="IF242" i="4" s="1"/>
  <c r="IF243" i="4" s="1"/>
  <c r="IF245" i="4" s="1"/>
  <c r="HV267" i="4"/>
  <c r="IH237" i="4"/>
  <c r="IH238" i="4"/>
  <c r="CX243" i="4" s="1"/>
  <c r="HY258" i="4"/>
  <c r="CT258" i="4"/>
  <c r="ID250" i="4"/>
  <c r="II235" i="4"/>
  <c r="CW245" i="4"/>
  <c r="HU269" i="4"/>
  <c r="HU270" i="4"/>
  <c r="CK264" i="4" s="1"/>
  <c r="IP227" i="4"/>
  <c r="DF238" i="4"/>
  <c r="CW250" i="4"/>
  <c r="IG240" i="4"/>
  <c r="IE248" i="4"/>
  <c r="IE253" i="4"/>
  <c r="IE247" i="4"/>
  <c r="JE220" i="4"/>
  <c r="JE211" i="4"/>
  <c r="JE207" i="4"/>
  <c r="JE206" i="4"/>
  <c r="JF202" i="4" s="1"/>
  <c r="IQ224" i="4"/>
  <c r="IQ230" i="4"/>
  <c r="IQ223" i="4"/>
  <c r="IJ229" i="4"/>
  <c r="IJ231" i="4" s="1"/>
  <c r="IQ222" i="4"/>
  <c r="IR218" i="4" s="1"/>
  <c r="JD209" i="4"/>
  <c r="JD212" i="4" s="1"/>
  <c r="JE208" i="4" s="1"/>
  <c r="JC216" i="4"/>
  <c r="HZ252" i="4"/>
  <c r="HZ254" i="4" s="1"/>
  <c r="JD213" i="4"/>
  <c r="JD215" i="4"/>
  <c r="DT237" i="4" s="1"/>
  <c r="HW261" i="4"/>
  <c r="HW263" i="4" s="1"/>
  <c r="CK269" i="4" l="1"/>
  <c r="IQ226" i="4"/>
  <c r="II236" i="4"/>
  <c r="CY239" i="4"/>
  <c r="IF253" i="4"/>
  <c r="IF247" i="4"/>
  <c r="IF248" i="4"/>
  <c r="CK265" i="4"/>
  <c r="CK270" i="4" s="1"/>
  <c r="HU271" i="4"/>
  <c r="CK261" i="4" s="1"/>
  <c r="HY259" i="4"/>
  <c r="CO259" i="4"/>
  <c r="CX248" i="4"/>
  <c r="IE249" i="4"/>
  <c r="CX244" i="4"/>
  <c r="CX249" i="4" s="1"/>
  <c r="IH239" i="4"/>
  <c r="CX240" i="4" s="1"/>
  <c r="IF246" i="4"/>
  <c r="IG242" i="4" s="1"/>
  <c r="HV268" i="4"/>
  <c r="CL260" i="4"/>
  <c r="HZ257" i="4"/>
  <c r="HZ262" i="4"/>
  <c r="HZ256" i="4"/>
  <c r="HZ255" i="4"/>
  <c r="IA251" i="4" s="1"/>
  <c r="IJ234" i="4"/>
  <c r="IJ233" i="4"/>
  <c r="IJ232" i="4"/>
  <c r="IK228" i="4" s="1"/>
  <c r="HW266" i="4"/>
  <c r="HW265" i="4"/>
  <c r="JE209" i="4"/>
  <c r="JE212" i="4" s="1"/>
  <c r="JF208" i="4" s="1"/>
  <c r="HW264" i="4"/>
  <c r="HX260" i="4" s="1"/>
  <c r="IR219" i="4"/>
  <c r="IR221" i="4" s="1"/>
  <c r="JD216" i="4"/>
  <c r="JF203" i="4"/>
  <c r="JF205" i="4" s="1"/>
  <c r="JE215" i="4"/>
  <c r="DU237" i="4" s="1"/>
  <c r="JE213" i="4"/>
  <c r="CX245" i="4" l="1"/>
  <c r="IF249" i="4"/>
  <c r="HW267" i="4"/>
  <c r="CU258" i="4"/>
  <c r="IE250" i="4"/>
  <c r="CK271" i="4"/>
  <c r="IJ235" i="4"/>
  <c r="CX250" i="4"/>
  <c r="IH240" i="4"/>
  <c r="HZ258" i="4"/>
  <c r="II238" i="4"/>
  <c r="CY243" i="4" s="1"/>
  <c r="II237" i="4"/>
  <c r="HV270" i="4"/>
  <c r="CL264" i="4" s="1"/>
  <c r="HV269" i="4"/>
  <c r="IQ227" i="4"/>
  <c r="DG238" i="4"/>
  <c r="IG243" i="4"/>
  <c r="IG245" i="4" s="1"/>
  <c r="CK266" i="4"/>
  <c r="JF206" i="4"/>
  <c r="JG202" i="4" s="1"/>
  <c r="JG203" i="4" s="1"/>
  <c r="JG205" i="4" s="1"/>
  <c r="IR224" i="4"/>
  <c r="IR230" i="4"/>
  <c r="IR223" i="4"/>
  <c r="JF209" i="4"/>
  <c r="IR222" i="4"/>
  <c r="IS218" i="4" s="1"/>
  <c r="HX261" i="4"/>
  <c r="HX263" i="4" s="1"/>
  <c r="JE216" i="4"/>
  <c r="IK229" i="4"/>
  <c r="IK231" i="4" s="1"/>
  <c r="IA252" i="4"/>
  <c r="IA254" i="4" s="1"/>
  <c r="JF220" i="4"/>
  <c r="JF211" i="4"/>
  <c r="JF207" i="4"/>
  <c r="CL265" i="4" l="1"/>
  <c r="CL270" i="4" s="1"/>
  <c r="HV271" i="4"/>
  <c r="CL261" i="4" s="1"/>
  <c r="CY244" i="4"/>
  <c r="CY249" i="4" s="1"/>
  <c r="II239" i="4"/>
  <c r="CY240" i="4" s="1"/>
  <c r="IG253" i="4"/>
  <c r="IG247" i="4"/>
  <c r="IG248" i="4"/>
  <c r="IJ236" i="4"/>
  <c r="CZ239" i="4"/>
  <c r="IR226" i="4"/>
  <c r="CL269" i="4"/>
  <c r="CY248" i="4"/>
  <c r="IK232" i="4"/>
  <c r="IL228" i="4" s="1"/>
  <c r="IL229" i="4" s="1"/>
  <c r="IL231" i="4" s="1"/>
  <c r="HZ259" i="4"/>
  <c r="CP259" i="4"/>
  <c r="HW268" i="4"/>
  <c r="CM260" i="4"/>
  <c r="IG246" i="4"/>
  <c r="IH242" i="4" s="1"/>
  <c r="IH243" i="4" s="1"/>
  <c r="IH245" i="4" s="1"/>
  <c r="CV258" i="4"/>
  <c r="IF250" i="4"/>
  <c r="JG211" i="4"/>
  <c r="JG207" i="4"/>
  <c r="JG220" i="4"/>
  <c r="JG206" i="4"/>
  <c r="JH202" i="4" s="1"/>
  <c r="HX266" i="4"/>
  <c r="HX265" i="4"/>
  <c r="HX264" i="4"/>
  <c r="HY260" i="4" s="1"/>
  <c r="JF213" i="4"/>
  <c r="JF215" i="4"/>
  <c r="DV237" i="4" s="1"/>
  <c r="IA257" i="4"/>
  <c r="IA262" i="4"/>
  <c r="IA256" i="4"/>
  <c r="IK234" i="4"/>
  <c r="IK233" i="4"/>
  <c r="IS219" i="4"/>
  <c r="IS221" i="4" s="1"/>
  <c r="JF212" i="4"/>
  <c r="JG208" i="4" s="1"/>
  <c r="IA255" i="4"/>
  <c r="IB251" i="4" s="1"/>
  <c r="CL266" i="4" l="1"/>
  <c r="CL271" i="4"/>
  <c r="CY245" i="4"/>
  <c r="HX267" i="4"/>
  <c r="IA258" i="4"/>
  <c r="IR227" i="4"/>
  <c r="DH238" i="4"/>
  <c r="IG249" i="4"/>
  <c r="IK235" i="4"/>
  <c r="CY250" i="4"/>
  <c r="II240" i="4"/>
  <c r="IJ237" i="4"/>
  <c r="IJ238" i="4"/>
  <c r="CZ243" i="4" s="1"/>
  <c r="IH246" i="4"/>
  <c r="II242" i="4" s="1"/>
  <c r="IH253" i="4"/>
  <c r="IH248" i="4"/>
  <c r="IH247" i="4"/>
  <c r="HW270" i="4"/>
  <c r="CM264" i="4" s="1"/>
  <c r="HW269" i="4"/>
  <c r="IS224" i="4"/>
  <c r="IS230" i="4"/>
  <c r="IS223" i="4"/>
  <c r="IS222" i="4"/>
  <c r="IT218" i="4" s="1"/>
  <c r="IL234" i="4"/>
  <c r="IL233" i="4"/>
  <c r="IL232" i="4"/>
  <c r="IM228" i="4" s="1"/>
  <c r="JF216" i="4"/>
  <c r="JG213" i="4"/>
  <c r="JG215" i="4"/>
  <c r="DW237" i="4" s="1"/>
  <c r="IB252" i="4"/>
  <c r="IB254" i="4" s="1"/>
  <c r="JG209" i="4"/>
  <c r="JG212" i="4" s="1"/>
  <c r="JH208" i="4" s="1"/>
  <c r="HY261" i="4"/>
  <c r="HY263" i="4" s="1"/>
  <c r="JH203" i="4"/>
  <c r="JH205" i="4" s="1"/>
  <c r="IH249" i="4" l="1"/>
  <c r="IL235" i="4"/>
  <c r="CW258" i="4"/>
  <c r="IG250" i="4"/>
  <c r="II243" i="4"/>
  <c r="II245" i="4" s="1"/>
  <c r="II246" i="4" s="1"/>
  <c r="IJ242" i="4" s="1"/>
  <c r="IK236" i="4"/>
  <c r="DA239" i="4"/>
  <c r="IS226" i="4"/>
  <c r="CZ248" i="4"/>
  <c r="CZ244" i="4"/>
  <c r="CZ249" i="4" s="1"/>
  <c r="IJ239" i="4"/>
  <c r="CZ240" i="4" s="1"/>
  <c r="IA259" i="4"/>
  <c r="CQ259" i="4"/>
  <c r="CM265" i="4"/>
  <c r="CM270" i="4" s="1"/>
  <c r="HW271" i="4"/>
  <c r="CM261" i="4" s="1"/>
  <c r="CM269" i="4"/>
  <c r="HX268" i="4"/>
  <c r="CN260" i="4"/>
  <c r="HY266" i="4"/>
  <c r="HY265" i="4"/>
  <c r="IB257" i="4"/>
  <c r="IB262" i="4"/>
  <c r="IB256" i="4"/>
  <c r="JH220" i="4"/>
  <c r="JH211" i="4"/>
  <c r="JH207" i="4"/>
  <c r="HY264" i="4"/>
  <c r="HZ260" i="4" s="1"/>
  <c r="JH209" i="4"/>
  <c r="IB255" i="4"/>
  <c r="IC251" i="4" s="1"/>
  <c r="JG216" i="4"/>
  <c r="JH206" i="4"/>
  <c r="JI202" i="4" s="1"/>
  <c r="IM229" i="4"/>
  <c r="IM231" i="4" s="1"/>
  <c r="IT219" i="4"/>
  <c r="IT221" i="4" s="1"/>
  <c r="CM266" i="4" l="1"/>
  <c r="CM271" i="4"/>
  <c r="IJ243" i="4"/>
  <c r="CZ245" i="4"/>
  <c r="IK238" i="4"/>
  <c r="DA243" i="4" s="1"/>
  <c r="IK237" i="4"/>
  <c r="CZ250" i="4"/>
  <c r="IJ240" i="4"/>
  <c r="IB258" i="4"/>
  <c r="HY267" i="4"/>
  <c r="IS227" i="4"/>
  <c r="DI238" i="4"/>
  <c r="II248" i="4"/>
  <c r="II253" i="4"/>
  <c r="II247" i="4"/>
  <c r="HX270" i="4"/>
  <c r="CN264" i="4" s="1"/>
  <c r="HX269" i="4"/>
  <c r="IL236" i="4"/>
  <c r="DB239" i="4"/>
  <c r="CX258" i="4"/>
  <c r="IH250" i="4"/>
  <c r="JH212" i="4"/>
  <c r="JI208" i="4" s="1"/>
  <c r="JI209" i="4" s="1"/>
  <c r="IT224" i="4"/>
  <c r="IT230" i="4"/>
  <c r="IT223" i="4"/>
  <c r="IM234" i="4"/>
  <c r="IM233" i="4"/>
  <c r="IM232" i="4"/>
  <c r="IN228" i="4" s="1"/>
  <c r="HZ261" i="4"/>
  <c r="HZ263" i="4" s="1"/>
  <c r="IT222" i="4"/>
  <c r="IU218" i="4" s="1"/>
  <c r="IC252" i="4"/>
  <c r="IC254" i="4" s="1"/>
  <c r="JH213" i="4"/>
  <c r="JH215" i="4"/>
  <c r="DX237" i="4" s="1"/>
  <c r="JI203" i="4"/>
  <c r="JI205" i="4" s="1"/>
  <c r="CN269" i="4" l="1"/>
  <c r="IT226" i="4"/>
  <c r="IB259" i="4"/>
  <c r="CR259" i="4"/>
  <c r="II249" i="4"/>
  <c r="IM235" i="4"/>
  <c r="HY268" i="4"/>
  <c r="CO260" i="4"/>
  <c r="IL238" i="4"/>
  <c r="DB243" i="4" s="1"/>
  <c r="IL237" i="4"/>
  <c r="DA244" i="4"/>
  <c r="DA249" i="4" s="1"/>
  <c r="IK239" i="4"/>
  <c r="DA240" i="4" s="1"/>
  <c r="DA248" i="4"/>
  <c r="JI206" i="4"/>
  <c r="JJ202" i="4" s="1"/>
  <c r="JJ203" i="4" s="1"/>
  <c r="JJ205" i="4" s="1"/>
  <c r="CN265" i="4"/>
  <c r="CN270" i="4" s="1"/>
  <c r="HX271" i="4"/>
  <c r="CN261" i="4" s="1"/>
  <c r="IJ245" i="4"/>
  <c r="IC257" i="4"/>
  <c r="IC262" i="4"/>
  <c r="IC256" i="4"/>
  <c r="IC255" i="4"/>
  <c r="ID251" i="4" s="1"/>
  <c r="HZ266" i="4"/>
  <c r="HZ265" i="4"/>
  <c r="HZ264" i="4"/>
  <c r="IA260" i="4" s="1"/>
  <c r="IU219" i="4"/>
  <c r="IU221" i="4" s="1"/>
  <c r="IN229" i="4"/>
  <c r="IN231" i="4" s="1"/>
  <c r="JI211" i="4"/>
  <c r="JI220" i="4"/>
  <c r="JI207" i="4"/>
  <c r="JH216" i="4"/>
  <c r="DA245" i="4" l="1"/>
  <c r="CN271" i="4"/>
  <c r="DB244" i="4"/>
  <c r="DB249" i="4" s="1"/>
  <c r="IL239" i="4"/>
  <c r="DB240" i="4" s="1"/>
  <c r="DA250" i="4"/>
  <c r="IK240" i="4"/>
  <c r="IM236" i="4"/>
  <c r="DC239" i="4"/>
  <c r="DB248" i="4"/>
  <c r="HY270" i="4"/>
  <c r="CO264" i="4" s="1"/>
  <c r="HY269" i="4"/>
  <c r="HZ267" i="4"/>
  <c r="CY258" i="4"/>
  <c r="II250" i="4"/>
  <c r="IJ248" i="4"/>
  <c r="IJ247" i="4"/>
  <c r="IJ253" i="4"/>
  <c r="IJ246" i="4"/>
  <c r="IK242" i="4" s="1"/>
  <c r="IK243" i="4" s="1"/>
  <c r="IK245" i="4" s="1"/>
  <c r="IC258" i="4"/>
  <c r="IT227" i="4"/>
  <c r="DJ238" i="4"/>
  <c r="CN266" i="4"/>
  <c r="IU222" i="4"/>
  <c r="IV218" i="4" s="1"/>
  <c r="IV219" i="4" s="1"/>
  <c r="IV221" i="4" s="1"/>
  <c r="JJ220" i="4"/>
  <c r="JJ207" i="4"/>
  <c r="JJ211" i="4"/>
  <c r="IN234" i="4"/>
  <c r="IN233" i="4"/>
  <c r="JI215" i="4"/>
  <c r="DY237" i="4" s="1"/>
  <c r="JI213" i="4"/>
  <c r="JI212" i="4"/>
  <c r="JJ208" i="4" s="1"/>
  <c r="IN232" i="4"/>
  <c r="IO228" i="4" s="1"/>
  <c r="JJ206" i="4"/>
  <c r="JK202" i="4" s="1"/>
  <c r="IU224" i="4"/>
  <c r="IU230" i="4"/>
  <c r="IU223" i="4"/>
  <c r="IA261" i="4"/>
  <c r="ID252" i="4"/>
  <c r="DB245" i="4" l="1"/>
  <c r="HZ268" i="4"/>
  <c r="CP260" i="4"/>
  <c r="DB250" i="4"/>
  <c r="IL240" i="4"/>
  <c r="IN235" i="4"/>
  <c r="CO265" i="4"/>
  <c r="CO270" i="4" s="1"/>
  <c r="HY271" i="4"/>
  <c r="CO261" i="4" s="1"/>
  <c r="IK246" i="4"/>
  <c r="IL242" i="4" s="1"/>
  <c r="IK253" i="4"/>
  <c r="IK247" i="4"/>
  <c r="IK248" i="4"/>
  <c r="IJ249" i="4"/>
  <c r="CO266" i="4"/>
  <c r="CO269" i="4"/>
  <c r="CO271" i="4" s="1"/>
  <c r="IM238" i="4"/>
  <c r="DC243" i="4" s="1"/>
  <c r="IM237" i="4"/>
  <c r="IC259" i="4"/>
  <c r="CS259" i="4"/>
  <c r="IU226" i="4"/>
  <c r="IV224" i="4"/>
  <c r="IV230" i="4"/>
  <c r="IV223" i="4"/>
  <c r="IV222" i="4"/>
  <c r="IW218" i="4" s="1"/>
  <c r="IO229" i="4"/>
  <c r="IO231" i="4" s="1"/>
  <c r="JI216" i="4"/>
  <c r="ID254" i="4"/>
  <c r="JJ215" i="4"/>
  <c r="DZ237" i="4" s="1"/>
  <c r="JJ213" i="4"/>
  <c r="JJ209" i="4"/>
  <c r="JJ212" i="4" s="1"/>
  <c r="JK208" i="4" s="1"/>
  <c r="IA263" i="4"/>
  <c r="JK203" i="4"/>
  <c r="JK205" i="4" s="1"/>
  <c r="IV226" i="4" l="1"/>
  <c r="IU227" i="4"/>
  <c r="DK238" i="4"/>
  <c r="DC248" i="4"/>
  <c r="IK249" i="4"/>
  <c r="IL243" i="4"/>
  <c r="IL245" i="4" s="1"/>
  <c r="IN236" i="4"/>
  <c r="DD239" i="4"/>
  <c r="HZ270" i="4"/>
  <c r="CP264" i="4" s="1"/>
  <c r="HZ269" i="4"/>
  <c r="DC244" i="4"/>
  <c r="DC249" i="4" s="1"/>
  <c r="IM239" i="4"/>
  <c r="DC240" i="4" s="1"/>
  <c r="CZ258" i="4"/>
  <c r="IJ250" i="4"/>
  <c r="ID255" i="4"/>
  <c r="IE251" i="4" s="1"/>
  <c r="IE252" i="4" s="1"/>
  <c r="IE254" i="4" s="1"/>
  <c r="IO234" i="4"/>
  <c r="IO233" i="4"/>
  <c r="IO232" i="4"/>
  <c r="IP228" i="4" s="1"/>
  <c r="JK209" i="4"/>
  <c r="JJ216" i="4"/>
  <c r="IW219" i="4"/>
  <c r="IW221" i="4" s="1"/>
  <c r="JK220" i="4"/>
  <c r="JK207" i="4"/>
  <c r="JK211" i="4"/>
  <c r="ID257" i="4"/>
  <c r="ID262" i="4"/>
  <c r="ID256" i="4"/>
  <c r="JK206" i="4"/>
  <c r="JL202" i="4" s="1"/>
  <c r="IA266" i="4"/>
  <c r="IA265" i="4"/>
  <c r="IA264" i="4"/>
  <c r="IB260" i="4" s="1"/>
  <c r="CP269" i="4" l="1"/>
  <c r="IA267" i="4"/>
  <c r="ID258" i="4"/>
  <c r="IN238" i="4"/>
  <c r="DD243" i="4" s="1"/>
  <c r="IN237" i="4"/>
  <c r="IL253" i="4"/>
  <c r="IL248" i="4"/>
  <c r="IL247" i="4"/>
  <c r="DC250" i="4"/>
  <c r="IM240" i="4"/>
  <c r="DC245" i="4"/>
  <c r="CP265" i="4"/>
  <c r="CP270" i="4" s="1"/>
  <c r="HZ271" i="4"/>
  <c r="CP261" i="4" s="1"/>
  <c r="IL246" i="4"/>
  <c r="IM242" i="4" s="1"/>
  <c r="DA258" i="4"/>
  <c r="IK250" i="4"/>
  <c r="IO235" i="4"/>
  <c r="IV227" i="4"/>
  <c r="DL238" i="4"/>
  <c r="IW224" i="4"/>
  <c r="IW230" i="4"/>
  <c r="IW223" i="4"/>
  <c r="IW222" i="4"/>
  <c r="IX218" i="4" s="1"/>
  <c r="IE257" i="4"/>
  <c r="IE262" i="4"/>
  <c r="IE256" i="4"/>
  <c r="IE255" i="4"/>
  <c r="IF251" i="4" s="1"/>
  <c r="IP229" i="4"/>
  <c r="IP231" i="4" s="1"/>
  <c r="JK213" i="4"/>
  <c r="JK215" i="4"/>
  <c r="EA237" i="4" s="1"/>
  <c r="IB261" i="4"/>
  <c r="IB263" i="4" s="1"/>
  <c r="JK212" i="4"/>
  <c r="JL208" i="4" s="1"/>
  <c r="JL203" i="4"/>
  <c r="JL205" i="4" s="1"/>
  <c r="IM243" i="4" l="1"/>
  <c r="IM245" i="4" s="1"/>
  <c r="DD244" i="4"/>
  <c r="DD249" i="4" s="1"/>
  <c r="IN239" i="4"/>
  <c r="DD240" i="4" s="1"/>
  <c r="IL249" i="4"/>
  <c r="IW226" i="4"/>
  <c r="ID259" i="4"/>
  <c r="CT259" i="4"/>
  <c r="CP271" i="4"/>
  <c r="IE258" i="4"/>
  <c r="DD248" i="4"/>
  <c r="IO236" i="4"/>
  <c r="DE239" i="4"/>
  <c r="IA268" i="4"/>
  <c r="CQ260" i="4"/>
  <c r="CP266" i="4"/>
  <c r="IB266" i="4"/>
  <c r="IB265" i="4"/>
  <c r="IB264" i="4"/>
  <c r="IC260" i="4" s="1"/>
  <c r="IP234" i="4"/>
  <c r="IP233" i="4"/>
  <c r="IP232" i="4"/>
  <c r="IQ228" i="4" s="1"/>
  <c r="JK216" i="4"/>
  <c r="JL209" i="4"/>
  <c r="IF252" i="4"/>
  <c r="IF254" i="4" s="1"/>
  <c r="JL220" i="4"/>
  <c r="JL207" i="4"/>
  <c r="JL211" i="4"/>
  <c r="IX219" i="4"/>
  <c r="IX221" i="4" s="1"/>
  <c r="JL206" i="4"/>
  <c r="JM202" i="4" s="1"/>
  <c r="DD245" i="4" l="1"/>
  <c r="IA269" i="4"/>
  <c r="IA270" i="4"/>
  <c r="CQ264" i="4" s="1"/>
  <c r="DD250" i="4"/>
  <c r="IN240" i="4"/>
  <c r="IE259" i="4"/>
  <c r="CU259" i="4"/>
  <c r="DB258" i="4"/>
  <c r="IL250" i="4"/>
  <c r="IO237" i="4"/>
  <c r="IO238" i="4"/>
  <c r="DE243" i="4" s="1"/>
  <c r="IP235" i="4"/>
  <c r="IW227" i="4"/>
  <c r="DM238" i="4"/>
  <c r="IB267" i="4"/>
  <c r="IM246" i="4"/>
  <c r="IN242" i="4" s="1"/>
  <c r="IM253" i="4"/>
  <c r="IM247" i="4"/>
  <c r="IM248" i="4"/>
  <c r="JL212" i="4"/>
  <c r="JM208" i="4" s="1"/>
  <c r="JM209" i="4" s="1"/>
  <c r="IF257" i="4"/>
  <c r="IF262" i="4"/>
  <c r="IF256" i="4"/>
  <c r="IC261" i="4"/>
  <c r="IC263" i="4" s="1"/>
  <c r="IF255" i="4"/>
  <c r="IG251" i="4" s="1"/>
  <c r="IQ229" i="4"/>
  <c r="JM203" i="4"/>
  <c r="JM205" i="4" s="1"/>
  <c r="IX224" i="4"/>
  <c r="IX230" i="4"/>
  <c r="IX223" i="4"/>
  <c r="IX222" i="4"/>
  <c r="IY218" i="4" s="1"/>
  <c r="JL213" i="4"/>
  <c r="JL215" i="4"/>
  <c r="EB237" i="4" s="1"/>
  <c r="IB268" i="4" l="1"/>
  <c r="CR260" i="4"/>
  <c r="IX226" i="4"/>
  <c r="DE248" i="4"/>
  <c r="IN243" i="4"/>
  <c r="IN245" i="4" s="1"/>
  <c r="IP236" i="4"/>
  <c r="DF239" i="4"/>
  <c r="DE244" i="4"/>
  <c r="DE249" i="4" s="1"/>
  <c r="IO239" i="4"/>
  <c r="DE240" i="4" s="1"/>
  <c r="IF258" i="4"/>
  <c r="CQ269" i="4"/>
  <c r="IM249" i="4"/>
  <c r="CQ265" i="4"/>
  <c r="CQ270" i="4" s="1"/>
  <c r="IA271" i="4"/>
  <c r="CQ261" i="4" s="1"/>
  <c r="JM220" i="4"/>
  <c r="JM207" i="4"/>
  <c r="JM211" i="4"/>
  <c r="IC266" i="4"/>
  <c r="IC265" i="4"/>
  <c r="IC264" i="4"/>
  <c r="ID260" i="4" s="1"/>
  <c r="JM206" i="4"/>
  <c r="JN202" i="4" s="1"/>
  <c r="IQ231" i="4"/>
  <c r="IG252" i="4"/>
  <c r="IG254" i="4" s="1"/>
  <c r="JL216" i="4"/>
  <c r="IY219" i="4"/>
  <c r="IY221" i="4" s="1"/>
  <c r="IY222" i="4" l="1"/>
  <c r="IZ218" i="4" s="1"/>
  <c r="IZ219" i="4" s="1"/>
  <c r="IZ221" i="4" s="1"/>
  <c r="DC258" i="4"/>
  <c r="IM250" i="4"/>
  <c r="IF259" i="4"/>
  <c r="CV259" i="4"/>
  <c r="IN247" i="4"/>
  <c r="IN253" i="4"/>
  <c r="IN248" i="4"/>
  <c r="CQ266" i="4"/>
  <c r="IG255" i="4"/>
  <c r="IH251" i="4" s="1"/>
  <c r="IH252" i="4" s="1"/>
  <c r="IH254" i="4" s="1"/>
  <c r="IC267" i="4"/>
  <c r="DE245" i="4"/>
  <c r="CQ271" i="4"/>
  <c r="IP238" i="4"/>
  <c r="DF243" i="4" s="1"/>
  <c r="IP237" i="4"/>
  <c r="IN246" i="4"/>
  <c r="IO242" i="4" s="1"/>
  <c r="DE250" i="4"/>
  <c r="IO240" i="4"/>
  <c r="IX227" i="4"/>
  <c r="DN238" i="4"/>
  <c r="IB269" i="4"/>
  <c r="IB270" i="4"/>
  <c r="CR264" i="4" s="1"/>
  <c r="ID261" i="4"/>
  <c r="ID263" i="4" s="1"/>
  <c r="IG257" i="4"/>
  <c r="IG262" i="4"/>
  <c r="IG256" i="4"/>
  <c r="IQ234" i="4"/>
  <c r="IQ233" i="4"/>
  <c r="JN203" i="4"/>
  <c r="JN205" i="4" s="1"/>
  <c r="JM213" i="4"/>
  <c r="JM215" i="4"/>
  <c r="EC237" i="4" s="1"/>
  <c r="JM212" i="4"/>
  <c r="JN208" i="4" s="1"/>
  <c r="IY224" i="4"/>
  <c r="IY230" i="4"/>
  <c r="IY223" i="4"/>
  <c r="IQ232" i="4"/>
  <c r="IR228" i="4" s="1"/>
  <c r="DF248" i="4" l="1"/>
  <c r="IQ235" i="4"/>
  <c r="DF244" i="4"/>
  <c r="DF249" i="4" s="1"/>
  <c r="IP239" i="4"/>
  <c r="DF240" i="4" s="1"/>
  <c r="IC268" i="4"/>
  <c r="CS260" i="4"/>
  <c r="IN249" i="4"/>
  <c r="JN206" i="4"/>
  <c r="JO202" i="4" s="1"/>
  <c r="JO203" i="4" s="1"/>
  <c r="JO205" i="4" s="1"/>
  <c r="IG258" i="4"/>
  <c r="CR269" i="4"/>
  <c r="IO243" i="4"/>
  <c r="IO245" i="4" s="1"/>
  <c r="ID264" i="4"/>
  <c r="IE260" i="4" s="1"/>
  <c r="IE261" i="4" s="1"/>
  <c r="IE263" i="4" s="1"/>
  <c r="CR265" i="4"/>
  <c r="CR270" i="4" s="1"/>
  <c r="IB271" i="4"/>
  <c r="CR261" i="4" s="1"/>
  <c r="IY226" i="4"/>
  <c r="IH257" i="4"/>
  <c r="IH262" i="4"/>
  <c r="IH256" i="4"/>
  <c r="IH255" i="4"/>
  <c r="II251" i="4" s="1"/>
  <c r="JN207" i="4"/>
  <c r="JN220" i="4"/>
  <c r="JN211" i="4"/>
  <c r="IR229" i="4"/>
  <c r="IZ224" i="4"/>
  <c r="IZ230" i="4"/>
  <c r="IZ223" i="4"/>
  <c r="ID266" i="4"/>
  <c r="ID265" i="4"/>
  <c r="IZ222" i="4"/>
  <c r="JA218" i="4" s="1"/>
  <c r="JN209" i="4"/>
  <c r="JM216" i="4"/>
  <c r="CR266" i="4" l="1"/>
  <c r="CR271" i="4"/>
  <c r="IO253" i="4"/>
  <c r="IO248" i="4"/>
  <c r="IO247" i="4"/>
  <c r="IZ226" i="4"/>
  <c r="IO246" i="4"/>
  <c r="IP242" i="4" s="1"/>
  <c r="DD258" i="4"/>
  <c r="IN250" i="4"/>
  <c r="IC269" i="4"/>
  <c r="IC270" i="4"/>
  <c r="CS264" i="4" s="1"/>
  <c r="IH258" i="4"/>
  <c r="IG259" i="4"/>
  <c r="CW259" i="4"/>
  <c r="IQ236" i="4"/>
  <c r="DG239" i="4"/>
  <c r="DF250" i="4"/>
  <c r="IP240" i="4"/>
  <c r="ID267" i="4"/>
  <c r="IY227" i="4"/>
  <c r="DO238" i="4"/>
  <c r="DF245" i="4"/>
  <c r="JN212" i="4"/>
  <c r="JO208" i="4" s="1"/>
  <c r="JO209" i="4" s="1"/>
  <c r="IE266" i="4"/>
  <c r="IE265" i="4"/>
  <c r="JO220" i="4"/>
  <c r="JO207" i="4"/>
  <c r="JO211" i="4"/>
  <c r="JO206" i="4"/>
  <c r="JP202" i="4" s="1"/>
  <c r="IR231" i="4"/>
  <c r="JA219" i="4"/>
  <c r="JA221" i="4" s="1"/>
  <c r="IE264" i="4"/>
  <c r="IF260" i="4" s="1"/>
  <c r="II252" i="4"/>
  <c r="II254" i="4" s="1"/>
  <c r="JN213" i="4"/>
  <c r="JN215" i="4"/>
  <c r="ED237" i="4" s="1"/>
  <c r="IH259" i="4" l="1"/>
  <c r="CX259" i="4"/>
  <c r="CS269" i="4"/>
  <c r="CS265" i="4"/>
  <c r="CS270" i="4" s="1"/>
  <c r="IC271" i="4"/>
  <c r="CS261" i="4" s="1"/>
  <c r="IE267" i="4"/>
  <c r="IO249" i="4"/>
  <c r="IQ237" i="4"/>
  <c r="IQ238" i="4"/>
  <c r="DG243" i="4" s="1"/>
  <c r="IP243" i="4"/>
  <c r="IP245" i="4" s="1"/>
  <c r="IZ227" i="4"/>
  <c r="DP238" i="4"/>
  <c r="ID268" i="4"/>
  <c r="CT260" i="4"/>
  <c r="JO212" i="4"/>
  <c r="JP208" i="4" s="1"/>
  <c r="JP209" i="4" s="1"/>
  <c r="JA224" i="4"/>
  <c r="JA230" i="4"/>
  <c r="JA223" i="4"/>
  <c r="JA222" i="4"/>
  <c r="JB218" i="4" s="1"/>
  <c r="II257" i="4"/>
  <c r="II262" i="4"/>
  <c r="II256" i="4"/>
  <c r="IF261" i="4"/>
  <c r="IF263" i="4" s="1"/>
  <c r="IR234" i="4"/>
  <c r="IR233" i="4"/>
  <c r="JP203" i="4"/>
  <c r="JP205" i="4" s="1"/>
  <c r="II255" i="4"/>
  <c r="IJ251" i="4" s="1"/>
  <c r="JN216" i="4"/>
  <c r="JO215" i="4"/>
  <c r="EE237" i="4" s="1"/>
  <c r="JO213" i="4"/>
  <c r="IR232" i="4"/>
  <c r="IS228" i="4" s="1"/>
  <c r="DG248" i="4" l="1"/>
  <c r="IP248" i="4"/>
  <c r="IP247" i="4"/>
  <c r="IP253" i="4"/>
  <c r="DG244" i="4"/>
  <c r="DG249" i="4" s="1"/>
  <c r="IQ239" i="4"/>
  <c r="DG240" i="4" s="1"/>
  <c r="DE258" i="4"/>
  <c r="IO250" i="4"/>
  <c r="ID270" i="4"/>
  <c r="CT264" i="4" s="1"/>
  <c r="ID269" i="4"/>
  <c r="IR235" i="4"/>
  <c r="IE268" i="4"/>
  <c r="CU260" i="4"/>
  <c r="CS271" i="4"/>
  <c r="JA226" i="4"/>
  <c r="IP246" i="4"/>
  <c r="IQ242" i="4" s="1"/>
  <c r="II258" i="4"/>
  <c r="CS266" i="4"/>
  <c r="JP211" i="4"/>
  <c r="JP207" i="4"/>
  <c r="JP220" i="4"/>
  <c r="IF266" i="4"/>
  <c r="IF265" i="4"/>
  <c r="IF264" i="4"/>
  <c r="IG260" i="4" s="1"/>
  <c r="IJ252" i="4"/>
  <c r="IJ254" i="4" s="1"/>
  <c r="JP206" i="4"/>
  <c r="JQ202" i="4" s="1"/>
  <c r="IS229" i="4"/>
  <c r="IS231" i="4" s="1"/>
  <c r="JO216" i="4"/>
  <c r="JB219" i="4"/>
  <c r="JB221" i="4" s="1"/>
  <c r="IR236" i="4" l="1"/>
  <c r="DH239" i="4"/>
  <c r="CT269" i="4"/>
  <c r="IQ243" i="4"/>
  <c r="JA227" i="4"/>
  <c r="DQ238" i="4"/>
  <c r="IE270" i="4"/>
  <c r="CU264" i="4" s="1"/>
  <c r="IE269" i="4"/>
  <c r="JP212" i="4"/>
  <c r="JQ208" i="4" s="1"/>
  <c r="JQ209" i="4" s="1"/>
  <c r="CT265" i="4"/>
  <c r="CT270" i="4" s="1"/>
  <c r="ID271" i="4"/>
  <c r="CT261" i="4" s="1"/>
  <c r="IF267" i="4"/>
  <c r="IP249" i="4"/>
  <c r="DG250" i="4"/>
  <c r="IQ240" i="4"/>
  <c r="II259" i="4"/>
  <c r="CY259" i="4"/>
  <c r="DG245" i="4"/>
  <c r="IS234" i="4"/>
  <c r="IS233" i="4"/>
  <c r="IJ257" i="4"/>
  <c r="IJ262" i="4"/>
  <c r="IJ256" i="4"/>
  <c r="JP215" i="4"/>
  <c r="EF237" i="4" s="1"/>
  <c r="JP213" i="4"/>
  <c r="IS232" i="4"/>
  <c r="IT228" i="4" s="1"/>
  <c r="JQ203" i="4"/>
  <c r="JQ205" i="4" s="1"/>
  <c r="IJ255" i="4"/>
  <c r="IK251" i="4" s="1"/>
  <c r="IG261" i="4"/>
  <c r="IG263" i="4" s="1"/>
  <c r="JB224" i="4"/>
  <c r="JB230" i="4"/>
  <c r="JB223" i="4"/>
  <c r="JB222" i="4"/>
  <c r="JC218" i="4" s="1"/>
  <c r="IQ245" i="4" l="1"/>
  <c r="IQ246" i="4" s="1"/>
  <c r="IR242" i="4" s="1"/>
  <c r="IR243" i="4" s="1"/>
  <c r="JB226" i="4"/>
  <c r="CU265" i="4"/>
  <c r="CU270" i="4" s="1"/>
  <c r="IE271" i="4"/>
  <c r="CU261" i="4" s="1"/>
  <c r="IJ258" i="4"/>
  <c r="DF258" i="4"/>
  <c r="IP250" i="4"/>
  <c r="IF268" i="4"/>
  <c r="CV260" i="4"/>
  <c r="CU269" i="4"/>
  <c r="IS235" i="4"/>
  <c r="CT271" i="4"/>
  <c r="CT266" i="4"/>
  <c r="IR237" i="4"/>
  <c r="IR238" i="4"/>
  <c r="DH243" i="4" s="1"/>
  <c r="JQ206" i="4"/>
  <c r="JR202" i="4" s="1"/>
  <c r="JR203" i="4" s="1"/>
  <c r="JR205" i="4" s="1"/>
  <c r="IG266" i="4"/>
  <c r="IG265" i="4"/>
  <c r="IK252" i="4"/>
  <c r="IK254" i="4" s="1"/>
  <c r="IG264" i="4"/>
  <c r="IH260" i="4" s="1"/>
  <c r="JQ220" i="4"/>
  <c r="JQ207" i="4"/>
  <c r="EY207" i="4" s="1"/>
  <c r="JQ211" i="4"/>
  <c r="IT229" i="4"/>
  <c r="IT231" i="4" s="1"/>
  <c r="JP216" i="4"/>
  <c r="JC219" i="4"/>
  <c r="JC221" i="4" s="1"/>
  <c r="CU266" i="4" l="1"/>
  <c r="CU271" i="4"/>
  <c r="IQ247" i="4"/>
  <c r="IQ248" i="4"/>
  <c r="IQ249" i="4" s="1"/>
  <c r="IQ253" i="4"/>
  <c r="IS236" i="4"/>
  <c r="DI239" i="4"/>
  <c r="IF269" i="4"/>
  <c r="IF270" i="4"/>
  <c r="CV264" i="4" s="1"/>
  <c r="IJ259" i="4"/>
  <c r="CZ259" i="4"/>
  <c r="JB227" i="4"/>
  <c r="DR238" i="4"/>
  <c r="JC222" i="4"/>
  <c r="JD218" i="4" s="1"/>
  <c r="JD219" i="4" s="1"/>
  <c r="JD221" i="4" s="1"/>
  <c r="IK255" i="4"/>
  <c r="IL251" i="4" s="1"/>
  <c r="IL252" i="4" s="1"/>
  <c r="IL254" i="4" s="1"/>
  <c r="IG267" i="4"/>
  <c r="DH248" i="4"/>
  <c r="DH244" i="4"/>
  <c r="DH249" i="4" s="1"/>
  <c r="IR239" i="4"/>
  <c r="DH240" i="4" s="1"/>
  <c r="JR206" i="4"/>
  <c r="JS202" i="4" s="1"/>
  <c r="JS203" i="4" s="1"/>
  <c r="JS205" i="4" s="1"/>
  <c r="JS206" i="4" s="1"/>
  <c r="JT202" i="4" s="1"/>
  <c r="IT234" i="4"/>
  <c r="IT233" i="4"/>
  <c r="JQ213" i="4"/>
  <c r="EY213" i="4" s="1"/>
  <c r="JQ215" i="4"/>
  <c r="EG237" i="4" s="1"/>
  <c r="JQ212" i="4"/>
  <c r="JR208" i="4" s="1"/>
  <c r="IH261" i="4"/>
  <c r="IH263" i="4" s="1"/>
  <c r="IK257" i="4"/>
  <c r="IK262" i="4"/>
  <c r="IK256" i="4"/>
  <c r="JC224" i="4"/>
  <c r="JC230" i="4"/>
  <c r="JC223" i="4"/>
  <c r="JR220" i="4"/>
  <c r="JR211" i="4"/>
  <c r="JR207" i="4"/>
  <c r="IT232" i="4"/>
  <c r="IU228" i="4" s="1"/>
  <c r="JD222" i="4" l="1"/>
  <c r="JE218" i="4" s="1"/>
  <c r="JE219" i="4" s="1"/>
  <c r="JC226" i="4"/>
  <c r="DH245" i="4"/>
  <c r="IK258" i="4"/>
  <c r="IT235" i="4"/>
  <c r="DH250" i="4"/>
  <c r="IR240" i="4"/>
  <c r="IR245" i="4" s="1"/>
  <c r="CV269" i="4"/>
  <c r="IG268" i="4"/>
  <c r="CW260" i="4"/>
  <c r="CV265" i="4"/>
  <c r="CV270" i="4" s="1"/>
  <c r="IF271" i="4"/>
  <c r="CV261" i="4" s="1"/>
  <c r="IS238" i="4"/>
  <c r="DI243" i="4" s="1"/>
  <c r="IS237" i="4"/>
  <c r="DG258" i="4"/>
  <c r="IQ250" i="4"/>
  <c r="IH264" i="4"/>
  <c r="II260" i="4" s="1"/>
  <c r="II261" i="4" s="1"/>
  <c r="IL257" i="4"/>
  <c r="IL262" i="4"/>
  <c r="IL256" i="4"/>
  <c r="IL255" i="4"/>
  <c r="IM251" i="4" s="1"/>
  <c r="JR209" i="4"/>
  <c r="JR212" i="4" s="1"/>
  <c r="JS208" i="4" s="1"/>
  <c r="JT203" i="4"/>
  <c r="JT205" i="4" s="1"/>
  <c r="JT206" i="4" s="1"/>
  <c r="JU202" i="4" s="1"/>
  <c r="JS220" i="4"/>
  <c r="JS207" i="4"/>
  <c r="JS211" i="4"/>
  <c r="IH266" i="4"/>
  <c r="IH265" i="4"/>
  <c r="JQ216" i="4"/>
  <c r="IU229" i="4"/>
  <c r="IU231" i="4" s="1"/>
  <c r="JR215" i="4"/>
  <c r="JR213" i="4"/>
  <c r="JD224" i="4"/>
  <c r="JD230" i="4"/>
  <c r="JD223" i="4"/>
  <c r="CV266" i="4" l="1"/>
  <c r="DI248" i="4"/>
  <c r="IH267" i="4"/>
  <c r="IT236" i="4"/>
  <c r="DJ239" i="4"/>
  <c r="IG270" i="4"/>
  <c r="CW264" i="4" s="1"/>
  <c r="IG269" i="4"/>
  <c r="IR253" i="4"/>
  <c r="IR248" i="4"/>
  <c r="IR247" i="4"/>
  <c r="IR246" i="4"/>
  <c r="IS242" i="4" s="1"/>
  <c r="JD226" i="4"/>
  <c r="DI244" i="4"/>
  <c r="DI249" i="4" s="1"/>
  <c r="IS239" i="4"/>
  <c r="DI240" i="4" s="1"/>
  <c r="CV271" i="4"/>
  <c r="IK259" i="4"/>
  <c r="DA259" i="4"/>
  <c r="IL258" i="4"/>
  <c r="JC227" i="4"/>
  <c r="DS238" i="4"/>
  <c r="II263" i="4"/>
  <c r="JE221" i="4"/>
  <c r="IU234" i="4"/>
  <c r="IU233" i="4"/>
  <c r="IU232" i="4"/>
  <c r="IV228" i="4" s="1"/>
  <c r="JS209" i="4"/>
  <c r="JS212" i="4" s="1"/>
  <c r="JT208" i="4" s="1"/>
  <c r="JU203" i="4"/>
  <c r="JU205" i="4" s="1"/>
  <c r="JR216" i="4"/>
  <c r="JS213" i="4"/>
  <c r="JS215" i="4"/>
  <c r="IM252" i="4"/>
  <c r="JT211" i="4"/>
  <c r="JT220" i="4"/>
  <c r="JT207" i="4"/>
  <c r="IR249" i="4" l="1"/>
  <c r="CW269" i="4"/>
  <c r="IT238" i="4"/>
  <c r="DJ243" i="4" s="1"/>
  <c r="IT237" i="4"/>
  <c r="JD227" i="4"/>
  <c r="DT238" i="4"/>
  <c r="IS243" i="4"/>
  <c r="IU235" i="4"/>
  <c r="CW265" i="4"/>
  <c r="CW270" i="4" s="1"/>
  <c r="IG271" i="4"/>
  <c r="CW261" i="4" s="1"/>
  <c r="JE222" i="4"/>
  <c r="JF218" i="4" s="1"/>
  <c r="JF219" i="4" s="1"/>
  <c r="JF221" i="4" s="1"/>
  <c r="JF230" i="4" s="1"/>
  <c r="II264" i="4"/>
  <c r="IJ260" i="4" s="1"/>
  <c r="IJ261" i="4" s="1"/>
  <c r="IJ263" i="4" s="1"/>
  <c r="IH268" i="4"/>
  <c r="CX260" i="4"/>
  <c r="DI250" i="4"/>
  <c r="IS240" i="4"/>
  <c r="DI245" i="4"/>
  <c r="IL259" i="4"/>
  <c r="DB259" i="4"/>
  <c r="II266" i="4"/>
  <c r="JE224" i="4"/>
  <c r="II265" i="4"/>
  <c r="JE230" i="4"/>
  <c r="JE223" i="4"/>
  <c r="JU220" i="4"/>
  <c r="JU207" i="4"/>
  <c r="JU211" i="4"/>
  <c r="IM254" i="4"/>
  <c r="JU206" i="4"/>
  <c r="JV202" i="4" s="1"/>
  <c r="JT213" i="4"/>
  <c r="JT215" i="4"/>
  <c r="IV229" i="4"/>
  <c r="JT209" i="4"/>
  <c r="JT212" i="4" s="1"/>
  <c r="JU208" i="4" s="1"/>
  <c r="JS216" i="4"/>
  <c r="JF224" i="4" l="1"/>
  <c r="JF226" i="4" s="1"/>
  <c r="JF223" i="4"/>
  <c r="IJ266" i="4"/>
  <c r="IU236" i="4"/>
  <c r="DK239" i="4"/>
  <c r="IS245" i="4"/>
  <c r="DJ244" i="4"/>
  <c r="DJ249" i="4" s="1"/>
  <c r="IT239" i="4"/>
  <c r="DJ240" i="4" s="1"/>
  <c r="II267" i="4"/>
  <c r="CW271" i="4"/>
  <c r="IH269" i="4"/>
  <c r="IH270" i="4"/>
  <c r="CX264" i="4" s="1"/>
  <c r="IJ264" i="4"/>
  <c r="IK260" i="4" s="1"/>
  <c r="IK261" i="4" s="1"/>
  <c r="IK263" i="4" s="1"/>
  <c r="IJ265" i="4"/>
  <c r="JE226" i="4"/>
  <c r="DJ245" i="4"/>
  <c r="DJ248" i="4"/>
  <c r="CW266" i="4"/>
  <c r="JF222" i="4"/>
  <c r="JG218" i="4" s="1"/>
  <c r="JG219" i="4" s="1"/>
  <c r="JG221" i="4" s="1"/>
  <c r="DH258" i="4"/>
  <c r="IR250" i="4"/>
  <c r="JT216" i="4"/>
  <c r="JU209" i="4"/>
  <c r="JU212" i="4" s="1"/>
  <c r="JV208" i="4" s="1"/>
  <c r="IM257" i="4"/>
  <c r="IM262" i="4"/>
  <c r="IM256" i="4"/>
  <c r="JU213" i="4"/>
  <c r="JU215" i="4"/>
  <c r="IV231" i="4"/>
  <c r="JV203" i="4"/>
  <c r="JV205" i="4" s="1"/>
  <c r="IM255" i="4"/>
  <c r="IN251" i="4" s="1"/>
  <c r="JE227" i="4" l="1"/>
  <c r="DU238" i="4"/>
  <c r="CX265" i="4"/>
  <c r="CX270" i="4" s="1"/>
  <c r="IH271" i="4"/>
  <c r="CX261" i="4" s="1"/>
  <c r="IM258" i="4"/>
  <c r="IJ267" i="4"/>
  <c r="DJ250" i="4"/>
  <c r="IT240" i="4"/>
  <c r="CX269" i="4"/>
  <c r="II268" i="4"/>
  <c r="CY260" i="4"/>
  <c r="IS248" i="4"/>
  <c r="IS253" i="4"/>
  <c r="IS247" i="4"/>
  <c r="IS246" i="4"/>
  <c r="IT242" i="4" s="1"/>
  <c r="IU237" i="4"/>
  <c r="IU238" i="4"/>
  <c r="DK243" i="4" s="1"/>
  <c r="JF227" i="4"/>
  <c r="DV238" i="4"/>
  <c r="JV206" i="4"/>
  <c r="JW202" i="4" s="1"/>
  <c r="JW203" i="4" s="1"/>
  <c r="JW205" i="4" s="1"/>
  <c r="IK266" i="4"/>
  <c r="IK265" i="4"/>
  <c r="JG224" i="4"/>
  <c r="JG230" i="4"/>
  <c r="JG223" i="4"/>
  <c r="JV209" i="4"/>
  <c r="JV220" i="4"/>
  <c r="JV211" i="4"/>
  <c r="JV207" i="4"/>
  <c r="IV234" i="4"/>
  <c r="IV233" i="4"/>
  <c r="IK264" i="4"/>
  <c r="IL260" i="4" s="1"/>
  <c r="JG222" i="4"/>
  <c r="JH218" i="4" s="1"/>
  <c r="JU216" i="4"/>
  <c r="IN252" i="4"/>
  <c r="IN254" i="4" s="1"/>
  <c r="IV232" i="4"/>
  <c r="IW228" i="4" s="1"/>
  <c r="CX271" i="4" l="1"/>
  <c r="CX266" i="4"/>
  <c r="IV235" i="4"/>
  <c r="II269" i="4"/>
  <c r="CY265" i="4" s="1"/>
  <c r="CY270" i="4" s="1"/>
  <c r="II270" i="4"/>
  <c r="IK267" i="4"/>
  <c r="DK248" i="4"/>
  <c r="IS249" i="4"/>
  <c r="JG226" i="4"/>
  <c r="IJ268" i="4"/>
  <c r="CZ260" i="4"/>
  <c r="IM259" i="4"/>
  <c r="DC259" i="4"/>
  <c r="DK244" i="4"/>
  <c r="DK249" i="4" s="1"/>
  <c r="IU239" i="4"/>
  <c r="DK240" i="4" s="1"/>
  <c r="IT243" i="4"/>
  <c r="IT245" i="4" s="1"/>
  <c r="IT246" i="4" s="1"/>
  <c r="IU242" i="4" s="1"/>
  <c r="IU243" i="4" s="1"/>
  <c r="IN257" i="4"/>
  <c r="IN262" i="4"/>
  <c r="IN256" i="4"/>
  <c r="IL261" i="4"/>
  <c r="IL263" i="4" s="1"/>
  <c r="JV213" i="4"/>
  <c r="JV215" i="4"/>
  <c r="JW220" i="4"/>
  <c r="JW207" i="4"/>
  <c r="JW211" i="4"/>
  <c r="IN255" i="4"/>
  <c r="IO251" i="4" s="1"/>
  <c r="IW229" i="4"/>
  <c r="IW231" i="4" s="1"/>
  <c r="JV212" i="4"/>
  <c r="JW208" i="4" s="1"/>
  <c r="JW206" i="4"/>
  <c r="JX202" i="4" s="1"/>
  <c r="JH219" i="4"/>
  <c r="JH221" i="4" s="1"/>
  <c r="DK245" i="4" l="1"/>
  <c r="IN258" i="4"/>
  <c r="IK268" i="4"/>
  <c r="DA260" i="4"/>
  <c r="II271" i="4"/>
  <c r="CY261" i="4" s="1"/>
  <c r="CY264" i="4"/>
  <c r="IT253" i="4"/>
  <c r="IT247" i="4"/>
  <c r="IT248" i="4"/>
  <c r="IJ269" i="4"/>
  <c r="IJ270" i="4"/>
  <c r="CZ264" i="4" s="1"/>
  <c r="JG227" i="4"/>
  <c r="DW238" i="4"/>
  <c r="DI258" i="4"/>
  <c r="IS250" i="4"/>
  <c r="DK250" i="4"/>
  <c r="IU240" i="4"/>
  <c r="IU245" i="4" s="1"/>
  <c r="IV236" i="4"/>
  <c r="DL239" i="4"/>
  <c r="JH224" i="4"/>
  <c r="JH230" i="4"/>
  <c r="JH223" i="4"/>
  <c r="JH222" i="4"/>
  <c r="JI218" i="4" s="1"/>
  <c r="IW234" i="4"/>
  <c r="IW233" i="4"/>
  <c r="IW232" i="4"/>
  <c r="IX228" i="4" s="1"/>
  <c r="IL266" i="4"/>
  <c r="IL265" i="4"/>
  <c r="IL264" i="4"/>
  <c r="IM260" i="4" s="1"/>
  <c r="JW213" i="4"/>
  <c r="JW215" i="4"/>
  <c r="IO252" i="4"/>
  <c r="JV216" i="4"/>
  <c r="JX203" i="4"/>
  <c r="JX205" i="4" s="1"/>
  <c r="JW209" i="4"/>
  <c r="JW212" i="4" s="1"/>
  <c r="JX208" i="4" s="1"/>
  <c r="IU246" i="4" l="1"/>
  <c r="IV242" i="4" s="1"/>
  <c r="IU248" i="4"/>
  <c r="IU247" i="4"/>
  <c r="IU253" i="4"/>
  <c r="IT249" i="4"/>
  <c r="CZ269" i="4"/>
  <c r="IW235" i="4"/>
  <c r="CY266" i="4"/>
  <c r="CY269" i="4"/>
  <c r="CY271" i="4" s="1"/>
  <c r="IL267" i="4"/>
  <c r="CZ265" i="4"/>
  <c r="CZ270" i="4" s="1"/>
  <c r="IJ271" i="4"/>
  <c r="CZ261" i="4" s="1"/>
  <c r="JH226" i="4"/>
  <c r="IK270" i="4"/>
  <c r="DA264" i="4" s="1"/>
  <c r="IK269" i="4"/>
  <c r="IN259" i="4"/>
  <c r="DD259" i="4"/>
  <c r="IV238" i="4"/>
  <c r="DL243" i="4" s="1"/>
  <c r="IV237" i="4"/>
  <c r="JX209" i="4"/>
  <c r="JW216" i="4"/>
  <c r="IM261" i="4"/>
  <c r="IM263" i="4" s="1"/>
  <c r="IO254" i="4"/>
  <c r="IX229" i="4"/>
  <c r="IX231" i="4" s="1"/>
  <c r="JI219" i="4"/>
  <c r="JI221" i="4" s="1"/>
  <c r="JX220" i="4"/>
  <c r="JX207" i="4"/>
  <c r="JX211" i="4"/>
  <c r="JX206" i="4"/>
  <c r="JY202" i="4" s="1"/>
  <c r="DA269" i="4" l="1"/>
  <c r="IL268" i="4"/>
  <c r="DB260" i="4"/>
  <c r="CZ271" i="4"/>
  <c r="DA265" i="4"/>
  <c r="DA270" i="4" s="1"/>
  <c r="IK271" i="4"/>
  <c r="DA261" i="4" s="1"/>
  <c r="IW236" i="4"/>
  <c r="DM239" i="4"/>
  <c r="CZ266" i="4"/>
  <c r="DJ258" i="4"/>
  <c r="IT250" i="4"/>
  <c r="IU249" i="4"/>
  <c r="IX232" i="4"/>
  <c r="IY228" i="4" s="1"/>
  <c r="IY229" i="4" s="1"/>
  <c r="IY231" i="4" s="1"/>
  <c r="IM264" i="4"/>
  <c r="IN260" i="4" s="1"/>
  <c r="IN261" i="4" s="1"/>
  <c r="IN263" i="4" s="1"/>
  <c r="DL248" i="4"/>
  <c r="JH227" i="4"/>
  <c r="DX238" i="4"/>
  <c r="DL244" i="4"/>
  <c r="DL249" i="4" s="1"/>
  <c r="IV239" i="4"/>
  <c r="DL240" i="4" s="1"/>
  <c r="IV243" i="4"/>
  <c r="IX234" i="4"/>
  <c r="IX233" i="4"/>
  <c r="IO257" i="4"/>
  <c r="IO262" i="4"/>
  <c r="IO256" i="4"/>
  <c r="JY203" i="4"/>
  <c r="JY205" i="4" s="1"/>
  <c r="IM266" i="4"/>
  <c r="IM265" i="4"/>
  <c r="JX213" i="4"/>
  <c r="JX215" i="4"/>
  <c r="IO255" i="4"/>
  <c r="IP251" i="4" s="1"/>
  <c r="JI224" i="4"/>
  <c r="JI230" i="4"/>
  <c r="JI223" i="4"/>
  <c r="JI222" i="4"/>
  <c r="JJ218" i="4" s="1"/>
  <c r="JX212" i="4"/>
  <c r="JY208" i="4" s="1"/>
  <c r="DL245" i="4" l="1"/>
  <c r="DL250" i="4"/>
  <c r="IV240" i="4"/>
  <c r="IV245" i="4" s="1"/>
  <c r="IV246" i="4" s="1"/>
  <c r="IW242" i="4" s="1"/>
  <c r="IW237" i="4"/>
  <c r="IW238" i="4"/>
  <c r="DM243" i="4" s="1"/>
  <c r="IL269" i="4"/>
  <c r="IL270" i="4"/>
  <c r="DB264" i="4" s="1"/>
  <c r="IO258" i="4"/>
  <c r="IX235" i="4"/>
  <c r="JI226" i="4"/>
  <c r="DA271" i="4"/>
  <c r="IM267" i="4"/>
  <c r="DK258" i="4"/>
  <c r="IU250" i="4"/>
  <c r="DA266" i="4"/>
  <c r="IN266" i="4"/>
  <c r="IN265" i="4"/>
  <c r="IN264" i="4"/>
  <c r="IO260" i="4" s="1"/>
  <c r="JY220" i="4"/>
  <c r="JY207" i="4"/>
  <c r="JY211" i="4"/>
  <c r="JY206" i="4"/>
  <c r="JZ202" i="4" s="1"/>
  <c r="IY234" i="4"/>
  <c r="IY233" i="4"/>
  <c r="IY232" i="4"/>
  <c r="IZ228" i="4" s="1"/>
  <c r="JY209" i="4"/>
  <c r="JJ219" i="4"/>
  <c r="JJ221" i="4" s="1"/>
  <c r="IP252" i="4"/>
  <c r="IP254" i="4" s="1"/>
  <c r="JX216" i="4"/>
  <c r="JY212" i="4" l="1"/>
  <c r="JZ208" i="4" s="1"/>
  <c r="JZ209" i="4" s="1"/>
  <c r="IW243" i="4"/>
  <c r="IX236" i="4"/>
  <c r="DN239" i="4"/>
  <c r="IM268" i="4"/>
  <c r="DC260" i="4"/>
  <c r="JI227" i="4"/>
  <c r="DY238" i="4"/>
  <c r="IY235" i="4"/>
  <c r="IV253" i="4"/>
  <c r="IV248" i="4"/>
  <c r="IV247" i="4"/>
  <c r="IO259" i="4"/>
  <c r="DE259" i="4"/>
  <c r="DB269" i="4"/>
  <c r="DB265" i="4"/>
  <c r="DB270" i="4" s="1"/>
  <c r="IL271" i="4"/>
  <c r="DB261" i="4" s="1"/>
  <c r="DM248" i="4"/>
  <c r="DM244" i="4"/>
  <c r="DM249" i="4" s="1"/>
  <c r="IW239" i="4"/>
  <c r="DM240" i="4" s="1"/>
  <c r="IN267" i="4"/>
  <c r="IP257" i="4"/>
  <c r="IP262" i="4"/>
  <c r="IP256" i="4"/>
  <c r="IP255" i="4"/>
  <c r="IQ251" i="4" s="1"/>
  <c r="JJ224" i="4"/>
  <c r="JJ230" i="4"/>
  <c r="JJ223" i="4"/>
  <c r="IZ229" i="4"/>
  <c r="IZ231" i="4" s="1"/>
  <c r="IO261" i="4"/>
  <c r="JY215" i="4"/>
  <c r="JY213" i="4"/>
  <c r="JJ222" i="4"/>
  <c r="JK218" i="4" s="1"/>
  <c r="JZ203" i="4"/>
  <c r="JZ205" i="4" s="1"/>
  <c r="JJ226" i="4" l="1"/>
  <c r="IY236" i="4"/>
  <c r="DO239" i="4"/>
  <c r="DB266" i="4"/>
  <c r="DB271" i="4"/>
  <c r="IP258" i="4"/>
  <c r="IX237" i="4"/>
  <c r="IX238" i="4"/>
  <c r="DN243" i="4" s="1"/>
  <c r="DM250" i="4"/>
  <c r="IW240" i="4"/>
  <c r="IW245" i="4" s="1"/>
  <c r="IV249" i="4"/>
  <c r="IM269" i="4"/>
  <c r="IM270" i="4"/>
  <c r="DC264" i="4" s="1"/>
  <c r="IN268" i="4"/>
  <c r="DD260" i="4"/>
  <c r="DM245" i="4"/>
  <c r="IZ232" i="4"/>
  <c r="JA228" i="4" s="1"/>
  <c r="JA229" i="4" s="1"/>
  <c r="JA231" i="4" s="1"/>
  <c r="JZ220" i="4"/>
  <c r="JZ207" i="4"/>
  <c r="JZ211" i="4"/>
  <c r="JZ212" i="4" s="1"/>
  <c r="KA208" i="4" s="1"/>
  <c r="IO263" i="4"/>
  <c r="IZ234" i="4"/>
  <c r="IZ233" i="4"/>
  <c r="JZ206" i="4"/>
  <c r="KA202" i="4" s="1"/>
  <c r="IQ252" i="4"/>
  <c r="JK219" i="4"/>
  <c r="JK221" i="4" s="1"/>
  <c r="JY216" i="4"/>
  <c r="DC269" i="4" l="1"/>
  <c r="IW248" i="4"/>
  <c r="IW253" i="4"/>
  <c r="IW247" i="4"/>
  <c r="IW246" i="4"/>
  <c r="IX242" i="4" s="1"/>
  <c r="DL258" i="4"/>
  <c r="IV250" i="4"/>
  <c r="DN248" i="4"/>
  <c r="IO264" i="4"/>
  <c r="IP260" i="4" s="1"/>
  <c r="IP261" i="4" s="1"/>
  <c r="DC265" i="4"/>
  <c r="DC270" i="4" s="1"/>
  <c r="IM271" i="4"/>
  <c r="DC261" i="4" s="1"/>
  <c r="IZ235" i="4"/>
  <c r="IP259" i="4"/>
  <c r="DF259" i="4"/>
  <c r="IY238" i="4"/>
  <c r="DO243" i="4" s="1"/>
  <c r="IY237" i="4"/>
  <c r="IN270" i="4"/>
  <c r="DD264" i="4" s="1"/>
  <c r="IN269" i="4"/>
  <c r="DN244" i="4"/>
  <c r="DN249" i="4" s="1"/>
  <c r="IX239" i="4"/>
  <c r="DN240" i="4" s="1"/>
  <c r="JJ227" i="4"/>
  <c r="DZ238" i="4"/>
  <c r="JK224" i="4"/>
  <c r="JK230" i="4"/>
  <c r="JK223" i="4"/>
  <c r="JK222" i="4"/>
  <c r="JL218" i="4" s="1"/>
  <c r="JA234" i="4"/>
  <c r="JA233" i="4"/>
  <c r="JA232" i="4"/>
  <c r="JB228" i="4" s="1"/>
  <c r="IQ254" i="4"/>
  <c r="IO266" i="4"/>
  <c r="IO265" i="4"/>
  <c r="KA209" i="4"/>
  <c r="KA203" i="4"/>
  <c r="JZ213" i="4"/>
  <c r="JZ215" i="4"/>
  <c r="IP263" i="4" l="1"/>
  <c r="IP264" i="4" s="1"/>
  <c r="IQ260" i="4" s="1"/>
  <c r="DN245" i="4"/>
  <c r="DO244" i="4"/>
  <c r="DO249" i="4" s="1"/>
  <c r="IY239" i="4"/>
  <c r="DO240" i="4" s="1"/>
  <c r="IZ236" i="4"/>
  <c r="DP239" i="4"/>
  <c r="IX243" i="4"/>
  <c r="IO267" i="4"/>
  <c r="JK226" i="4"/>
  <c r="IW249" i="4"/>
  <c r="DD265" i="4"/>
  <c r="DD270" i="4" s="1"/>
  <c r="IN271" i="4"/>
  <c r="DD261" i="4" s="1"/>
  <c r="DO248" i="4"/>
  <c r="JA235" i="4"/>
  <c r="DN250" i="4"/>
  <c r="IX240" i="4"/>
  <c r="DC271" i="4"/>
  <c r="DC266" i="4"/>
  <c r="DD269" i="4"/>
  <c r="IQ257" i="4"/>
  <c r="IQ262" i="4"/>
  <c r="IQ256" i="4"/>
  <c r="JB229" i="4"/>
  <c r="JZ216" i="4"/>
  <c r="IQ255" i="4"/>
  <c r="IR251" i="4" s="1"/>
  <c r="KA205" i="4"/>
  <c r="KA206" i="4" s="1"/>
  <c r="KB202" i="4" s="1"/>
  <c r="JL219" i="4"/>
  <c r="JL221" i="4" s="1"/>
  <c r="IP265" i="4" l="1"/>
  <c r="IP266" i="4"/>
  <c r="IP267" i="4" s="1"/>
  <c r="DO245" i="4"/>
  <c r="JK227" i="4"/>
  <c r="EA238" i="4"/>
  <c r="IQ258" i="4"/>
  <c r="IX245" i="4"/>
  <c r="DO250" i="4"/>
  <c r="IY240" i="4"/>
  <c r="DD271" i="4"/>
  <c r="JA236" i="4"/>
  <c r="DQ239" i="4"/>
  <c r="DM258" i="4"/>
  <c r="IW250" i="4"/>
  <c r="IO268" i="4"/>
  <c r="DE260" i="4"/>
  <c r="IZ238" i="4"/>
  <c r="DP243" i="4" s="1"/>
  <c r="IZ237" i="4"/>
  <c r="DD266" i="4"/>
  <c r="JL224" i="4"/>
  <c r="JL230" i="4"/>
  <c r="JL223" i="4"/>
  <c r="JL222" i="4"/>
  <c r="JM218" i="4" s="1"/>
  <c r="KB203" i="4"/>
  <c r="KB205" i="4" s="1"/>
  <c r="KB206" i="4" s="1"/>
  <c r="KC202" i="4" s="1"/>
  <c r="JB231" i="4"/>
  <c r="IQ261" i="4"/>
  <c r="KA211" i="4"/>
  <c r="KA207" i="4"/>
  <c r="KA220" i="4"/>
  <c r="IR252" i="4"/>
  <c r="DP244" i="4" l="1"/>
  <c r="DP249" i="4" s="1"/>
  <c r="IZ239" i="4"/>
  <c r="DP240" i="4" s="1"/>
  <c r="IP268" i="4"/>
  <c r="DF260" i="4"/>
  <c r="IO269" i="4"/>
  <c r="IO270" i="4"/>
  <c r="DE264" i="4" s="1"/>
  <c r="IX246" i="4"/>
  <c r="IY242" i="4" s="1"/>
  <c r="IX248" i="4"/>
  <c r="IX247" i="4"/>
  <c r="IX253" i="4"/>
  <c r="JL226" i="4"/>
  <c r="DP248" i="4"/>
  <c r="JA237" i="4"/>
  <c r="JA238" i="4"/>
  <c r="DQ243" i="4" s="1"/>
  <c r="IQ259" i="4"/>
  <c r="IQ263" i="4" s="1"/>
  <c r="DG259" i="4"/>
  <c r="IR254" i="4"/>
  <c r="KC203" i="4"/>
  <c r="JB234" i="4"/>
  <c r="JB233" i="4"/>
  <c r="JB232" i="4"/>
  <c r="JC228" i="4" s="1"/>
  <c r="KB211" i="4"/>
  <c r="KB207" i="4"/>
  <c r="KB220" i="4"/>
  <c r="JM219" i="4"/>
  <c r="KA215" i="4"/>
  <c r="KA213" i="4"/>
  <c r="KA212" i="4"/>
  <c r="KB208" i="4" s="1"/>
  <c r="DP245" i="4" l="1"/>
  <c r="IQ266" i="4"/>
  <c r="IQ264" i="4"/>
  <c r="IR260" i="4" s="1"/>
  <c r="IR261" i="4" s="1"/>
  <c r="IQ265" i="4"/>
  <c r="DP250" i="4"/>
  <c r="IZ240" i="4"/>
  <c r="IR262" i="4"/>
  <c r="DQ244" i="4"/>
  <c r="DQ249" i="4" s="1"/>
  <c r="JA239" i="4"/>
  <c r="DQ240" i="4" s="1"/>
  <c r="JL227" i="4"/>
  <c r="EB238" i="4"/>
  <c r="JB235" i="4"/>
  <c r="DQ248" i="4"/>
  <c r="IX249" i="4"/>
  <c r="IY243" i="4"/>
  <c r="IY245" i="4" s="1"/>
  <c r="DE265" i="4"/>
  <c r="DE270" i="4" s="1"/>
  <c r="IO271" i="4"/>
  <c r="DE261" i="4" s="1"/>
  <c r="DE269" i="4"/>
  <c r="IP270" i="4"/>
  <c r="DF264" i="4" s="1"/>
  <c r="IP269" i="4"/>
  <c r="IR257" i="4"/>
  <c r="IR256" i="4"/>
  <c r="IR255" i="4"/>
  <c r="IS251" i="4" s="1"/>
  <c r="IS252" i="4" s="1"/>
  <c r="IS254" i="4" s="1"/>
  <c r="KC205" i="4"/>
  <c r="KC206" i="4" s="1"/>
  <c r="KA216" i="4"/>
  <c r="JM221" i="4"/>
  <c r="JC229" i="4"/>
  <c r="KB209" i="4"/>
  <c r="KB212" i="4" s="1"/>
  <c r="KC208" i="4" s="1"/>
  <c r="KB213" i="4"/>
  <c r="KB215" i="4"/>
  <c r="DQ245" i="4" l="1"/>
  <c r="IY246" i="4"/>
  <c r="IZ242" i="4" s="1"/>
  <c r="DN258" i="4"/>
  <c r="IX250" i="4"/>
  <c r="IS255" i="4"/>
  <c r="IT251" i="4" s="1"/>
  <c r="IT252" i="4" s="1"/>
  <c r="IT254" i="4" s="1"/>
  <c r="IT257" i="4" s="1"/>
  <c r="DF265" i="4"/>
  <c r="DF270" i="4" s="1"/>
  <c r="IP271" i="4"/>
  <c r="DF261" i="4" s="1"/>
  <c r="IY247" i="4"/>
  <c r="IY248" i="4"/>
  <c r="IY253" i="4"/>
  <c r="JB236" i="4"/>
  <c r="DR239" i="4"/>
  <c r="IR258" i="4"/>
  <c r="DF269" i="4"/>
  <c r="DE266" i="4"/>
  <c r="DQ250" i="4"/>
  <c r="JA240" i="4"/>
  <c r="DE271" i="4"/>
  <c r="IQ267" i="4"/>
  <c r="IS256" i="4"/>
  <c r="IS262" i="4"/>
  <c r="IS257" i="4"/>
  <c r="KC220" i="4"/>
  <c r="KC211" i="4"/>
  <c r="KC215" i="4" s="1"/>
  <c r="KC207" i="4"/>
  <c r="KC209" i="4"/>
  <c r="JC231" i="4"/>
  <c r="JM224" i="4"/>
  <c r="JM230" i="4"/>
  <c r="JM223" i="4"/>
  <c r="KB216" i="4"/>
  <c r="JM222" i="4"/>
  <c r="JN218" i="4" s="1"/>
  <c r="DF266" i="4" l="1"/>
  <c r="DF271" i="4"/>
  <c r="IT258" i="4"/>
  <c r="IY249" i="4"/>
  <c r="IR259" i="4"/>
  <c r="IR263" i="4" s="1"/>
  <c r="DH259" i="4"/>
  <c r="IT255" i="4"/>
  <c r="IU251" i="4" s="1"/>
  <c r="IU252" i="4" s="1"/>
  <c r="IU254" i="4" s="1"/>
  <c r="IS258" i="4"/>
  <c r="JM226" i="4"/>
  <c r="JB237" i="4"/>
  <c r="JB238" i="4"/>
  <c r="DR243" i="4" s="1"/>
  <c r="IQ268" i="4"/>
  <c r="DG260" i="4"/>
  <c r="IT256" i="4"/>
  <c r="IZ243" i="4"/>
  <c r="IZ245" i="4" s="1"/>
  <c r="IZ246" i="4" s="1"/>
  <c r="JA242" i="4" s="1"/>
  <c r="IT262" i="4"/>
  <c r="KC213" i="4"/>
  <c r="KC212" i="4"/>
  <c r="JN219" i="4"/>
  <c r="JN221" i="4" s="1"/>
  <c r="KC216" i="4"/>
  <c r="JC234" i="4"/>
  <c r="JC233" i="4"/>
  <c r="JC232" i="4"/>
  <c r="JD228" i="4" s="1"/>
  <c r="JA243" i="4" l="1"/>
  <c r="JA245" i="4" s="1"/>
  <c r="IQ270" i="4"/>
  <c r="DG264" i="4" s="1"/>
  <c r="IQ269" i="4"/>
  <c r="DR248" i="4"/>
  <c r="JM227" i="4"/>
  <c r="EC238" i="4"/>
  <c r="IS259" i="4"/>
  <c r="DI259" i="4"/>
  <c r="DR244" i="4"/>
  <c r="DR249" i="4" s="1"/>
  <c r="JB239" i="4"/>
  <c r="DR240" i="4" s="1"/>
  <c r="JC235" i="4"/>
  <c r="IR265" i="4"/>
  <c r="IR266" i="4"/>
  <c r="IR264" i="4"/>
  <c r="IS260" i="4" s="1"/>
  <c r="IZ247" i="4"/>
  <c r="IZ253" i="4"/>
  <c r="IZ248" i="4"/>
  <c r="IU255" i="4"/>
  <c r="IV251" i="4" s="1"/>
  <c r="IV252" i="4" s="1"/>
  <c r="IV254" i="4" s="1"/>
  <c r="IU256" i="4"/>
  <c r="IU262" i="4"/>
  <c r="IU257" i="4"/>
  <c r="DO258" i="4"/>
  <c r="IY250" i="4"/>
  <c r="IT259" i="4"/>
  <c r="DJ259" i="4"/>
  <c r="JN224" i="4"/>
  <c r="JN230" i="4"/>
  <c r="JN223" i="4"/>
  <c r="JN222" i="4"/>
  <c r="JO218" i="4" s="1"/>
  <c r="JD229" i="4"/>
  <c r="JD231" i="4" s="1"/>
  <c r="JA246" i="4" l="1"/>
  <c r="JB242" i="4" s="1"/>
  <c r="JB243" i="4" s="1"/>
  <c r="JN226" i="4"/>
  <c r="IS261" i="4"/>
  <c r="IS263" i="4" s="1"/>
  <c r="IS264" i="4" s="1"/>
  <c r="IT260" i="4" s="1"/>
  <c r="JC236" i="4"/>
  <c r="DS239" i="4"/>
  <c r="DR245" i="4"/>
  <c r="IR267" i="4"/>
  <c r="IU258" i="4"/>
  <c r="DR250" i="4"/>
  <c r="JB240" i="4"/>
  <c r="DG265" i="4"/>
  <c r="DG270" i="4" s="1"/>
  <c r="IQ271" i="4"/>
  <c r="DG261" i="4" s="1"/>
  <c r="DG269" i="4"/>
  <c r="IZ249" i="4"/>
  <c r="JA253" i="4"/>
  <c r="JA247" i="4"/>
  <c r="JA248" i="4"/>
  <c r="JD234" i="4"/>
  <c r="JD233" i="4"/>
  <c r="JD232" i="4"/>
  <c r="JE228" i="4" s="1"/>
  <c r="IV257" i="4"/>
  <c r="IV262" i="4"/>
  <c r="IV256" i="4"/>
  <c r="IV255" i="4"/>
  <c r="IW251" i="4" s="1"/>
  <c r="JO219" i="4"/>
  <c r="DG266" i="4" l="1"/>
  <c r="IT261" i="4"/>
  <c r="IT263" i="4" s="1"/>
  <c r="IT266" i="4" s="1"/>
  <c r="IT267" i="4" s="1"/>
  <c r="JB245" i="4"/>
  <c r="JB246" i="4" s="1"/>
  <c r="JC242" i="4" s="1"/>
  <c r="IV258" i="4"/>
  <c r="JA249" i="4"/>
  <c r="IU259" i="4"/>
  <c r="DK259" i="4"/>
  <c r="JC237" i="4"/>
  <c r="JC238" i="4"/>
  <c r="DS243" i="4" s="1"/>
  <c r="JN227" i="4"/>
  <c r="ED238" i="4"/>
  <c r="IR268" i="4"/>
  <c r="DH260" i="4"/>
  <c r="JD235" i="4"/>
  <c r="IS266" i="4"/>
  <c r="IS265" i="4"/>
  <c r="DP258" i="4"/>
  <c r="IZ250" i="4"/>
  <c r="DG271" i="4"/>
  <c r="JO221" i="4"/>
  <c r="IW252" i="4"/>
  <c r="IW254" i="4" s="1"/>
  <c r="JE229" i="4"/>
  <c r="IT265" i="4" l="1"/>
  <c r="IT264" i="4"/>
  <c r="IU260" i="4" s="1"/>
  <c r="IU261" i="4" s="1"/>
  <c r="IR270" i="4"/>
  <c r="DH264" i="4" s="1"/>
  <c r="IR269" i="4"/>
  <c r="JC243" i="4"/>
  <c r="DQ258" i="4"/>
  <c r="JA250" i="4"/>
  <c r="IT268" i="4"/>
  <c r="DJ260" i="4"/>
  <c r="IS267" i="4"/>
  <c r="JD236" i="4"/>
  <c r="DT239" i="4"/>
  <c r="DS248" i="4"/>
  <c r="DS244" i="4"/>
  <c r="DS249" i="4" s="1"/>
  <c r="JC239" i="4"/>
  <c r="DS240" i="4" s="1"/>
  <c r="IV259" i="4"/>
  <c r="DL259" i="4"/>
  <c r="JB248" i="4"/>
  <c r="JB247" i="4"/>
  <c r="JB253" i="4"/>
  <c r="IW255" i="4"/>
  <c r="IX251" i="4" s="1"/>
  <c r="IX252" i="4" s="1"/>
  <c r="IX254" i="4" s="1"/>
  <c r="JE231" i="4"/>
  <c r="JO224" i="4"/>
  <c r="JO230" i="4"/>
  <c r="JO223" i="4"/>
  <c r="IW257" i="4"/>
  <c r="IW262" i="4"/>
  <c r="IW256" i="4"/>
  <c r="JO222" i="4"/>
  <c r="JP218" i="4" s="1"/>
  <c r="IU263" i="4" l="1"/>
  <c r="IU265" i="4" s="1"/>
  <c r="JB249" i="4"/>
  <c r="JD237" i="4"/>
  <c r="JD238" i="4"/>
  <c r="DT243" i="4" s="1"/>
  <c r="DS250" i="4"/>
  <c r="JC240" i="4"/>
  <c r="IR271" i="4"/>
  <c r="DH261" i="4" s="1"/>
  <c r="DH265" i="4"/>
  <c r="DH270" i="4" s="1"/>
  <c r="DS245" i="4"/>
  <c r="IW258" i="4"/>
  <c r="IS268" i="4"/>
  <c r="DI260" i="4"/>
  <c r="IT270" i="4"/>
  <c r="DJ264" i="4" s="1"/>
  <c r="IT269" i="4"/>
  <c r="JO226" i="4"/>
  <c r="JC245" i="4"/>
  <c r="DH269" i="4"/>
  <c r="IX257" i="4"/>
  <c r="IX262" i="4"/>
  <c r="IX256" i="4"/>
  <c r="IX255" i="4"/>
  <c r="IY251" i="4" s="1"/>
  <c r="JP219" i="4"/>
  <c r="JE234" i="4"/>
  <c r="JE233" i="4"/>
  <c r="JE232" i="4"/>
  <c r="JF228" i="4" s="1"/>
  <c r="IU266" i="4" l="1"/>
  <c r="IU267" i="4" s="1"/>
  <c r="IU264" i="4"/>
  <c r="IV260" i="4" s="1"/>
  <c r="IV261" i="4" s="1"/>
  <c r="IV263" i="4" s="1"/>
  <c r="DJ265" i="4"/>
  <c r="DJ270" i="4" s="1"/>
  <c r="IT271" i="4"/>
  <c r="DJ261" i="4" s="1"/>
  <c r="JE235" i="4"/>
  <c r="JC253" i="4"/>
  <c r="JC248" i="4"/>
  <c r="JC247" i="4"/>
  <c r="JC246" i="4"/>
  <c r="JD242" i="4" s="1"/>
  <c r="JO227" i="4"/>
  <c r="EE238" i="4"/>
  <c r="IS269" i="4"/>
  <c r="IS270" i="4"/>
  <c r="DI264" i="4" s="1"/>
  <c r="DJ269" i="4"/>
  <c r="DT248" i="4"/>
  <c r="IW259" i="4"/>
  <c r="DM259" i="4"/>
  <c r="IX258" i="4"/>
  <c r="DT244" i="4"/>
  <c r="DT249" i="4" s="1"/>
  <c r="JD239" i="4"/>
  <c r="DT240" i="4" s="1"/>
  <c r="DH271" i="4"/>
  <c r="DH266" i="4"/>
  <c r="DR258" i="4"/>
  <c r="JB250" i="4"/>
  <c r="JP221" i="4"/>
  <c r="IY252" i="4"/>
  <c r="JF229" i="4"/>
  <c r="JF231" i="4" s="1"/>
  <c r="DJ266" i="4" l="1"/>
  <c r="DJ271" i="4"/>
  <c r="DT245" i="4"/>
  <c r="IU268" i="4"/>
  <c r="DK260" i="4"/>
  <c r="DI269" i="4"/>
  <c r="JC249" i="4"/>
  <c r="IX259" i="4"/>
  <c r="DN259" i="4"/>
  <c r="DT250" i="4"/>
  <c r="JD240" i="4"/>
  <c r="IS271" i="4"/>
  <c r="DI261" i="4" s="1"/>
  <c r="DI265" i="4"/>
  <c r="DI270" i="4" s="1"/>
  <c r="JD243" i="4"/>
  <c r="JE236" i="4"/>
  <c r="DU239" i="4"/>
  <c r="IV264" i="4"/>
  <c r="IW260" i="4" s="1"/>
  <c r="IW261" i="4" s="1"/>
  <c r="IW263" i="4" s="1"/>
  <c r="JF232" i="4"/>
  <c r="JG228" i="4" s="1"/>
  <c r="JG229" i="4" s="1"/>
  <c r="JG231" i="4" s="1"/>
  <c r="IV266" i="4"/>
  <c r="IV265" i="4"/>
  <c r="IY254" i="4"/>
  <c r="JP224" i="4"/>
  <c r="JP230" i="4"/>
  <c r="JP223" i="4"/>
  <c r="JP222" i="4"/>
  <c r="JQ218" i="4" s="1"/>
  <c r="JF234" i="4"/>
  <c r="JF233" i="4"/>
  <c r="JD245" i="4" l="1"/>
  <c r="JD248" i="4" s="1"/>
  <c r="JF235" i="4"/>
  <c r="JE238" i="4"/>
  <c r="DU243" i="4" s="1"/>
  <c r="JE237" i="4"/>
  <c r="JP226" i="4"/>
  <c r="DI271" i="4"/>
  <c r="IV267" i="4"/>
  <c r="DS258" i="4"/>
  <c r="JC250" i="4"/>
  <c r="DI266" i="4"/>
  <c r="IU270" i="4"/>
  <c r="DK264" i="4" s="1"/>
  <c r="IU269" i="4"/>
  <c r="IW266" i="4"/>
  <c r="IW265" i="4"/>
  <c r="IW264" i="4"/>
  <c r="IX260" i="4" s="1"/>
  <c r="JG234" i="4"/>
  <c r="JG233" i="4"/>
  <c r="JQ219" i="4"/>
  <c r="JQ221" i="4" s="1"/>
  <c r="IY257" i="4"/>
  <c r="IY262" i="4"/>
  <c r="IY256" i="4"/>
  <c r="IY255" i="4"/>
  <c r="IZ251" i="4" s="1"/>
  <c r="JG232" i="4"/>
  <c r="JH228" i="4" s="1"/>
  <c r="JD246" i="4" l="1"/>
  <c r="JE242" i="4" s="1"/>
  <c r="JE243" i="4" s="1"/>
  <c r="JD253" i="4"/>
  <c r="JD247" i="4"/>
  <c r="IV268" i="4"/>
  <c r="DL260" i="4"/>
  <c r="IY258" i="4"/>
  <c r="DK269" i="4"/>
  <c r="DU244" i="4"/>
  <c r="DU249" i="4" s="1"/>
  <c r="JE239" i="4"/>
  <c r="DU240" i="4" s="1"/>
  <c r="DU248" i="4"/>
  <c r="JP227" i="4"/>
  <c r="EF238" i="4"/>
  <c r="JF236" i="4"/>
  <c r="DV239" i="4"/>
  <c r="JG235" i="4"/>
  <c r="JD249" i="4"/>
  <c r="IW267" i="4"/>
  <c r="DK265" i="4"/>
  <c r="DK270" i="4" s="1"/>
  <c r="IU271" i="4"/>
  <c r="DK261" i="4" s="1"/>
  <c r="JQ224" i="4"/>
  <c r="JQ230" i="4"/>
  <c r="JQ223" i="4"/>
  <c r="EY223" i="4" s="1"/>
  <c r="IX261" i="4"/>
  <c r="IX263" i="4" s="1"/>
  <c r="JQ222" i="4"/>
  <c r="JR218" i="4" s="1"/>
  <c r="JH229" i="4"/>
  <c r="JH231" i="4" s="1"/>
  <c r="IZ252" i="4"/>
  <c r="IZ254" i="4" s="1"/>
  <c r="DU245" i="4" l="1"/>
  <c r="DK271" i="4"/>
  <c r="DK266" i="4"/>
  <c r="IW268" i="4"/>
  <c r="DM260" i="4"/>
  <c r="JF237" i="4"/>
  <c r="JF238" i="4"/>
  <c r="DV243" i="4" s="1"/>
  <c r="DT258" i="4"/>
  <c r="JD250" i="4"/>
  <c r="JG236" i="4"/>
  <c r="DW239" i="4"/>
  <c r="DU250" i="4"/>
  <c r="JE240" i="4"/>
  <c r="JE245" i="4" s="1"/>
  <c r="JQ226" i="4"/>
  <c r="IY259" i="4"/>
  <c r="DO259" i="4"/>
  <c r="IV270" i="4"/>
  <c r="DL264" i="4" s="1"/>
  <c r="IV269" i="4"/>
  <c r="IX266" i="4"/>
  <c r="IX265" i="4"/>
  <c r="IX264" i="4"/>
  <c r="IY260" i="4" s="1"/>
  <c r="JH234" i="4"/>
  <c r="JH233" i="4"/>
  <c r="JH232" i="4"/>
  <c r="JI228" i="4" s="1"/>
  <c r="IZ257" i="4"/>
  <c r="IZ262" i="4"/>
  <c r="IZ256" i="4"/>
  <c r="JR219" i="4"/>
  <c r="JR221" i="4" s="1"/>
  <c r="IZ255" i="4"/>
  <c r="JA251" i="4" s="1"/>
  <c r="JE253" i="4" l="1"/>
  <c r="JE247" i="4"/>
  <c r="JE248" i="4"/>
  <c r="JE246" i="4"/>
  <c r="JF242" i="4" s="1"/>
  <c r="DL265" i="4"/>
  <c r="DL270" i="4" s="1"/>
  <c r="IV271" i="4"/>
  <c r="DL261" i="4" s="1"/>
  <c r="JQ227" i="4"/>
  <c r="EG238" i="4"/>
  <c r="DL269" i="4"/>
  <c r="DV248" i="4"/>
  <c r="IZ258" i="4"/>
  <c r="JG238" i="4"/>
  <c r="DW243" i="4" s="1"/>
  <c r="JG237" i="4"/>
  <c r="JH235" i="4"/>
  <c r="DV244" i="4"/>
  <c r="DV249" i="4" s="1"/>
  <c r="JF239" i="4"/>
  <c r="DV240" i="4" s="1"/>
  <c r="IW269" i="4"/>
  <c r="IW270" i="4"/>
  <c r="DM264" i="4" s="1"/>
  <c r="IX267" i="4"/>
  <c r="JR224" i="4"/>
  <c r="JR226" i="4" s="1"/>
  <c r="JR227" i="4" s="1"/>
  <c r="JR230" i="4"/>
  <c r="JR223" i="4"/>
  <c r="IY261" i="4"/>
  <c r="JR222" i="4"/>
  <c r="JS218" i="4" s="1"/>
  <c r="JI229" i="4"/>
  <c r="JI231" i="4" s="1"/>
  <c r="JA252" i="4"/>
  <c r="DL271" i="4" l="1"/>
  <c r="DL266" i="4"/>
  <c r="DW244" i="4"/>
  <c r="DW249" i="4" s="1"/>
  <c r="JG239" i="4"/>
  <c r="DW240" i="4" s="1"/>
  <c r="DV245" i="4"/>
  <c r="JH236" i="4"/>
  <c r="DX239" i="4"/>
  <c r="JF243" i="4"/>
  <c r="DM265" i="4"/>
  <c r="DM270" i="4" s="1"/>
  <c r="IW271" i="4"/>
  <c r="DM261" i="4" s="1"/>
  <c r="DW248" i="4"/>
  <c r="IZ259" i="4"/>
  <c r="DP259" i="4"/>
  <c r="DV250" i="4"/>
  <c r="JF240" i="4"/>
  <c r="JE249" i="4"/>
  <c r="IX268" i="4"/>
  <c r="DN260" i="4"/>
  <c r="DM269" i="4"/>
  <c r="JI234" i="4"/>
  <c r="JI233" i="4"/>
  <c r="JA254" i="4"/>
  <c r="IY263" i="4"/>
  <c r="JI232" i="4"/>
  <c r="JJ228" i="4" s="1"/>
  <c r="JS219" i="4"/>
  <c r="JS221" i="4" s="1"/>
  <c r="DM266" i="4" l="1"/>
  <c r="DW245" i="4"/>
  <c r="DW250" i="4"/>
  <c r="JG240" i="4"/>
  <c r="IX270" i="4"/>
  <c r="DN264" i="4" s="1"/>
  <c r="IX269" i="4"/>
  <c r="JI235" i="4"/>
  <c r="DU258" i="4"/>
  <c r="JE250" i="4"/>
  <c r="IY264" i="4"/>
  <c r="IZ260" i="4" s="1"/>
  <c r="IZ261" i="4" s="1"/>
  <c r="JF245" i="4"/>
  <c r="JH237" i="4"/>
  <c r="JH238" i="4"/>
  <c r="DX243" i="4" s="1"/>
  <c r="DM271" i="4"/>
  <c r="JS224" i="4"/>
  <c r="JS226" i="4" s="1"/>
  <c r="JS227" i="4" s="1"/>
  <c r="JS230" i="4"/>
  <c r="JS223" i="4"/>
  <c r="JJ229" i="4"/>
  <c r="JJ231" i="4" s="1"/>
  <c r="JS222" i="4"/>
  <c r="JT218" i="4" s="1"/>
  <c r="IY266" i="4"/>
  <c r="IY265" i="4"/>
  <c r="JA257" i="4"/>
  <c r="JA262" i="4"/>
  <c r="JA256" i="4"/>
  <c r="JA255" i="4"/>
  <c r="JB251" i="4" s="1"/>
  <c r="DX248" i="4" l="1"/>
  <c r="DX244" i="4"/>
  <c r="DX249" i="4" s="1"/>
  <c r="JH239" i="4"/>
  <c r="DX240" i="4" s="1"/>
  <c r="JA258" i="4"/>
  <c r="DN269" i="4"/>
  <c r="JF248" i="4"/>
  <c r="JF247" i="4"/>
  <c r="JF253" i="4"/>
  <c r="JF246" i="4"/>
  <c r="JG242" i="4" s="1"/>
  <c r="JI236" i="4"/>
  <c r="DY239" i="4"/>
  <c r="DN265" i="4"/>
  <c r="DN270" i="4" s="1"/>
  <c r="IX271" i="4"/>
  <c r="DN261" i="4" s="1"/>
  <c r="IY267" i="4"/>
  <c r="JJ234" i="4"/>
  <c r="JJ233" i="4"/>
  <c r="JT219" i="4"/>
  <c r="JT221" i="4" s="1"/>
  <c r="JJ232" i="4"/>
  <c r="JK228" i="4" s="1"/>
  <c r="IZ263" i="4"/>
  <c r="JB252" i="4"/>
  <c r="JB254" i="4" s="1"/>
  <c r="JJ235" i="4" l="1"/>
  <c r="JB255" i="4"/>
  <c r="JC251" i="4" s="1"/>
  <c r="JC252" i="4" s="1"/>
  <c r="JC254" i="4" s="1"/>
  <c r="JG243" i="4"/>
  <c r="JG245" i="4" s="1"/>
  <c r="JG246" i="4" s="1"/>
  <c r="JH242" i="4" s="1"/>
  <c r="JH243" i="4" s="1"/>
  <c r="JF249" i="4"/>
  <c r="IY268" i="4"/>
  <c r="DO260" i="4"/>
  <c r="JI238" i="4"/>
  <c r="DY243" i="4" s="1"/>
  <c r="JI237" i="4"/>
  <c r="DN271" i="4"/>
  <c r="DN266" i="4"/>
  <c r="JA259" i="4"/>
  <c r="DQ259" i="4"/>
  <c r="DX250" i="4"/>
  <c r="JH240" i="4"/>
  <c r="DX245" i="4"/>
  <c r="IZ266" i="4"/>
  <c r="IZ265" i="4"/>
  <c r="IZ264" i="4"/>
  <c r="JA260" i="4" s="1"/>
  <c r="JT224" i="4"/>
  <c r="JT226" i="4" s="1"/>
  <c r="JT227" i="4" s="1"/>
  <c r="JT230" i="4"/>
  <c r="JT223" i="4"/>
  <c r="JB257" i="4"/>
  <c r="JB262" i="4"/>
  <c r="JB256" i="4"/>
  <c r="JK229" i="4"/>
  <c r="JT222" i="4"/>
  <c r="JU218" i="4" s="1"/>
  <c r="JH245" i="4" l="1"/>
  <c r="DY244" i="4"/>
  <c r="DY249" i="4" s="1"/>
  <c r="JI239" i="4"/>
  <c r="DY240" i="4" s="1"/>
  <c r="IY269" i="4"/>
  <c r="IY270" i="4"/>
  <c r="DO264" i="4" s="1"/>
  <c r="JB258" i="4"/>
  <c r="JG247" i="4"/>
  <c r="JG248" i="4"/>
  <c r="JG253" i="4"/>
  <c r="IZ267" i="4"/>
  <c r="DY248" i="4"/>
  <c r="DV258" i="4"/>
  <c r="JF250" i="4"/>
  <c r="JC255" i="4"/>
  <c r="JD251" i="4" s="1"/>
  <c r="JD252" i="4" s="1"/>
  <c r="JD254" i="4" s="1"/>
  <c r="JJ236" i="4"/>
  <c r="DZ239" i="4"/>
  <c r="JU219" i="4"/>
  <c r="JU221" i="4" s="1"/>
  <c r="JK231" i="4"/>
  <c r="JA261" i="4"/>
  <c r="JC257" i="4"/>
  <c r="JC262" i="4"/>
  <c r="JC256" i="4"/>
  <c r="DY245" i="4" l="1"/>
  <c r="JJ237" i="4"/>
  <c r="JJ238" i="4"/>
  <c r="DZ243" i="4" s="1"/>
  <c r="DY250" i="4"/>
  <c r="JI240" i="4"/>
  <c r="IZ268" i="4"/>
  <c r="DP260" i="4"/>
  <c r="JG249" i="4"/>
  <c r="JC258" i="4"/>
  <c r="JB259" i="4"/>
  <c r="DR259" i="4"/>
  <c r="DO269" i="4"/>
  <c r="DO265" i="4"/>
  <c r="DO270" i="4" s="1"/>
  <c r="IY271" i="4"/>
  <c r="DO261" i="4" s="1"/>
  <c r="JH246" i="4"/>
  <c r="JI242" i="4" s="1"/>
  <c r="JH253" i="4"/>
  <c r="JH247" i="4"/>
  <c r="JH248" i="4"/>
  <c r="JU224" i="4"/>
  <c r="JU226" i="4" s="1"/>
  <c r="JU227" i="4" s="1"/>
  <c r="JU230" i="4"/>
  <c r="JU223" i="4"/>
  <c r="JD257" i="4"/>
  <c r="JD262" i="4"/>
  <c r="JD256" i="4"/>
  <c r="JU222" i="4"/>
  <c r="JV218" i="4" s="1"/>
  <c r="JA263" i="4"/>
  <c r="JK234" i="4"/>
  <c r="JK233" i="4"/>
  <c r="JD255" i="4"/>
  <c r="JE251" i="4" s="1"/>
  <c r="JK232" i="4"/>
  <c r="JL228" i="4" s="1"/>
  <c r="JI243" i="4" l="1"/>
  <c r="JI245" i="4" s="1"/>
  <c r="JD258" i="4"/>
  <c r="DW258" i="4"/>
  <c r="JG250" i="4"/>
  <c r="DO271" i="4"/>
  <c r="DO266" i="4"/>
  <c r="JK235" i="4"/>
  <c r="JC259" i="4"/>
  <c r="DS259" i="4"/>
  <c r="IZ269" i="4"/>
  <c r="IZ270" i="4"/>
  <c r="DP264" i="4" s="1"/>
  <c r="DZ248" i="4"/>
  <c r="JH249" i="4"/>
  <c r="DZ244" i="4"/>
  <c r="DZ249" i="4" s="1"/>
  <c r="JJ239" i="4"/>
  <c r="DZ240" i="4" s="1"/>
  <c r="JV219" i="4"/>
  <c r="JV221" i="4" s="1"/>
  <c r="JL229" i="4"/>
  <c r="JL231" i="4" s="1"/>
  <c r="JE252" i="4"/>
  <c r="JE254" i="4" s="1"/>
  <c r="JA266" i="4"/>
  <c r="JA265" i="4"/>
  <c r="JA264" i="4"/>
  <c r="JB260" i="4" s="1"/>
  <c r="JI246" i="4" l="1"/>
  <c r="JJ242" i="4" s="1"/>
  <c r="JJ243" i="4" s="1"/>
  <c r="DZ250" i="4"/>
  <c r="JJ240" i="4"/>
  <c r="DP265" i="4"/>
  <c r="DP270" i="4" s="1"/>
  <c r="IZ271" i="4"/>
  <c r="DP261" i="4" s="1"/>
  <c r="JA267" i="4"/>
  <c r="DP269" i="4"/>
  <c r="JK236" i="4"/>
  <c r="EA239" i="4"/>
  <c r="DX258" i="4"/>
  <c r="JH250" i="4"/>
  <c r="DZ245" i="4"/>
  <c r="JD259" i="4"/>
  <c r="DT259" i="4"/>
  <c r="JI247" i="4"/>
  <c r="JI253" i="4"/>
  <c r="JI248" i="4"/>
  <c r="JL234" i="4"/>
  <c r="JL233" i="4"/>
  <c r="JE257" i="4"/>
  <c r="JE262" i="4"/>
  <c r="JE256" i="4"/>
  <c r="JV224" i="4"/>
  <c r="JV226" i="4" s="1"/>
  <c r="JV227" i="4" s="1"/>
  <c r="JV230" i="4"/>
  <c r="JV223" i="4"/>
  <c r="JV222" i="4"/>
  <c r="JW218" i="4" s="1"/>
  <c r="JE255" i="4"/>
  <c r="JF251" i="4" s="1"/>
  <c r="JL232" i="4"/>
  <c r="JM228" i="4" s="1"/>
  <c r="JB261" i="4"/>
  <c r="DP266" i="4" l="1"/>
  <c r="JJ245" i="4"/>
  <c r="JJ246" i="4" s="1"/>
  <c r="JK242" i="4" s="1"/>
  <c r="JK243" i="4" s="1"/>
  <c r="DP271" i="4"/>
  <c r="JK238" i="4"/>
  <c r="EA243" i="4" s="1"/>
  <c r="JK237" i="4"/>
  <c r="JL235" i="4"/>
  <c r="JE258" i="4"/>
  <c r="JA268" i="4"/>
  <c r="DQ260" i="4"/>
  <c r="JI249" i="4"/>
  <c r="JB263" i="4"/>
  <c r="JM229" i="4"/>
  <c r="JM231" i="4" s="1"/>
  <c r="JF252" i="4"/>
  <c r="JW219" i="4"/>
  <c r="JW221" i="4" s="1"/>
  <c r="JJ248" i="4" l="1"/>
  <c r="JJ249" i="4" s="1"/>
  <c r="JJ247" i="4"/>
  <c r="JJ253" i="4"/>
  <c r="JA270" i="4"/>
  <c r="DQ264" i="4" s="1"/>
  <c r="JA269" i="4"/>
  <c r="DY258" i="4"/>
  <c r="JI250" i="4"/>
  <c r="JE259" i="4"/>
  <c r="DU259" i="4"/>
  <c r="JL236" i="4"/>
  <c r="EB239" i="4"/>
  <c r="EA244" i="4"/>
  <c r="EA249" i="4" s="1"/>
  <c r="JK239" i="4"/>
  <c r="EA240" i="4" s="1"/>
  <c r="EA248" i="4"/>
  <c r="JW224" i="4"/>
  <c r="JW226" i="4" s="1"/>
  <c r="JW227" i="4" s="1"/>
  <c r="JW230" i="4"/>
  <c r="JW223" i="4"/>
  <c r="JM234" i="4"/>
  <c r="JM233" i="4"/>
  <c r="JM232" i="4"/>
  <c r="JN228" i="4" s="1"/>
  <c r="JW222" i="4"/>
  <c r="JX218" i="4" s="1"/>
  <c r="JF254" i="4"/>
  <c r="JB266" i="4"/>
  <c r="JB265" i="4"/>
  <c r="JB264" i="4"/>
  <c r="JC260" i="4" s="1"/>
  <c r="EA245" i="4" l="1"/>
  <c r="JM235" i="4"/>
  <c r="EA250" i="4"/>
  <c r="JK240" i="4"/>
  <c r="JK245" i="4" s="1"/>
  <c r="DZ258" i="4"/>
  <c r="JJ250" i="4"/>
  <c r="JL237" i="4"/>
  <c r="JL238" i="4"/>
  <c r="EB243" i="4" s="1"/>
  <c r="DQ265" i="4"/>
  <c r="DQ270" i="4" s="1"/>
  <c r="JA271" i="4"/>
  <c r="DQ261" i="4" s="1"/>
  <c r="JB267" i="4"/>
  <c r="DQ269" i="4"/>
  <c r="JC261" i="4"/>
  <c r="JC263" i="4" s="1"/>
  <c r="JX219" i="4"/>
  <c r="JX221" i="4" s="1"/>
  <c r="JF257" i="4"/>
  <c r="JF262" i="4"/>
  <c r="JF256" i="4"/>
  <c r="JN229" i="4"/>
  <c r="JN231" i="4" s="1"/>
  <c r="JF255" i="4"/>
  <c r="JG251" i="4" s="1"/>
  <c r="DQ271" i="4" l="1"/>
  <c r="DQ266" i="4"/>
  <c r="JF258" i="4"/>
  <c r="EB248" i="4"/>
  <c r="EB244" i="4"/>
  <c r="EB249" i="4" s="1"/>
  <c r="JL239" i="4"/>
  <c r="EB240" i="4" s="1"/>
  <c r="JB268" i="4"/>
  <c r="DR260" i="4"/>
  <c r="JK253" i="4"/>
  <c r="JK247" i="4"/>
  <c r="JK248" i="4"/>
  <c r="JK246" i="4"/>
  <c r="JL242" i="4" s="1"/>
  <c r="JL243" i="4" s="1"/>
  <c r="JM236" i="4"/>
  <c r="EC239" i="4"/>
  <c r="JN234" i="4"/>
  <c r="JN233" i="4"/>
  <c r="JC266" i="4"/>
  <c r="JC265" i="4"/>
  <c r="JC264" i="4"/>
  <c r="JD260" i="4" s="1"/>
  <c r="JX224" i="4"/>
  <c r="JX226" i="4" s="1"/>
  <c r="JX227" i="4" s="1"/>
  <c r="JX230" i="4"/>
  <c r="JX223" i="4"/>
  <c r="JN232" i="4"/>
  <c r="JO228" i="4" s="1"/>
  <c r="JX222" i="4"/>
  <c r="JY218" i="4" s="1"/>
  <c r="JG252" i="4"/>
  <c r="JG254" i="4" s="1"/>
  <c r="JM237" i="4" l="1"/>
  <c r="JM238" i="4"/>
  <c r="EC243" i="4" s="1"/>
  <c r="JN235" i="4"/>
  <c r="JK249" i="4"/>
  <c r="JB269" i="4"/>
  <c r="JB270" i="4"/>
  <c r="DR264" i="4" s="1"/>
  <c r="EB250" i="4"/>
  <c r="JL240" i="4"/>
  <c r="JL245" i="4" s="1"/>
  <c r="EB245" i="4"/>
  <c r="JC267" i="4"/>
  <c r="JF259" i="4"/>
  <c r="DV259" i="4"/>
  <c r="JG257" i="4"/>
  <c r="JG262" i="4"/>
  <c r="JG256" i="4"/>
  <c r="JG255" i="4"/>
  <c r="JH251" i="4" s="1"/>
  <c r="JD261" i="4"/>
  <c r="JD263" i="4" s="1"/>
  <c r="JY219" i="4"/>
  <c r="JY221" i="4" s="1"/>
  <c r="JO229" i="4"/>
  <c r="JL246" i="4" l="1"/>
  <c r="JM242" i="4" s="1"/>
  <c r="JL253" i="4"/>
  <c r="JL247" i="4"/>
  <c r="JL248" i="4"/>
  <c r="JG258" i="4"/>
  <c r="DR269" i="4"/>
  <c r="JC268" i="4"/>
  <c r="DS260" i="4"/>
  <c r="DR265" i="4"/>
  <c r="DR270" i="4" s="1"/>
  <c r="JB271" i="4"/>
  <c r="DR261" i="4" s="1"/>
  <c r="EA258" i="4"/>
  <c r="JK250" i="4"/>
  <c r="JN236" i="4"/>
  <c r="ED239" i="4"/>
  <c r="EC248" i="4"/>
  <c r="EC244" i="4"/>
  <c r="EC249" i="4" s="1"/>
  <c r="JM239" i="4"/>
  <c r="EC240" i="4" s="1"/>
  <c r="JD266" i="4"/>
  <c r="JD265" i="4"/>
  <c r="JY224" i="4"/>
  <c r="JY226" i="4" s="1"/>
  <c r="JY227" i="4" s="1"/>
  <c r="JY230" i="4"/>
  <c r="JY223" i="4"/>
  <c r="JY222" i="4"/>
  <c r="JZ218" i="4" s="1"/>
  <c r="JO231" i="4"/>
  <c r="JD264" i="4"/>
  <c r="JE260" i="4" s="1"/>
  <c r="JH252" i="4"/>
  <c r="JN237" i="4" l="1"/>
  <c r="JN238" i="4"/>
  <c r="ED243" i="4" s="1"/>
  <c r="DR271" i="4"/>
  <c r="EC245" i="4"/>
  <c r="DR266" i="4"/>
  <c r="JG259" i="4"/>
  <c r="DW259" i="4"/>
  <c r="EC250" i="4"/>
  <c r="JM240" i="4"/>
  <c r="JC269" i="4"/>
  <c r="JC270" i="4"/>
  <c r="DS264" i="4" s="1"/>
  <c r="JD267" i="4"/>
  <c r="JL249" i="4"/>
  <c r="JM243" i="4"/>
  <c r="JH254" i="4"/>
  <c r="JZ219" i="4"/>
  <c r="JE261" i="4"/>
  <c r="JE263" i="4" s="1"/>
  <c r="JO234" i="4"/>
  <c r="JO233" i="4"/>
  <c r="JO232" i="4"/>
  <c r="JP228" i="4" s="1"/>
  <c r="JD268" i="4" l="1"/>
  <c r="DT260" i="4"/>
  <c r="DS265" i="4"/>
  <c r="DS270" i="4" s="1"/>
  <c r="JC271" i="4"/>
  <c r="DS261" i="4" s="1"/>
  <c r="JM245" i="4"/>
  <c r="EB258" i="4"/>
  <c r="JL250" i="4"/>
  <c r="DS269" i="4"/>
  <c r="JO235" i="4"/>
  <c r="ED248" i="4"/>
  <c r="ED244" i="4"/>
  <c r="ED249" i="4" s="1"/>
  <c r="JN239" i="4"/>
  <c r="ED240" i="4" s="1"/>
  <c r="JE266" i="4"/>
  <c r="JE265" i="4"/>
  <c r="JZ221" i="4"/>
  <c r="JE264" i="4"/>
  <c r="JF260" i="4" s="1"/>
  <c r="JP229" i="4"/>
  <c r="JP231" i="4" s="1"/>
  <c r="JH257" i="4"/>
  <c r="JH262" i="4"/>
  <c r="JH256" i="4"/>
  <c r="JH255" i="4"/>
  <c r="JI251" i="4" s="1"/>
  <c r="DS271" i="4" l="1"/>
  <c r="DS266" i="4"/>
  <c r="JD270" i="4"/>
  <c r="DT264" i="4" s="1"/>
  <c r="JD269" i="4"/>
  <c r="JE267" i="4"/>
  <c r="ED250" i="4"/>
  <c r="JN240" i="4"/>
  <c r="JO236" i="4"/>
  <c r="EE239" i="4"/>
  <c r="JH258" i="4"/>
  <c r="ED245" i="4"/>
  <c r="JM247" i="4"/>
  <c r="JM248" i="4"/>
  <c r="JM253" i="4"/>
  <c r="JM246" i="4"/>
  <c r="JN242" i="4" s="1"/>
  <c r="JP234" i="4"/>
  <c r="JP233" i="4"/>
  <c r="JP232" i="4"/>
  <c r="JQ228" i="4" s="1"/>
  <c r="JF261" i="4"/>
  <c r="JF263" i="4" s="1"/>
  <c r="JI252" i="4"/>
  <c r="JI254" i="4" s="1"/>
  <c r="JZ224" i="4"/>
  <c r="JZ226" i="4" s="1"/>
  <c r="JZ227" i="4" s="1"/>
  <c r="JZ230" i="4"/>
  <c r="JZ223" i="4"/>
  <c r="JZ222" i="4"/>
  <c r="KA218" i="4" s="1"/>
  <c r="JP235" i="4" l="1"/>
  <c r="JE268" i="4"/>
  <c r="DU260" i="4"/>
  <c r="JM249" i="4"/>
  <c r="JH259" i="4"/>
  <c r="DX259" i="4"/>
  <c r="JO237" i="4"/>
  <c r="JO238" i="4"/>
  <c r="EE243" i="4" s="1"/>
  <c r="DT265" i="4"/>
  <c r="DT270" i="4" s="1"/>
  <c r="JD271" i="4"/>
  <c r="DT261" i="4" s="1"/>
  <c r="JN243" i="4"/>
  <c r="JN245" i="4" s="1"/>
  <c r="DT269" i="4"/>
  <c r="JF266" i="4"/>
  <c r="JF265" i="4"/>
  <c r="JF264" i="4"/>
  <c r="JG260" i="4" s="1"/>
  <c r="KA219" i="4"/>
  <c r="JI257" i="4"/>
  <c r="JI262" i="4"/>
  <c r="JI256" i="4"/>
  <c r="JQ229" i="4"/>
  <c r="JQ231" i="4" s="1"/>
  <c r="JI255" i="4"/>
  <c r="JJ251" i="4" s="1"/>
  <c r="DT271" i="4" l="1"/>
  <c r="DT266" i="4"/>
  <c r="JN253" i="4"/>
  <c r="JN248" i="4"/>
  <c r="JN247" i="4"/>
  <c r="JF267" i="4"/>
  <c r="EE248" i="4"/>
  <c r="EE244" i="4"/>
  <c r="EE249" i="4" s="1"/>
  <c r="JO239" i="4"/>
  <c r="EE240" i="4" s="1"/>
  <c r="JN246" i="4"/>
  <c r="JO242" i="4" s="1"/>
  <c r="JI258" i="4"/>
  <c r="EC258" i="4"/>
  <c r="JM250" i="4"/>
  <c r="JE269" i="4"/>
  <c r="JE270" i="4"/>
  <c r="DU264" i="4" s="1"/>
  <c r="JP236" i="4"/>
  <c r="EF239" i="4"/>
  <c r="JQ234" i="4"/>
  <c r="JQ233" i="4"/>
  <c r="EY233" i="4" s="1"/>
  <c r="JQ232" i="4"/>
  <c r="JR228" i="4" s="1"/>
  <c r="JG261" i="4"/>
  <c r="JG263" i="4" s="1"/>
  <c r="JJ252" i="4"/>
  <c r="KA221" i="4"/>
  <c r="DU269" i="4" l="1"/>
  <c r="JQ235" i="4"/>
  <c r="DU265" i="4"/>
  <c r="DU270" i="4" s="1"/>
  <c r="JE271" i="4"/>
  <c r="DU261" i="4" s="1"/>
  <c r="JO243" i="4"/>
  <c r="EE250" i="4"/>
  <c r="JO240" i="4"/>
  <c r="JF268" i="4"/>
  <c r="DV260" i="4"/>
  <c r="JP237" i="4"/>
  <c r="JP238" i="4"/>
  <c r="EF243" i="4" s="1"/>
  <c r="JI259" i="4"/>
  <c r="DY259" i="4"/>
  <c r="EE245" i="4"/>
  <c r="JN249" i="4"/>
  <c r="JG266" i="4"/>
  <c r="JG265" i="4"/>
  <c r="JG264" i="4"/>
  <c r="JH260" i="4" s="1"/>
  <c r="KA224" i="4"/>
  <c r="KA226" i="4" s="1"/>
  <c r="KA227" i="4" s="1"/>
  <c r="KA230" i="4"/>
  <c r="KA223" i="4"/>
  <c r="JJ254" i="4"/>
  <c r="KA222" i="4"/>
  <c r="KB218" i="4" s="1"/>
  <c r="JR229" i="4"/>
  <c r="JR231" i="4" s="1"/>
  <c r="EF244" i="4" l="1"/>
  <c r="EF249" i="4" s="1"/>
  <c r="JP239" i="4"/>
  <c r="EF240" i="4" s="1"/>
  <c r="JF270" i="4"/>
  <c r="DV264" i="4" s="1"/>
  <c r="JF269" i="4"/>
  <c r="JO245" i="4"/>
  <c r="JO246" i="4" s="1"/>
  <c r="JP242" i="4" s="1"/>
  <c r="JG267" i="4"/>
  <c r="ED258" i="4"/>
  <c r="JN250" i="4"/>
  <c r="EF248" i="4"/>
  <c r="JQ236" i="4"/>
  <c r="EG239" i="4"/>
  <c r="DU271" i="4"/>
  <c r="DU266" i="4"/>
  <c r="JR234" i="4"/>
  <c r="JR235" i="4" s="1"/>
  <c r="JR236" i="4" s="1"/>
  <c r="JR233" i="4"/>
  <c r="JJ257" i="4"/>
  <c r="JJ262" i="4"/>
  <c r="JJ256" i="4"/>
  <c r="JJ255" i="4"/>
  <c r="JK251" i="4" s="1"/>
  <c r="JR232" i="4"/>
  <c r="JS228" i="4" s="1"/>
  <c r="KB219" i="4"/>
  <c r="KB221" i="4" s="1"/>
  <c r="JH261" i="4"/>
  <c r="JH263" i="4" s="1"/>
  <c r="EF245" i="4" l="1"/>
  <c r="JG268" i="4"/>
  <c r="DW260" i="4"/>
  <c r="JQ237" i="4"/>
  <c r="JQ238" i="4"/>
  <c r="EG243" i="4" s="1"/>
  <c r="JJ258" i="4"/>
  <c r="EF250" i="4"/>
  <c r="JP240" i="4"/>
  <c r="JP243" i="4"/>
  <c r="JO253" i="4"/>
  <c r="JO247" i="4"/>
  <c r="JO248" i="4"/>
  <c r="DV265" i="4"/>
  <c r="DV270" i="4" s="1"/>
  <c r="JF271" i="4"/>
  <c r="DV261" i="4" s="1"/>
  <c r="DV269" i="4"/>
  <c r="KB224" i="4"/>
  <c r="KB226" i="4" s="1"/>
  <c r="KB227" i="4" s="1"/>
  <c r="KB230" i="4"/>
  <c r="KB223" i="4"/>
  <c r="JH266" i="4"/>
  <c r="JH265" i="4"/>
  <c r="JH264" i="4"/>
  <c r="JI260" i="4" s="1"/>
  <c r="KB222" i="4"/>
  <c r="KC218" i="4" s="1"/>
  <c r="JK252" i="4"/>
  <c r="JK254" i="4" s="1"/>
  <c r="JS229" i="4"/>
  <c r="JS231" i="4" s="1"/>
  <c r="JR237" i="4"/>
  <c r="JR238" i="4"/>
  <c r="JP245" i="4" l="1"/>
  <c r="JP246" i="4" s="1"/>
  <c r="JQ242" i="4" s="1"/>
  <c r="JQ243" i="4" s="1"/>
  <c r="DV271" i="4"/>
  <c r="DV266" i="4"/>
  <c r="JJ259" i="4"/>
  <c r="DZ259" i="4"/>
  <c r="JO249" i="4"/>
  <c r="EG248" i="4"/>
  <c r="I243" i="4"/>
  <c r="EG244" i="4"/>
  <c r="EG245" i="4" s="1"/>
  <c r="JQ239" i="4"/>
  <c r="EG240" i="4" s="1"/>
  <c r="JH267" i="4"/>
  <c r="JG270" i="4"/>
  <c r="DW264" i="4" s="1"/>
  <c r="JG269" i="4"/>
  <c r="JS234" i="4"/>
  <c r="JS235" i="4" s="1"/>
  <c r="JS236" i="4" s="1"/>
  <c r="JS233" i="4"/>
  <c r="JK257" i="4"/>
  <c r="JK262" i="4"/>
  <c r="JK256" i="4"/>
  <c r="JK255" i="4"/>
  <c r="JL251" i="4" s="1"/>
  <c r="JS232" i="4"/>
  <c r="JT228" i="4" s="1"/>
  <c r="JR239" i="4"/>
  <c r="KC219" i="4"/>
  <c r="KC221" i="4" s="1"/>
  <c r="JI261" i="4"/>
  <c r="JI263" i="4" s="1"/>
  <c r="JP247" i="4" l="1"/>
  <c r="JP253" i="4"/>
  <c r="JP248" i="4"/>
  <c r="JP249" i="4" s="1"/>
  <c r="F248" i="4"/>
  <c r="H228" i="4" s="1"/>
  <c r="O22" i="1" s="1"/>
  <c r="DW269" i="4"/>
  <c r="JH268" i="4"/>
  <c r="DX260" i="4"/>
  <c r="DW265" i="4"/>
  <c r="DW270" i="4" s="1"/>
  <c r="JG271" i="4"/>
  <c r="DW261" i="4" s="1"/>
  <c r="EE258" i="4"/>
  <c r="JO250" i="4"/>
  <c r="JK258" i="4"/>
  <c r="EG249" i="4"/>
  <c r="EG250" i="4" s="1"/>
  <c r="G250" i="4" s="1"/>
  <c r="I244" i="4"/>
  <c r="JQ240" i="4"/>
  <c r="JQ245" i="4" s="1"/>
  <c r="I248" i="4"/>
  <c r="G248" i="4"/>
  <c r="KC224" i="4"/>
  <c r="KC226" i="4" s="1"/>
  <c r="KC227" i="4" s="1"/>
  <c r="KC230" i="4"/>
  <c r="KC223" i="4"/>
  <c r="JI266" i="4"/>
  <c r="JI265" i="4"/>
  <c r="KC222" i="4"/>
  <c r="JT229" i="4"/>
  <c r="JT231" i="4" s="1"/>
  <c r="JL252" i="4"/>
  <c r="JL254" i="4" s="1"/>
  <c r="JI264" i="4"/>
  <c r="JJ260" i="4" s="1"/>
  <c r="JS238" i="4"/>
  <c r="JS237" i="4"/>
  <c r="I228" i="4" l="1"/>
  <c r="P22" i="1" s="1"/>
  <c r="JQ248" i="4"/>
  <c r="JQ247" i="4"/>
  <c r="EY247" i="4" s="1"/>
  <c r="JQ253" i="4"/>
  <c r="JQ246" i="4"/>
  <c r="JR242" i="4" s="1"/>
  <c r="DW271" i="4"/>
  <c r="EF258" i="4"/>
  <c r="JP250" i="4"/>
  <c r="JI267" i="4"/>
  <c r="DW266" i="4"/>
  <c r="E228" i="4"/>
  <c r="G228" i="4" s="1"/>
  <c r="N22" i="1" s="1"/>
  <c r="G249" i="4"/>
  <c r="I227" i="4" s="1"/>
  <c r="P21" i="1" s="1"/>
  <c r="I249" i="4"/>
  <c r="JK259" i="4"/>
  <c r="EA259" i="4"/>
  <c r="JH270" i="4"/>
  <c r="DX264" i="4" s="1"/>
  <c r="JH269" i="4"/>
  <c r="I245" i="4"/>
  <c r="F249" i="4"/>
  <c r="H227" i="4" s="1"/>
  <c r="O21" i="1" s="1"/>
  <c r="JT234" i="4"/>
  <c r="JT235" i="4" s="1"/>
  <c r="JT236" i="4" s="1"/>
  <c r="JT233" i="4"/>
  <c r="JL257" i="4"/>
  <c r="JL262" i="4"/>
  <c r="JL256" i="4"/>
  <c r="JL255" i="4"/>
  <c r="JM251" i="4" s="1"/>
  <c r="JJ261" i="4"/>
  <c r="JT232" i="4"/>
  <c r="JU228" i="4" s="1"/>
  <c r="JS239" i="4"/>
  <c r="DX265" i="4" l="1"/>
  <c r="DX270" i="4" s="1"/>
  <c r="JH271" i="4"/>
  <c r="DX261" i="4" s="1"/>
  <c r="JL258" i="4"/>
  <c r="H245" i="4"/>
  <c r="F250" i="4"/>
  <c r="H243" i="4"/>
  <c r="DX269" i="4"/>
  <c r="JR243" i="4"/>
  <c r="JR245" i="4" s="1"/>
  <c r="I250" i="4"/>
  <c r="H249" i="4" s="1"/>
  <c r="E227" i="4"/>
  <c r="G227" i="4" s="1"/>
  <c r="N21" i="1" s="1"/>
  <c r="JI268" i="4"/>
  <c r="DY260" i="4"/>
  <c r="JQ249" i="4"/>
  <c r="H244" i="4"/>
  <c r="JU229" i="4"/>
  <c r="JU231" i="4" s="1"/>
  <c r="JM252" i="4"/>
  <c r="JM254" i="4" s="1"/>
  <c r="JJ263" i="4"/>
  <c r="JT238" i="4"/>
  <c r="JT237" i="4"/>
  <c r="DX271" i="4" l="1"/>
  <c r="DX266" i="4"/>
  <c r="JI270" i="4"/>
  <c r="DY264" i="4" s="1"/>
  <c r="JI269" i="4"/>
  <c r="JR246" i="4"/>
  <c r="JS242" i="4" s="1"/>
  <c r="JM255" i="4"/>
  <c r="JN251" i="4" s="1"/>
  <c r="JN252" i="4" s="1"/>
  <c r="JN254" i="4" s="1"/>
  <c r="EG258" i="4"/>
  <c r="JQ250" i="4"/>
  <c r="JR253" i="4"/>
  <c r="JR247" i="4"/>
  <c r="JR248" i="4"/>
  <c r="JR249" i="4" s="1"/>
  <c r="H250" i="4"/>
  <c r="H248" i="4"/>
  <c r="JL259" i="4"/>
  <c r="EB259" i="4"/>
  <c r="JT239" i="4"/>
  <c r="JU234" i="4"/>
  <c r="JU235" i="4" s="1"/>
  <c r="JU236" i="4" s="1"/>
  <c r="JU233" i="4"/>
  <c r="JU232" i="4"/>
  <c r="JV228" i="4" s="1"/>
  <c r="JM257" i="4"/>
  <c r="JM262" i="4"/>
  <c r="JM256" i="4"/>
  <c r="JJ266" i="4"/>
  <c r="JJ265" i="4"/>
  <c r="JJ264" i="4"/>
  <c r="JK260" i="4" s="1"/>
  <c r="JM258" i="4" l="1"/>
  <c r="JS243" i="4"/>
  <c r="JS245" i="4" s="1"/>
  <c r="JJ267" i="4"/>
  <c r="DY265" i="4"/>
  <c r="DY270" i="4" s="1"/>
  <c r="JI271" i="4"/>
  <c r="DY261" i="4" s="1"/>
  <c r="DY269" i="4"/>
  <c r="JK261" i="4"/>
  <c r="JK263" i="4" s="1"/>
  <c r="JV229" i="4"/>
  <c r="JV231" i="4" s="1"/>
  <c r="JN257" i="4"/>
  <c r="JN262" i="4"/>
  <c r="JN256" i="4"/>
  <c r="JU238" i="4"/>
  <c r="JU237" i="4"/>
  <c r="JN255" i="4"/>
  <c r="JO251" i="4" s="1"/>
  <c r="DY271" i="4" l="1"/>
  <c r="DY266" i="4"/>
  <c r="JN258" i="4"/>
  <c r="JJ268" i="4"/>
  <c r="DZ260" i="4"/>
  <c r="JS246" i="4"/>
  <c r="JT242" i="4" s="1"/>
  <c r="JS248" i="4"/>
  <c r="JS249" i="4" s="1"/>
  <c r="JS253" i="4"/>
  <c r="JS247" i="4"/>
  <c r="JM259" i="4"/>
  <c r="EC259" i="4"/>
  <c r="JU239" i="4"/>
  <c r="JV234" i="4"/>
  <c r="JV235" i="4" s="1"/>
  <c r="JV236" i="4" s="1"/>
  <c r="JV233" i="4"/>
  <c r="JV232" i="4"/>
  <c r="JW228" i="4" s="1"/>
  <c r="JK266" i="4"/>
  <c r="JK265" i="4"/>
  <c r="JO252" i="4"/>
  <c r="JO254" i="4" s="1"/>
  <c r="JK264" i="4"/>
  <c r="JL260" i="4" s="1"/>
  <c r="JK267" i="4" l="1"/>
  <c r="JT243" i="4"/>
  <c r="JT245" i="4" s="1"/>
  <c r="JJ269" i="4"/>
  <c r="JJ270" i="4"/>
  <c r="DZ264" i="4" s="1"/>
  <c r="JN259" i="4"/>
  <c r="ED259" i="4"/>
  <c r="JO257" i="4"/>
  <c r="JO262" i="4"/>
  <c r="JO256" i="4"/>
  <c r="JO255" i="4"/>
  <c r="JP251" i="4" s="1"/>
  <c r="JL261" i="4"/>
  <c r="JW229" i="4"/>
  <c r="JW231" i="4" s="1"/>
  <c r="JV237" i="4"/>
  <c r="JV238" i="4"/>
  <c r="JO258" i="4" l="1"/>
  <c r="DZ269" i="4"/>
  <c r="DZ265" i="4"/>
  <c r="DZ270" i="4" s="1"/>
  <c r="JJ271" i="4"/>
  <c r="DZ261" i="4" s="1"/>
  <c r="JT246" i="4"/>
  <c r="JU242" i="4" s="1"/>
  <c r="JT247" i="4"/>
  <c r="JT253" i="4"/>
  <c r="JT248" i="4"/>
  <c r="JT249" i="4" s="1"/>
  <c r="JK268" i="4"/>
  <c r="EA260" i="4"/>
  <c r="JV239" i="4"/>
  <c r="JW234" i="4"/>
  <c r="JW235" i="4" s="1"/>
  <c r="JW236" i="4" s="1"/>
  <c r="JW233" i="4"/>
  <c r="JW232" i="4"/>
  <c r="JX228" i="4" s="1"/>
  <c r="JL263" i="4"/>
  <c r="JP252" i="4"/>
  <c r="JP254" i="4" s="1"/>
  <c r="JK269" i="4" l="1"/>
  <c r="JK270" i="4"/>
  <c r="EA264" i="4" s="1"/>
  <c r="JU243" i="4"/>
  <c r="JU245" i="4" s="1"/>
  <c r="DZ271" i="4"/>
  <c r="DZ266" i="4"/>
  <c r="JO259" i="4"/>
  <c r="EE259" i="4"/>
  <c r="JP257" i="4"/>
  <c r="JP262" i="4"/>
  <c r="JP256" i="4"/>
  <c r="JP255" i="4"/>
  <c r="JQ251" i="4" s="1"/>
  <c r="JX229" i="4"/>
  <c r="JX231" i="4" s="1"/>
  <c r="JL266" i="4"/>
  <c r="JL265" i="4"/>
  <c r="JL264" i="4"/>
  <c r="JM260" i="4" s="1"/>
  <c r="JW237" i="4"/>
  <c r="JW238" i="4"/>
  <c r="JU246" i="4" l="1"/>
  <c r="JV242" i="4" s="1"/>
  <c r="JV243" i="4" s="1"/>
  <c r="JV245" i="4" s="1"/>
  <c r="JL267" i="4"/>
  <c r="JP258" i="4"/>
  <c r="JU253" i="4"/>
  <c r="JU247" i="4"/>
  <c r="JU248" i="4"/>
  <c r="JU249" i="4" s="1"/>
  <c r="EA269" i="4"/>
  <c r="EA265" i="4"/>
  <c r="EA270" i="4" s="1"/>
  <c r="JK271" i="4"/>
  <c r="EA261" i="4" s="1"/>
  <c r="JX234" i="4"/>
  <c r="JX235" i="4" s="1"/>
  <c r="JX236" i="4" s="1"/>
  <c r="JX233" i="4"/>
  <c r="JM261" i="4"/>
  <c r="JM263" i="4" s="1"/>
  <c r="JX232" i="4"/>
  <c r="JY228" i="4" s="1"/>
  <c r="JW239" i="4"/>
  <c r="JQ252" i="4"/>
  <c r="JQ254" i="4" s="1"/>
  <c r="JV246" i="4" l="1"/>
  <c r="JW242" i="4" s="1"/>
  <c r="JW243" i="4" s="1"/>
  <c r="JW245" i="4" s="1"/>
  <c r="EA271" i="4"/>
  <c r="EA266" i="4"/>
  <c r="JV253" i="4"/>
  <c r="JV248" i="4"/>
  <c r="JV249" i="4" s="1"/>
  <c r="JV247" i="4"/>
  <c r="JP259" i="4"/>
  <c r="EF259" i="4"/>
  <c r="JL268" i="4"/>
  <c r="EB260" i="4"/>
  <c r="JM266" i="4"/>
  <c r="JM265" i="4"/>
  <c r="JY229" i="4"/>
  <c r="JY231" i="4" s="1"/>
  <c r="JQ257" i="4"/>
  <c r="JQ262" i="4"/>
  <c r="JQ256" i="4"/>
  <c r="EY256" i="4" s="1"/>
  <c r="JQ255" i="4"/>
  <c r="JR251" i="4" s="1"/>
  <c r="JM264" i="4"/>
  <c r="JN260" i="4" s="1"/>
  <c r="JX237" i="4"/>
  <c r="JX238" i="4"/>
  <c r="JQ258" i="4" l="1"/>
  <c r="JM267" i="4"/>
  <c r="JL270" i="4"/>
  <c r="EB264" i="4" s="1"/>
  <c r="JL269" i="4"/>
  <c r="JW246" i="4"/>
  <c r="JX242" i="4" s="1"/>
  <c r="JW248" i="4"/>
  <c r="JW249" i="4" s="1"/>
  <c r="JW247" i="4"/>
  <c r="JW253" i="4"/>
  <c r="JR252" i="4"/>
  <c r="JR254" i="4" s="1"/>
  <c r="JY234" i="4"/>
  <c r="JY235" i="4" s="1"/>
  <c r="JY236" i="4" s="1"/>
  <c r="JY233" i="4"/>
  <c r="JX239" i="4"/>
  <c r="JN261" i="4"/>
  <c r="JN263" i="4" s="1"/>
  <c r="JY232" i="4"/>
  <c r="JZ228" i="4" s="1"/>
  <c r="JX243" i="4" l="1"/>
  <c r="JX245" i="4" s="1"/>
  <c r="EB265" i="4"/>
  <c r="EB270" i="4" s="1"/>
  <c r="JL271" i="4"/>
  <c r="EB261" i="4" s="1"/>
  <c r="EB269" i="4"/>
  <c r="JM268" i="4"/>
  <c r="EC260" i="4"/>
  <c r="JQ259" i="4"/>
  <c r="EG259" i="4"/>
  <c r="JN266" i="4"/>
  <c r="JN265" i="4"/>
  <c r="JN264" i="4"/>
  <c r="JO260" i="4" s="1"/>
  <c r="JR257" i="4"/>
  <c r="JR258" i="4" s="1"/>
  <c r="JR259" i="4" s="1"/>
  <c r="JR262" i="4"/>
  <c r="JR256" i="4"/>
  <c r="JR255" i="4"/>
  <c r="JS251" i="4" s="1"/>
  <c r="JZ229" i="4"/>
  <c r="JZ231" i="4" s="1"/>
  <c r="JZ232" i="4" s="1"/>
  <c r="KA228" i="4" s="1"/>
  <c r="JY237" i="4"/>
  <c r="JY238" i="4"/>
  <c r="EB271" i="4" l="1"/>
  <c r="JX246" i="4"/>
  <c r="JY242" i="4" s="1"/>
  <c r="JY243" i="4" s="1"/>
  <c r="JY245" i="4" s="1"/>
  <c r="JY246" i="4" s="1"/>
  <c r="JZ242" i="4" s="1"/>
  <c r="EB266" i="4"/>
  <c r="JN267" i="4"/>
  <c r="JM270" i="4"/>
  <c r="EC264" i="4" s="1"/>
  <c r="JM269" i="4"/>
  <c r="JX247" i="4"/>
  <c r="JX248" i="4"/>
  <c r="JX249" i="4" s="1"/>
  <c r="JX253" i="4"/>
  <c r="KA229" i="4"/>
  <c r="KA231" i="4" s="1"/>
  <c r="JS252" i="4"/>
  <c r="JS254" i="4" s="1"/>
  <c r="JY239" i="4"/>
  <c r="JZ234" i="4"/>
  <c r="JZ235" i="4" s="1"/>
  <c r="JZ236" i="4" s="1"/>
  <c r="JZ233" i="4"/>
  <c r="JO261" i="4"/>
  <c r="JO263" i="4" s="1"/>
  <c r="JZ243" i="4" l="1"/>
  <c r="JZ245" i="4" s="1"/>
  <c r="JZ246" i="4" s="1"/>
  <c r="KA242" i="4" s="1"/>
  <c r="JY247" i="4"/>
  <c r="JY248" i="4"/>
  <c r="JY249" i="4" s="1"/>
  <c r="JY253" i="4"/>
  <c r="EC265" i="4"/>
  <c r="EC270" i="4" s="1"/>
  <c r="JM271" i="4"/>
  <c r="EC261" i="4" s="1"/>
  <c r="EC269" i="4"/>
  <c r="JN268" i="4"/>
  <c r="ED260" i="4"/>
  <c r="JS257" i="4"/>
  <c r="JS258" i="4" s="1"/>
  <c r="JS259" i="4" s="1"/>
  <c r="JS262" i="4"/>
  <c r="JS256" i="4"/>
  <c r="JO266" i="4"/>
  <c r="JO265" i="4"/>
  <c r="JO264" i="4"/>
  <c r="JP260" i="4" s="1"/>
  <c r="KA234" i="4"/>
  <c r="KA235" i="4" s="1"/>
  <c r="KA236" i="4" s="1"/>
  <c r="KA233" i="4"/>
  <c r="JZ238" i="4"/>
  <c r="JZ237" i="4"/>
  <c r="JS255" i="4"/>
  <c r="JT251" i="4" s="1"/>
  <c r="KA232" i="4"/>
  <c r="KB228" i="4" s="1"/>
  <c r="EC271" i="4" l="1"/>
  <c r="EC266" i="4"/>
  <c r="JO267" i="4"/>
  <c r="JN269" i="4"/>
  <c r="JN270" i="4"/>
  <c r="ED264" i="4" s="1"/>
  <c r="KA243" i="4"/>
  <c r="KA245" i="4" s="1"/>
  <c r="KA246" i="4" s="1"/>
  <c r="KB242" i="4" s="1"/>
  <c r="KB243" i="4" s="1"/>
  <c r="KB245" i="4" s="1"/>
  <c r="JZ253" i="4"/>
  <c r="JZ247" i="4"/>
  <c r="JZ248" i="4"/>
  <c r="JZ249" i="4" s="1"/>
  <c r="JZ239" i="4"/>
  <c r="JT252" i="4"/>
  <c r="KA237" i="4"/>
  <c r="KA238" i="4"/>
  <c r="KB229" i="4"/>
  <c r="KB231" i="4" s="1"/>
  <c r="JP261" i="4"/>
  <c r="JP263" i="4" s="1"/>
  <c r="KB246" i="4" l="1"/>
  <c r="KC242" i="4" s="1"/>
  <c r="KB248" i="4"/>
  <c r="KB249" i="4" s="1"/>
  <c r="KB247" i="4"/>
  <c r="KB253" i="4"/>
  <c r="KA248" i="4"/>
  <c r="KA249" i="4" s="1"/>
  <c r="KA253" i="4"/>
  <c r="KA247" i="4"/>
  <c r="ED269" i="4"/>
  <c r="ED265" i="4"/>
  <c r="ED270" i="4" s="1"/>
  <c r="JN271" i="4"/>
  <c r="ED261" i="4" s="1"/>
  <c r="JO268" i="4"/>
  <c r="EE260" i="4"/>
  <c r="JP264" i="4"/>
  <c r="JQ260" i="4" s="1"/>
  <c r="JQ261" i="4" s="1"/>
  <c r="JQ263" i="4" s="1"/>
  <c r="KB234" i="4"/>
  <c r="KB235" i="4" s="1"/>
  <c r="KB236" i="4" s="1"/>
  <c r="KB233" i="4"/>
  <c r="JP266" i="4"/>
  <c r="JP265" i="4"/>
  <c r="KB232" i="4"/>
  <c r="KC228" i="4" s="1"/>
  <c r="KA239" i="4"/>
  <c r="JT254" i="4"/>
  <c r="JT255" i="4" s="1"/>
  <c r="JU251" i="4" s="1"/>
  <c r="JP267" i="4" l="1"/>
  <c r="ED271" i="4"/>
  <c r="KC243" i="4"/>
  <c r="KC245" i="4" s="1"/>
  <c r="KC246" i="4" s="1"/>
  <c r="JO269" i="4"/>
  <c r="JO270" i="4"/>
  <c r="EE264" i="4" s="1"/>
  <c r="ED266" i="4"/>
  <c r="JU252" i="4"/>
  <c r="JU254" i="4" s="1"/>
  <c r="JQ266" i="4"/>
  <c r="JQ265" i="4"/>
  <c r="EY265" i="4" s="1"/>
  <c r="JT257" i="4"/>
  <c r="JT258" i="4" s="1"/>
  <c r="JT259" i="4" s="1"/>
  <c r="JT262" i="4"/>
  <c r="JT256" i="4"/>
  <c r="KC229" i="4"/>
  <c r="KC231" i="4" s="1"/>
  <c r="KB237" i="4"/>
  <c r="KB238" i="4"/>
  <c r="JQ264" i="4"/>
  <c r="JR260" i="4" s="1"/>
  <c r="JQ267" i="4" l="1"/>
  <c r="EE269" i="4"/>
  <c r="EE265" i="4"/>
  <c r="EE270" i="4" s="1"/>
  <c r="JO271" i="4"/>
  <c r="EE261" i="4" s="1"/>
  <c r="KC253" i="4"/>
  <c r="KC247" i="4"/>
  <c r="KC248" i="4"/>
  <c r="KC249" i="4" s="1"/>
  <c r="JP268" i="4"/>
  <c r="EF260" i="4"/>
  <c r="JU257" i="4"/>
  <c r="JU258" i="4" s="1"/>
  <c r="JU259" i="4" s="1"/>
  <c r="JU262" i="4"/>
  <c r="JU256" i="4"/>
  <c r="KC234" i="4"/>
  <c r="KC235" i="4" s="1"/>
  <c r="KC236" i="4" s="1"/>
  <c r="KC233" i="4"/>
  <c r="JR261" i="4"/>
  <c r="JR263" i="4" s="1"/>
  <c r="KB239" i="4"/>
  <c r="KC232" i="4"/>
  <c r="JU255" i="4"/>
  <c r="JV251" i="4" s="1"/>
  <c r="EE271" i="4" l="1"/>
  <c r="EE266" i="4"/>
  <c r="JP269" i="4"/>
  <c r="JP270" i="4"/>
  <c r="EF264" i="4" s="1"/>
  <c r="JQ268" i="4"/>
  <c r="EG260" i="4"/>
  <c r="JR266" i="4"/>
  <c r="JR267" i="4" s="1"/>
  <c r="JR268" i="4" s="1"/>
  <c r="JR265" i="4"/>
  <c r="JV252" i="4"/>
  <c r="JV254" i="4" s="1"/>
  <c r="JR264" i="4"/>
  <c r="JS260" i="4" s="1"/>
  <c r="KC237" i="4"/>
  <c r="KC238" i="4"/>
  <c r="JQ269" i="4" l="1"/>
  <c r="JQ270" i="4"/>
  <c r="EG264" i="4" s="1"/>
  <c r="EF269" i="4"/>
  <c r="EF265" i="4"/>
  <c r="EF270" i="4" s="1"/>
  <c r="JP271" i="4"/>
  <c r="EF261" i="4" s="1"/>
  <c r="KC239" i="4"/>
  <c r="JV257" i="4"/>
  <c r="JV258" i="4" s="1"/>
  <c r="JV259" i="4" s="1"/>
  <c r="JV262" i="4"/>
  <c r="JV256" i="4"/>
  <c r="JS261" i="4"/>
  <c r="JS263" i="4" s="1"/>
  <c r="JV255" i="4"/>
  <c r="JW251" i="4" s="1"/>
  <c r="JR270" i="4"/>
  <c r="JR269" i="4"/>
  <c r="EF271" i="4" l="1"/>
  <c r="EF266" i="4"/>
  <c r="EG269" i="4"/>
  <c r="I264" i="4"/>
  <c r="EG265" i="4"/>
  <c r="JQ271" i="4"/>
  <c r="EG261" i="4" s="1"/>
  <c r="JR271" i="4"/>
  <c r="JS266" i="4"/>
  <c r="JS267" i="4" s="1"/>
  <c r="JS268" i="4" s="1"/>
  <c r="JS265" i="4"/>
  <c r="JS264" i="4"/>
  <c r="JT260" i="4" s="1"/>
  <c r="JW252" i="4"/>
  <c r="JW254" i="4" s="1"/>
  <c r="EG270" i="4" l="1"/>
  <c r="EG271" i="4" s="1"/>
  <c r="G271" i="4" s="1"/>
  <c r="I265" i="4"/>
  <c r="I269" i="4"/>
  <c r="G269" i="4"/>
  <c r="F269" i="4"/>
  <c r="H264" i="4"/>
  <c r="EG266" i="4"/>
  <c r="JW257" i="4"/>
  <c r="JW258" i="4" s="1"/>
  <c r="JW259" i="4" s="1"/>
  <c r="JW262" i="4"/>
  <c r="JW256" i="4"/>
  <c r="JW255" i="4"/>
  <c r="JX251" i="4" s="1"/>
  <c r="JT261" i="4"/>
  <c r="JT263" i="4" s="1"/>
  <c r="JS269" i="4"/>
  <c r="JS270" i="4"/>
  <c r="H269" i="4" l="1"/>
  <c r="I266" i="4"/>
  <c r="H265" i="4"/>
  <c r="F270" i="4"/>
  <c r="I270" i="4"/>
  <c r="H270" i="4" s="1"/>
  <c r="G270" i="4"/>
  <c r="JS271" i="4"/>
  <c r="JT264" i="4"/>
  <c r="JU260" i="4" s="1"/>
  <c r="JU261" i="4" s="1"/>
  <c r="JU263" i="4" s="1"/>
  <c r="JT266" i="4"/>
  <c r="JT267" i="4" s="1"/>
  <c r="JT268" i="4" s="1"/>
  <c r="JT265" i="4"/>
  <c r="JX252" i="4"/>
  <c r="JX254" i="4" s="1"/>
  <c r="F271" i="4" l="1"/>
  <c r="H266" i="4"/>
  <c r="I271" i="4"/>
  <c r="H271" i="4" s="1"/>
  <c r="JX257" i="4"/>
  <c r="JX258" i="4" s="1"/>
  <c r="JX259" i="4" s="1"/>
  <c r="JX262" i="4"/>
  <c r="JX256" i="4"/>
  <c r="JU266" i="4"/>
  <c r="JU267" i="4" s="1"/>
  <c r="JU268" i="4" s="1"/>
  <c r="JU265" i="4"/>
  <c r="JX255" i="4"/>
  <c r="JY251" i="4" s="1"/>
  <c r="JT269" i="4"/>
  <c r="JT270" i="4"/>
  <c r="JU264" i="4"/>
  <c r="JV260" i="4" s="1"/>
  <c r="JT271" i="4" l="1"/>
  <c r="JY252" i="4"/>
  <c r="JV261" i="4"/>
  <c r="JV263" i="4" s="1"/>
  <c r="JU269" i="4"/>
  <c r="JU270" i="4"/>
  <c r="JU271" i="4" l="1"/>
  <c r="JV264" i="4"/>
  <c r="JW260" i="4" s="1"/>
  <c r="JW261" i="4" s="1"/>
  <c r="JW263" i="4" s="1"/>
  <c r="JV266" i="4"/>
  <c r="JV267" i="4" s="1"/>
  <c r="JV268" i="4" s="1"/>
  <c r="JV265" i="4"/>
  <c r="JY254" i="4"/>
  <c r="JW266" i="4" l="1"/>
  <c r="JW267" i="4" s="1"/>
  <c r="JW268" i="4" s="1"/>
  <c r="JW265" i="4"/>
  <c r="JY257" i="4"/>
  <c r="JY258" i="4" s="1"/>
  <c r="JY259" i="4" s="1"/>
  <c r="JY262" i="4"/>
  <c r="JY256" i="4"/>
  <c r="JV270" i="4"/>
  <c r="JV269" i="4"/>
  <c r="JY255" i="4"/>
  <c r="JZ251" i="4" s="1"/>
  <c r="JW264" i="4"/>
  <c r="JX260" i="4" s="1"/>
  <c r="JV271" i="4" l="1"/>
  <c r="JZ252" i="4"/>
  <c r="JZ254" i="4" s="1"/>
  <c r="JX261" i="4"/>
  <c r="JX263" i="4" s="1"/>
  <c r="JW270" i="4"/>
  <c r="JW269" i="4"/>
  <c r="JW271" i="4" l="1"/>
  <c r="JZ257" i="4"/>
  <c r="JZ258" i="4" s="1"/>
  <c r="JZ259" i="4" s="1"/>
  <c r="JZ262" i="4"/>
  <c r="JZ256" i="4"/>
  <c r="JZ255" i="4"/>
  <c r="KA251" i="4" s="1"/>
  <c r="JX266" i="4"/>
  <c r="JX267" i="4" s="1"/>
  <c r="JX268" i="4" s="1"/>
  <c r="JX265" i="4"/>
  <c r="JX264" i="4"/>
  <c r="JY260" i="4" s="1"/>
  <c r="JY261" i="4" l="1"/>
  <c r="JY263" i="4" s="1"/>
  <c r="JX269" i="4"/>
  <c r="JX270" i="4"/>
  <c r="KA252" i="4"/>
  <c r="KA254" i="4" s="1"/>
  <c r="KA257" i="4" l="1"/>
  <c r="KA258" i="4" s="1"/>
  <c r="KA259" i="4" s="1"/>
  <c r="KA262" i="4"/>
  <c r="KA256" i="4"/>
  <c r="KA255" i="4"/>
  <c r="KB251" i="4" s="1"/>
  <c r="JY266" i="4"/>
  <c r="JY267" i="4" s="1"/>
  <c r="JY268" i="4" s="1"/>
  <c r="JY265" i="4"/>
  <c r="JY264" i="4"/>
  <c r="JZ260" i="4" s="1"/>
  <c r="JX271" i="4"/>
  <c r="JZ261" i="4" l="1"/>
  <c r="JZ263" i="4" s="1"/>
  <c r="JY270" i="4"/>
  <c r="JY269" i="4"/>
  <c r="KB252" i="4"/>
  <c r="KB254" i="4" s="1"/>
  <c r="JY271" i="4" l="1"/>
  <c r="KB257" i="4"/>
  <c r="KB258" i="4" s="1"/>
  <c r="KB259" i="4" s="1"/>
  <c r="KB262" i="4"/>
  <c r="KB256" i="4"/>
  <c r="KB255" i="4"/>
  <c r="KC251" i="4" s="1"/>
  <c r="JZ266" i="4"/>
  <c r="JZ267" i="4" s="1"/>
  <c r="JZ268" i="4" s="1"/>
  <c r="JZ265" i="4"/>
  <c r="JZ264" i="4"/>
  <c r="KA260" i="4" s="1"/>
  <c r="KC252" i="4" l="1"/>
  <c r="KC254" i="4" s="1"/>
  <c r="KA261" i="4"/>
  <c r="KA263" i="4" s="1"/>
  <c r="JZ269" i="4"/>
  <c r="JZ270" i="4"/>
  <c r="KC255" i="4" l="1"/>
  <c r="KA266" i="4"/>
  <c r="KA267" i="4" s="1"/>
  <c r="KA268" i="4" s="1"/>
  <c r="KA265" i="4"/>
  <c r="JZ271" i="4"/>
  <c r="KA264" i="4"/>
  <c r="KB260" i="4" s="1"/>
  <c r="KC257" i="4"/>
  <c r="KC258" i="4" s="1"/>
  <c r="KC259" i="4" s="1"/>
  <c r="KC262" i="4"/>
  <c r="KC256" i="4"/>
  <c r="KB261" i="4" l="1"/>
  <c r="KB263" i="4" s="1"/>
  <c r="KA270" i="4"/>
  <c r="KA269" i="4"/>
  <c r="KA271" i="4" l="1"/>
  <c r="KB264" i="4"/>
  <c r="KC260" i="4" s="1"/>
  <c r="KC261" i="4" s="1"/>
  <c r="KC263" i="4" s="1"/>
  <c r="KB266" i="4"/>
  <c r="KB267" i="4" s="1"/>
  <c r="KB268" i="4" s="1"/>
  <c r="KB265" i="4"/>
  <c r="KB270" i="4" l="1"/>
  <c r="KB269" i="4"/>
  <c r="KC266" i="4"/>
  <c r="KC267" i="4" s="1"/>
  <c r="KC268" i="4" s="1"/>
  <c r="KC265" i="4"/>
  <c r="KC264" i="4"/>
  <c r="KB271" i="4" l="1"/>
  <c r="KC269" i="4"/>
  <c r="KC270" i="4"/>
  <c r="KC271" i="4" l="1"/>
</calcChain>
</file>

<file path=xl/sharedStrings.xml><?xml version="1.0" encoding="utf-8"?>
<sst xmlns="http://schemas.openxmlformats.org/spreadsheetml/2006/main" count="1294" uniqueCount="923">
  <si>
    <t>INVESTMENT DESCRIPTION</t>
  </si>
  <si>
    <t>OPERATING PERIOD CASH FLOWS</t>
  </si>
  <si>
    <t>Name</t>
  </si>
  <si>
    <t>REVERSION (SALE) CASH FLOWS</t>
  </si>
  <si>
    <t>Address</t>
  </si>
  <si>
    <t>City</t>
  </si>
  <si>
    <t>County</t>
  </si>
  <si>
    <t>State</t>
  </si>
  <si>
    <t>Zip Code</t>
  </si>
  <si>
    <t>Land Area</t>
  </si>
  <si>
    <t>Buildings</t>
  </si>
  <si>
    <t>Avg. # of Stories</t>
  </si>
  <si>
    <t>FAR</t>
  </si>
  <si>
    <t>Units</t>
  </si>
  <si>
    <t>Units/Acre</t>
  </si>
  <si>
    <t>Total Parking Spaces</t>
  </si>
  <si>
    <t>Structured Parking Spaces</t>
  </si>
  <si>
    <t>Parking Ratio</t>
  </si>
  <si>
    <t>Analysis Begin Date</t>
  </si>
  <si>
    <t>Sale Date</t>
  </si>
  <si>
    <t>START</t>
  </si>
  <si>
    <t>END</t>
  </si>
  <si>
    <t>AMOUNT</t>
  </si>
  <si>
    <t>METHOD</t>
  </si>
  <si>
    <t>Hard Costs</t>
  </si>
  <si>
    <t>Soft Costs</t>
  </si>
  <si>
    <t>Straight-Line</t>
  </si>
  <si>
    <t>S-Curve</t>
  </si>
  <si>
    <t>SOURCES AND USES</t>
  </si>
  <si>
    <t>USES</t>
  </si>
  <si>
    <t>Land Costs</t>
  </si>
  <si>
    <t>Closing Costs</t>
  </si>
  <si>
    <t>Total Land Costs</t>
  </si>
  <si>
    <t>Operating Shortfall</t>
  </si>
  <si>
    <t>Total Hard Costs</t>
  </si>
  <si>
    <t>Total Soft Costs</t>
  </si>
  <si>
    <t>Carry Costs</t>
  </si>
  <si>
    <t>Total Carry Costs</t>
  </si>
  <si>
    <t>/UNIT</t>
  </si>
  <si>
    <t>Construction Costs</t>
  </si>
  <si>
    <t>Architecture &amp; Engineering</t>
  </si>
  <si>
    <t>Marketing and Leasing</t>
  </si>
  <si>
    <t>BACKEND SETTINGS</t>
  </si>
  <si>
    <t>Example</t>
  </si>
  <si>
    <t>Amount</t>
  </si>
  <si>
    <t>Start</t>
  </si>
  <si>
    <t>End</t>
  </si>
  <si>
    <t>Mo</t>
  </si>
  <si>
    <t>Type</t>
  </si>
  <si>
    <t>Std</t>
  </si>
  <si>
    <t>1 (Flat)</t>
  </si>
  <si>
    <t>S-CURVE CALCULATION</t>
  </si>
  <si>
    <t>Start Period</t>
  </si>
  <si>
    <t>End Period</t>
  </si>
  <si>
    <t>Months</t>
  </si>
  <si>
    <t>Timing</t>
  </si>
  <si>
    <t>StDev</t>
  </si>
  <si>
    <t>S-Curve Steepness</t>
  </si>
  <si>
    <t>SOURCES</t>
  </si>
  <si>
    <t>Equity</t>
  </si>
  <si>
    <t>See Waterfall</t>
  </si>
  <si>
    <t>Total Sources</t>
  </si>
  <si>
    <t>% OF SOURCES</t>
  </si>
  <si>
    <t>ANNUAL RATE</t>
  </si>
  <si>
    <t>FUNDING ORDER</t>
  </si>
  <si>
    <t>Total Equity</t>
  </si>
  <si>
    <t>CASH FLOW BY SOURCE</t>
  </si>
  <si>
    <t>BALANCE TRACKING</t>
  </si>
  <si>
    <t>Total</t>
  </si>
  <si>
    <t>Debt w/o interest</t>
  </si>
  <si>
    <t>Debt interest reserve</t>
  </si>
  <si>
    <t>Error Check</t>
  </si>
  <si>
    <t>Total Development Costs (before Carry Costs)</t>
  </si>
  <si>
    <t>Total Cash Flow by Source</t>
  </si>
  <si>
    <t>Debt Interest Reserve</t>
  </si>
  <si>
    <t>Gross Construction Interest</t>
  </si>
  <si>
    <t>LTC</t>
  </si>
  <si>
    <t>Debt with Operating Shortfall</t>
  </si>
  <si>
    <t>Debt Operating Shortfall Reserve</t>
  </si>
  <si>
    <t>Available</t>
  </si>
  <si>
    <t>Outstanding</t>
  </si>
  <si>
    <t>Total Uses</t>
  </si>
  <si>
    <t>Interest Reserve</t>
  </si>
  <si>
    <t>Operating Shortfall Reserve</t>
  </si>
  <si>
    <t>CASH FLOW OF SOURCES</t>
  </si>
  <si>
    <t>SOURCES AND USES CALCULATIONS</t>
  </si>
  <si>
    <t>Lease-up</t>
  </si>
  <si>
    <t>Operation Begin Month</t>
  </si>
  <si>
    <t>% Pre-Leased</t>
  </si>
  <si>
    <t>Lease-up Pace (Units/Mo)</t>
  </si>
  <si>
    <t>Leased %</t>
  </si>
  <si>
    <t>Operation Month</t>
  </si>
  <si>
    <t>LEASE-UP CALCULATION</t>
  </si>
  <si>
    <t>Available Units</t>
  </si>
  <si>
    <t>New Leasing</t>
  </si>
  <si>
    <t>% Prelease</t>
  </si>
  <si>
    <t>Operation Year</t>
  </si>
  <si>
    <t>Gross Rent</t>
  </si>
  <si>
    <t>INCOME</t>
  </si>
  <si>
    <t>CONCESSIONS CALCULATION</t>
  </si>
  <si>
    <t>Stabilized</t>
  </si>
  <si>
    <t>Stabilized Month</t>
  </si>
  <si>
    <t>LOSS-TO-LEASE CALCULATION</t>
  </si>
  <si>
    <t>Offset Operation Month</t>
  </si>
  <si>
    <t>Offset Year</t>
  </si>
  <si>
    <t>Month in Offset Year</t>
  </si>
  <si>
    <t>Percentage of Annual Increase to Model</t>
  </si>
  <si>
    <t>Cum. Spent %</t>
  </si>
  <si>
    <t>- Concessions (Free Rent)</t>
  </si>
  <si>
    <t>- Gain/Loss-to-Lease</t>
  </si>
  <si>
    <t>- Non-Revenue (Model) Units</t>
  </si>
  <si>
    <t>Lease Contract Length</t>
  </si>
  <si>
    <t>RUBS</t>
  </si>
  <si>
    <t>OTHER INCOME</t>
  </si>
  <si>
    <t>RENTAL INCOME</t>
  </si>
  <si>
    <t>Other Income</t>
  </si>
  <si>
    <t>TOTAL OTHER INCOME</t>
  </si>
  <si>
    <t>UNITS</t>
  </si>
  <si>
    <t>TOTAL RENT/YR</t>
  </si>
  <si>
    <t>AMOUNT/YR</t>
  </si>
  <si>
    <t>UNIT/YR</t>
  </si>
  <si>
    <t>INITIAL FREE RENT</t>
  </si>
  <si>
    <t>STAB. FREE RENT</t>
  </si>
  <si>
    <t>TOTAL POTENTIAL INCOME</t>
  </si>
  <si>
    <t>GROSS RENT</t>
  </si>
  <si>
    <t>OPERATING EXPENSES</t>
  </si>
  <si>
    <t>Repairs and Maintenance</t>
  </si>
  <si>
    <t>Payroll</t>
  </si>
  <si>
    <t>Marketing</t>
  </si>
  <si>
    <t>Utilities</t>
  </si>
  <si>
    <t>Contract Services</t>
  </si>
  <si>
    <t>Make Ready Cost</t>
  </si>
  <si>
    <t>Management Fee</t>
  </si>
  <si>
    <t>Insurance</t>
  </si>
  <si>
    <t>Property Taxes</t>
  </si>
  <si>
    <t>TOTAL OPERATING EXPENSES</t>
  </si>
  <si>
    <t>EFFECTIVE GROSS REVENUE</t>
  </si>
  <si>
    <t>RENT/UNIT/MO</t>
  </si>
  <si>
    <t>% OF TOTAL RENT</t>
  </si>
  <si>
    <t>% FIXED</t>
  </si>
  <si>
    <t>% OF EGR</t>
  </si>
  <si>
    <t>EXPENSES</t>
  </si>
  <si>
    <t>Economic Occ. %</t>
  </si>
  <si>
    <t>% Fixed</t>
  </si>
  <si>
    <t>Prop. Tax (Operation Yr 1) % of Full</t>
  </si>
  <si>
    <t>Prop. Tax (Operation Yr 2) % of Full</t>
  </si>
  <si>
    <t>Prop. Tax (Operation Yr 3) % of Full</t>
  </si>
  <si>
    <t>Fixed Only</t>
  </si>
  <si>
    <t>Per Schedule</t>
  </si>
  <si>
    <t>No Growth</t>
  </si>
  <si>
    <t>Mill Rate</t>
  </si>
  <si>
    <t>CAPITAL EXPENDITURES</t>
  </si>
  <si>
    <t>Other Capital Expenditures</t>
  </si>
  <si>
    <t>TOTAL CAPITAL EXPENDITURES</t>
  </si>
  <si>
    <t>NET OPERATING INCOME</t>
  </si>
  <si>
    <t>CASH FLOW FROM OPERATIONS</t>
  </si>
  <si>
    <t>NOI</t>
  </si>
  <si>
    <t>PRO FORMA</t>
  </si>
  <si>
    <t>1st Stabilized Month</t>
  </si>
  <si>
    <t>Sale Month</t>
  </si>
  <si>
    <t>TIMING</t>
  </si>
  <si>
    <t>REVERSION (SALE) ASSUMPTIONS</t>
  </si>
  <si>
    <t>Market Cap Rate Today</t>
  </si>
  <si>
    <t>Cap Rate at Sale (Terminal Cap)</t>
  </si>
  <si>
    <t>Selling Costs</t>
  </si>
  <si>
    <t>RETURNS</t>
  </si>
  <si>
    <t>TOTAL RENTAL INCOME</t>
  </si>
  <si>
    <t>UNTRENDED</t>
  </si>
  <si>
    <t>TRENDED</t>
  </si>
  <si>
    <t>SALE</t>
  </si>
  <si>
    <t>As of Today</t>
  </si>
  <si>
    <t>VALUATION</t>
  </si>
  <si>
    <t>SALE PROCEEDS</t>
  </si>
  <si>
    <t>Cap Rate</t>
  </si>
  <si>
    <t>Stabilized Value</t>
  </si>
  <si>
    <t>Total Project Cost (Before Carry Costs)</t>
  </si>
  <si>
    <t>Total Construction Loan Interest (Before Lease-up Income)</t>
  </si>
  <si>
    <t>Cash Flow from Operations</t>
  </si>
  <si>
    <t>Net Unlevered Cash Flow</t>
  </si>
  <si>
    <t>Net Levered Cash Flow</t>
  </si>
  <si>
    <t>IRR</t>
  </si>
  <si>
    <t>Equity Proceeds from Sale</t>
  </si>
  <si>
    <t>Net Sale Proceeds</t>
  </si>
  <si>
    <t>Net Profit</t>
  </si>
  <si>
    <t>PROPERTY-LEVEL CASH FLOWS</t>
  </si>
  <si>
    <t>PARTNERSHIP-LEVEL CASH FLOWS</t>
  </si>
  <si>
    <t>Financing Fees</t>
  </si>
  <si>
    <t>First Loan Draw</t>
  </si>
  <si>
    <t>Capitalized Construction Interest</t>
  </si>
  <si>
    <t>GP</t>
  </si>
  <si>
    <t>LP</t>
  </si>
  <si>
    <t>Share</t>
  </si>
  <si>
    <t>GP-LP CONTRIBUTIONS</t>
  </si>
  <si>
    <t># of Land Cost Items</t>
  </si>
  <si>
    <t># of Hard Cost Items</t>
  </si>
  <si>
    <t># of Soft Cost Items</t>
  </si>
  <si>
    <t># of Unit Types</t>
  </si>
  <si>
    <t># of Other Income Items</t>
  </si>
  <si>
    <t>EXPENSES - DETAILED UNDERWRITING</t>
  </si>
  <si>
    <t>Detailed</t>
  </si>
  <si>
    <t>Basic</t>
  </si>
  <si>
    <t>CONTROLLABLE EXPENSES</t>
  </si>
  <si>
    <t>Business manager</t>
  </si>
  <si>
    <t>Assistant manager</t>
  </si>
  <si>
    <t>Leasing director</t>
  </si>
  <si>
    <t>Leasing agent</t>
  </si>
  <si>
    <t>Concierge</t>
  </si>
  <si>
    <t>Maintenance supervisor</t>
  </si>
  <si>
    <t>Asst. maint. Technician</t>
  </si>
  <si>
    <t>Painter</t>
  </si>
  <si>
    <t>Porter</t>
  </si>
  <si>
    <t>Housekeeper</t>
  </si>
  <si>
    <t>Other</t>
  </si>
  <si>
    <t>Sub-total</t>
  </si>
  <si>
    <t>Benefits, taxes, etc.</t>
  </si>
  <si>
    <t>Bonuses</t>
  </si>
  <si>
    <t>Qty</t>
  </si>
  <si>
    <t>Salary</t>
  </si>
  <si>
    <t>$</t>
  </si>
  <si>
    <t>Per Unit</t>
  </si>
  <si>
    <t>General maintenance</t>
  </si>
  <si>
    <t>Maintenance supplies</t>
  </si>
  <si>
    <t>Elevators</t>
  </si>
  <si>
    <t>Furniture</t>
  </si>
  <si>
    <t>General cleaning</t>
  </si>
  <si>
    <t>Cleaning supplies</t>
  </si>
  <si>
    <t>General repair</t>
  </si>
  <si>
    <t>Painting</t>
  </si>
  <si>
    <t>Landscaping</t>
  </si>
  <si>
    <t>Landscaping maintenance</t>
  </si>
  <si>
    <t>Landscaping materials</t>
  </si>
  <si>
    <t>Pool maintenance</t>
  </si>
  <si>
    <t>Exterminating</t>
  </si>
  <si>
    <t>R&amp;M General</t>
  </si>
  <si>
    <t>R &amp; M-Apartments</t>
  </si>
  <si>
    <t>Office supplies</t>
  </si>
  <si>
    <t>Telephone</t>
  </si>
  <si>
    <t>Computers</t>
  </si>
  <si>
    <t>Office equipment</t>
  </si>
  <si>
    <t>Permits &amp; inspection</t>
  </si>
  <si>
    <t>Uniforms</t>
  </si>
  <si>
    <t>Travel</t>
  </si>
  <si>
    <t>Professional fees</t>
  </si>
  <si>
    <t>Employee training</t>
  </si>
  <si>
    <t>HOA Dues</t>
  </si>
  <si>
    <t>General &amp; Administrative</t>
  </si>
  <si>
    <t xml:space="preserve">Promotion / Common area programming </t>
  </si>
  <si>
    <t>Web site, etc.</t>
  </si>
  <si>
    <t>Apartment locator fees</t>
  </si>
  <si>
    <t>Brochures</t>
  </si>
  <si>
    <t>Media</t>
  </si>
  <si>
    <t>Electricity-common areas</t>
  </si>
  <si>
    <t>Electricity-vacant apartments</t>
  </si>
  <si>
    <t>Electricity-models</t>
  </si>
  <si>
    <t>Electricity-recovery</t>
  </si>
  <si>
    <t>Water and sewer-house</t>
  </si>
  <si>
    <t>Water and sewer-apartments</t>
  </si>
  <si>
    <t>Water and sewer-recovery</t>
  </si>
  <si>
    <t>Natural gas</t>
  </si>
  <si>
    <t>Natural gas recovery</t>
  </si>
  <si>
    <t>Trash removal</t>
  </si>
  <si>
    <t>Trash removal recovery</t>
  </si>
  <si>
    <t>Elevator Service</t>
  </si>
  <si>
    <t>Alarm Monitoring</t>
  </si>
  <si>
    <t>HOA Management</t>
  </si>
  <si>
    <t>Snow Removal Service</t>
  </si>
  <si>
    <t>Turnover Assumption</t>
  </si>
  <si>
    <t>FIXED EXPENSES</t>
  </si>
  <si>
    <t>Management Fee Percentage</t>
  </si>
  <si>
    <t>(See Underwriting Tab)</t>
  </si>
  <si>
    <t>Total Controllable Expenses</t>
  </si>
  <si>
    <t>Liability</t>
  </si>
  <si>
    <t>Personal property</t>
  </si>
  <si>
    <t>Prop &amp; casualty</t>
  </si>
  <si>
    <t>School District</t>
  </si>
  <si>
    <t>Rate</t>
  </si>
  <si>
    <t>Value</t>
  </si>
  <si>
    <t>Value Adj.</t>
  </si>
  <si>
    <t>Total Fixed Expenses</t>
  </si>
  <si>
    <t>Total Operating Expense</t>
  </si>
  <si>
    <t>Levered IRR</t>
  </si>
  <si>
    <t>Development Spread</t>
  </si>
  <si>
    <t>Yield-on-Cost</t>
  </si>
  <si>
    <t>Market Cap Rate</t>
  </si>
  <si>
    <t>Levered EMx:</t>
  </si>
  <si>
    <t>Expense Ratio:</t>
  </si>
  <si>
    <t>Untrended Value:</t>
  </si>
  <si>
    <t>Development Spread (Untrended)</t>
  </si>
  <si>
    <t>No Retail</t>
  </si>
  <si>
    <t>Incl. Retail</t>
  </si>
  <si>
    <t>Retail Leasing Cost Reserves</t>
  </si>
  <si>
    <t>RETAIL INCOME (Net of Expenses)</t>
  </si>
  <si>
    <t>RETAIL INCOME (NET OF EXPENSES)</t>
  </si>
  <si>
    <t>RETAIL INCOME</t>
  </si>
  <si>
    <t>RETAIL EXPENSES</t>
  </si>
  <si>
    <t>UNIT TYPE</t>
  </si>
  <si>
    <t>SUITE</t>
  </si>
  <si>
    <t>LEASE START</t>
  </si>
  <si>
    <t>RENT START</t>
  </si>
  <si>
    <t>ANNUAL BUMPS</t>
  </si>
  <si>
    <t>RECOVERY %</t>
  </si>
  <si>
    <t>ANNUAL RENT (YR 1)</t>
  </si>
  <si>
    <t>TENANT</t>
  </si>
  <si>
    <t>Yummy Juice</t>
  </si>
  <si>
    <t>JoJo's Café</t>
  </si>
  <si>
    <t>SF</t>
  </si>
  <si>
    <t>RETAIL OPERATING EXPENSES</t>
  </si>
  <si>
    <t>Common Area Maintenance</t>
  </si>
  <si>
    <t>RECOVERY INCOME</t>
  </si>
  <si>
    <t>PRO RATA SHARE</t>
  </si>
  <si>
    <t>RECOVERY START</t>
  </si>
  <si>
    <t>RETAIL BASE RENTAL INCOME</t>
  </si>
  <si>
    <t>Retail Occ. %</t>
  </si>
  <si>
    <t>Expense Growth</t>
  </si>
  <si>
    <t>Operation Mo</t>
  </si>
  <si>
    <t>OCCUPANCY</t>
  </si>
  <si>
    <t>POTENTIAL RETAIL INCOME</t>
  </si>
  <si>
    <t>- Retail Vacancy and Credit Loss</t>
  </si>
  <si>
    <t>RETAIL LEASING COST RESERVE</t>
  </si>
  <si>
    <t>New Lease</t>
  </si>
  <si>
    <t>Renewal Lease</t>
  </si>
  <si>
    <t>Tenant Improvements</t>
  </si>
  <si>
    <t>Leasing Commissions</t>
  </si>
  <si>
    <t>Lease Term</t>
  </si>
  <si>
    <t>Renewal Probability</t>
  </si>
  <si>
    <t>Average Retail Market Rent</t>
  </si>
  <si>
    <t>ASSUMPTIONS</t>
  </si>
  <si>
    <t>CALCULATION</t>
  </si>
  <si>
    <t>Total Leasing Costs</t>
  </si>
  <si>
    <t>Leasing Cost/Yr</t>
  </si>
  <si>
    <t>Dbl. Promote</t>
  </si>
  <si>
    <t>Sgl. Promote</t>
  </si>
  <si>
    <t>GP-LP DISTRIBUTIONS</t>
  </si>
  <si>
    <t>GP-LP NET CASH FLOW</t>
  </si>
  <si>
    <t>2nd Tier</t>
  </si>
  <si>
    <t>3rd Tier</t>
  </si>
  <si>
    <t>4th Tier</t>
  </si>
  <si>
    <t>IRR Hurdle</t>
  </si>
  <si>
    <t>up to</t>
  </si>
  <si>
    <t>above</t>
  </si>
  <si>
    <t>Pref. Return</t>
  </si>
  <si>
    <t>DISTRIBUTION WATERFALL</t>
  </si>
  <si>
    <t>DISTRIBUTIONS TO GP AND LP</t>
  </si>
  <si>
    <t>Beginning Balance (LP Capital Account)</t>
  </si>
  <si>
    <t>Contributions from LP</t>
  </si>
  <si>
    <t>Distributions to LP (Hurdle 1)</t>
  </si>
  <si>
    <t>Ending Balance (LP Capital Account)</t>
  </si>
  <si>
    <t>Distribution to LP</t>
  </si>
  <si>
    <t>Cash Flow Remaining</t>
  </si>
  <si>
    <t>HURDLE 1 DISTRIBUTION</t>
  </si>
  <si>
    <t>RETURN OF CAPITAL &amp;</t>
  </si>
  <si>
    <t>Hurdle</t>
  </si>
  <si>
    <t>Req'd Return by LP (Pref)</t>
  </si>
  <si>
    <t>Total Distributions (Hurdle 1)</t>
  </si>
  <si>
    <t>IRR Check</t>
  </si>
  <si>
    <t>HURDLE 2 DISTRIBUTION</t>
  </si>
  <si>
    <t>Include Dev. Fee?</t>
  </si>
  <si>
    <t>Prior Distributions</t>
  </si>
  <si>
    <t>Total Distributions (Hurdle 2)</t>
  </si>
  <si>
    <t>Distributions to LP (Hurdle 2)</t>
  </si>
  <si>
    <t>HURDLE 3 DISTRIBUTION</t>
  </si>
  <si>
    <t>Total Distributions (Hurdle 4)</t>
  </si>
  <si>
    <t>HURDLE 4 DISTRIBUTION</t>
  </si>
  <si>
    <t>Distributions to LP (Hurdle 3)</t>
  </si>
  <si>
    <t>Total Distributions (Hurdle 3)</t>
  </si>
  <si>
    <t xml:space="preserve">EMx </t>
  </si>
  <si>
    <t>CO-GP CONTRIBUTIONS</t>
  </si>
  <si>
    <t>GP 1</t>
  </si>
  <si>
    <t>GP 2</t>
  </si>
  <si>
    <t>[General Partner 1 Name]</t>
  </si>
  <si>
    <t>[General Partner 2 Name]</t>
  </si>
  <si>
    <t>DISTRIBUTIONS TO GP 1 AND GP 2</t>
  </si>
  <si>
    <t>Distribution to GP</t>
  </si>
  <si>
    <t>Distribution to GP 2</t>
  </si>
  <si>
    <t>Distribution to GP 1</t>
  </si>
  <si>
    <t>Beginning Balance (GP 2 Capital Account)</t>
  </si>
  <si>
    <t>Req'd Return by GP 2 (Pref)</t>
  </si>
  <si>
    <t>Contributions from GP 2</t>
  </si>
  <si>
    <t>Distributions to GP 2 (Hurdle 1)</t>
  </si>
  <si>
    <t>Ending Balance (GP 2 Capital Account)</t>
  </si>
  <si>
    <t>Distributions to GP 2 (Hurdle 2)</t>
  </si>
  <si>
    <t>Distributions to GP 2 (Hurdle 3)</t>
  </si>
  <si>
    <t>2ND WATERFALL (GP 1 AND GP 2)</t>
  </si>
  <si>
    <t>Share of Dev. Fee</t>
  </si>
  <si>
    <t>Share of Equity</t>
  </si>
  <si>
    <t>Equity Amount</t>
  </si>
  <si>
    <t>Net Levered GP Cash Flow (before Dev. Fee)</t>
  </si>
  <si>
    <t>PARTNERSHIP WATERFALL</t>
  </si>
  <si>
    <t>ROI</t>
  </si>
  <si>
    <t>RETURNS SUMMARY</t>
  </si>
  <si>
    <t>Contributions</t>
  </si>
  <si>
    <t>Show Calc</t>
  </si>
  <si>
    <t>Hide Calc</t>
  </si>
  <si>
    <t>SENSITIVITY ANALYSIS</t>
  </si>
  <si>
    <t>STRENGTHS</t>
  </si>
  <si>
    <t>WEAKNESSES</t>
  </si>
  <si>
    <t>Spent %</t>
  </si>
  <si>
    <t>Height</t>
  </si>
  <si>
    <t>Building(s)</t>
  </si>
  <si>
    <t>Parking Spaces</t>
  </si>
  <si>
    <t>Analysis Start</t>
  </si>
  <si>
    <t>Construction Start</t>
  </si>
  <si>
    <t>1st Unit Delivered</t>
  </si>
  <si>
    <t>Construction End</t>
  </si>
  <si>
    <t>Stabilization</t>
  </si>
  <si>
    <t>INSERT IMAGE/MAP</t>
  </si>
  <si>
    <t>PROPERTY-LEVEL CASH FLOW</t>
  </si>
  <si>
    <t>PARTNERSHIP RETURNS</t>
  </si>
  <si>
    <t>PROPERTY RETURNS</t>
  </si>
  <si>
    <t>Unlevered</t>
  </si>
  <si>
    <t>Levered</t>
  </si>
  <si>
    <t>DEVELOPMENT RETURNS</t>
  </si>
  <si>
    <t>%</t>
  </si>
  <si>
    <t>/Unit</t>
  </si>
  <si>
    <t>/Buildable SF</t>
  </si>
  <si>
    <t>Effective Gross Revenue</t>
  </si>
  <si>
    <t>- Operating Expenses</t>
  </si>
  <si>
    <t>Net Operating Income</t>
  </si>
  <si>
    <t>- Capital Expenditures</t>
  </si>
  <si>
    <t>Valuation</t>
  </si>
  <si>
    <t>Untrended</t>
  </si>
  <si>
    <t>Trended</t>
  </si>
  <si>
    <t>Sale</t>
  </si>
  <si>
    <t>KEY ASSUMPTIONS &amp; RETURN METRICS</t>
  </si>
  <si>
    <t>UNIT/MO</t>
  </si>
  <si>
    <t>Effective Rent - PSF / Per Unit</t>
  </si>
  <si>
    <t>General Vacancy &amp; Credit Loss</t>
  </si>
  <si>
    <t>Operating Expense Ratio</t>
  </si>
  <si>
    <t>Breakeven Occupancy (Untrended)</t>
  </si>
  <si>
    <t>Reversion Net Proceeds (After Selling Costs)</t>
  </si>
  <si>
    <t>% of Total Project Cost</t>
  </si>
  <si>
    <t>SENSITIVITY</t>
  </si>
  <si>
    <t>SENSITIVITY #1</t>
  </si>
  <si>
    <t>Exit Cap Rate</t>
  </si>
  <si>
    <t>SENSITIVITY #2</t>
  </si>
  <si>
    <t>Levered EMx</t>
  </si>
  <si>
    <t>Dev. Spread</t>
  </si>
  <si>
    <t>Vacancy</t>
  </si>
  <si>
    <t>Inc. Growth</t>
  </si>
  <si>
    <t>SENSITIVITY #3</t>
  </si>
  <si>
    <t>SENSITIVITY #4</t>
  </si>
  <si>
    <t>Base Case</t>
  </si>
  <si>
    <t>Downside #1</t>
  </si>
  <si>
    <t>Downside #2</t>
  </si>
  <si>
    <t>Downside #3</t>
  </si>
  <si>
    <t>Downside #4</t>
  </si>
  <si>
    <t>Downside #5</t>
  </si>
  <si>
    <t>Rental Income</t>
  </si>
  <si>
    <t>Operating Expenses</t>
  </si>
  <si>
    <t>Effective Gross Income</t>
  </si>
  <si>
    <t>Potential Gross Income</t>
  </si>
  <si>
    <t>Net Effective Rent</t>
  </si>
  <si>
    <t>Capital Expenditures</t>
  </si>
  <si>
    <t>[Item]</t>
  </si>
  <si>
    <t>[Unit Type]</t>
  </si>
  <si>
    <t>[Other Income Item]</t>
  </si>
  <si>
    <t>NET PROFIT</t>
  </si>
  <si>
    <t>RETAIL INCOME AND RESERVES</t>
  </si>
  <si>
    <t>DETAILED OPERATING EXPENSES</t>
  </si>
  <si>
    <t>Added "Detail" option to development cash flow modeling</t>
  </si>
  <si>
    <t>Added Growth Begin assumption for operating income and expenses</t>
  </si>
  <si>
    <t>Analysis Year</t>
  </si>
  <si>
    <t>Analysis Month</t>
  </si>
  <si>
    <t>Analysis Date</t>
  </si>
  <si>
    <t>Valuation/Unit</t>
  </si>
  <si>
    <t>Added Valuation/Unit metric to Summary tab</t>
  </si>
  <si>
    <t>beta v0.41</t>
  </si>
  <si>
    <t>Author: Spencer Burton</t>
  </si>
  <si>
    <t>Changelog</t>
  </si>
  <si>
    <t>Model Resources</t>
  </si>
  <si>
    <t>APARTMENT DEVELOPMENT MODEL - VERSION NOTES</t>
  </si>
  <si>
    <t>https://www.adventuresincre.com/</t>
  </si>
  <si>
    <t>Important Links:</t>
  </si>
  <si>
    <t>Compatibility</t>
  </si>
  <si>
    <t>Excel 2013</t>
  </si>
  <si>
    <t>Excel 2016</t>
  </si>
  <si>
    <t>Excel 365</t>
  </si>
  <si>
    <t>beta v0.42</t>
  </si>
  <si>
    <t>Total Project Cost before Financing</t>
  </si>
  <si>
    <t>Renamed Total Construction Cost to Total Project Cost on Underwriting tab</t>
  </si>
  <si>
    <t>Income Growth Month</t>
  </si>
  <si>
    <t>Expense Growth Month</t>
  </si>
  <si>
    <t>Income Growth Year</t>
  </si>
  <si>
    <t>Expense Growth Year</t>
  </si>
  <si>
    <t>Added Expense Growth Month and Expense Growth Year line item</t>
  </si>
  <si>
    <t>Corrected issue where Income/Expense Growth Year was mislabeled month, not year</t>
  </si>
  <si>
    <t>Added option to differentiate between Income growth begin and Expense growth begin month</t>
  </si>
  <si>
    <t>Surface Parking Spaces</t>
  </si>
  <si>
    <t>Development Fee</t>
  </si>
  <si>
    <t>Locked line for Development Fee under Soft Costs so that it flows to GP cash flows/returns (if applicable)</t>
  </si>
  <si>
    <t>Guides and Tutorials for Using the Model</t>
  </si>
  <si>
    <t>Browse our entire Library of Real Estate Models</t>
  </si>
  <si>
    <t>Visit this Model's Webpage</t>
  </si>
  <si>
    <t>beta v0.5</t>
  </si>
  <si>
    <t>Misc. formatting fixes</t>
  </si>
  <si>
    <t>Added Basic vs Detailed Lease Up Toggle in the 'Income' subsection of the 'Operating Period Cash Flows' section</t>
  </si>
  <si>
    <t>Coded two new macros - one to activate basic lease up underwriting, the other to activate detailed lease up underwriting</t>
  </si>
  <si>
    <t>Added logic such that the 'Leased %' row becomes an input (blue font cell) when detailed lease up activated</t>
  </si>
  <si>
    <t>Added logic such that when reverting from Detailed to Basic underwriting, Leased % formulas revert to default</t>
  </si>
  <si>
    <t>Built new Detailed Lease Up Module (see Row 73)</t>
  </si>
  <si>
    <t>Fixed issue on Detail Expenses tab where font for 'Turnover Assumption' input was black, rather than blue</t>
  </si>
  <si>
    <t>Added option to use Variable, rather than Fixed, construction loan interest rate (see 'Fixed/Variable toggle under 'Sources' - Underwriting tab)</t>
  </si>
  <si>
    <t>Includes new required input - variable interest rate by month - when Variable is toggled on</t>
  </si>
  <si>
    <t>Includes two new macros: Fixed_Rate and Variable_Rate</t>
  </si>
  <si>
    <t>Includes Fixed and Variable buttons under 'Sources' section of Underwriting tab</t>
  </si>
  <si>
    <t>beta v0.6</t>
  </si>
  <si>
    <t>Fixed</t>
  </si>
  <si>
    <t>Variable</t>
  </si>
  <si>
    <t>Construction Loan Interest Rate</t>
  </si>
  <si>
    <t>beta v0.7</t>
  </si>
  <si>
    <t>Misc. formatting fixes/improvements</t>
  </si>
  <si>
    <t>Show</t>
  </si>
  <si>
    <t>Hide</t>
  </si>
  <si>
    <t>Created toggle to hide/show Annual Cash Flow report (see right side of Summary tab - Property Level Cash Flow section)</t>
  </si>
  <si>
    <t>Cleaned up Misc. VBA code</t>
  </si>
  <si>
    <t>ANNUAL CASH FLOW</t>
  </si>
  <si>
    <t>- General Vacancy and Credit Loss</t>
  </si>
  <si>
    <t>MONTHLY OPERATING CASH FLOWS</t>
  </si>
  <si>
    <t>Retail Income (Net of Expenses)</t>
  </si>
  <si>
    <t>MONTHLY PROPERTY-LEVEL CASH FLOWS</t>
  </si>
  <si>
    <t>MONTHLY DEVELOPMENT CASH FLOWS</t>
  </si>
  <si>
    <t>TOTAL PROJECT COST BEFORE FINANCING</t>
  </si>
  <si>
    <t>TOTAL PROJECT COST</t>
  </si>
  <si>
    <t>ANNUAL DEVELOPMENT CASH FLOWS</t>
  </si>
  <si>
    <t>ANNUAL OPERATING CASH FLOWS</t>
  </si>
  <si>
    <t>ANNUAL PROPERTY-LEVEL CASH FLOWS</t>
  </si>
  <si>
    <t xml:space="preserve">ANNUAL CASH FLOW REPORT: </t>
  </si>
  <si>
    <t>Added printable 'Annual Cash Flow' report tab (hidden by default); monthly cash flows from Underwriting tab rolled up for reporting purposes</t>
  </si>
  <si>
    <t>Updated IRR formulas to allow for scenarios where there is no cash flow in time 0</t>
  </si>
  <si>
    <t>beta v0.8</t>
  </si>
  <si>
    <t>Fixed issue where Show_Calc macro wasn't working</t>
  </si>
  <si>
    <t>Fixed issue where 'Analysis Start' date in header on the Summary tab wasn't linked to input on Underwriting tab</t>
  </si>
  <si>
    <t>Fixed Unlevered ROI formula on summary tab; had been dividing by Total Project Cost including financing costs</t>
  </si>
  <si>
    <t>v1.0</t>
  </si>
  <si>
    <t>Added SF and M2 toggle in cell I8 of Underwriting tab</t>
  </si>
  <si>
    <t>Various label and logic updates to accommodate option to use square meters</t>
  </si>
  <si>
    <t>Now includes option to use square meters or square feet</t>
  </si>
  <si>
    <t>Updated header logic to be dynamic to SF vs. M2 toggle</t>
  </si>
  <si>
    <t>Added Stabilized Value /Unit and /SF (or /M2) metrics to rows 179 and 180 of the Underwriting tab</t>
  </si>
  <si>
    <t>Fixed mislabeled header (/Rentable SF instead of /Unit) in rows 55 and 60 of Underwriting tab</t>
  </si>
  <si>
    <t>Added conditional formatting in cell E57 of Underwriting tab; now reads 'Detail ---&gt;' when 'Variable Rate' is used</t>
  </si>
  <si>
    <t>Added '/Unit' metric to sale proforma (D175:D179 of Underwriting tab)</t>
  </si>
  <si>
    <t>Gross Sale Proceeds (Direct Cap)</t>
  </si>
  <si>
    <t>Cuts 'N Stuff</t>
  </si>
  <si>
    <t>Added '/SF/YR/' (or '/M2/YR') metric to retail income and retail leasing costs lines</t>
  </si>
  <si>
    <t>Mill rate</t>
  </si>
  <si>
    <t>Mill rate metric now included on row 162 of Underwriting tab for Untrended, Trended, and Sale pro formas</t>
  </si>
  <si>
    <t>Operation Begin</t>
  </si>
  <si>
    <t>GP Promote</t>
  </si>
  <si>
    <t>Dist. % to GP</t>
  </si>
  <si>
    <t>Dist. % to LP</t>
  </si>
  <si>
    <t>Changed JV waterfall to use Promote assumption rather than 'Distribution %" assumption (G215:G219, G236:G240 on Underwriting tab)</t>
  </si>
  <si>
    <t>Sensitivity Metrics</t>
  </si>
  <si>
    <t>Misc. formatting fixes and enhancements</t>
  </si>
  <si>
    <t>Disclaimer: This model may contain errors</t>
  </si>
  <si>
    <t xml:space="preserve">LEARN TO BUILD INSTITUTIONAL-QUALITY REAL ESTATE MODELS FROM SCRATCH
- CLICK HERE TO LEARN MORE - </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</si>
  <si>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</si>
  <si>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Fixed minor error in Annual Cash Flow date header formula</t>
  </si>
  <si>
    <t>Misc. formatting</t>
  </si>
  <si>
    <t>Changed default financing cost period to 0; default Waterfall type to 'Single Promote'</t>
  </si>
  <si>
    <t>Construction Debt</t>
  </si>
  <si>
    <t>Construction Debt before Reserves</t>
  </si>
  <si>
    <t>Total Construction Debt</t>
  </si>
  <si>
    <t>No Perm. Debt</t>
  </si>
  <si>
    <t>Perm. Debt</t>
  </si>
  <si>
    <t>Permanent Debt</t>
  </si>
  <si>
    <t>Debt Service (Permanent Debt)</t>
  </si>
  <si>
    <t>CASH FLOW AFTER FINANCING</t>
  </si>
  <si>
    <t>Cash Flow after Financing</t>
  </si>
  <si>
    <t>Add Permanent Debt Module</t>
  </si>
  <si>
    <t>Added toggle (row 71 of Underwriting tab) to activate and deactivate the new Permanent Debt Module</t>
  </si>
  <si>
    <t>New section within Investment Cash Flow section entitled 'Permanent Debt'</t>
  </si>
  <si>
    <t>INVESTMENT PERIOD CASH FLOWS</t>
  </si>
  <si>
    <t>Renamed 'Development Period Cash Flows' section to 'Investment Period Cash Flows'</t>
  </si>
  <si>
    <t>% OF COST</t>
  </si>
  <si>
    <t>% of Stab. Value</t>
  </si>
  <si>
    <t>Loan Funding</t>
  </si>
  <si>
    <t>Loan Payoff</t>
  </si>
  <si>
    <t>Total Construction Loan Draws</t>
  </si>
  <si>
    <t>Permanent Loan Funding</t>
  </si>
  <si>
    <t>- Construction Loan Payoff</t>
  </si>
  <si>
    <t>- Permanent Loan Payoff</t>
  </si>
  <si>
    <t>Permanent Loan Debt Service</t>
  </si>
  <si>
    <t>PAYOFF MONTH</t>
  </si>
  <si>
    <t>INTEREST-ONLY?</t>
  </si>
  <si>
    <t>Yes</t>
  </si>
  <si>
    <t>AMORT.</t>
  </si>
  <si>
    <t>PAYMENT</t>
  </si>
  <si>
    <t>v2.0</t>
  </si>
  <si>
    <t>Renamed 'Debt' to 'Construction Debt'</t>
  </si>
  <si>
    <t>Equity Proceeds from Capital Event(s)</t>
  </si>
  <si>
    <t>Nominally improved accuracy of construction interest calculation</t>
  </si>
  <si>
    <t>Revised 'Returns - Property-Level Cash Flows' section to include Permanent Debt Funding, Payoff, and Debt Service</t>
  </si>
  <si>
    <t>Assumptions include: Funding Month, Fixed Interest Rate, Interest-Only or Amortizing</t>
  </si>
  <si>
    <t>Created 'PermDebt_Activate' and 'PermDebt_Deactivate' macros to turn module on and off</t>
  </si>
  <si>
    <t>Removed portions of property-level cash flow on 'Annual Cash Flow' tab; will expand in next version of the model</t>
  </si>
  <si>
    <t>v2.1</t>
  </si>
  <si>
    <t>Fixed error in SUM() for /SF and /Unit totals for first three items on Detail Expenses module</t>
  </si>
  <si>
    <t>Fixed error where 'Insurance' was growing by up to 2x the growth assumption when 'Fixed' was set to some value &gt;0%</t>
  </si>
  <si>
    <t>% of Lease-Up Income to Use to Pay Interest</t>
  </si>
  <si>
    <t>Lease-up Income Available to Pay Construction Interest</t>
  </si>
  <si>
    <t>v2.2</t>
  </si>
  <si>
    <t>Added input (F48) to choose percentage of lease-up income to use for interest; unpaid construction interest accrues to interest reserve</t>
  </si>
  <si>
    <t>Updated Construction Interest Calculation logic to allow for Construction Loan Takeout prior to stabilization</t>
  </si>
  <si>
    <t>Added data validation to 'Perm. Debt Funding Month' input to ensure Perm. Debt funds after construction end</t>
  </si>
  <si>
    <t>Updated Operating Shortfall to allow for Construction Loan Takeout prior to stabilization</t>
  </si>
  <si>
    <t>v2.3</t>
  </si>
  <si>
    <t>Added Stabilized Yr. 1 Cash-on-Cash Return metric; see Summary tab (Key Assumptions and Return Metrics) and Underwriting tab (cell F136)</t>
  </si>
  <si>
    <t>Added Perm. Debt DSCR metric; see Summary tab (Key Assumptions and Return Metrics) and Underwriting tab (cell G74)</t>
  </si>
  <si>
    <t>GP Catch Up?</t>
  </si>
  <si>
    <t>Beginning Balance (GP Capital Account)</t>
  </si>
  <si>
    <t>Req'd Return by GP (Pref)</t>
  </si>
  <si>
    <t>Contributions from GP</t>
  </si>
  <si>
    <t>Ending Balance (GP Capital Account</t>
  </si>
  <si>
    <t>Distributions to GP (Hurdle 1)</t>
  </si>
  <si>
    <t>Built a 'GP Catch Up' module into 'Waterfall (GP/LP)' section</t>
  </si>
  <si>
    <t>Drop-down menu appears in cells C229:D229 when 'GP Distribution %' in Pref. Return tier is less than 'GP Contribution Share %'</t>
  </si>
  <si>
    <t>Catch Up?</t>
  </si>
  <si>
    <t>When 'GP Catch Up?' drop-down is set to 'Yes' and once LP hits 1st tier IRR, 100% of cash flow is distributed to GP until it "catches up" with LP IRR</t>
  </si>
  <si>
    <t>Misc formatting enhancements</t>
  </si>
  <si>
    <t>v2.4</t>
  </si>
  <si>
    <t>Fixed 'Analysis Month' label on 'Annual Cash Flow' tab</t>
  </si>
  <si>
    <t>Period Ending</t>
  </si>
  <si>
    <t>Replaced 'Analysis Date' with 'Period Ending' label on 'Annual Cash Flow' tab</t>
  </si>
  <si>
    <t>Construction Loan</t>
  </si>
  <si>
    <t>Mezzanine Loan</t>
  </si>
  <si>
    <t>/RENTABLE SF</t>
  </si>
  <si>
    <t>Mezzanine Loan Interest Rate</t>
  </si>
  <si>
    <t>Blended Interest Rate</t>
  </si>
  <si>
    <t>Construction Loan Balance (w/o interest)</t>
  </si>
  <si>
    <t>Mezzanine Loan Balance (w/o interest)</t>
  </si>
  <si>
    <t>Amount w/o Int</t>
  </si>
  <si>
    <t>Construction debt consists of 1. Construction Loan and 2. Mezzanine Loan</t>
  </si>
  <si>
    <t>Added 'Construction Loan' and 'Mezzanine Loan' assumptions (rows 60-63)</t>
  </si>
  <si>
    <t>Added variable interest rate line for Mezzanine Debt</t>
  </si>
  <si>
    <t>Updated Variable Rate logic to include Mezzanine Loan</t>
  </si>
  <si>
    <t>Added Mezzanine Loan and Construction Loan calculation module (ET62:JX62 and EP75:JX76)</t>
  </si>
  <si>
    <t>Replaced 'Annual Rate' calculation in cell E57 with a Blended Rate calculation between the two forms of construction debt</t>
  </si>
  <si>
    <t>Added 'Mezzanine Loan' tranche to Construction Debt (Underwriting tab)</t>
  </si>
  <si>
    <t>Funding (Construction Loan vs. Mezzanine Loan)</t>
  </si>
  <si>
    <t>Share of Required Debt Funding</t>
  </si>
  <si>
    <t>Added 'Funding by Construction Debt Type' cash flows to rows 56:58</t>
  </si>
  <si>
    <t>Updated 'SOURCES' section of Summary tab to include Mezzanine Loan</t>
  </si>
  <si>
    <t>Misc. formatting enhancements and fixes</t>
  </si>
  <si>
    <t>v2.5</t>
  </si>
  <si>
    <t>Changed the 'Construction Loan' and 'Mezzanine Loan' labels to blue font to denote an input; change order of funding by changing label</t>
  </si>
  <si>
    <t>Updated Construction Loan and Mezzanine Loan funding labels to link to the new label inputs for each field</t>
  </si>
  <si>
    <t>Misc. formatting updates</t>
  </si>
  <si>
    <t>v2.6</t>
  </si>
  <si>
    <t>Added 'Loan Funding Fee + Closing Cost' assumption to cell H78</t>
  </si>
  <si>
    <t>Added 'Loan Funding Fee + Closing Cost' amount to cell I78</t>
  </si>
  <si>
    <t>Now includes ability to add loan and closing fees to permanent debt</t>
  </si>
  <si>
    <t>Updated formula in row 78 to deduce loan fees and closing costs</t>
  </si>
  <si>
    <t>Loan Fees + Closing Costs</t>
  </si>
  <si>
    <t>Revised default 'Sale Month'  input formula to use 120 when 'Perm. Debt' module is turned on, otherwise 12 months following stabilization</t>
  </si>
  <si>
    <t>Fixed header on Annual Cash Flow tab - "ANALYSIS START" (cell R4) output was not dynamic</t>
  </si>
  <si>
    <t>Misc. formatting enhancements</t>
  </si>
  <si>
    <t>Minor update to dummy input values</t>
  </si>
  <si>
    <t>v2.61</t>
  </si>
  <si>
    <t>Revised Sources and Uses table on Summary tab to only pull initial Sources (not additional equity required during hold)</t>
  </si>
  <si>
    <t>Updated placeholder value for Permanent Debt (Underwriting I17) to also include loan fees in total loan amount</t>
  </si>
  <si>
    <t>v2.7</t>
  </si>
  <si>
    <t>Fixed issue where Sources on summary tab was not correct in case of Double Promote</t>
  </si>
  <si>
    <t>Added IFERROR logic to General Partner return metrics to accommodate 0% contribution by GP</t>
  </si>
  <si>
    <t>Development Fee now driven by percentage of Total Project Costs</t>
  </si>
  <si>
    <t>RECALCULATE LOGIC</t>
  </si>
  <si>
    <t>Added 'Recalculate Logic' section starting in row 289</t>
  </si>
  <si>
    <t>Rebuilt recalculate macro to account for circular nature of new Development Fee module</t>
  </si>
  <si>
    <t>Target LTC</t>
  </si>
  <si>
    <t>Actual LTC</t>
  </si>
  <si>
    <t>Run Const. Macro?</t>
  </si>
  <si>
    <t>Target Dev Fee</t>
  </si>
  <si>
    <t>Actual Dev Fee</t>
  </si>
  <si>
    <t>Run Dev. Fee Macro?</t>
  </si>
  <si>
    <t>Show Click to Recalculate?</t>
  </si>
  <si>
    <t>Created a 'Calc_Loan_AND_Dev_Fee ()' macro to run a goal seek until LTC and Dev Fee match their actual user inputs</t>
  </si>
  <si>
    <t>Rebuilt 'Recalculate ()' macro to loop 'Calc_Loan_AND_Dev_Fee ()' macro until LTC and Dev Fee match their actual user inputs</t>
  </si>
  <si>
    <t>Added new feature to check for Circular References before running Recalculate</t>
  </si>
  <si>
    <t>Misc. formatting enhancements and updates</t>
  </si>
  <si>
    <t>Added logic to 'Recalculate ()' macro that turns off 'Iterative Calc' when run; this is necessary for the model to run correctly</t>
  </si>
  <si>
    <t>v2.71</t>
  </si>
  <si>
    <t>Fixed issue where 'Recalculate' feature wasn't working when Mezz Debt was used</t>
  </si>
  <si>
    <t>New to A.CRE Models? Read our Best Practices Guide Now</t>
  </si>
  <si>
    <t>v2.72</t>
  </si>
  <si>
    <t>Added link to 'Best Practices in Real Estate Financial Modeling' guide for newer users of A.CRE models</t>
  </si>
  <si>
    <t>Fixed issue where Equity Sources on the Summary report were not calculating correctly when there was operating shortfall post-stabilization</t>
  </si>
  <si>
    <t>v2.8</t>
  </si>
  <si>
    <t>One</t>
  </si>
  <si>
    <t>Two</t>
  </si>
  <si>
    <t>Added functionality to fund Construction + Mezzanine Debt pari passu (at the same time)</t>
  </si>
  <si>
    <t>Updated label for 'Funding Order' to make identifying the input value (D62) easier</t>
  </si>
  <si>
    <t>Added drop-down menu to cell D62, whereby user can change order for second tranche of debt to 'One' - this results in secondary debt funding pari passu</t>
  </si>
  <si>
    <t>Updated formulas in rows 57 and 58 to fund debt pari passu when both debt tranches 'Funding Order' are set to 'One'</t>
  </si>
  <si>
    <t>Added Error Check to cell K71</t>
  </si>
  <si>
    <t>Fixed issue where 'Development Fee' label was changed when deleting Soft Cost line items</t>
  </si>
  <si>
    <t>v2.81</t>
  </si>
  <si>
    <t>Added logic to Recalculate VBA macro to solve for issue where user adds a formula to the Total Equity or Total Development Fee cells</t>
  </si>
  <si>
    <t>v2.82</t>
  </si>
  <si>
    <t>v2.821</t>
  </si>
  <si>
    <t>Fixed error in 'Equity Proceeds from Capital Event' line (Underwriting row 209), where Permanent Debt cash flows were not included in the calculation</t>
  </si>
  <si>
    <t>v2.83</t>
  </si>
  <si>
    <t>Market Rent</t>
  </si>
  <si>
    <t>2nd Gen Leases (%)</t>
  </si>
  <si>
    <t>2nd Gen. Leased (Amt)</t>
  </si>
  <si>
    <t>Total Leases (%)</t>
  </si>
  <si>
    <t>Total Leases (Amt)</t>
  </si>
  <si>
    <t xml:space="preserve">1st Gen Leases (Amt) </t>
  </si>
  <si>
    <t>In-Place Rent</t>
  </si>
  <si>
    <t>Loss-to-Lease</t>
  </si>
  <si>
    <t>Added Initial Lease and 2nd Generation Lease tracking (EW103:EW107)</t>
  </si>
  <si>
    <t>Calculating in-place rent at aggregate (EW108)</t>
  </si>
  <si>
    <t>Loss-to-lease based on lease length, in-place vs. market rent (EW109)</t>
  </si>
  <si>
    <t>Linked actual loss-to-lease line (row 98) to module EW109</t>
  </si>
  <si>
    <t>Revamped Loss-to-Lease module to solve issue where rent gapped upon new market rent increase</t>
  </si>
  <si>
    <t>v2.831</t>
  </si>
  <si>
    <t>Moved Loss-to-Lease module to cell EP143 to fix issue where new loss-to-lease module breaks model when Other Income items are added or deleted</t>
  </si>
  <si>
    <t>v2.832</t>
  </si>
  <si>
    <t>Fixed issue where setting the Operation Begin date to before the construction end date broke the model</t>
  </si>
  <si>
    <t>Optimized Recalculate macro for speed</t>
  </si>
  <si>
    <t>Added decimal place to Development Fee /Rentable SF(M2)</t>
  </si>
  <si>
    <t>Franchise Tax</t>
  </si>
  <si>
    <t>Added 'Franchise Tax' as default line item under Property Tax on Detail Expenses</t>
  </si>
  <si>
    <t>v2.833</t>
  </si>
  <si>
    <t>Modification to new loss-to-lease methodology to account for situations where 0% pre-leasing is assumed</t>
  </si>
  <si>
    <t>v2.84</t>
  </si>
  <si>
    <t>Removed unnecessary rows from Annual Cash Flow tab</t>
  </si>
  <si>
    <t>Fixed issue where stabilized Cash-on-Cash return was appearing on the Summary tab (cell F28) when no permanent debt was used</t>
  </si>
  <si>
    <t>Misc. updates to placeholder inputs</t>
  </si>
  <si>
    <t>v2.85</t>
  </si>
  <si>
    <t>Capital Reserves Placement</t>
  </si>
  <si>
    <t>Added functionality to model Capital Reserves either below NOI or above NOI</t>
  </si>
  <si>
    <t>Created 'Capital Reserves Placement' input in cell E115</t>
  </si>
  <si>
    <t>Added logic to Make Ready Cost label in OpEx to rename Capital Reserve when Capital Reserve placement is above NOI</t>
  </si>
  <si>
    <t>Updated logic in Detailed Operating Expense logic to account for new Capital Reserve Placement input</t>
  </si>
  <si>
    <t>Misc. formatting fixes and changes</t>
  </si>
  <si>
    <t>v2.86</t>
  </si>
  <si>
    <t>Improved Project Cost graph on Summary tab</t>
  </si>
  <si>
    <t>Created new ranges for each of Land Costs, Hard Costs, Soft Costs, and Carry Costs,</t>
  </si>
  <si>
    <t>Changed chart to 'Stacked Column' chart type</t>
  </si>
  <si>
    <t>Added newly created ranges to the Project Cost graph</t>
  </si>
  <si>
    <t>Updated heading for Project Cost graph</t>
  </si>
  <si>
    <t>v2.87</t>
  </si>
  <si>
    <t>Changed Pro Forma 'Loss-to-Lease' cell (I98) to blue, to allow user to add a Loss-to-Lease to Pro Forma NOI</t>
  </si>
  <si>
    <t>Fixed issue where, for purposings of calculating Blended Interest Rate, the rate was not blended pari passu in pari passu situations</t>
  </si>
  <si>
    <t>Total Construction Debt Balance</t>
  </si>
  <si>
    <t>Added 'Total Construction Debt Balance' line to calculation module (EP78:JX78)</t>
  </si>
  <si>
    <t>Added a SUMPRODUCT calculation to the Construction Debt Annual Rate (cell E58) to represent the blended annual rate over the hold period</t>
  </si>
  <si>
    <t>v2.871</t>
  </si>
  <si>
    <t>Fixed issue where using a Development Fee input with too many decimal places caused the Recalculate Macro to hang</t>
  </si>
  <si>
    <t>v2.872</t>
  </si>
  <si>
    <t>Reverted Development Fee logic back to an 'Input' amount rather than an 'Input' percentage; this was a trade-off decision based on challenges with the macro</t>
  </si>
  <si>
    <t>Added functionality to allow for 0% LTC during Construction</t>
  </si>
  <si>
    <t>Run based on No Const. Debt?</t>
  </si>
  <si>
    <t>NA</t>
  </si>
  <si>
    <t>Total Actual LTC</t>
  </si>
  <si>
    <t>Re-wrote macros to update new Development Fee and 0% LTC during construction logic</t>
  </si>
  <si>
    <t>v2.873</t>
  </si>
  <si>
    <t>Fixed issue where Operating Expense line items on Annual Cash Flow tab wasn't synced to Underwriting tab</t>
  </si>
  <si>
    <t>CALCULATED ON</t>
  </si>
  <si>
    <t>Total Potential Income</t>
  </si>
  <si>
    <t>Other Income Items</t>
  </si>
  <si>
    <t>Fixed issue where Other Income items count, required for Delete Other Income macro, had been unintentionally deleted.</t>
  </si>
  <si>
    <t>v2.88</t>
  </si>
  <si>
    <t>annual growth</t>
  </si>
  <si>
    <t>EXPENSE GROWTH</t>
  </si>
  <si>
    <t>Added detailed Income and Expense growth assumptions</t>
  </si>
  <si>
    <t>Rental Growth Rate</t>
  </si>
  <si>
    <t>Added input to calculate General Vacancy and Credit Loss either based on Total Potential Income, Total Rental Income, or Gross Rent</t>
  </si>
  <si>
    <t>Updated General Vacancy and Credit Loss module</t>
  </si>
  <si>
    <t>Separated General Vacancy and Credit Loss into separate lines</t>
  </si>
  <si>
    <t>Misc. updates to placeholder values</t>
  </si>
  <si>
    <t>v2.881</t>
  </si>
  <si>
    <t>Separated General Vacancy and Credit Loss into separate lines in Reversion Cash Flow section</t>
  </si>
  <si>
    <t>v2.89</t>
  </si>
  <si>
    <t>Growth Rates - Rental Income / Expenses</t>
  </si>
  <si>
    <t>Fixed issue where growth rate for 'Expenses' wasn't appearing on the Summary tab</t>
  </si>
  <si>
    <t>Annual Expense Growth Begin Month</t>
  </si>
  <si>
    <t>Renamed the label 'Annual Expense Growth' to  'Annual Expense Growth Begin Month'; row 115 on the Underwriting tab</t>
  </si>
  <si>
    <t>Rental Growth Begin</t>
  </si>
  <si>
    <t>Changed Sensitivity table #4 to sensitize various Rental Growth begin months</t>
  </si>
  <si>
    <t>% of Project Cost</t>
  </si>
  <si>
    <t>AUM Fee Starts:</t>
  </si>
  <si>
    <t>Adjusted Net Levered Cash Flow</t>
  </si>
  <si>
    <t>Asset Management Fee</t>
  </si>
  <si>
    <t>AUM Fee:</t>
  </si>
  <si>
    <t>AUM Fee %:</t>
  </si>
  <si>
    <t>Developer Fee to GP + AUM Fee</t>
  </si>
  <si>
    <t>v2.90</t>
  </si>
  <si>
    <t>Added AUM Fee module added to 'Partnership Cash Flow' module</t>
  </si>
  <si>
    <t>New inputs added to row 290 of the Underwriting tab: AUM Fee type, AUM Fee %, and AUM Fee start month</t>
  </si>
  <si>
    <t>Updated Levered Cash Flow line available to distribute to partners to reduce by the amount of AUM fee (starting at ET198 on the Underwriting tab)</t>
  </si>
  <si>
    <t>Renamed the 'Developer Fee to GP' label to 'Developer Fee to GP + AUM Fee' (ET213)</t>
  </si>
  <si>
    <t>Updated the formula logic in row 213 (starting at ET213) to include the AUM fee to GP</t>
  </si>
  <si>
    <t>Run Residual Land Value Tool</t>
  </si>
  <si>
    <t>v2.91</t>
  </si>
  <si>
    <t>Created a Residual Land Value tool</t>
  </si>
  <si>
    <t>Used OpenAI's GPT-3 to write the macro</t>
  </si>
  <si>
    <t>Created named cells for Development Spread and Land Cost</t>
  </si>
  <si>
    <t>Added button to the Summary tab to run the tool</t>
  </si>
  <si>
    <t>Updated various placeholder values</t>
  </si>
  <si>
    <t>v2.911</t>
  </si>
  <si>
    <t>Fixed issue where the DCF component of EGR wasn't including General Vacancy</t>
  </si>
  <si>
    <t>v2.912</t>
  </si>
  <si>
    <t>Fixed issue where Vacancy and Credit Loss line on Summary tab was only pulling in Credit loss assumption</t>
  </si>
  <si>
    <t>v2.913</t>
  </si>
  <si>
    <t>Fixed issue where Vacancy and Credit Loss line on the Annual Cash Flow tab was only pulling in Credit loss assumption</t>
  </si>
  <si>
    <t>Modified Gross Potential Income and Effective Gross Income formulas on Annual Cash Flow tab to be dynamic to Analysis Period</t>
  </si>
  <si>
    <t>v2.92</t>
  </si>
  <si>
    <t>Added logic to allow GP to contribute 100% of equity capital</t>
  </si>
  <si>
    <t xml:space="preserve">Added IFERROR() statements to LP cash flow </t>
  </si>
  <si>
    <t>Added IFERROR() statements to LP return metrics</t>
  </si>
  <si>
    <t>Fixed Vacancy link in Sensitivity Analysis #1</t>
  </si>
  <si>
    <t>Assumption Notes (Click [+] / [-] above column O to open/close Notes section)</t>
  </si>
  <si>
    <t>v2.921</t>
  </si>
  <si>
    <t>Added 'Assumption Notes' section to Underwriting tab; open/close using the [+] / [-] button at the top of column O; use notes to support inputs on each row</t>
  </si>
  <si>
    <t>v2.93</t>
  </si>
  <si>
    <t>Fixed issue where Retail Income was double-counted in DCF cash flows (only applicable when Retail Income module turned on)</t>
  </si>
  <si>
    <t>Added Headings to Retail Income worksheet</t>
  </si>
  <si>
    <t>v2.931</t>
  </si>
  <si>
    <t>Fixed issue where Income and Expense growth were not calculating correctly in cases where growth begin month was later than Operation Begin month</t>
  </si>
  <si>
    <t>v2.932</t>
  </si>
  <si>
    <t>Fixed a VBA compile error in the 'Recalculate' subroutine</t>
  </si>
  <si>
    <t>v2.933</t>
  </si>
  <si>
    <t>Updated Calc_Loan_AND_Dev_Fee () macro to avoid situations where an erroneous formula in 'Equity Total' errors the macro</t>
  </si>
  <si>
    <t>Need Help? Hire the A.CRE Team to Model it For You</t>
  </si>
  <si>
    <t>Misc updates to the 'Version' tab</t>
  </si>
  <si>
    <t>Updated Calc_Loan_AND_Dev_Fee () macro and Recalculate () macros to allow the user to change worksheet names without breaking the macro</t>
  </si>
  <si>
    <t>Budget</t>
  </si>
  <si>
    <t>General</t>
  </si>
  <si>
    <t>Operating</t>
  </si>
  <si>
    <t>PermDebt</t>
  </si>
  <si>
    <t>Retail</t>
  </si>
  <si>
    <t>Returns</t>
  </si>
  <si>
    <t>Sensitivity</t>
  </si>
  <si>
    <t>Used 'A.CRE Code Helper for Financial Models GPT' to add code comments in all subroutines in the following modules to help users understand the code:</t>
  </si>
  <si>
    <t>Used 'A.CRE Code Helper for Financial Models GPT' to improve efficiency of code</t>
  </si>
  <si>
    <t>v2.94</t>
  </si>
  <si>
    <t>Fixed Sgl. Promote button formatting when Dbl. Promote is activated</t>
  </si>
  <si>
    <t>As hundreds of code changes were made, tested each macro individually</t>
  </si>
  <si>
    <t>v2.941</t>
  </si>
  <si>
    <t xml:space="preserve">Removed erroneous line in the PermDebt_Deactivate() macro added in v 2.94 that hid the wrong rows when turning off the PermDebt module </t>
  </si>
  <si>
    <t>v2.95</t>
  </si>
  <si>
    <t>Ran Workbook optimization; 23,486 cells were optimized to improve workbook performance</t>
  </si>
  <si>
    <t>Updated placeholder values</t>
  </si>
  <si>
    <t>Turned off 'Format Stale Values'; Calculation Method set to 'Partial'</t>
  </si>
  <si>
    <t>G-Levered EMx:</t>
  </si>
  <si>
    <t>G-Levered IRR</t>
  </si>
  <si>
    <t>Renamed Levered IRR and Levered EMx to G-Levered IRR and G-Levered EMx to reiterate that they are Gross returns (i.e. property-level returns)</t>
  </si>
  <si>
    <t>GROSS IRR</t>
  </si>
  <si>
    <t>NET IRR</t>
  </si>
  <si>
    <t xml:space="preserve">NET EMx </t>
  </si>
  <si>
    <t>GROSS EQUITY MULTIPLE</t>
  </si>
  <si>
    <t>Added GROSS and NET to IRR/EMx labels Property-Level returns and Partnership Level Returns respectively</t>
  </si>
  <si>
    <t xml:space="preserve">GROSS EMx </t>
  </si>
  <si>
    <t>Lee County</t>
  </si>
  <si>
    <t>Florida</t>
  </si>
  <si>
    <t>Due Diligence</t>
  </si>
  <si>
    <t>Legal &amp; Development</t>
  </si>
  <si>
    <t>Below NOI</t>
  </si>
  <si>
    <t>OGM HOLDINGS</t>
  </si>
  <si>
    <t>4% of rental income</t>
  </si>
  <si>
    <t>N/A</t>
  </si>
  <si>
    <t>Contingency</t>
  </si>
  <si>
    <t>1.75% of construction loan</t>
  </si>
  <si>
    <t>No</t>
  </si>
  <si>
    <t>Cape Coral</t>
  </si>
  <si>
    <t>16th Terrace</t>
  </si>
  <si>
    <t>Current land value estimate</t>
  </si>
  <si>
    <t>Utility Contractor</t>
  </si>
  <si>
    <t>$117.82/GSF</t>
  </si>
  <si>
    <t>$24.55/GSF</t>
  </si>
  <si>
    <t>Impact Fees</t>
  </si>
  <si>
    <t>3.45% of Hard Cost ($100k 'soft costs' already invested)</t>
  </si>
  <si>
    <t>5.17% of Hard Cost</t>
  </si>
  <si>
    <t>$142.37/GSF</t>
  </si>
  <si>
    <t>$2,000/unit</t>
  </si>
  <si>
    <t>$30/unit per month</t>
  </si>
  <si>
    <t>Investment Summary</t>
  </si>
  <si>
    <t>Cost Basis</t>
  </si>
  <si>
    <t>Acquisition</t>
  </si>
  <si>
    <t>Total Cost Basis</t>
  </si>
  <si>
    <t>Building Summary</t>
  </si>
  <si>
    <t>Multifamily</t>
  </si>
  <si>
    <t>Circulation</t>
  </si>
  <si>
    <t>Assumptions</t>
  </si>
  <si>
    <t>LTC Financing</t>
  </si>
  <si>
    <t>Months Until Stabilized</t>
  </si>
  <si>
    <t>Stabilized NOI</t>
  </si>
  <si>
    <t>Stabilized Cap Rate</t>
  </si>
  <si>
    <t>SOURCES &amp; USES</t>
  </si>
  <si>
    <t>Sources</t>
  </si>
  <si>
    <t>Debt</t>
  </si>
  <si>
    <t>Uses</t>
  </si>
  <si>
    <t>% of Total</t>
  </si>
  <si>
    <t>$ / GSF</t>
  </si>
  <si>
    <t>Number of Units</t>
  </si>
  <si>
    <t>Square Feet</t>
  </si>
  <si>
    <t>Average Rent Per Unit</t>
  </si>
  <si>
    <t>Average Rent PSF</t>
  </si>
  <si>
    <t>Projected Returns</t>
  </si>
  <si>
    <t>Investment Duration</t>
  </si>
  <si>
    <t>Projected Sales Price</t>
  </si>
  <si>
    <t>Investment IRR</t>
  </si>
  <si>
    <t>Equity Multiple</t>
  </si>
  <si>
    <t>Z</t>
  </si>
  <si>
    <t>1MR * 16 units</t>
  </si>
  <si>
    <t>Yield on Cost</t>
  </si>
  <si>
    <t>Project Cost Basis</t>
  </si>
  <si>
    <t>$ / Unit</t>
  </si>
  <si>
    <t>Total Site Basis</t>
  </si>
  <si>
    <t>Purchase Price</t>
  </si>
  <si>
    <t>Acquisition Fee</t>
  </si>
  <si>
    <t>Residential Rent Roll - Stabilized</t>
  </si>
  <si>
    <t>Unit Type</t>
  </si>
  <si>
    <t>Unit Size</t>
  </si>
  <si>
    <t>% of Total Units</t>
  </si>
  <si>
    <t>Projected Rent</t>
  </si>
  <si>
    <t>Rent PSF</t>
  </si>
  <si>
    <t>Total Rent/Month</t>
  </si>
  <si>
    <t>Total Rent/Year</t>
  </si>
  <si>
    <t>2 BR / 2 BATH</t>
  </si>
  <si>
    <t>2 BR + / 2 BATH</t>
  </si>
  <si>
    <t>111 SW 16th Terrace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</si>
</sst>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0_);_(* \(#,##0\);_(* &quot;-&quot;_);_(@_)"/>
    <numFmt numFmtId="43" formatCode="_(* #,##0.00_);_(* \(#,##0.00\);_(* &quot;-&quot;??_);_(@_)"/>
    <numFmt numFmtId="164" formatCode="00000"/>
    <numFmt numFmtId="165" formatCode="0.0\ &quot;acres&quot;"/>
    <numFmt numFmtId="166" formatCode="#,##0\ &quot;SF&quot;"/>
    <numFmt numFmtId="167" formatCode="#,##0.0"/>
    <numFmt numFmtId="168" formatCode="#,##0\ &quot;units&quot;"/>
    <numFmt numFmtId="169" formatCode="&quot;Month&quot;\ 0"/>
    <numFmt numFmtId="170" formatCode="mmm\-yyyy"/>
    <numFmt numFmtId="171" formatCode="&quot;Year&quot;\ 0"/>
    <numFmt numFmtId="172" formatCode="0\ &quot;(Steep)&quot;"/>
    <numFmt numFmtId="173" formatCode="0\ \(\F\l\a\t\)"/>
    <numFmt numFmtId="174" formatCode="0.0%"/>
    <numFmt numFmtId="175" formatCode="0.0%\ &quot;LTC&quot;"/>
    <numFmt numFmtId="176" formatCode="0.0%\ &quot;of Cost&quot;"/>
    <numFmt numFmtId="177" formatCode="0\ &quot;Months&quot;"/>
    <numFmt numFmtId="178" formatCode="0.0\ &quot;Months&quot;"/>
    <numFmt numFmtId="179" formatCode="0.0\ &quot;units&quot;"/>
    <numFmt numFmtId="180" formatCode="0\ &quot;unit(s)&quot;"/>
    <numFmt numFmtId="181" formatCode="#,##0_);\(#,##0\)&quot;/Mo&quot;"/>
    <numFmt numFmtId="182" formatCode="&quot;+&quot;000"/>
    <numFmt numFmtId="183" formatCode="_(* #,##0_);_(* \(#,##0\);_(* &quot;-&quot;??_);_(@_)"/>
    <numFmt numFmtId="184" formatCode="&quot;Op. Year&quot;\ 0"/>
    <numFmt numFmtId="185" formatCode="&quot;Op. Year&quot;\ 0&quot;+&quot;"/>
    <numFmt numFmtId="186" formatCode="0.00&quot;X&quot;"/>
    <numFmt numFmtId="187" formatCode="_(* #,##0.000000_);_(* \(#,##0.000000\);_(* &quot;-&quot;??????_);_(@_)"/>
    <numFmt numFmtId="188" formatCode="0.0\ &quot;bps&quot;"/>
    <numFmt numFmtId="189" formatCode="&quot;$&quot;#,##0.00\ &quot;PSF&quot;"/>
    <numFmt numFmtId="190" formatCode="0\ &quot;Years&quot;"/>
    <numFmt numFmtId="191" formatCode="_(* #,##0.0_);_(* \(#,##0.0\);_(* &quot;-&quot;?_);_(@_)"/>
    <numFmt numFmtId="192" formatCode="0.00&quot;/unit&quot;"/>
    <numFmt numFmtId="193" formatCode="#,##0\ &quot;Units&quot;"/>
    <numFmt numFmtId="194" formatCode="0.0\ &quot;Acres&quot;"/>
    <numFmt numFmtId="195" formatCode="0.00&quot;/Unit&quot;"/>
    <numFmt numFmtId="196" formatCode="0.0&quot;bps&quot;"/>
    <numFmt numFmtId="197" formatCode="&quot;Version&quot;\ 0.00"/>
    <numFmt numFmtId="198" formatCode="_(* #,##0.00_);_(* \(#,##0.00\);_(* &quot;-&quot;_);_(@_)"/>
    <numFmt numFmtId="199" formatCode="0\ &quot;Suites&quot;"/>
    <numFmt numFmtId="200" formatCode="&quot;Begin Month&quot;\ 0"/>
    <numFmt numFmtId="201" formatCode="#,##0\ &quot;GBA&quot;"/>
    <numFmt numFmtId="202" formatCode="0.0%\ &quot;EFF.&quot;"/>
    <numFmt numFmtId="203" formatCode="#,##0\ &quot;NRA&quot;"/>
    <numFmt numFmtId="204" formatCode="#,##0&quot;/month&quot;"/>
    <numFmt numFmtId="205" formatCode="0.000%"/>
    <numFmt numFmtId="206" formatCode="&quot;$&quot;#,##0.00"/>
    <numFmt numFmtId="207" formatCode="&quot;$&quot;#,##0"/>
    <numFmt numFmtId="208" formatCode="&quot;Year &quot;0&quot; NOI&quot;"/>
    <numFmt numFmtId="209" formatCode="0.00&quot;x&quot;"/>
  </numFmts>
  <fonts count="87" x14ac:knownFonts="1">
    <font>
      <sz val="11"/>
      <color theme="1"/>
      <name val="Tw Cen MT"/>
      <family val="2"/>
      <scheme val="minor"/>
    </font>
    <font>
      <sz val="11"/>
      <color theme="0"/>
      <name val="Tw Cen MT"/>
      <family val="2"/>
      <scheme val="minor"/>
    </font>
    <font>
      <sz val="11"/>
      <color indexed="12"/>
      <name val="Tw Cen MT"/>
      <family val="2"/>
      <scheme val="minor"/>
    </font>
    <font>
      <sz val="10"/>
      <color theme="1"/>
      <name val="Tw Cen MT"/>
      <family val="2"/>
      <scheme val="minor"/>
    </font>
    <font>
      <sz val="10"/>
      <color indexed="12"/>
      <name val="Tw Cen MT"/>
      <family val="2"/>
      <scheme val="minor"/>
    </font>
    <font>
      <sz val="8"/>
      <color theme="1"/>
      <name val="Tw Cen MT"/>
      <family val="2"/>
      <scheme val="minor"/>
    </font>
    <font>
      <sz val="10"/>
      <name val="Tw Cen MT"/>
      <family val="2"/>
      <scheme val="minor"/>
    </font>
    <font>
      <sz val="12"/>
      <color theme="1"/>
      <name val="Tw Cen MT"/>
      <family val="2"/>
      <scheme val="minor"/>
    </font>
    <font>
      <sz val="8"/>
      <name val="Tw Cen MT"/>
      <family val="2"/>
      <scheme val="minor"/>
    </font>
    <font>
      <b/>
      <sz val="10"/>
      <color theme="1"/>
      <name val="Tw Cen MT"/>
      <family val="2"/>
      <scheme val="minor"/>
    </font>
    <font>
      <u/>
      <sz val="10"/>
      <color theme="1"/>
      <name val="Tw Cen MT"/>
      <family val="2"/>
      <scheme val="minor"/>
    </font>
    <font>
      <u/>
      <sz val="8"/>
      <color theme="1"/>
      <name val="Tw Cen MT"/>
      <family val="2"/>
      <scheme val="minor"/>
    </font>
    <font>
      <sz val="8"/>
      <color indexed="12"/>
      <name val="Tw Cen MT"/>
      <family val="2"/>
      <scheme val="minor"/>
    </font>
    <font>
      <u/>
      <sz val="8"/>
      <name val="Tw Cen MT"/>
      <family val="2"/>
      <scheme val="minor"/>
    </font>
    <font>
      <u/>
      <sz val="11"/>
      <color theme="1"/>
      <name val="Tw Cen MT"/>
      <family val="2"/>
      <scheme val="minor"/>
    </font>
    <font>
      <b/>
      <i/>
      <sz val="11"/>
      <color theme="1"/>
      <name val="Tw Cen MT"/>
      <family val="2"/>
      <scheme val="minor"/>
    </font>
    <font>
      <sz val="9"/>
      <color theme="0"/>
      <name val="Tw Cen MT"/>
      <family val="2"/>
      <scheme val="minor"/>
    </font>
    <font>
      <b/>
      <sz val="8"/>
      <color theme="1"/>
      <name val="Tw Cen MT"/>
      <family val="2"/>
      <scheme val="minor"/>
    </font>
    <font>
      <u val="singleAccounting"/>
      <sz val="8"/>
      <color theme="1"/>
      <name val="Tw Cen MT"/>
      <family val="2"/>
      <scheme val="minor"/>
    </font>
    <font>
      <u/>
      <sz val="8"/>
      <color indexed="12"/>
      <name val="Tw Cen MT"/>
      <family val="2"/>
      <scheme val="minor"/>
    </font>
    <font>
      <b/>
      <sz val="11"/>
      <color theme="1"/>
      <name val="Tw Cen MT"/>
      <family val="2"/>
      <scheme val="minor"/>
    </font>
    <font>
      <b/>
      <sz val="10"/>
      <name val="Tw Cen MT"/>
      <family val="2"/>
      <scheme val="minor"/>
    </font>
    <font>
      <b/>
      <sz val="8"/>
      <color indexed="12"/>
      <name val="Tw Cen MT"/>
      <family val="2"/>
      <scheme val="minor"/>
    </font>
    <font>
      <b/>
      <sz val="8"/>
      <name val="Tw Cen MT"/>
      <family val="2"/>
      <scheme val="minor"/>
    </font>
    <font>
      <u val="singleAccounting"/>
      <sz val="8"/>
      <color indexed="12"/>
      <name val="Tw Cen MT"/>
      <family val="2"/>
      <scheme val="minor"/>
    </font>
    <font>
      <sz val="12"/>
      <name val="Tw Cen MT"/>
      <family val="2"/>
      <scheme val="minor"/>
    </font>
    <font>
      <u val="singleAccounting"/>
      <sz val="8"/>
      <name val="Tw Cen MT"/>
      <family val="2"/>
      <scheme val="minor"/>
    </font>
    <font>
      <sz val="8"/>
      <color indexed="17"/>
      <name val="Tw Cen MT"/>
      <family val="2"/>
      <scheme val="minor"/>
    </font>
    <font>
      <b/>
      <sz val="10"/>
      <color indexed="12"/>
      <name val="Tw Cen MT"/>
      <family val="2"/>
      <scheme val="minor"/>
    </font>
    <font>
      <sz val="9"/>
      <color theme="1"/>
      <name val="Tw Cen MT"/>
      <family val="2"/>
      <scheme val="minor"/>
    </font>
    <font>
      <b/>
      <u/>
      <sz val="8"/>
      <color theme="1"/>
      <name val="Tw Cen MT"/>
      <family val="2"/>
      <scheme val="minor"/>
    </font>
    <font>
      <b/>
      <sz val="10"/>
      <color theme="0"/>
      <name val="Tw Cen MT"/>
      <family val="2"/>
      <scheme val="minor"/>
    </font>
    <font>
      <sz val="12"/>
      <color theme="8"/>
      <name val="Tw Cen MT"/>
      <family val="2"/>
      <scheme val="minor"/>
    </font>
    <font>
      <sz val="12"/>
      <color theme="0"/>
      <name val="Tw Cen MT"/>
      <family val="2"/>
      <scheme val="minor"/>
    </font>
    <font>
      <u/>
      <sz val="11"/>
      <color theme="10"/>
      <name val="Tw Cen MT"/>
      <family val="2"/>
      <scheme val="minor"/>
    </font>
    <font>
      <b/>
      <u/>
      <sz val="10"/>
      <color theme="1"/>
      <name val="Tw Cen MT"/>
      <family val="2"/>
      <scheme val="minor"/>
    </font>
    <font>
      <u/>
      <sz val="11"/>
      <color rgb="FF0000FF"/>
      <name val="Tw Cen MT"/>
      <family val="2"/>
      <scheme val="minor"/>
    </font>
    <font>
      <b/>
      <u/>
      <sz val="11"/>
      <color theme="1" tint="0.249977111117893"/>
      <name val="Tw Cen MT"/>
      <family val="2"/>
      <scheme val="minor"/>
    </font>
    <font>
      <sz val="11"/>
      <color theme="0"/>
      <name val="Calibri"/>
      <family val="2"/>
    </font>
    <font>
      <sz val="11"/>
      <color theme="1"/>
      <name val="Calibri"/>
      <family val="2"/>
    </font>
    <font>
      <sz val="8"/>
      <color theme="1"/>
      <name val="Calibri"/>
      <family val="2"/>
    </font>
    <font>
      <sz val="12"/>
      <color theme="1"/>
      <name val="Calibri"/>
      <family val="2"/>
    </font>
    <font>
      <sz val="12"/>
      <color indexed="12"/>
      <name val="Calibri"/>
      <family val="2"/>
    </font>
    <font>
      <i/>
      <sz val="8"/>
      <color theme="1"/>
      <name val="Calibri"/>
      <family val="2"/>
    </font>
    <font>
      <u/>
      <sz val="8"/>
      <color theme="1"/>
      <name val="Calibri"/>
      <family val="2"/>
    </font>
    <font>
      <sz val="9"/>
      <color theme="1"/>
      <name val="Calibri"/>
      <family val="2"/>
    </font>
    <font>
      <b/>
      <u/>
      <sz val="9"/>
      <color theme="1"/>
      <name val="Calibri"/>
      <family val="2"/>
    </font>
    <font>
      <sz val="10"/>
      <color theme="0"/>
      <name val="Calibri"/>
      <family val="2"/>
    </font>
    <font>
      <sz val="10"/>
      <color theme="0" tint="-0.499984740745262"/>
      <name val="Calibri"/>
      <family val="2"/>
    </font>
    <font>
      <sz val="10"/>
      <color theme="1"/>
      <name val="Calibri"/>
      <family val="2"/>
    </font>
    <font>
      <sz val="9"/>
      <color theme="0"/>
      <name val="Calibri"/>
      <family val="2"/>
    </font>
    <font>
      <sz val="10"/>
      <color indexed="12"/>
      <name val="Calibri"/>
      <family val="2"/>
    </font>
    <font>
      <sz val="10"/>
      <name val="Calibri"/>
      <family val="2"/>
    </font>
    <font>
      <b/>
      <sz val="8"/>
      <color theme="1"/>
      <name val="Calibri"/>
      <family val="2"/>
    </font>
    <font>
      <sz val="8"/>
      <name val="Calibri"/>
      <family val="2"/>
    </font>
    <font>
      <i/>
      <sz val="10"/>
      <color theme="1"/>
      <name val="Calibri"/>
      <family val="2"/>
    </font>
    <font>
      <i/>
      <u/>
      <sz val="8"/>
      <color theme="1"/>
      <name val="Calibri"/>
      <family val="2"/>
    </font>
    <font>
      <u/>
      <sz val="10"/>
      <color theme="1"/>
      <name val="Calibri"/>
      <family val="2"/>
    </font>
    <font>
      <sz val="8"/>
      <color indexed="12"/>
      <name val="Calibri"/>
      <family val="2"/>
    </font>
    <font>
      <u val="singleAccounting"/>
      <sz val="8"/>
      <color indexed="12"/>
      <name val="Calibri"/>
      <family val="2"/>
    </font>
    <font>
      <u val="singleAccounting"/>
      <sz val="8"/>
      <color theme="1"/>
      <name val="Calibri"/>
      <family val="2"/>
    </font>
    <font>
      <u/>
      <sz val="8"/>
      <color indexed="12"/>
      <name val="Calibri"/>
      <family val="2"/>
    </font>
    <font>
      <sz val="8"/>
      <color rgb="FF000000"/>
      <name val="Calibri"/>
      <family val="2"/>
    </font>
    <font>
      <u/>
      <sz val="8"/>
      <color rgb="FF0000FF"/>
      <name val="Calibri"/>
      <family val="2"/>
    </font>
    <font>
      <u/>
      <sz val="8"/>
      <name val="Calibri"/>
      <family val="2"/>
    </font>
    <font>
      <b/>
      <sz val="11"/>
      <color theme="0"/>
      <name val="Calibri"/>
      <family val="2"/>
    </font>
    <font>
      <b/>
      <sz val="10"/>
      <name val="Calibri"/>
      <family val="2"/>
    </font>
    <font>
      <b/>
      <sz val="8"/>
      <name val="Calibri"/>
      <family val="2"/>
    </font>
    <font>
      <sz val="8"/>
      <color theme="0"/>
      <name val="Calibri"/>
      <family val="2"/>
    </font>
    <font>
      <sz val="8"/>
      <color rgb="FF0000FF"/>
      <name val="Calibri"/>
      <family val="2"/>
    </font>
    <font>
      <b/>
      <sz val="10"/>
      <color theme="1"/>
      <name val="Calibri"/>
      <family val="2"/>
    </font>
    <font>
      <sz val="8"/>
      <color indexed="10"/>
      <name val="Calibri"/>
      <family val="2"/>
    </font>
    <font>
      <sz val="8"/>
      <color indexed="17"/>
      <name val="Calibri"/>
      <family val="2"/>
    </font>
    <font>
      <u/>
      <sz val="8"/>
      <color rgb="FF000000"/>
      <name val="Calibri"/>
      <family val="2"/>
    </font>
    <font>
      <u val="singleAccounting"/>
      <sz val="8"/>
      <color indexed="17"/>
      <name val="Calibri"/>
      <family val="2"/>
    </font>
    <font>
      <b/>
      <u/>
      <sz val="8"/>
      <color theme="1"/>
      <name val="Calibri"/>
      <family val="2"/>
    </font>
    <font>
      <b/>
      <sz val="12"/>
      <color theme="0"/>
      <name val="Calibri"/>
      <family val="2"/>
    </font>
    <font>
      <b/>
      <sz val="11"/>
      <name val="Calibri"/>
      <family val="2"/>
    </font>
    <font>
      <sz val="8"/>
      <color theme="1" tint="0.34998626667073579"/>
      <name val="Calibri"/>
      <family val="2"/>
    </font>
    <font>
      <u/>
      <sz val="8"/>
      <color theme="1" tint="0.34998626667073579"/>
      <name val="Calibri"/>
      <family val="2"/>
    </font>
    <font>
      <u val="singleAccounting"/>
      <sz val="8"/>
      <color theme="1" tint="0.34998626667073579"/>
      <name val="Calibri"/>
      <family val="2"/>
    </font>
    <font>
      <sz val="8"/>
      <color theme="1" tint="0.14999847407452621"/>
      <name val="Calibri"/>
      <family val="2"/>
    </font>
    <font>
      <b/>
      <sz val="11"/>
      <color theme="1"/>
      <name val="Calibri"/>
      <family val="2"/>
    </font>
    <font>
      <sz val="11"/>
      <color theme="1"/>
      <name val="Tw Cen MT"/>
      <family val="2"/>
      <scheme val="minor"/>
    </font>
    <font>
      <u val="singleAccounting"/>
      <sz val="10"/>
      <color theme="1"/>
      <name val="Calibri"/>
      <family val="2"/>
    </font>
    <font>
      <u val="singleAccounting"/>
      <sz val="10"/>
      <name val="Calibri"/>
      <family val="2"/>
    </font>
    <font>
      <i/>
      <sz val="10"/>
      <name val="Calibri"/>
      <family val="2"/>
    </font>
  </fonts>
  <fills count="20">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lightUp"/>
    </fill>
    <fill>
      <patternFill patternType="solid">
        <fgColor theme="4" tint="0.79998168889431442"/>
        <bgColor indexed="64"/>
      </patternFill>
    </fill>
    <fill>
      <patternFill patternType="solid">
        <fgColor theme="4"/>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gray0625">
        <bgColor theme="0" tint="-4.9989318521683403E-2"/>
      </patternFill>
    </fill>
    <fill>
      <patternFill patternType="solid">
        <fgColor rgb="FF002060"/>
        <bgColor indexed="64"/>
      </patternFill>
    </fill>
    <fill>
      <patternFill patternType="solid">
        <fgColor theme="0" tint="-0.249977111117893"/>
        <bgColor indexed="64"/>
      </patternFill>
    </fill>
    <fill>
      <patternFill patternType="solid">
        <fgColor rgb="FFDDDDDD"/>
        <bgColor indexed="64"/>
      </patternFill>
    </fill>
    <fill>
      <patternFill patternType="solid">
        <fgColor theme="3"/>
        <bgColor indexed="64"/>
      </patternFill>
    </fill>
    <fill>
      <patternFill patternType="solid">
        <fgColor theme="7" tint="0.79998168889431442"/>
        <bgColor indexed="64"/>
      </patternFill>
    </fill>
  </fills>
  <borders count="35">
    <border>
      <left/>
      <right/>
      <top/>
      <bottom/>
      <diagonal/>
    </border>
    <border>
      <left/>
      <right/>
      <top/>
      <bottom style="hair">
        <color auto="1"/>
      </bottom>
      <diagonal/>
    </border>
    <border>
      <left style="thin">
        <color theme="4"/>
      </left>
      <right style="thin">
        <color theme="4"/>
      </right>
      <top style="thin">
        <color theme="4"/>
      </top>
      <bottom style="thin">
        <color theme="4"/>
      </bottom>
      <diagonal/>
    </border>
    <border>
      <left/>
      <right/>
      <top/>
      <bottom style="thin">
        <color indexed="64"/>
      </bottom>
      <diagonal/>
    </border>
    <border>
      <left/>
      <right/>
      <top/>
      <bottom style="dashed">
        <color auto="1"/>
      </bottom>
      <diagonal/>
    </border>
    <border>
      <left/>
      <right/>
      <top style="dashed">
        <color auto="1"/>
      </top>
      <bottom/>
      <diagonal/>
    </border>
    <border>
      <left/>
      <right/>
      <top style="hair">
        <color auto="1"/>
      </top>
      <bottom style="hair">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5"/>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hair">
        <color auto="1"/>
      </left>
      <right/>
      <top/>
      <bottom/>
      <diagonal/>
    </border>
    <border>
      <left/>
      <right/>
      <top/>
      <bottom style="dotted">
        <color auto="1"/>
      </bottom>
      <diagonal/>
    </border>
    <border>
      <left/>
      <right/>
      <top style="thin">
        <color theme="5"/>
      </top>
      <bottom style="thin">
        <color theme="5"/>
      </bottom>
      <diagonal/>
    </border>
    <border>
      <left style="thin">
        <color theme="4"/>
      </left>
      <right/>
      <top style="thin">
        <color theme="5"/>
      </top>
      <bottom style="thin">
        <color theme="5"/>
      </bottom>
      <diagonal/>
    </border>
    <border>
      <left/>
      <right style="thin">
        <color theme="4"/>
      </right>
      <top style="thin">
        <color theme="5"/>
      </top>
      <bottom style="thin">
        <color theme="5"/>
      </bottom>
      <diagonal/>
    </border>
    <border>
      <left/>
      <right/>
      <top style="thin">
        <color theme="0" tint="-0.499984740745262"/>
      </top>
      <bottom style="thin">
        <color theme="0" tint="-0.499984740745262"/>
      </bottom>
      <diagonal/>
    </border>
    <border>
      <left style="thin">
        <color theme="7" tint="0.39997558519241921"/>
      </left>
      <right/>
      <top style="thin">
        <color theme="7" tint="0.39997558519241921"/>
      </top>
      <bottom/>
      <diagonal/>
    </border>
    <border>
      <left/>
      <right/>
      <top style="thin">
        <color theme="7" tint="0.39997558519241921"/>
      </top>
      <bottom/>
      <diagonal/>
    </border>
    <border>
      <left/>
      <right style="thin">
        <color theme="7" tint="0.39997558519241921"/>
      </right>
      <top style="thin">
        <color theme="7" tint="0.39997558519241921"/>
      </top>
      <bottom/>
      <diagonal/>
    </border>
    <border>
      <left/>
      <right/>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s>
  <cellStyleXfs count="3">
    <xf numFmtId="0" fontId="0" fillId="0" borderId="0"/>
    <xf numFmtId="0" fontId="34" fillId="0" borderId="0" applyNumberFormat="0" applyFill="0" applyBorder="0" applyAlignment="0" applyProtection="0"/>
    <xf numFmtId="9" fontId="83" fillId="0" borderId="0" applyFont="0" applyFill="0" applyBorder="0" applyAlignment="0" applyProtection="0"/>
  </cellStyleXfs>
  <cellXfs count="710">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7" fillId="0" borderId="0" xfId="0" applyFont="1" applyAlignment="1">
      <alignment horizontal="left"/>
    </xf>
    <xf numFmtId="0" fontId="5" fillId="0" borderId="0" xfId="0" applyFont="1"/>
    <xf numFmtId="169" fontId="5" fillId="0" borderId="0" xfId="0" applyNumberFormat="1" applyFont="1"/>
    <xf numFmtId="171" fontId="5" fillId="0" borderId="0" xfId="0" applyNumberFormat="1" applyFont="1"/>
    <xf numFmtId="0" fontId="3" fillId="3" borderId="0" xfId="0" applyFont="1" applyFill="1"/>
    <xf numFmtId="0" fontId="3" fillId="3" borderId="0" xfId="0" applyFont="1" applyFill="1" applyAlignment="1">
      <alignment horizontal="left"/>
    </xf>
    <xf numFmtId="0" fontId="0" fillId="3" borderId="0" xfId="0" applyFill="1"/>
    <xf numFmtId="3" fontId="0" fillId="0" borderId="0" xfId="0" applyNumberFormat="1"/>
    <xf numFmtId="15" fontId="0" fillId="0" borderId="0" xfId="0" applyNumberFormat="1"/>
    <xf numFmtId="0" fontId="14" fillId="0" borderId="0" xfId="0" applyFont="1"/>
    <xf numFmtId="3" fontId="14" fillId="0" borderId="0" xfId="0" applyNumberFormat="1" applyFont="1"/>
    <xf numFmtId="0" fontId="0" fillId="0" borderId="0" xfId="0" applyAlignment="1">
      <alignment horizontal="right" vertical="top"/>
    </xf>
    <xf numFmtId="172" fontId="0" fillId="0" borderId="0" xfId="0" applyNumberFormat="1" applyAlignment="1">
      <alignment horizontal="right" vertical="top"/>
    </xf>
    <xf numFmtId="173" fontId="0" fillId="0" borderId="0" xfId="0" applyNumberFormat="1" applyAlignment="1">
      <alignment horizontal="right" vertical="top"/>
    </xf>
    <xf numFmtId="0" fontId="15" fillId="0" borderId="0" xfId="0" applyFont="1"/>
    <xf numFmtId="0" fontId="5" fillId="4" borderId="0" xfId="0" applyFont="1" applyFill="1"/>
    <xf numFmtId="169" fontId="5" fillId="4" borderId="0" xfId="0" applyNumberFormat="1" applyFont="1" applyFill="1"/>
    <xf numFmtId="3" fontId="5" fillId="4" borderId="0" xfId="0" applyNumberFormat="1" applyFont="1" applyFill="1"/>
    <xf numFmtId="0" fontId="5" fillId="4" borderId="0" xfId="0" applyFont="1" applyFill="1" applyAlignment="1">
      <alignment horizontal="right"/>
    </xf>
    <xf numFmtId="41" fontId="5" fillId="0" borderId="0" xfId="0" applyNumberFormat="1" applyFont="1"/>
    <xf numFmtId="41" fontId="18" fillId="0" borderId="0" xfId="0" applyNumberFormat="1" applyFont="1"/>
    <xf numFmtId="0" fontId="3" fillId="2" borderId="0" xfId="0" applyFont="1" applyFill="1" applyAlignment="1">
      <alignment horizontal="center" vertical="center"/>
    </xf>
    <xf numFmtId="3" fontId="11" fillId="4" borderId="0" xfId="0" applyNumberFormat="1" applyFont="1" applyFill="1"/>
    <xf numFmtId="0" fontId="0" fillId="0" borderId="0" xfId="0" applyAlignment="1">
      <alignment horizontal="center"/>
    </xf>
    <xf numFmtId="9" fontId="5" fillId="4" borderId="0" xfId="0" applyNumberFormat="1" applyFont="1" applyFill="1"/>
    <xf numFmtId="174" fontId="5" fillId="4" borderId="0" xfId="0" applyNumberFormat="1" applyFont="1" applyFill="1"/>
    <xf numFmtId="0" fontId="20" fillId="0" borderId="0" xfId="0" applyFont="1"/>
    <xf numFmtId="41" fontId="17" fillId="0" borderId="0" xfId="0" applyNumberFormat="1" applyFont="1"/>
    <xf numFmtId="174" fontId="5" fillId="0" borderId="0" xfId="0" applyNumberFormat="1" applyFont="1"/>
    <xf numFmtId="0" fontId="25" fillId="0" borderId="0" xfId="0" applyFont="1" applyAlignment="1">
      <alignment horizontal="right"/>
    </xf>
    <xf numFmtId="0" fontId="9" fillId="0" borderId="0" xfId="0" applyFont="1"/>
    <xf numFmtId="0" fontId="29" fillId="0" borderId="0" xfId="0" applyFont="1" applyAlignment="1">
      <alignment horizontal="right" vertical="top"/>
    </xf>
    <xf numFmtId="10" fontId="29" fillId="0" borderId="0" xfId="0" applyNumberFormat="1" applyFont="1" applyAlignment="1">
      <alignment horizontal="left" vertical="top"/>
    </xf>
    <xf numFmtId="10" fontId="29" fillId="0" borderId="0" xfId="0" applyNumberFormat="1" applyFont="1" applyAlignment="1">
      <alignment horizontal="right" vertical="top"/>
    </xf>
    <xf numFmtId="186" fontId="29" fillId="0" borderId="0" xfId="0" applyNumberFormat="1" applyFont="1" applyAlignment="1">
      <alignment horizontal="left" vertical="top"/>
    </xf>
    <xf numFmtId="188" fontId="29" fillId="0" borderId="0" xfId="0" applyNumberFormat="1" applyFont="1" applyAlignment="1">
      <alignment horizontal="left" vertical="top"/>
    </xf>
    <xf numFmtId="0" fontId="3" fillId="7" borderId="0" xfId="0" applyFont="1" applyFill="1"/>
    <xf numFmtId="0" fontId="10" fillId="7" borderId="0" xfId="0" applyFont="1" applyFill="1"/>
    <xf numFmtId="0" fontId="10" fillId="7" borderId="0" xfId="0" applyFont="1" applyFill="1" applyAlignment="1">
      <alignment horizontal="left"/>
    </xf>
    <xf numFmtId="0" fontId="11" fillId="7" borderId="0" xfId="0" applyFont="1" applyFill="1" applyAlignment="1">
      <alignment horizontal="right"/>
    </xf>
    <xf numFmtId="0" fontId="4" fillId="7" borderId="0" xfId="0" applyFont="1" applyFill="1" applyAlignment="1">
      <alignment horizontal="left" indent="1"/>
    </xf>
    <xf numFmtId="0" fontId="3" fillId="7" borderId="0" xfId="0" quotePrefix="1" applyFont="1" applyFill="1" applyAlignment="1">
      <alignment horizontal="left" indent="1"/>
    </xf>
    <xf numFmtId="0" fontId="11" fillId="7" borderId="0" xfId="0" quotePrefix="1" applyFont="1" applyFill="1" applyAlignment="1">
      <alignment horizontal="right"/>
    </xf>
    <xf numFmtId="0" fontId="5" fillId="7" borderId="0" xfId="0" applyFont="1" applyFill="1" applyAlignment="1">
      <alignment horizontal="right"/>
    </xf>
    <xf numFmtId="9" fontId="5" fillId="7" borderId="0" xfId="0" applyNumberFormat="1" applyFont="1" applyFill="1" applyAlignment="1">
      <alignment horizontal="right"/>
    </xf>
    <xf numFmtId="10" fontId="5" fillId="7" borderId="0" xfId="0" applyNumberFormat="1" applyFont="1" applyFill="1" applyAlignment="1">
      <alignment horizontal="right"/>
    </xf>
    <xf numFmtId="41" fontId="5" fillId="7" borderId="0" xfId="0" applyNumberFormat="1" applyFont="1" applyFill="1" applyAlignment="1">
      <alignment horizontal="right"/>
    </xf>
    <xf numFmtId="41" fontId="12" fillId="7" borderId="0" xfId="0" applyNumberFormat="1" applyFont="1" applyFill="1" applyAlignment="1">
      <alignment horizontal="right"/>
    </xf>
    <xf numFmtId="41" fontId="11" fillId="7" borderId="0" xfId="0" applyNumberFormat="1" applyFont="1" applyFill="1" applyAlignment="1">
      <alignment horizontal="right"/>
    </xf>
    <xf numFmtId="41" fontId="19" fillId="7" borderId="0" xfId="0" applyNumberFormat="1" applyFont="1" applyFill="1" applyAlignment="1">
      <alignment horizontal="right"/>
    </xf>
    <xf numFmtId="0" fontId="6" fillId="7" borderId="0" xfId="0" applyFont="1" applyFill="1"/>
    <xf numFmtId="10" fontId="12" fillId="7" borderId="0" xfId="0" applyNumberFormat="1" applyFont="1" applyFill="1" applyAlignment="1">
      <alignment horizontal="right"/>
    </xf>
    <xf numFmtId="41" fontId="18" fillId="7" borderId="0" xfId="0" applyNumberFormat="1" applyFont="1" applyFill="1" applyAlignment="1">
      <alignment horizontal="right"/>
    </xf>
    <xf numFmtId="169" fontId="12" fillId="7" borderId="0" xfId="0" applyNumberFormat="1" applyFont="1" applyFill="1" applyAlignment="1">
      <alignment horizontal="right"/>
    </xf>
    <xf numFmtId="0" fontId="12" fillId="7" borderId="0" xfId="0" applyFont="1" applyFill="1" applyAlignment="1">
      <alignment horizontal="right"/>
    </xf>
    <xf numFmtId="169" fontId="8" fillId="7" borderId="0" xfId="0" applyNumberFormat="1" applyFont="1" applyFill="1" applyAlignment="1">
      <alignment horizontal="right"/>
    </xf>
    <xf numFmtId="41" fontId="8" fillId="7" borderId="0" xfId="0" applyNumberFormat="1" applyFont="1" applyFill="1" applyAlignment="1">
      <alignment horizontal="right"/>
    </xf>
    <xf numFmtId="0" fontId="4" fillId="7" borderId="0" xfId="0" applyFont="1" applyFill="1"/>
    <xf numFmtId="3" fontId="8" fillId="7" borderId="0" xfId="0" applyNumberFormat="1" applyFont="1" applyFill="1" applyAlignment="1">
      <alignment horizontal="right"/>
    </xf>
    <xf numFmtId="0" fontId="6" fillId="7" borderId="0" xfId="0" applyFont="1" applyFill="1" applyAlignment="1">
      <alignment horizontal="left" indent="1"/>
    </xf>
    <xf numFmtId="41" fontId="13" fillId="7" borderId="0" xfId="0" applyNumberFormat="1" applyFont="1" applyFill="1" applyAlignment="1">
      <alignment horizontal="right"/>
    </xf>
    <xf numFmtId="174" fontId="8" fillId="7" borderId="0" xfId="0" applyNumberFormat="1" applyFont="1" applyFill="1" applyAlignment="1">
      <alignment horizontal="right"/>
    </xf>
    <xf numFmtId="174" fontId="12" fillId="7" borderId="0" xfId="0" applyNumberFormat="1" applyFont="1" applyFill="1" applyAlignment="1">
      <alignment horizontal="right"/>
    </xf>
    <xf numFmtId="0" fontId="17" fillId="7" borderId="0" xfId="0" applyFont="1" applyFill="1" applyAlignment="1">
      <alignment horizontal="right"/>
    </xf>
    <xf numFmtId="9" fontId="12" fillId="7" borderId="0" xfId="0" applyNumberFormat="1" applyFont="1" applyFill="1" applyAlignment="1">
      <alignment horizontal="right"/>
    </xf>
    <xf numFmtId="9" fontId="8" fillId="7" borderId="0" xfId="0" applyNumberFormat="1" applyFont="1" applyFill="1" applyAlignment="1">
      <alignment horizontal="right"/>
    </xf>
    <xf numFmtId="41" fontId="24" fillId="7" borderId="0" xfId="0" applyNumberFormat="1" applyFont="1" applyFill="1" applyAlignment="1">
      <alignment horizontal="right"/>
    </xf>
    <xf numFmtId="0" fontId="8" fillId="7" borderId="0" xfId="0" applyFont="1" applyFill="1" applyAlignment="1">
      <alignment horizontal="left"/>
    </xf>
    <xf numFmtId="41" fontId="17" fillId="7" borderId="0" xfId="0" applyNumberFormat="1" applyFont="1" applyFill="1" applyAlignment="1">
      <alignment horizontal="right"/>
    </xf>
    <xf numFmtId="41" fontId="26" fillId="7" borderId="0" xfId="0" applyNumberFormat="1" applyFont="1" applyFill="1" applyAlignment="1">
      <alignment horizontal="right"/>
    </xf>
    <xf numFmtId="0" fontId="6" fillId="0" borderId="0" xfId="0" applyFont="1" applyAlignment="1">
      <alignment horizontal="left"/>
    </xf>
    <xf numFmtId="41" fontId="5" fillId="0" borderId="0" xfId="0" applyNumberFormat="1" applyFont="1" applyAlignment="1">
      <alignment horizontal="right"/>
    </xf>
    <xf numFmtId="41" fontId="12" fillId="0" borderId="0" xfId="0" applyNumberFormat="1" applyFont="1" applyAlignment="1">
      <alignment horizontal="right"/>
    </xf>
    <xf numFmtId="41" fontId="8" fillId="0" borderId="0" xfId="0" applyNumberFormat="1" applyFont="1" applyAlignment="1">
      <alignment horizontal="right"/>
    </xf>
    <xf numFmtId="43" fontId="5" fillId="0" borderId="0" xfId="0" applyNumberFormat="1" applyFont="1" applyAlignment="1">
      <alignment horizontal="right"/>
    </xf>
    <xf numFmtId="3" fontId="29" fillId="0" borderId="0" xfId="0" applyNumberFormat="1" applyFont="1" applyAlignment="1">
      <alignment horizontal="left" vertical="top"/>
    </xf>
    <xf numFmtId="0" fontId="5" fillId="0" borderId="0" xfId="0" applyFont="1" applyAlignment="1">
      <alignment vertical="top"/>
    </xf>
    <xf numFmtId="174" fontId="29" fillId="0" borderId="0" xfId="0" applyNumberFormat="1" applyFont="1" applyAlignment="1">
      <alignment horizontal="left" vertical="top"/>
    </xf>
    <xf numFmtId="15" fontId="11" fillId="0" borderId="0" xfId="0" applyNumberFormat="1" applyFont="1" applyAlignment="1">
      <alignment vertical="top"/>
    </xf>
    <xf numFmtId="169" fontId="0" fillId="0" borderId="0" xfId="0" applyNumberFormat="1"/>
    <xf numFmtId="41" fontId="0" fillId="0" borderId="0" xfId="0" applyNumberFormat="1"/>
    <xf numFmtId="0" fontId="0" fillId="4" borderId="0" xfId="0" applyFill="1"/>
    <xf numFmtId="0" fontId="5" fillId="4" borderId="0" xfId="0" applyFont="1" applyFill="1" applyAlignment="1">
      <alignment vertical="top"/>
    </xf>
    <xf numFmtId="41" fontId="12" fillId="3" borderId="0" xfId="0" applyNumberFormat="1" applyFont="1" applyFill="1" applyAlignment="1">
      <alignment horizontal="right"/>
    </xf>
    <xf numFmtId="41" fontId="24" fillId="3" borderId="0" xfId="0" applyNumberFormat="1" applyFont="1" applyFill="1" applyAlignment="1">
      <alignment horizontal="right"/>
    </xf>
    <xf numFmtId="43" fontId="5" fillId="3" borderId="0" xfId="0" applyNumberFormat="1" applyFont="1" applyFill="1" applyAlignment="1">
      <alignment horizontal="right"/>
    </xf>
    <xf numFmtId="0" fontId="13" fillId="7" borderId="0" xfId="0" applyFont="1" applyFill="1" applyAlignment="1">
      <alignment horizontal="right"/>
    </xf>
    <xf numFmtId="3" fontId="8" fillId="7" borderId="0" xfId="0" applyNumberFormat="1" applyFont="1" applyFill="1" applyAlignment="1">
      <alignment horizontal="left"/>
    </xf>
    <xf numFmtId="0" fontId="6" fillId="7" borderId="0" xfId="0" applyFont="1" applyFill="1" applyAlignment="1">
      <alignment horizontal="left"/>
    </xf>
    <xf numFmtId="43" fontId="5" fillId="7" borderId="0" xfId="0" applyNumberFormat="1" applyFont="1" applyFill="1" applyAlignment="1">
      <alignment horizontal="right"/>
    </xf>
    <xf numFmtId="43" fontId="17" fillId="7" borderId="0" xfId="0" applyNumberFormat="1" applyFont="1" applyFill="1" applyAlignment="1">
      <alignment horizontal="right"/>
    </xf>
    <xf numFmtId="43" fontId="12" fillId="7" borderId="0" xfId="0" applyNumberFormat="1" applyFont="1" applyFill="1" applyAlignment="1">
      <alignment horizontal="right"/>
    </xf>
    <xf numFmtId="0" fontId="1" fillId="0" borderId="0" xfId="0" applyFont="1"/>
    <xf numFmtId="0" fontId="1" fillId="0" borderId="0" xfId="0" applyFont="1" applyAlignment="1">
      <alignment vertical="top"/>
    </xf>
    <xf numFmtId="0" fontId="31" fillId="0" borderId="0" xfId="0" applyFont="1"/>
    <xf numFmtId="199" fontId="3" fillId="7" borderId="0" xfId="0" applyNumberFormat="1" applyFont="1" applyFill="1"/>
    <xf numFmtId="0" fontId="13" fillId="7" borderId="0" xfId="0" quotePrefix="1" applyFont="1" applyFill="1" applyAlignment="1">
      <alignment horizontal="right"/>
    </xf>
    <xf numFmtId="4" fontId="12" fillId="7" borderId="0" xfId="0" applyNumberFormat="1" applyFont="1" applyFill="1" applyAlignment="1">
      <alignment horizontal="right"/>
    </xf>
    <xf numFmtId="41" fontId="8" fillId="7" borderId="0" xfId="0" quotePrefix="1" applyNumberFormat="1" applyFont="1" applyFill="1" applyAlignment="1">
      <alignment horizontal="right"/>
    </xf>
    <xf numFmtId="169" fontId="19" fillId="7" borderId="0" xfId="0" applyNumberFormat="1" applyFont="1" applyFill="1" applyAlignment="1">
      <alignment horizontal="right"/>
    </xf>
    <xf numFmtId="10" fontId="19" fillId="7" borderId="0" xfId="0" applyNumberFormat="1" applyFont="1" applyFill="1" applyAlignment="1">
      <alignment horizontal="right"/>
    </xf>
    <xf numFmtId="4" fontId="19" fillId="7" borderId="0" xfId="0" applyNumberFormat="1" applyFont="1" applyFill="1" applyAlignment="1">
      <alignment horizontal="right"/>
    </xf>
    <xf numFmtId="0" fontId="12" fillId="7" borderId="0" xfId="0" applyFont="1" applyFill="1" applyAlignment="1">
      <alignment horizontal="left" indent="1"/>
    </xf>
    <xf numFmtId="10" fontId="8" fillId="7" borderId="0" xfId="0" applyNumberFormat="1" applyFont="1" applyFill="1" applyAlignment="1">
      <alignment horizontal="right"/>
    </xf>
    <xf numFmtId="4" fontId="8" fillId="7" borderId="0" xfId="0" applyNumberFormat="1" applyFont="1" applyFill="1" applyAlignment="1">
      <alignment horizontal="right"/>
    </xf>
    <xf numFmtId="43" fontId="18" fillId="7" borderId="0" xfId="0" applyNumberFormat="1" applyFont="1" applyFill="1" applyAlignment="1">
      <alignment horizontal="right"/>
    </xf>
    <xf numFmtId="0" fontId="13" fillId="7" borderId="0" xfId="0" applyFont="1" applyFill="1" applyAlignment="1">
      <alignment horizontal="left"/>
    </xf>
    <xf numFmtId="183" fontId="5" fillId="7" borderId="0" xfId="0" applyNumberFormat="1" applyFont="1" applyFill="1" applyAlignment="1">
      <alignment horizontal="right"/>
    </xf>
    <xf numFmtId="4" fontId="13" fillId="7" borderId="0" xfId="0" applyNumberFormat="1" applyFont="1" applyFill="1" applyAlignment="1">
      <alignment horizontal="right"/>
    </xf>
    <xf numFmtId="183" fontId="18" fillId="7" borderId="0" xfId="0" applyNumberFormat="1" applyFont="1" applyFill="1" applyAlignment="1">
      <alignment horizontal="right"/>
    </xf>
    <xf numFmtId="4" fontId="13" fillId="7" borderId="0" xfId="0" quotePrefix="1" applyNumberFormat="1" applyFont="1" applyFill="1" applyAlignment="1">
      <alignment horizontal="right"/>
    </xf>
    <xf numFmtId="41" fontId="23" fillId="7" borderId="0" xfId="0" applyNumberFormat="1" applyFont="1" applyFill="1" applyAlignment="1">
      <alignment horizontal="right"/>
    </xf>
    <xf numFmtId="0" fontId="21" fillId="7" borderId="0" xfId="0" applyFont="1" applyFill="1" applyAlignment="1">
      <alignment horizontal="left"/>
    </xf>
    <xf numFmtId="41" fontId="22" fillId="7" borderId="0" xfId="0" applyNumberFormat="1" applyFont="1" applyFill="1" applyAlignment="1">
      <alignment horizontal="right"/>
    </xf>
    <xf numFmtId="4" fontId="23" fillId="7" borderId="0" xfId="0" applyNumberFormat="1" applyFont="1" applyFill="1" applyAlignment="1">
      <alignment horizontal="right"/>
    </xf>
    <xf numFmtId="183" fontId="17" fillId="7" borderId="0" xfId="0" applyNumberFormat="1" applyFont="1" applyFill="1" applyAlignment="1">
      <alignment horizontal="right"/>
    </xf>
    <xf numFmtId="3" fontId="10" fillId="7" borderId="0" xfId="0" applyNumberFormat="1" applyFont="1" applyFill="1" applyAlignment="1">
      <alignment horizontal="left"/>
    </xf>
    <xf numFmtId="187" fontId="8" fillId="7" borderId="0" xfId="0" applyNumberFormat="1" applyFont="1" applyFill="1" applyAlignment="1">
      <alignment horizontal="left"/>
    </xf>
    <xf numFmtId="189" fontId="12" fillId="7" borderId="0" xfId="0" applyNumberFormat="1" applyFont="1" applyFill="1" applyAlignment="1">
      <alignment horizontal="right"/>
    </xf>
    <xf numFmtId="3" fontId="5" fillId="7" borderId="0" xfId="0" applyNumberFormat="1" applyFont="1" applyFill="1" applyAlignment="1">
      <alignment horizontal="left"/>
    </xf>
    <xf numFmtId="190" fontId="12" fillId="7" borderId="0" xfId="0" applyNumberFormat="1" applyFont="1" applyFill="1" applyAlignment="1">
      <alignment horizontal="right"/>
    </xf>
    <xf numFmtId="190" fontId="12" fillId="7" borderId="0" xfId="0" quotePrefix="1" applyNumberFormat="1" applyFont="1" applyFill="1" applyAlignment="1">
      <alignment horizontal="right"/>
    </xf>
    <xf numFmtId="174" fontId="12" fillId="7" borderId="0" xfId="0" quotePrefix="1" applyNumberFormat="1" applyFont="1" applyFill="1" applyAlignment="1">
      <alignment horizontal="right"/>
    </xf>
    <xf numFmtId="187" fontId="12" fillId="7" borderId="0" xfId="0" applyNumberFormat="1" applyFont="1" applyFill="1" applyAlignment="1">
      <alignment horizontal="right"/>
    </xf>
    <xf numFmtId="0" fontId="30" fillId="7" borderId="0" xfId="0" applyFont="1" applyFill="1" applyAlignment="1">
      <alignment horizontal="right"/>
    </xf>
    <xf numFmtId="187" fontId="22" fillId="7" borderId="0" xfId="0" applyNumberFormat="1" applyFont="1" applyFill="1" applyAlignment="1">
      <alignment horizontal="right"/>
    </xf>
    <xf numFmtId="3" fontId="23" fillId="7" borderId="0" xfId="0" quotePrefix="1" applyNumberFormat="1" applyFont="1" applyFill="1" applyAlignment="1">
      <alignment horizontal="right"/>
    </xf>
    <xf numFmtId="0" fontId="32" fillId="0" borderId="0" xfId="0" applyFont="1" applyAlignment="1">
      <alignment horizontal="right"/>
    </xf>
    <xf numFmtId="0" fontId="19" fillId="7" borderId="0" xfId="0" applyFont="1" applyFill="1" applyAlignment="1">
      <alignment horizontal="right"/>
    </xf>
    <xf numFmtId="0" fontId="9" fillId="7" borderId="0" xfId="0" applyFont="1" applyFill="1" applyAlignment="1">
      <alignment horizontal="right"/>
    </xf>
    <xf numFmtId="169" fontId="28" fillId="7" borderId="0" xfId="0" applyNumberFormat="1" applyFont="1" applyFill="1" applyAlignment="1">
      <alignment horizontal="right"/>
    </xf>
    <xf numFmtId="41" fontId="21" fillId="7" borderId="0" xfId="0" applyNumberFormat="1" applyFont="1" applyFill="1" applyAlignment="1">
      <alignment horizontal="right"/>
    </xf>
    <xf numFmtId="43" fontId="9" fillId="7" borderId="0" xfId="0" applyNumberFormat="1" applyFont="1" applyFill="1" applyAlignment="1">
      <alignment horizontal="right"/>
    </xf>
    <xf numFmtId="10" fontId="27" fillId="7" borderId="0" xfId="0" applyNumberFormat="1" applyFont="1" applyFill="1" applyAlignment="1">
      <alignment horizontal="right"/>
    </xf>
    <xf numFmtId="0" fontId="0" fillId="0" borderId="0" xfId="0" applyAlignment="1">
      <alignment horizontal="left" indent="1"/>
    </xf>
    <xf numFmtId="0" fontId="35" fillId="0" borderId="0" xfId="0" applyFont="1"/>
    <xf numFmtId="0" fontId="3" fillId="0" borderId="0" xfId="0" applyFont="1" applyAlignment="1">
      <alignment horizontal="left" indent="1"/>
    </xf>
    <xf numFmtId="0" fontId="3" fillId="0" borderId="0" xfId="0" applyFont="1" applyAlignment="1">
      <alignment horizontal="left" indent="2"/>
    </xf>
    <xf numFmtId="4" fontId="29" fillId="0" borderId="0" xfId="0" applyNumberFormat="1" applyFont="1" applyAlignment="1">
      <alignment horizontal="left" vertical="top"/>
    </xf>
    <xf numFmtId="0" fontId="3" fillId="11" borderId="0" xfId="0" applyFont="1" applyFill="1"/>
    <xf numFmtId="0" fontId="0" fillId="11" borderId="0" xfId="0" applyFill="1"/>
    <xf numFmtId="0" fontId="3" fillId="11" borderId="0" xfId="0" applyFont="1" applyFill="1" applyAlignment="1">
      <alignment horizontal="right"/>
    </xf>
    <xf numFmtId="0" fontId="1" fillId="13" borderId="0" xfId="0" applyFont="1" applyFill="1"/>
    <xf numFmtId="0" fontId="16" fillId="13" borderId="0" xfId="0" applyFont="1" applyFill="1" applyAlignment="1">
      <alignment horizontal="right"/>
    </xf>
    <xf numFmtId="0" fontId="33" fillId="13" borderId="0" xfId="0" applyFont="1" applyFill="1"/>
    <xf numFmtId="0" fontId="38" fillId="0" borderId="0" xfId="0" applyFont="1"/>
    <xf numFmtId="0" fontId="39" fillId="0" borderId="0" xfId="0" applyFont="1"/>
    <xf numFmtId="0" fontId="40" fillId="0" borderId="0" xfId="0" applyFont="1"/>
    <xf numFmtId="0" fontId="40" fillId="4" borderId="0" xfId="0" applyFont="1" applyFill="1"/>
    <xf numFmtId="0" fontId="40" fillId="4" borderId="0" xfId="0" applyFont="1" applyFill="1" applyAlignment="1">
      <alignment horizontal="right"/>
    </xf>
    <xf numFmtId="0" fontId="41" fillId="0" borderId="0" xfId="0" applyFont="1" applyAlignment="1">
      <alignment horizontal="left"/>
    </xf>
    <xf numFmtId="0" fontId="42" fillId="0" borderId="0" xfId="0" applyFont="1" applyAlignment="1">
      <alignment horizontal="right"/>
    </xf>
    <xf numFmtId="0" fontId="40" fillId="0" borderId="0" xfId="0" applyFont="1" applyAlignment="1">
      <alignment horizontal="right"/>
    </xf>
    <xf numFmtId="171" fontId="40" fillId="0" borderId="0" xfId="0" applyNumberFormat="1" applyFont="1"/>
    <xf numFmtId="171" fontId="43" fillId="4" borderId="0" xfId="0" applyNumberFormat="1" applyFont="1" applyFill="1"/>
    <xf numFmtId="0" fontId="44" fillId="0" borderId="0" xfId="0" applyFont="1" applyAlignment="1">
      <alignment horizontal="right"/>
    </xf>
    <xf numFmtId="169" fontId="44" fillId="0" borderId="0" xfId="0" applyNumberFormat="1" applyFont="1"/>
    <xf numFmtId="169" fontId="40" fillId="4" borderId="0" xfId="0" applyNumberFormat="1" applyFont="1" applyFill="1"/>
    <xf numFmtId="0" fontId="45" fillId="0" borderId="0" xfId="0" applyFont="1" applyAlignment="1">
      <alignment vertical="top"/>
    </xf>
    <xf numFmtId="0" fontId="45" fillId="0" borderId="0" xfId="0" applyFont="1" applyAlignment="1">
      <alignment horizontal="right" vertical="top"/>
    </xf>
    <xf numFmtId="10" fontId="45" fillId="0" borderId="0" xfId="0" applyNumberFormat="1" applyFont="1" applyAlignment="1">
      <alignment horizontal="left" vertical="top"/>
    </xf>
    <xf numFmtId="10" fontId="45" fillId="0" borderId="0" xfId="0" applyNumberFormat="1" applyFont="1" applyAlignment="1">
      <alignment horizontal="right" vertical="top"/>
    </xf>
    <xf numFmtId="186" fontId="45" fillId="0" borderId="0" xfId="0" applyNumberFormat="1" applyFont="1" applyAlignment="1">
      <alignment horizontal="left" vertical="top"/>
    </xf>
    <xf numFmtId="188" fontId="45" fillId="0" borderId="0" xfId="0" applyNumberFormat="1" applyFont="1" applyAlignment="1">
      <alignment horizontal="left" vertical="top"/>
    </xf>
    <xf numFmtId="0" fontId="46" fillId="0" borderId="0" xfId="0" applyFont="1" applyAlignment="1">
      <alignment vertical="top"/>
    </xf>
    <xf numFmtId="0" fontId="47" fillId="6" borderId="2" xfId="0" applyFont="1" applyFill="1" applyBorder="1" applyAlignment="1">
      <alignment horizontal="center" vertical="top"/>
    </xf>
    <xf numFmtId="0" fontId="48" fillId="0" borderId="2" xfId="0" applyFont="1" applyBorder="1" applyAlignment="1">
      <alignment horizontal="center" vertical="top"/>
    </xf>
    <xf numFmtId="0" fontId="45" fillId="4" borderId="0" xfId="0" applyFont="1" applyFill="1" applyAlignment="1">
      <alignment vertical="top"/>
    </xf>
    <xf numFmtId="0" fontId="45" fillId="4" borderId="0" xfId="0" applyFont="1" applyFill="1" applyAlignment="1">
      <alignment horizontal="right" vertical="top"/>
    </xf>
    <xf numFmtId="0" fontId="47" fillId="0" borderId="0" xfId="0" applyFont="1" applyAlignment="1">
      <alignment horizontal="center" vertical="top"/>
    </xf>
    <xf numFmtId="0" fontId="48" fillId="0" borderId="0" xfId="0" applyFont="1" applyAlignment="1">
      <alignment horizontal="center" vertical="top"/>
    </xf>
    <xf numFmtId="0" fontId="40" fillId="4" borderId="3" xfId="0" applyFont="1" applyFill="1" applyBorder="1"/>
    <xf numFmtId="0" fontId="40" fillId="4" borderId="3" xfId="0" applyFont="1" applyFill="1" applyBorder="1" applyAlignment="1">
      <alignment horizontal="right"/>
    </xf>
    <xf numFmtId="0" fontId="51" fillId="7" borderId="14" xfId="0" applyFont="1" applyFill="1" applyBorder="1" applyAlignment="1">
      <alignment horizontal="right"/>
    </xf>
    <xf numFmtId="0" fontId="40" fillId="9" borderId="0" xfId="0" applyFont="1" applyFill="1"/>
    <xf numFmtId="0" fontId="49" fillId="7" borderId="0" xfId="0" applyFont="1" applyFill="1"/>
    <xf numFmtId="0" fontId="40" fillId="7" borderId="0" xfId="0" applyFont="1" applyFill="1"/>
    <xf numFmtId="0" fontId="51" fillId="7" borderId="0" xfId="0" applyFont="1" applyFill="1" applyAlignment="1">
      <alignment horizontal="right"/>
    </xf>
    <xf numFmtId="4" fontId="49" fillId="7" borderId="0" xfId="0" applyNumberFormat="1" applyFont="1" applyFill="1"/>
    <xf numFmtId="164" fontId="51" fillId="7" borderId="0" xfId="0" applyNumberFormat="1" applyFont="1" applyFill="1" applyAlignment="1">
      <alignment horizontal="right"/>
    </xf>
    <xf numFmtId="170" fontId="51" fillId="7" borderId="0" xfId="0" applyNumberFormat="1" applyFont="1" applyFill="1" applyAlignment="1">
      <alignment horizontal="right"/>
    </xf>
    <xf numFmtId="169" fontId="40" fillId="7" borderId="0" xfId="0" applyNumberFormat="1" applyFont="1" applyFill="1"/>
    <xf numFmtId="170" fontId="52" fillId="7" borderId="0" xfId="0" applyNumberFormat="1" applyFont="1" applyFill="1" applyAlignment="1">
      <alignment horizontal="right"/>
    </xf>
    <xf numFmtId="3" fontId="40" fillId="7" borderId="0" xfId="0" applyNumberFormat="1" applyFont="1" applyFill="1" applyAlignment="1">
      <alignment horizontal="right"/>
    </xf>
    <xf numFmtId="165" fontId="51" fillId="7" borderId="0" xfId="0" applyNumberFormat="1" applyFont="1" applyFill="1" applyAlignment="1">
      <alignment horizontal="right"/>
    </xf>
    <xf numFmtId="167" fontId="51" fillId="7" borderId="0" xfId="0" applyNumberFormat="1" applyFont="1" applyFill="1" applyAlignment="1">
      <alignment horizontal="right"/>
    </xf>
    <xf numFmtId="0" fontId="52" fillId="7" borderId="0" xfId="0" applyFont="1" applyFill="1" applyAlignment="1">
      <alignment horizontal="right"/>
    </xf>
    <xf numFmtId="167" fontId="52" fillId="7" borderId="0" xfId="0" applyNumberFormat="1" applyFont="1" applyFill="1" applyAlignment="1">
      <alignment horizontal="right"/>
    </xf>
    <xf numFmtId="4" fontId="52" fillId="7" borderId="0" xfId="0" applyNumberFormat="1" applyFont="1" applyFill="1" applyAlignment="1">
      <alignment horizontal="right"/>
    </xf>
    <xf numFmtId="168" fontId="52" fillId="7" borderId="0" xfId="0" applyNumberFormat="1" applyFont="1" applyFill="1" applyAlignment="1">
      <alignment horizontal="right"/>
    </xf>
    <xf numFmtId="3" fontId="51" fillId="7" borderId="0" xfId="0" applyNumberFormat="1" applyFont="1" applyFill="1"/>
    <xf numFmtId="0" fontId="40" fillId="7" borderId="0" xfId="0" applyFont="1" applyFill="1" applyAlignment="1">
      <alignment horizontal="right"/>
    </xf>
    <xf numFmtId="3" fontId="52" fillId="7" borderId="0" xfId="0" applyNumberFormat="1" applyFont="1" applyFill="1"/>
    <xf numFmtId="3" fontId="52" fillId="7" borderId="0" xfId="0" applyNumberFormat="1" applyFont="1" applyFill="1" applyAlignment="1">
      <alignment horizontal="right"/>
    </xf>
    <xf numFmtId="192" fontId="52" fillId="7" borderId="0" xfId="0" applyNumberFormat="1" applyFont="1" applyFill="1" applyAlignment="1">
      <alignment horizontal="right"/>
    </xf>
    <xf numFmtId="171" fontId="40" fillId="0" borderId="0" xfId="0" applyNumberFormat="1" applyFont="1" applyAlignment="1">
      <alignment horizontal="right"/>
    </xf>
    <xf numFmtId="169" fontId="40" fillId="0" borderId="0" xfId="0" applyNumberFormat="1" applyFont="1"/>
    <xf numFmtId="0" fontId="53" fillId="4" borderId="0" xfId="0" applyFont="1" applyFill="1"/>
    <xf numFmtId="167" fontId="54" fillId="4" borderId="0" xfId="0" applyNumberFormat="1" applyFont="1" applyFill="1" applyAlignment="1">
      <alignment horizontal="left"/>
    </xf>
    <xf numFmtId="171" fontId="40" fillId="4" borderId="0" xfId="0" applyNumberFormat="1" applyFont="1" applyFill="1" applyAlignment="1">
      <alignment horizontal="right"/>
    </xf>
    <xf numFmtId="169" fontId="43" fillId="4" borderId="0" xfId="0" applyNumberFormat="1" applyFont="1" applyFill="1" applyAlignment="1">
      <alignment horizontal="right"/>
    </xf>
    <xf numFmtId="15" fontId="44" fillId="0" borderId="0" xfId="0" applyNumberFormat="1" applyFont="1"/>
    <xf numFmtId="0" fontId="44" fillId="4" borderId="0" xfId="0" applyFont="1" applyFill="1" applyAlignment="1">
      <alignment horizontal="right"/>
    </xf>
    <xf numFmtId="15" fontId="56" fillId="4" borderId="0" xfId="0" applyNumberFormat="1" applyFont="1" applyFill="1" applyAlignment="1">
      <alignment horizontal="right"/>
    </xf>
    <xf numFmtId="0" fontId="57" fillId="7" borderId="0" xfId="0" applyFont="1" applyFill="1"/>
    <xf numFmtId="0" fontId="44" fillId="7" borderId="0" xfId="0" applyFont="1" applyFill="1" applyAlignment="1">
      <alignment horizontal="right"/>
    </xf>
    <xf numFmtId="0" fontId="44" fillId="7" borderId="0" xfId="0" quotePrefix="1" applyFont="1" applyFill="1" applyAlignment="1">
      <alignment horizontal="right"/>
    </xf>
    <xf numFmtId="10" fontId="40" fillId="0" borderId="0" xfId="0" applyNumberFormat="1" applyFont="1" applyAlignment="1">
      <alignment horizontal="right"/>
    </xf>
    <xf numFmtId="10" fontId="40" fillId="0" borderId="0" xfId="0" applyNumberFormat="1" applyFont="1"/>
    <xf numFmtId="0" fontId="51" fillId="7" borderId="0" xfId="0" applyFont="1" applyFill="1" applyAlignment="1">
      <alignment horizontal="left" indent="1"/>
    </xf>
    <xf numFmtId="169" fontId="58" fillId="7" borderId="0" xfId="0" applyNumberFormat="1" applyFont="1" applyFill="1" applyAlignment="1">
      <alignment horizontal="right"/>
    </xf>
    <xf numFmtId="0" fontId="58" fillId="7" borderId="0" xfId="0" applyFont="1" applyFill="1" applyAlignment="1">
      <alignment horizontal="right"/>
    </xf>
    <xf numFmtId="43" fontId="40" fillId="7" borderId="0" xfId="0" applyNumberFormat="1" applyFont="1" applyFill="1" applyAlignment="1">
      <alignment horizontal="right"/>
    </xf>
    <xf numFmtId="41" fontId="40" fillId="7" borderId="0" xfId="0" applyNumberFormat="1" applyFont="1" applyFill="1" applyAlignment="1">
      <alignment horizontal="right"/>
    </xf>
    <xf numFmtId="41" fontId="58" fillId="7" borderId="0" xfId="0" applyNumberFormat="1" applyFont="1" applyFill="1" applyAlignment="1">
      <alignment horizontal="right"/>
    </xf>
    <xf numFmtId="41" fontId="40" fillId="0" borderId="0" xfId="0" applyNumberFormat="1" applyFont="1"/>
    <xf numFmtId="3" fontId="40" fillId="4" borderId="0" xfId="0" applyNumberFormat="1" applyFont="1" applyFill="1"/>
    <xf numFmtId="15" fontId="40" fillId="4" borderId="0" xfId="0" applyNumberFormat="1" applyFont="1" applyFill="1"/>
    <xf numFmtId="4" fontId="40" fillId="4" borderId="0" xfId="0" applyNumberFormat="1" applyFont="1" applyFill="1" applyAlignment="1">
      <alignment horizontal="right"/>
    </xf>
    <xf numFmtId="41" fontId="44" fillId="7" borderId="0" xfId="0" applyNumberFormat="1" applyFont="1" applyFill="1" applyAlignment="1">
      <alignment horizontal="right"/>
    </xf>
    <xf numFmtId="41" fontId="59" fillId="7" borderId="0" xfId="0" applyNumberFormat="1" applyFont="1" applyFill="1" applyAlignment="1">
      <alignment horizontal="right"/>
    </xf>
    <xf numFmtId="41" fontId="60" fillId="0" borderId="0" xfId="0" applyNumberFormat="1" applyFont="1"/>
    <xf numFmtId="0" fontId="52" fillId="7" borderId="0" xfId="0" applyFont="1" applyFill="1"/>
    <xf numFmtId="169" fontId="54" fillId="7" borderId="0" xfId="0" applyNumberFormat="1" applyFont="1" applyFill="1" applyAlignment="1">
      <alignment horizontal="right"/>
    </xf>
    <xf numFmtId="41" fontId="54" fillId="7" borderId="0" xfId="0" applyNumberFormat="1" applyFont="1" applyFill="1" applyAlignment="1">
      <alignment horizontal="right"/>
    </xf>
    <xf numFmtId="0" fontId="40" fillId="4" borderId="0" xfId="0" applyFont="1" applyFill="1" applyAlignment="1">
      <alignment horizontal="left"/>
    </xf>
    <xf numFmtId="0" fontId="51" fillId="7" borderId="0" xfId="0" applyFont="1" applyFill="1"/>
    <xf numFmtId="3" fontId="58" fillId="7" borderId="0" xfId="0" applyNumberFormat="1" applyFont="1" applyFill="1" applyAlignment="1">
      <alignment horizontal="right"/>
    </xf>
    <xf numFmtId="41" fontId="61" fillId="7" borderId="0" xfId="0" applyNumberFormat="1" applyFont="1" applyFill="1" applyAlignment="1">
      <alignment horizontal="right"/>
    </xf>
    <xf numFmtId="0" fontId="52" fillId="7" borderId="0" xfId="0" applyFont="1" applyFill="1" applyAlignment="1">
      <alignment horizontal="left" indent="1"/>
    </xf>
    <xf numFmtId="10" fontId="62" fillId="7" borderId="0" xfId="0" applyNumberFormat="1" applyFont="1" applyFill="1" applyAlignment="1">
      <alignment horizontal="right"/>
    </xf>
    <xf numFmtId="198" fontId="44" fillId="7" borderId="0" xfId="0" applyNumberFormat="1" applyFont="1" applyFill="1" applyAlignment="1">
      <alignment horizontal="right"/>
    </xf>
    <xf numFmtId="41" fontId="63" fillId="7" borderId="0" xfId="0" applyNumberFormat="1" applyFont="1" applyFill="1" applyAlignment="1">
      <alignment horizontal="right"/>
    </xf>
    <xf numFmtId="43" fontId="58" fillId="7" borderId="0" xfId="0" applyNumberFormat="1" applyFont="1" applyFill="1" applyAlignment="1">
      <alignment horizontal="right"/>
    </xf>
    <xf numFmtId="0" fontId="54" fillId="7" borderId="0" xfId="0" applyFont="1" applyFill="1" applyAlignment="1">
      <alignment horizontal="right"/>
    </xf>
    <xf numFmtId="43" fontId="54" fillId="7" borderId="0" xfId="0" applyNumberFormat="1" applyFont="1" applyFill="1" applyAlignment="1">
      <alignment horizontal="right"/>
    </xf>
    <xf numFmtId="3" fontId="54" fillId="7" borderId="0" xfId="0" applyNumberFormat="1" applyFont="1" applyFill="1" applyAlignment="1">
      <alignment horizontal="right"/>
    </xf>
    <xf numFmtId="0" fontId="54" fillId="0" borderId="0" xfId="0" applyFont="1"/>
    <xf numFmtId="41" fontId="54" fillId="0" borderId="0" xfId="0" applyNumberFormat="1" applyFont="1"/>
    <xf numFmtId="0" fontId="54" fillId="4" borderId="0" xfId="0" applyFont="1" applyFill="1"/>
    <xf numFmtId="0" fontId="54" fillId="4" borderId="0" xfId="0" applyFont="1" applyFill="1" applyAlignment="1">
      <alignment horizontal="right"/>
    </xf>
    <xf numFmtId="169" fontId="64" fillId="7" borderId="0" xfId="0" applyNumberFormat="1" applyFont="1" applyFill="1" applyAlignment="1">
      <alignment horizontal="right"/>
    </xf>
    <xf numFmtId="3" fontId="53" fillId="4" borderId="0" xfId="0" applyNumberFormat="1" applyFont="1" applyFill="1"/>
    <xf numFmtId="169" fontId="44" fillId="4" borderId="0" xfId="0" applyNumberFormat="1" applyFont="1" applyFill="1"/>
    <xf numFmtId="174" fontId="58" fillId="7" borderId="0" xfId="0" applyNumberFormat="1" applyFont="1" applyFill="1" applyAlignment="1">
      <alignment horizontal="right"/>
    </xf>
    <xf numFmtId="3" fontId="40" fillId="4" borderId="0" xfId="0" applyNumberFormat="1" applyFont="1" applyFill="1" applyAlignment="1">
      <alignment horizontal="right"/>
    </xf>
    <xf numFmtId="3" fontId="44" fillId="4" borderId="0" xfId="0" applyNumberFormat="1" applyFont="1" applyFill="1" applyAlignment="1">
      <alignment horizontal="right"/>
    </xf>
    <xf numFmtId="3" fontId="44" fillId="4" borderId="0" xfId="0" applyNumberFormat="1" applyFont="1" applyFill="1"/>
    <xf numFmtId="43" fontId="64" fillId="7" borderId="0" xfId="0" applyNumberFormat="1" applyFont="1" applyFill="1" applyAlignment="1">
      <alignment horizontal="right"/>
    </xf>
    <xf numFmtId="41" fontId="64" fillId="7" borderId="0" xfId="0" applyNumberFormat="1" applyFont="1" applyFill="1" applyAlignment="1">
      <alignment horizontal="right"/>
    </xf>
    <xf numFmtId="41" fontId="44" fillId="0" borderId="0" xfId="0" applyNumberFormat="1" applyFont="1"/>
    <xf numFmtId="0" fontId="44" fillId="4" borderId="0" xfId="0" applyFont="1" applyFill="1"/>
    <xf numFmtId="0" fontId="40" fillId="4" borderId="0" xfId="0" applyFont="1" applyFill="1" applyAlignment="1">
      <alignment horizontal="left" indent="1"/>
    </xf>
    <xf numFmtId="0" fontId="65" fillId="0" borderId="0" xfId="0" applyFont="1"/>
    <xf numFmtId="0" fontId="66" fillId="7" borderId="1" xfId="0" applyFont="1" applyFill="1" applyBorder="1"/>
    <xf numFmtId="0" fontId="53" fillId="7" borderId="1" xfId="0" applyFont="1" applyFill="1" applyBorder="1" applyAlignment="1">
      <alignment horizontal="right"/>
    </xf>
    <xf numFmtId="169" fontId="53" fillId="7" borderId="1" xfId="0" applyNumberFormat="1" applyFont="1" applyFill="1" applyBorder="1" applyAlignment="1">
      <alignment horizontal="right"/>
    </xf>
    <xf numFmtId="43" fontId="67" fillId="7" borderId="1" xfId="0" applyNumberFormat="1" applyFont="1" applyFill="1" applyBorder="1" applyAlignment="1">
      <alignment horizontal="right"/>
    </xf>
    <xf numFmtId="3" fontId="67" fillId="7" borderId="1" xfId="0" applyNumberFormat="1" applyFont="1" applyFill="1" applyBorder="1" applyAlignment="1">
      <alignment horizontal="right"/>
    </xf>
    <xf numFmtId="0" fontId="53" fillId="0" borderId="0" xfId="0" applyFont="1"/>
    <xf numFmtId="41" fontId="53" fillId="0" borderId="0" xfId="0" applyNumberFormat="1" applyFont="1"/>
    <xf numFmtId="43" fontId="44" fillId="7" borderId="0" xfId="0" quotePrefix="1" applyNumberFormat="1" applyFont="1" applyFill="1" applyAlignment="1">
      <alignment horizontal="right"/>
    </xf>
    <xf numFmtId="0" fontId="49" fillId="7" borderId="0" xfId="0" applyFont="1" applyFill="1" applyAlignment="1">
      <alignment horizontal="left" indent="1"/>
    </xf>
    <xf numFmtId="174" fontId="40" fillId="7" borderId="0" xfId="0" applyNumberFormat="1" applyFont="1" applyFill="1" applyAlignment="1">
      <alignment horizontal="right"/>
    </xf>
    <xf numFmtId="174" fontId="54" fillId="7" borderId="0" xfId="0" applyNumberFormat="1" applyFont="1" applyFill="1" applyAlignment="1">
      <alignment horizontal="right"/>
    </xf>
    <xf numFmtId="0" fontId="43" fillId="0" borderId="0" xfId="0" applyFont="1"/>
    <xf numFmtId="0" fontId="56" fillId="0" borderId="0" xfId="0" applyFont="1"/>
    <xf numFmtId="10" fontId="40" fillId="7" borderId="0" xfId="0" applyNumberFormat="1" applyFont="1" applyFill="1" applyAlignment="1">
      <alignment horizontal="right"/>
    </xf>
    <xf numFmtId="174" fontId="64" fillId="7" borderId="0" xfId="0" applyNumberFormat="1" applyFont="1" applyFill="1" applyAlignment="1">
      <alignment horizontal="right"/>
    </xf>
    <xf numFmtId="43" fontId="44" fillId="7" borderId="0" xfId="0" applyNumberFormat="1" applyFont="1" applyFill="1" applyAlignment="1">
      <alignment horizontal="right"/>
    </xf>
    <xf numFmtId="0" fontId="43" fillId="0" borderId="0" xfId="0" applyFont="1" applyAlignment="1">
      <alignment horizontal="right"/>
    </xf>
    <xf numFmtId="41" fontId="43" fillId="0" borderId="0" xfId="0" applyNumberFormat="1" applyFont="1"/>
    <xf numFmtId="10" fontId="40" fillId="4" borderId="0" xfId="0" applyNumberFormat="1" applyFont="1" applyFill="1"/>
    <xf numFmtId="3" fontId="43" fillId="4" borderId="0" xfId="0" applyNumberFormat="1" applyFont="1" applyFill="1" applyAlignment="1">
      <alignment horizontal="right"/>
    </xf>
    <xf numFmtId="3" fontId="43" fillId="4" borderId="0" xfId="0" applyNumberFormat="1" applyFont="1" applyFill="1"/>
    <xf numFmtId="174" fontId="40" fillId="7" borderId="0" xfId="0" applyNumberFormat="1" applyFont="1" applyFill="1" applyAlignment="1">
      <alignment horizontal="left"/>
    </xf>
    <xf numFmtId="0" fontId="57" fillId="7" borderId="0" xfId="0" applyFont="1" applyFill="1" applyAlignment="1">
      <alignment horizontal="left" indent="1"/>
    </xf>
    <xf numFmtId="174" fontId="44" fillId="7" borderId="0" xfId="0" applyNumberFormat="1" applyFont="1" applyFill="1" applyAlignment="1">
      <alignment horizontal="right"/>
    </xf>
    <xf numFmtId="3" fontId="44" fillId="7" borderId="0" xfId="0" applyNumberFormat="1" applyFont="1" applyFill="1" applyAlignment="1">
      <alignment horizontal="right"/>
    </xf>
    <xf numFmtId="0" fontId="51" fillId="7" borderId="0" xfId="0" applyFont="1" applyFill="1" applyAlignment="1">
      <alignment horizontal="left" indent="2"/>
    </xf>
    <xf numFmtId="0" fontId="62" fillId="7" borderId="0" xfId="0" applyFont="1" applyFill="1" applyAlignment="1">
      <alignment horizontal="right"/>
    </xf>
    <xf numFmtId="10" fontId="58" fillId="7" borderId="0" xfId="0" applyNumberFormat="1" applyFont="1" applyFill="1" applyAlignment="1">
      <alignment horizontal="right"/>
    </xf>
    <xf numFmtId="10" fontId="68" fillId="0" borderId="0" xfId="0" applyNumberFormat="1" applyFont="1"/>
    <xf numFmtId="0" fontId="69" fillId="7" borderId="0" xfId="0" applyFont="1" applyFill="1" applyAlignment="1">
      <alignment horizontal="right"/>
    </xf>
    <xf numFmtId="0" fontId="49" fillId="7" borderId="0" xfId="0" applyFont="1" applyFill="1" applyAlignment="1">
      <alignment horizontal="left"/>
    </xf>
    <xf numFmtId="176" fontId="40" fillId="7" borderId="0" xfId="0" applyNumberFormat="1" applyFont="1" applyFill="1" applyAlignment="1">
      <alignment horizontal="right"/>
    </xf>
    <xf numFmtId="176" fontId="58" fillId="7" borderId="0" xfId="0" applyNumberFormat="1" applyFont="1" applyFill="1" applyAlignment="1">
      <alignment horizontal="right"/>
    </xf>
    <xf numFmtId="175" fontId="40" fillId="7" borderId="0" xfId="0" applyNumberFormat="1" applyFont="1" applyFill="1" applyAlignment="1">
      <alignment horizontal="right"/>
    </xf>
    <xf numFmtId="0" fontId="70" fillId="7" borderId="0" xfId="0" applyFont="1" applyFill="1"/>
    <xf numFmtId="0" fontId="53" fillId="7" borderId="0" xfId="0" applyFont="1" applyFill="1" applyAlignment="1">
      <alignment horizontal="right"/>
    </xf>
    <xf numFmtId="174" fontId="67" fillId="7" borderId="0" xfId="0" applyNumberFormat="1" applyFont="1" applyFill="1" applyAlignment="1">
      <alignment horizontal="right"/>
    </xf>
    <xf numFmtId="43" fontId="53" fillId="7" borderId="0" xfId="0" applyNumberFormat="1" applyFont="1" applyFill="1" applyAlignment="1">
      <alignment horizontal="right"/>
    </xf>
    <xf numFmtId="41" fontId="53" fillId="7" borderId="0" xfId="0" applyNumberFormat="1" applyFont="1" applyFill="1" applyAlignment="1">
      <alignment horizontal="right"/>
    </xf>
    <xf numFmtId="3" fontId="53" fillId="7" borderId="0" xfId="0" applyNumberFormat="1" applyFont="1" applyFill="1" applyAlignment="1">
      <alignment horizontal="right"/>
    </xf>
    <xf numFmtId="41" fontId="65" fillId="0" borderId="0" xfId="0" applyNumberFormat="1" applyFont="1"/>
    <xf numFmtId="9" fontId="40" fillId="4" borderId="0" xfId="0" applyNumberFormat="1" applyFont="1" applyFill="1" applyAlignment="1">
      <alignment horizontal="right"/>
    </xf>
    <xf numFmtId="3" fontId="40" fillId="0" borderId="0" xfId="0" applyNumberFormat="1" applyFont="1"/>
    <xf numFmtId="190" fontId="58" fillId="7" borderId="0" xfId="0" applyNumberFormat="1" applyFont="1" applyFill="1" applyAlignment="1">
      <alignment horizontal="right"/>
    </xf>
    <xf numFmtId="9" fontId="71" fillId="4" borderId="0" xfId="0" applyNumberFormat="1" applyFont="1" applyFill="1"/>
    <xf numFmtId="9" fontId="40" fillId="4" borderId="0" xfId="0" applyNumberFormat="1" applyFont="1" applyFill="1"/>
    <xf numFmtId="10" fontId="69" fillId="7" borderId="0" xfId="0" applyNumberFormat="1" applyFont="1" applyFill="1" applyAlignment="1">
      <alignment horizontal="left"/>
    </xf>
    <xf numFmtId="186" fontId="40" fillId="7" borderId="0" xfId="0" applyNumberFormat="1" applyFont="1" applyFill="1" applyAlignment="1">
      <alignment horizontal="left"/>
    </xf>
    <xf numFmtId="169" fontId="58" fillId="7" borderId="0" xfId="0" applyNumberFormat="1" applyFont="1" applyFill="1"/>
    <xf numFmtId="9" fontId="58" fillId="7" borderId="0" xfId="0" applyNumberFormat="1" applyFont="1" applyFill="1"/>
    <xf numFmtId="174" fontId="40" fillId="0" borderId="0" xfId="0" applyNumberFormat="1" applyFont="1" applyAlignment="1">
      <alignment horizontal="right"/>
    </xf>
    <xf numFmtId="174" fontId="58" fillId="7" borderId="0" xfId="0" applyNumberFormat="1" applyFont="1" applyFill="1"/>
    <xf numFmtId="200" fontId="58" fillId="7" borderId="0" xfId="0" applyNumberFormat="1" applyFont="1" applyFill="1"/>
    <xf numFmtId="174" fontId="40" fillId="0" borderId="0" xfId="0" applyNumberFormat="1" applyFont="1"/>
    <xf numFmtId="179" fontId="58" fillId="7" borderId="0" xfId="0" applyNumberFormat="1" applyFont="1" applyFill="1"/>
    <xf numFmtId="9" fontId="40" fillId="0" borderId="0" xfId="0" applyNumberFormat="1" applyFont="1"/>
    <xf numFmtId="177" fontId="58" fillId="7" borderId="0" xfId="0" applyNumberFormat="1" applyFont="1" applyFill="1"/>
    <xf numFmtId="171" fontId="40" fillId="4" borderId="0" xfId="0" applyNumberFormat="1" applyFont="1" applyFill="1"/>
    <xf numFmtId="203" fontId="43" fillId="7" borderId="0" xfId="0" applyNumberFormat="1" applyFont="1" applyFill="1"/>
    <xf numFmtId="202" fontId="43" fillId="7" borderId="0" xfId="0" applyNumberFormat="1" applyFont="1" applyFill="1"/>
    <xf numFmtId="201" fontId="43" fillId="7" borderId="0" xfId="0" applyNumberFormat="1" applyFont="1" applyFill="1"/>
    <xf numFmtId="0" fontId="57" fillId="7" borderId="0" xfId="0" applyFont="1" applyFill="1" applyAlignment="1">
      <alignment horizontal="left"/>
    </xf>
    <xf numFmtId="171" fontId="44" fillId="4" borderId="0" xfId="0" applyNumberFormat="1" applyFont="1" applyFill="1"/>
    <xf numFmtId="3" fontId="58" fillId="7" borderId="0" xfId="0" applyNumberFormat="1" applyFont="1" applyFill="1"/>
    <xf numFmtId="178" fontId="58" fillId="7" borderId="0" xfId="0" applyNumberFormat="1" applyFont="1" applyFill="1"/>
    <xf numFmtId="43" fontId="54" fillId="7" borderId="0" xfId="0" applyNumberFormat="1" applyFont="1" applyFill="1"/>
    <xf numFmtId="41" fontId="58" fillId="7" borderId="0" xfId="0" applyNumberFormat="1" applyFont="1" applyFill="1"/>
    <xf numFmtId="41" fontId="54" fillId="7" borderId="0" xfId="0" applyNumberFormat="1" applyFont="1" applyFill="1"/>
    <xf numFmtId="174" fontId="40" fillId="4" borderId="0" xfId="0" applyNumberFormat="1" applyFont="1" applyFill="1"/>
    <xf numFmtId="3" fontId="61" fillId="7" borderId="0" xfId="0" applyNumberFormat="1" applyFont="1" applyFill="1"/>
    <xf numFmtId="178" fontId="61" fillId="7" borderId="0" xfId="0" applyNumberFormat="1" applyFont="1" applyFill="1"/>
    <xf numFmtId="198" fontId="64" fillId="7" borderId="0" xfId="0" applyNumberFormat="1" applyFont="1" applyFill="1"/>
    <xf numFmtId="41" fontId="61" fillId="7" borderId="0" xfId="0" applyNumberFormat="1" applyFont="1" applyFill="1"/>
    <xf numFmtId="41" fontId="64" fillId="7" borderId="0" xfId="0" applyNumberFormat="1" applyFont="1" applyFill="1"/>
    <xf numFmtId="3" fontId="40" fillId="7" borderId="0" xfId="0" applyNumberFormat="1" applyFont="1" applyFill="1"/>
    <xf numFmtId="178" fontId="54" fillId="7" borderId="0" xfId="0" applyNumberFormat="1" applyFont="1" applyFill="1"/>
    <xf numFmtId="41" fontId="40" fillId="7" borderId="0" xfId="0" applyNumberFormat="1" applyFont="1" applyFill="1"/>
    <xf numFmtId="0" fontId="49" fillId="7" borderId="0" xfId="0" quotePrefix="1" applyFont="1" applyFill="1" applyAlignment="1">
      <alignment horizontal="left" indent="1"/>
    </xf>
    <xf numFmtId="41" fontId="69" fillId="7" borderId="0" xfId="0" applyNumberFormat="1" applyFont="1" applyFill="1"/>
    <xf numFmtId="180" fontId="58" fillId="7" borderId="0" xfId="0" applyNumberFormat="1" applyFont="1" applyFill="1"/>
    <xf numFmtId="181" fontId="40" fillId="7" borderId="0" xfId="0" applyNumberFormat="1" applyFont="1" applyFill="1"/>
    <xf numFmtId="43" fontId="64" fillId="7" borderId="0" xfId="0" applyNumberFormat="1" applyFont="1" applyFill="1"/>
    <xf numFmtId="41" fontId="60" fillId="7" borderId="0" xfId="0" applyNumberFormat="1" applyFont="1" applyFill="1" applyAlignment="1">
      <alignment horizontal="right"/>
    </xf>
    <xf numFmtId="41" fontId="60" fillId="7" borderId="0" xfId="0" applyNumberFormat="1" applyFont="1" applyFill="1"/>
    <xf numFmtId="182" fontId="57" fillId="7" borderId="0" xfId="0" quotePrefix="1" applyNumberFormat="1" applyFont="1" applyFill="1"/>
    <xf numFmtId="43" fontId="60" fillId="7" borderId="0" xfId="0" quotePrefix="1" applyNumberFormat="1" applyFont="1" applyFill="1" applyAlignment="1">
      <alignment horizontal="right"/>
    </xf>
    <xf numFmtId="0" fontId="40" fillId="7" borderId="0" xfId="0" applyFont="1" applyFill="1" applyAlignment="1">
      <alignment horizontal="left"/>
    </xf>
    <xf numFmtId="9" fontId="40" fillId="7" borderId="0" xfId="0" applyNumberFormat="1" applyFont="1" applyFill="1" applyAlignment="1">
      <alignment horizontal="right"/>
    </xf>
    <xf numFmtId="43" fontId="40" fillId="7" borderId="0" xfId="0" applyNumberFormat="1" applyFont="1" applyFill="1"/>
    <xf numFmtId="9" fontId="44" fillId="7" borderId="0" xfId="0" applyNumberFormat="1" applyFont="1" applyFill="1" applyAlignment="1">
      <alignment horizontal="right"/>
    </xf>
    <xf numFmtId="10" fontId="44" fillId="7" borderId="0" xfId="0" applyNumberFormat="1" applyFont="1" applyFill="1" applyAlignment="1">
      <alignment horizontal="right"/>
    </xf>
    <xf numFmtId="43" fontId="44" fillId="7" borderId="0" xfId="0" applyNumberFormat="1" applyFont="1" applyFill="1"/>
    <xf numFmtId="4" fontId="40" fillId="7" borderId="0" xfId="0" applyNumberFormat="1" applyFont="1" applyFill="1" applyAlignment="1">
      <alignment horizontal="right"/>
    </xf>
    <xf numFmtId="4" fontId="40" fillId="7" borderId="0" xfId="0" applyNumberFormat="1" applyFont="1" applyFill="1" applyAlignment="1">
      <alignment horizontal="left"/>
    </xf>
    <xf numFmtId="41" fontId="72" fillId="7" borderId="0" xfId="0" applyNumberFormat="1" applyFont="1" applyFill="1" applyAlignment="1">
      <alignment horizontal="right"/>
    </xf>
    <xf numFmtId="0" fontId="49" fillId="7" borderId="0" xfId="0" quotePrefix="1" applyFont="1" applyFill="1" applyAlignment="1">
      <alignment horizontal="left"/>
    </xf>
    <xf numFmtId="10" fontId="73" fillId="7" borderId="0" xfId="0" applyNumberFormat="1" applyFont="1" applyFill="1" applyAlignment="1">
      <alignment horizontal="right"/>
    </xf>
    <xf numFmtId="41" fontId="40" fillId="7" borderId="0" xfId="0" applyNumberFormat="1" applyFont="1" applyFill="1" applyAlignment="1">
      <alignment horizontal="right" indent="2"/>
    </xf>
    <xf numFmtId="9" fontId="58" fillId="7" borderId="0" xfId="0" applyNumberFormat="1" applyFont="1" applyFill="1" applyAlignment="1">
      <alignment horizontal="right"/>
    </xf>
    <xf numFmtId="183" fontId="54" fillId="7" borderId="0" xfId="0" applyNumberFormat="1" applyFont="1" applyFill="1" applyAlignment="1">
      <alignment horizontal="right"/>
    </xf>
    <xf numFmtId="184" fontId="44" fillId="4" borderId="0" xfId="0" applyNumberFormat="1" applyFont="1" applyFill="1"/>
    <xf numFmtId="185" fontId="44" fillId="4" borderId="0" xfId="0" applyNumberFormat="1" applyFont="1" applyFill="1" applyAlignment="1">
      <alignment horizontal="right"/>
    </xf>
    <xf numFmtId="9" fontId="54" fillId="7" borderId="0" xfId="0" applyNumberFormat="1" applyFont="1" applyFill="1" applyAlignment="1">
      <alignment horizontal="left"/>
    </xf>
    <xf numFmtId="174" fontId="40" fillId="4" borderId="0" xfId="0" applyNumberFormat="1" applyFont="1" applyFill="1" applyAlignment="1">
      <alignment horizontal="right"/>
    </xf>
    <xf numFmtId="10" fontId="53" fillId="7" borderId="0" xfId="0" applyNumberFormat="1" applyFont="1" applyFill="1" applyAlignment="1">
      <alignment horizontal="right"/>
    </xf>
    <xf numFmtId="43" fontId="40" fillId="0" borderId="0" xfId="0" applyNumberFormat="1" applyFont="1"/>
    <xf numFmtId="9" fontId="54" fillId="7" borderId="0" xfId="0" applyNumberFormat="1" applyFont="1" applyFill="1" applyAlignment="1">
      <alignment horizontal="right"/>
    </xf>
    <xf numFmtId="41" fontId="74" fillId="7" borderId="0" xfId="0" applyNumberFormat="1" applyFont="1" applyFill="1" applyAlignment="1">
      <alignment horizontal="right"/>
    </xf>
    <xf numFmtId="183" fontId="60" fillId="7" borderId="0" xfId="0" applyNumberFormat="1" applyFont="1" applyFill="1" applyAlignment="1">
      <alignment horizontal="right"/>
    </xf>
    <xf numFmtId="10" fontId="40" fillId="7" borderId="0" xfId="0" applyNumberFormat="1" applyFont="1" applyFill="1" applyAlignment="1">
      <alignment horizontal="left"/>
    </xf>
    <xf numFmtId="0" fontId="49" fillId="5" borderId="0" xfId="0" applyFont="1" applyFill="1"/>
    <xf numFmtId="0" fontId="49" fillId="5" borderId="0" xfId="0" applyFont="1" applyFill="1" applyAlignment="1">
      <alignment horizontal="right"/>
    </xf>
    <xf numFmtId="0" fontId="49" fillId="5" borderId="0" xfId="0" applyFont="1" applyFill="1" applyAlignment="1">
      <alignment horizontal="left"/>
    </xf>
    <xf numFmtId="169" fontId="54" fillId="7" borderId="0" xfId="0" applyNumberFormat="1" applyFont="1" applyFill="1" applyAlignment="1">
      <alignment horizontal="left"/>
    </xf>
    <xf numFmtId="169" fontId="40" fillId="7" borderId="0" xfId="0" applyNumberFormat="1" applyFont="1" applyFill="1" applyAlignment="1">
      <alignment horizontal="left"/>
    </xf>
    <xf numFmtId="169" fontId="58" fillId="7" borderId="0" xfId="0" applyNumberFormat="1" applyFont="1" applyFill="1" applyAlignment="1">
      <alignment horizontal="left"/>
    </xf>
    <xf numFmtId="0" fontId="43" fillId="7" borderId="0" xfId="0" applyFont="1" applyFill="1" applyAlignment="1">
      <alignment horizontal="right"/>
    </xf>
    <xf numFmtId="0" fontId="44" fillId="7" borderId="0" xfId="0" applyFont="1" applyFill="1" applyAlignment="1">
      <alignment horizontal="center"/>
    </xf>
    <xf numFmtId="10" fontId="40" fillId="7" borderId="0" xfId="0" applyNumberFormat="1" applyFont="1" applyFill="1" applyAlignment="1">
      <alignment horizontal="center"/>
    </xf>
    <xf numFmtId="0" fontId="49" fillId="5" borderId="0" xfId="0" quotePrefix="1" applyFont="1" applyFill="1" applyAlignment="1">
      <alignment horizontal="right"/>
    </xf>
    <xf numFmtId="0" fontId="49" fillId="5" borderId="22" xfId="0" applyFont="1" applyFill="1" applyBorder="1" applyAlignment="1">
      <alignment horizontal="right"/>
    </xf>
    <xf numFmtId="0" fontId="40" fillId="7" borderId="22" xfId="0" applyFont="1" applyFill="1" applyBorder="1" applyAlignment="1">
      <alignment horizontal="left"/>
    </xf>
    <xf numFmtId="0" fontId="40" fillId="7" borderId="22" xfId="0" applyFont="1" applyFill="1" applyBorder="1" applyAlignment="1">
      <alignment horizontal="right"/>
    </xf>
    <xf numFmtId="0" fontId="53" fillId="7" borderId="22" xfId="0" applyFont="1" applyFill="1" applyBorder="1" applyAlignment="1">
      <alignment horizontal="right"/>
    </xf>
    <xf numFmtId="0" fontId="40" fillId="7" borderId="22" xfId="0" quotePrefix="1" applyFont="1" applyFill="1" applyBorder="1" applyAlignment="1">
      <alignment horizontal="right"/>
    </xf>
    <xf numFmtId="0" fontId="53" fillId="9" borderId="0" xfId="0" applyFont="1" applyFill="1"/>
    <xf numFmtId="0" fontId="40" fillId="5" borderId="0" xfId="0" applyFont="1" applyFill="1" applyAlignment="1">
      <alignment horizontal="right"/>
    </xf>
    <xf numFmtId="41" fontId="40" fillId="4" borderId="0" xfId="0" applyNumberFormat="1" applyFont="1" applyFill="1"/>
    <xf numFmtId="0" fontId="75" fillId="4" borderId="0" xfId="0" applyFont="1" applyFill="1"/>
    <xf numFmtId="41" fontId="40" fillId="4" borderId="0" xfId="0" applyNumberFormat="1" applyFont="1" applyFill="1" applyAlignment="1">
      <alignment horizontal="right"/>
    </xf>
    <xf numFmtId="41" fontId="40" fillId="0" borderId="0" xfId="0" applyNumberFormat="1" applyFont="1" applyAlignment="1">
      <alignment horizontal="right"/>
    </xf>
    <xf numFmtId="174" fontId="40" fillId="4" borderId="3" xfId="0" applyNumberFormat="1" applyFont="1" applyFill="1" applyBorder="1" applyAlignment="1">
      <alignment horizontal="left"/>
    </xf>
    <xf numFmtId="41" fontId="40" fillId="4" borderId="3" xfId="0" applyNumberFormat="1" applyFont="1" applyFill="1" applyBorder="1"/>
    <xf numFmtId="0" fontId="49" fillId="7" borderId="0" xfId="0" quotePrefix="1" applyFont="1" applyFill="1"/>
    <xf numFmtId="174" fontId="40" fillId="4" borderId="0" xfId="0" applyNumberFormat="1" applyFont="1" applyFill="1" applyAlignment="1">
      <alignment horizontal="left"/>
    </xf>
    <xf numFmtId="0" fontId="43" fillId="4" borderId="3" xfId="0" applyFont="1" applyFill="1" applyBorder="1" applyAlignment="1">
      <alignment horizontal="right"/>
    </xf>
    <xf numFmtId="41" fontId="43" fillId="4" borderId="3" xfId="0" applyNumberFormat="1" applyFont="1" applyFill="1" applyBorder="1" applyAlignment="1">
      <alignment horizontal="right"/>
    </xf>
    <xf numFmtId="186" fontId="53" fillId="7" borderId="0" xfId="0" applyNumberFormat="1" applyFont="1" applyFill="1" applyAlignment="1">
      <alignment horizontal="right"/>
    </xf>
    <xf numFmtId="0" fontId="53" fillId="4" borderId="4" xfId="0" applyFont="1" applyFill="1" applyBorder="1"/>
    <xf numFmtId="0" fontId="40" fillId="4" borderId="4" xfId="0" applyFont="1" applyFill="1" applyBorder="1"/>
    <xf numFmtId="0" fontId="40" fillId="4" borderId="4" xfId="0" applyFont="1" applyFill="1" applyBorder="1" applyAlignment="1">
      <alignment horizontal="right"/>
    </xf>
    <xf numFmtId="41" fontId="40" fillId="4" borderId="4" xfId="0" applyNumberFormat="1" applyFont="1" applyFill="1" applyBorder="1"/>
    <xf numFmtId="188" fontId="53" fillId="7" borderId="0" xfId="0" applyNumberFormat="1" applyFont="1" applyFill="1" applyAlignment="1">
      <alignment horizontal="right"/>
    </xf>
    <xf numFmtId="0" fontId="53" fillId="5" borderId="0" xfId="0" applyFont="1" applyFill="1" applyAlignment="1">
      <alignment horizontal="left" indent="1"/>
    </xf>
    <xf numFmtId="0" fontId="40" fillId="5" borderId="0" xfId="0" applyFont="1" applyFill="1" applyAlignment="1">
      <alignment horizontal="left"/>
    </xf>
    <xf numFmtId="0" fontId="58" fillId="7" borderId="0" xfId="0" applyFont="1" applyFill="1" applyAlignment="1">
      <alignment horizontal="left"/>
    </xf>
    <xf numFmtId="3" fontId="54" fillId="7" borderId="0" xfId="0" applyNumberFormat="1" applyFont="1" applyFill="1" applyAlignment="1">
      <alignment horizontal="left"/>
    </xf>
    <xf numFmtId="0" fontId="69" fillId="7" borderId="0" xfId="0" applyFont="1" applyFill="1" applyAlignment="1">
      <alignment horizontal="left"/>
    </xf>
    <xf numFmtId="204" fontId="40" fillId="7" borderId="0" xfId="0" applyNumberFormat="1" applyFont="1" applyFill="1" applyAlignment="1">
      <alignment horizontal="right"/>
    </xf>
    <xf numFmtId="205" fontId="58" fillId="7" borderId="0" xfId="0" applyNumberFormat="1" applyFont="1" applyFill="1" applyAlignment="1">
      <alignment horizontal="left"/>
    </xf>
    <xf numFmtId="186" fontId="40" fillId="7" borderId="0" xfId="0" applyNumberFormat="1" applyFont="1" applyFill="1" applyAlignment="1">
      <alignment horizontal="right"/>
    </xf>
    <xf numFmtId="186" fontId="40" fillId="7" borderId="4" xfId="0" applyNumberFormat="1" applyFont="1" applyFill="1" applyBorder="1" applyAlignment="1">
      <alignment horizontal="right"/>
    </xf>
    <xf numFmtId="0" fontId="40" fillId="0" borderId="23" xfId="0" applyFont="1" applyBorder="1"/>
    <xf numFmtId="0" fontId="70" fillId="7" borderId="5" xfId="0" applyFont="1" applyFill="1" applyBorder="1"/>
    <xf numFmtId="0" fontId="54" fillId="7" borderId="0" xfId="0" applyFont="1" applyFill="1"/>
    <xf numFmtId="0" fontId="58" fillId="7" borderId="0" xfId="0" applyFont="1" applyFill="1"/>
    <xf numFmtId="174" fontId="54" fillId="7" borderId="0" xfId="0" applyNumberFormat="1" applyFont="1" applyFill="1"/>
    <xf numFmtId="9" fontId="64" fillId="7" borderId="0" xfId="0" applyNumberFormat="1" applyFont="1" applyFill="1" applyAlignment="1">
      <alignment horizontal="right"/>
    </xf>
    <xf numFmtId="9" fontId="40" fillId="7" borderId="0" xfId="0" applyNumberFormat="1" applyFont="1" applyFill="1"/>
    <xf numFmtId="0" fontId="44" fillId="7" borderId="0" xfId="0" applyFont="1" applyFill="1" applyAlignment="1">
      <alignment horizontal="left"/>
    </xf>
    <xf numFmtId="174" fontId="58" fillId="7" borderId="0" xfId="0" applyNumberFormat="1" applyFont="1" applyFill="1" applyAlignment="1">
      <alignment horizontal="left"/>
    </xf>
    <xf numFmtId="0" fontId="53" fillId="4" borderId="3" xfId="0" applyFont="1" applyFill="1" applyBorder="1"/>
    <xf numFmtId="174" fontId="54" fillId="7" borderId="0" xfId="0" applyNumberFormat="1" applyFont="1" applyFill="1" applyAlignment="1">
      <alignment horizontal="left"/>
    </xf>
    <xf numFmtId="191" fontId="40" fillId="4" borderId="0" xfId="0" applyNumberFormat="1" applyFont="1" applyFill="1" applyAlignment="1">
      <alignment horizontal="right"/>
    </xf>
    <xf numFmtId="183" fontId="40" fillId="4" borderId="0" xfId="0" applyNumberFormat="1" applyFont="1" applyFill="1" applyAlignment="1">
      <alignment horizontal="right"/>
    </xf>
    <xf numFmtId="186" fontId="44" fillId="7" borderId="0" xfId="0" applyNumberFormat="1" applyFont="1" applyFill="1" applyAlignment="1">
      <alignment horizontal="right"/>
    </xf>
    <xf numFmtId="0" fontId="49" fillId="7" borderId="4" xfId="0" applyFont="1" applyFill="1" applyBorder="1"/>
    <xf numFmtId="0" fontId="40" fillId="7" borderId="4" xfId="0" applyFont="1" applyFill="1" applyBorder="1"/>
    <xf numFmtId="10" fontId="40" fillId="7" borderId="4" xfId="0" applyNumberFormat="1" applyFont="1" applyFill="1" applyBorder="1" applyAlignment="1">
      <alignment horizontal="right"/>
    </xf>
    <xf numFmtId="9" fontId="40" fillId="7" borderId="4" xfId="0" applyNumberFormat="1" applyFont="1" applyFill="1" applyBorder="1" applyAlignment="1">
      <alignment horizontal="right"/>
    </xf>
    <xf numFmtId="41" fontId="40" fillId="7" borderId="4" xfId="0" applyNumberFormat="1" applyFont="1" applyFill="1" applyBorder="1"/>
    <xf numFmtId="41" fontId="40" fillId="0" borderId="23" xfId="0" applyNumberFormat="1" applyFont="1" applyBorder="1"/>
    <xf numFmtId="0" fontId="64" fillId="7" borderId="0" xfId="0" applyFont="1" applyFill="1" applyAlignment="1">
      <alignment horizontal="right"/>
    </xf>
    <xf numFmtId="0" fontId="75" fillId="9" borderId="0" xfId="0" applyFont="1" applyFill="1" applyAlignment="1">
      <alignment horizontal="right"/>
    </xf>
    <xf numFmtId="0" fontId="57" fillId="7" borderId="22" xfId="0" applyFont="1" applyFill="1" applyBorder="1"/>
    <xf numFmtId="0" fontId="52" fillId="7" borderId="22" xfId="0" applyFont="1" applyFill="1" applyBorder="1" applyAlignment="1">
      <alignment horizontal="right"/>
    </xf>
    <xf numFmtId="0" fontId="57" fillId="7" borderId="0" xfId="0" applyFont="1" applyFill="1" applyAlignment="1">
      <alignment horizontal="right"/>
    </xf>
    <xf numFmtId="0" fontId="49" fillId="7" borderId="0" xfId="0" applyFont="1" applyFill="1" applyAlignment="1">
      <alignment horizontal="right"/>
    </xf>
    <xf numFmtId="10" fontId="49" fillId="7" borderId="22" xfId="0" applyNumberFormat="1" applyFont="1" applyFill="1" applyBorder="1" applyAlignment="1">
      <alignment horizontal="right"/>
    </xf>
    <xf numFmtId="188" fontId="49" fillId="7" borderId="0" xfId="0" applyNumberFormat="1" applyFont="1" applyFill="1" applyAlignment="1">
      <alignment horizontal="right"/>
    </xf>
    <xf numFmtId="186" fontId="49" fillId="7" borderId="0" xfId="0" applyNumberFormat="1" applyFont="1" applyFill="1" applyAlignment="1">
      <alignment horizontal="left"/>
    </xf>
    <xf numFmtId="10" fontId="49" fillId="7" borderId="0" xfId="0" applyNumberFormat="1" applyFont="1" applyFill="1" applyAlignment="1">
      <alignment horizontal="right"/>
    </xf>
    <xf numFmtId="10" fontId="51" fillId="7" borderId="22" xfId="0" applyNumberFormat="1" applyFont="1" applyFill="1" applyBorder="1" applyAlignment="1">
      <alignment horizontal="right"/>
    </xf>
    <xf numFmtId="10" fontId="51" fillId="7" borderId="0" xfId="0" applyNumberFormat="1" applyFont="1" applyFill="1" applyAlignment="1">
      <alignment horizontal="right"/>
    </xf>
    <xf numFmtId="0" fontId="49" fillId="7" borderId="22" xfId="0" applyFont="1" applyFill="1" applyBorder="1"/>
    <xf numFmtId="0" fontId="52" fillId="7" borderId="0" xfId="0" applyFont="1" applyFill="1" applyAlignment="1">
      <alignment horizontal="left"/>
    </xf>
    <xf numFmtId="0" fontId="49" fillId="7" borderId="22" xfId="0" applyFont="1" applyFill="1" applyBorder="1" applyAlignment="1">
      <alignment horizontal="right"/>
    </xf>
    <xf numFmtId="169" fontId="49" fillId="7" borderId="0" xfId="0" applyNumberFormat="1" applyFont="1" applyFill="1" applyAlignment="1">
      <alignment horizontal="right"/>
    </xf>
    <xf numFmtId="169" fontId="51" fillId="7" borderId="0" xfId="0" applyNumberFormat="1" applyFont="1" applyFill="1" applyAlignment="1">
      <alignment horizontal="right"/>
    </xf>
    <xf numFmtId="0" fontId="49" fillId="0" borderId="0" xfId="0" applyFont="1"/>
    <xf numFmtId="0" fontId="49" fillId="0" borderId="0" xfId="0" applyFont="1" applyAlignment="1">
      <alignment horizontal="right"/>
    </xf>
    <xf numFmtId="0" fontId="70" fillId="14" borderId="0" xfId="0" applyFont="1" applyFill="1"/>
    <xf numFmtId="0" fontId="49" fillId="14" borderId="0" xfId="0" applyFont="1" applyFill="1"/>
    <xf numFmtId="10" fontId="49" fillId="14" borderId="0" xfId="0" applyNumberFormat="1" applyFont="1" applyFill="1"/>
    <xf numFmtId="10" fontId="49" fillId="14" borderId="0" xfId="0" applyNumberFormat="1" applyFont="1" applyFill="1" applyAlignment="1">
      <alignment horizontal="right"/>
    </xf>
    <xf numFmtId="0" fontId="49" fillId="14" borderId="0" xfId="0" applyFont="1" applyFill="1" applyAlignment="1">
      <alignment horizontal="right"/>
    </xf>
    <xf numFmtId="0" fontId="49" fillId="8" borderId="10" xfId="0" applyFont="1" applyFill="1" applyBorder="1"/>
    <xf numFmtId="0" fontId="49" fillId="8" borderId="0" xfId="0" applyFont="1" applyFill="1"/>
    <xf numFmtId="0" fontId="49" fillId="8" borderId="0" xfId="0" applyFont="1" applyFill="1" applyAlignment="1">
      <alignment vertical="center"/>
    </xf>
    <xf numFmtId="0" fontId="49" fillId="8" borderId="11" xfId="0" applyFont="1" applyFill="1" applyBorder="1" applyAlignment="1">
      <alignment vertical="center"/>
    </xf>
    <xf numFmtId="0" fontId="49" fillId="0" borderId="7" xfId="0" applyFont="1" applyBorder="1"/>
    <xf numFmtId="0" fontId="49" fillId="0" borderId="8" xfId="0" applyFont="1" applyBorder="1"/>
    <xf numFmtId="0" fontId="78" fillId="0" borderId="8" xfId="0" applyFont="1" applyBorder="1"/>
    <xf numFmtId="0" fontId="78" fillId="0" borderId="9" xfId="0" applyFont="1" applyBorder="1" applyAlignment="1">
      <alignment horizontal="right"/>
    </xf>
    <xf numFmtId="0" fontId="70" fillId="0" borderId="7" xfId="0" applyFont="1" applyBorder="1"/>
    <xf numFmtId="0" fontId="49" fillId="0" borderId="9" xfId="0" applyFont="1" applyBorder="1"/>
    <xf numFmtId="0" fontId="49" fillId="0" borderId="10" xfId="0" applyFont="1" applyBorder="1"/>
    <xf numFmtId="0" fontId="78" fillId="0" borderId="0" xfId="0" applyFont="1"/>
    <xf numFmtId="193" fontId="78" fillId="0" borderId="11" xfId="0" applyNumberFormat="1" applyFont="1" applyBorder="1"/>
    <xf numFmtId="0" fontId="58" fillId="0" borderId="15" xfId="0" applyFont="1" applyBorder="1"/>
    <xf numFmtId="0" fontId="51" fillId="0" borderId="1" xfId="0" applyFont="1" applyBorder="1"/>
    <xf numFmtId="0" fontId="51" fillId="0" borderId="16" xfId="0" applyFont="1" applyBorder="1"/>
    <xf numFmtId="0" fontId="49" fillId="0" borderId="10" xfId="0" applyFont="1" applyBorder="1" applyAlignment="1">
      <alignment horizontal="left"/>
    </xf>
    <xf numFmtId="3" fontId="78" fillId="0" borderId="11" xfId="0" applyNumberFormat="1" applyFont="1" applyBorder="1"/>
    <xf numFmtId="0" fontId="58" fillId="0" borderId="17" xfId="0" applyFont="1" applyBorder="1"/>
    <xf numFmtId="0" fontId="51" fillId="0" borderId="6" xfId="0" applyFont="1" applyBorder="1"/>
    <xf numFmtId="0" fontId="51" fillId="0" borderId="18" xfId="0" applyFont="1" applyBorder="1"/>
    <xf numFmtId="194" fontId="78" fillId="0" borderId="11" xfId="0" applyNumberFormat="1" applyFont="1" applyBorder="1"/>
    <xf numFmtId="0" fontId="78" fillId="0" borderId="11" xfId="0" applyFont="1" applyBorder="1" applyAlignment="1">
      <alignment horizontal="right"/>
    </xf>
    <xf numFmtId="0" fontId="78" fillId="0" borderId="11" xfId="0" applyFont="1" applyBorder="1"/>
    <xf numFmtId="195" fontId="78" fillId="0" borderId="11" xfId="0" applyNumberFormat="1" applyFont="1" applyBorder="1"/>
    <xf numFmtId="0" fontId="70" fillId="0" borderId="10" xfId="0" applyFont="1" applyBorder="1"/>
    <xf numFmtId="0" fontId="49" fillId="0" borderId="11" xfId="0" applyFont="1" applyBorder="1"/>
    <xf numFmtId="169" fontId="78" fillId="0" borderId="0" xfId="0" applyNumberFormat="1" applyFont="1"/>
    <xf numFmtId="170" fontId="78" fillId="0" borderId="11" xfId="0" applyNumberFormat="1" applyFont="1" applyBorder="1"/>
    <xf numFmtId="0" fontId="49" fillId="0" borderId="12" xfId="0" applyFont="1" applyBorder="1"/>
    <xf numFmtId="0" fontId="49" fillId="0" borderId="13" xfId="0" applyFont="1" applyBorder="1"/>
    <xf numFmtId="169" fontId="78" fillId="0" borderId="13" xfId="0" applyNumberFormat="1" applyFont="1" applyBorder="1"/>
    <xf numFmtId="170" fontId="78" fillId="0" borderId="14" xfId="0" applyNumberFormat="1" applyFont="1" applyBorder="1"/>
    <xf numFmtId="0" fontId="58" fillId="0" borderId="19" xfId="0" applyFont="1" applyBorder="1"/>
    <xf numFmtId="0" fontId="51" fillId="0" borderId="20" xfId="0" applyFont="1" applyBorder="1"/>
    <xf numFmtId="0" fontId="51" fillId="0" borderId="21" xfId="0" applyFont="1" applyBorder="1"/>
    <xf numFmtId="0" fontId="49" fillId="8" borderId="0" xfId="0" applyFont="1" applyFill="1" applyAlignment="1">
      <alignment horizontal="right"/>
    </xf>
    <xf numFmtId="0" fontId="57" fillId="0" borderId="8" xfId="0" applyFont="1" applyBorder="1"/>
    <xf numFmtId="0" fontId="79" fillId="0" borderId="8" xfId="0" applyFont="1" applyBorder="1" applyAlignment="1">
      <alignment horizontal="right"/>
    </xf>
    <xf numFmtId="0" fontId="79" fillId="0" borderId="9" xfId="0" applyFont="1" applyBorder="1" applyAlignment="1">
      <alignment horizontal="right"/>
    </xf>
    <xf numFmtId="0" fontId="57" fillId="0" borderId="7" xfId="0" applyFont="1" applyBorder="1"/>
    <xf numFmtId="4" fontId="78" fillId="0" borderId="11" xfId="0" applyNumberFormat="1" applyFont="1" applyBorder="1" applyAlignment="1">
      <alignment horizontal="right"/>
    </xf>
    <xf numFmtId="41" fontId="78" fillId="0" borderId="0" xfId="0" applyNumberFormat="1" applyFont="1"/>
    <xf numFmtId="41" fontId="78" fillId="0" borderId="11" xfId="0" applyNumberFormat="1" applyFont="1" applyBorder="1"/>
    <xf numFmtId="174" fontId="78" fillId="0" borderId="0" xfId="0" applyNumberFormat="1" applyFont="1"/>
    <xf numFmtId="186" fontId="78" fillId="0" borderId="0" xfId="0" applyNumberFormat="1" applyFont="1"/>
    <xf numFmtId="10" fontId="78" fillId="0" borderId="11" xfId="0" applyNumberFormat="1" applyFont="1" applyBorder="1"/>
    <xf numFmtId="10" fontId="78" fillId="0" borderId="11" xfId="0" applyNumberFormat="1" applyFont="1" applyBorder="1" applyAlignment="1">
      <alignment horizontal="right"/>
    </xf>
    <xf numFmtId="0" fontId="49" fillId="0" borderId="0" xfId="0" quotePrefix="1" applyFont="1" applyAlignment="1">
      <alignment horizontal="left" indent="1"/>
    </xf>
    <xf numFmtId="41" fontId="80" fillId="0" borderId="0" xfId="0" applyNumberFormat="1" applyFont="1"/>
    <xf numFmtId="41" fontId="80" fillId="0" borderId="11" xfId="0" applyNumberFormat="1" applyFont="1" applyBorder="1"/>
    <xf numFmtId="0" fontId="57" fillId="0" borderId="10" xfId="0" applyFont="1" applyBorder="1"/>
    <xf numFmtId="0" fontId="79" fillId="0" borderId="0" xfId="0" applyFont="1" applyAlignment="1">
      <alignment horizontal="right"/>
    </xf>
    <xf numFmtId="0" fontId="79" fillId="0" borderId="11" xfId="0" applyFont="1" applyBorder="1" applyAlignment="1">
      <alignment horizontal="right"/>
    </xf>
    <xf numFmtId="41" fontId="78" fillId="0" borderId="11" xfId="0" applyNumberFormat="1" applyFont="1" applyBorder="1" applyAlignment="1">
      <alignment horizontal="right"/>
    </xf>
    <xf numFmtId="0" fontId="49" fillId="0" borderId="0" xfId="0" quotePrefix="1" applyFont="1"/>
    <xf numFmtId="0" fontId="49" fillId="0" borderId="10" xfId="0" quotePrefix="1" applyFont="1" applyBorder="1" applyAlignment="1">
      <alignment horizontal="left" indent="1"/>
    </xf>
    <xf numFmtId="41" fontId="80" fillId="0" borderId="11" xfId="0" applyNumberFormat="1" applyFont="1" applyBorder="1" applyAlignment="1">
      <alignment horizontal="right"/>
    </xf>
    <xf numFmtId="10" fontId="78" fillId="0" borderId="0" xfId="0" applyNumberFormat="1" applyFont="1"/>
    <xf numFmtId="174" fontId="78" fillId="0" borderId="11" xfId="0" applyNumberFormat="1" applyFont="1" applyBorder="1"/>
    <xf numFmtId="186" fontId="78" fillId="0" borderId="11" xfId="0" applyNumberFormat="1" applyFont="1" applyBorder="1" applyAlignment="1">
      <alignment horizontal="right"/>
    </xf>
    <xf numFmtId="3" fontId="78" fillId="0" borderId="0" xfId="0" applyNumberFormat="1" applyFont="1"/>
    <xf numFmtId="10" fontId="79" fillId="0" borderId="0" xfId="0" applyNumberFormat="1" applyFont="1"/>
    <xf numFmtId="10" fontId="79" fillId="0" borderId="11" xfId="0" applyNumberFormat="1" applyFont="1" applyBorder="1"/>
    <xf numFmtId="0" fontId="79" fillId="0" borderId="0" xfId="0" quotePrefix="1" applyFont="1" applyAlignment="1">
      <alignment horizontal="right"/>
    </xf>
    <xf numFmtId="0" fontId="57" fillId="0" borderId="0" xfId="0" applyFont="1"/>
    <xf numFmtId="188" fontId="78" fillId="0" borderId="0" xfId="0" applyNumberFormat="1" applyFont="1"/>
    <xf numFmtId="188" fontId="78" fillId="0" borderId="11" xfId="0" applyNumberFormat="1" applyFont="1" applyBorder="1"/>
    <xf numFmtId="4" fontId="78" fillId="0" borderId="0" xfId="0" applyNumberFormat="1" applyFont="1"/>
    <xf numFmtId="0" fontId="55" fillId="0" borderId="0" xfId="0" applyFont="1"/>
    <xf numFmtId="10" fontId="49" fillId="0" borderId="0" xfId="0" applyNumberFormat="1" applyFont="1" applyAlignment="1">
      <alignment horizontal="left"/>
    </xf>
    <xf numFmtId="10" fontId="78" fillId="0" borderId="0" xfId="0" applyNumberFormat="1" applyFont="1" applyAlignment="1">
      <alignment horizontal="right"/>
    </xf>
    <xf numFmtId="196" fontId="78" fillId="0" borderId="0" xfId="0" applyNumberFormat="1" applyFont="1"/>
    <xf numFmtId="186" fontId="78" fillId="0" borderId="11" xfId="0" applyNumberFormat="1" applyFont="1" applyBorder="1"/>
    <xf numFmtId="4" fontId="80" fillId="0" borderId="0" xfId="0" applyNumberFormat="1" applyFont="1"/>
    <xf numFmtId="0" fontId="54" fillId="0" borderId="0" xfId="0" applyFont="1" applyAlignment="1">
      <alignment horizontal="right"/>
    </xf>
    <xf numFmtId="174" fontId="78" fillId="0" borderId="13" xfId="0" applyNumberFormat="1" applyFont="1" applyBorder="1"/>
    <xf numFmtId="41" fontId="78" fillId="0" borderId="13" xfId="0" applyNumberFormat="1" applyFont="1" applyBorder="1"/>
    <xf numFmtId="41" fontId="78" fillId="0" borderId="14" xfId="0" applyNumberFormat="1" applyFont="1" applyBorder="1"/>
    <xf numFmtId="0" fontId="49" fillId="0" borderId="14" xfId="0" applyFont="1" applyBorder="1"/>
    <xf numFmtId="0" fontId="54" fillId="0" borderId="13" xfId="0" applyFont="1" applyBorder="1" applyAlignment="1">
      <alignment horizontal="right"/>
    </xf>
    <xf numFmtId="10" fontId="78" fillId="0" borderId="13" xfId="0" applyNumberFormat="1" applyFont="1" applyBorder="1"/>
    <xf numFmtId="196" fontId="78" fillId="0" borderId="13" xfId="0" applyNumberFormat="1" applyFont="1" applyBorder="1"/>
    <xf numFmtId="186" fontId="78" fillId="0" borderId="14" xfId="0" applyNumberFormat="1" applyFont="1" applyBorder="1"/>
    <xf numFmtId="0" fontId="49" fillId="8" borderId="0" xfId="0" applyFont="1" applyFill="1" applyAlignment="1">
      <alignment horizontal="right" vertical="center"/>
    </xf>
    <xf numFmtId="0" fontId="47" fillId="10" borderId="2" xfId="0" applyFont="1" applyFill="1" applyBorder="1" applyAlignment="1">
      <alignment horizontal="center" vertical="top"/>
    </xf>
    <xf numFmtId="197" fontId="81" fillId="0" borderId="0" xfId="0" applyNumberFormat="1" applyFont="1" applyAlignment="1">
      <alignment horizontal="right"/>
    </xf>
    <xf numFmtId="0" fontId="49" fillId="15" borderId="0" xfId="0" applyFont="1" applyFill="1" applyAlignment="1">
      <alignment horizontal="center" vertical="center"/>
    </xf>
    <xf numFmtId="0" fontId="38" fillId="15" borderId="13" xfId="0" applyFont="1" applyFill="1" applyBorder="1"/>
    <xf numFmtId="0" fontId="39" fillId="15" borderId="13" xfId="0" applyFont="1" applyFill="1" applyBorder="1"/>
    <xf numFmtId="0" fontId="50" fillId="15" borderId="13" xfId="0" applyFont="1" applyFill="1" applyBorder="1" applyAlignment="1">
      <alignment horizontal="right"/>
    </xf>
    <xf numFmtId="0" fontId="40" fillId="15" borderId="0" xfId="0" applyFont="1" applyFill="1"/>
    <xf numFmtId="0" fontId="38" fillId="15" borderId="0" xfId="0" applyFont="1" applyFill="1"/>
    <xf numFmtId="0" fontId="39" fillId="15" borderId="0" xfId="0" applyFont="1" applyFill="1"/>
    <xf numFmtId="0" fontId="49" fillId="15" borderId="0" xfId="0" applyFont="1" applyFill="1"/>
    <xf numFmtId="0" fontId="40" fillId="15" borderId="0" xfId="0" applyFont="1" applyFill="1" applyAlignment="1">
      <alignment horizontal="right"/>
    </xf>
    <xf numFmtId="0" fontId="76" fillId="15" borderId="7" xfId="0" applyFont="1" applyFill="1" applyBorder="1"/>
    <xf numFmtId="0" fontId="77" fillId="15" borderId="8" xfId="0" applyFont="1" applyFill="1" applyBorder="1"/>
    <xf numFmtId="0" fontId="76" fillId="15" borderId="9" xfId="0" applyFont="1" applyFill="1" applyBorder="1" applyAlignment="1">
      <alignment horizontal="right"/>
    </xf>
    <xf numFmtId="0" fontId="47" fillId="15" borderId="10" xfId="0" applyFont="1" applyFill="1" applyBorder="1"/>
    <xf numFmtId="0" fontId="47" fillId="15" borderId="0" xfId="0" applyFont="1" applyFill="1"/>
    <xf numFmtId="0" fontId="47" fillId="15" borderId="0" xfId="0" applyFont="1" applyFill="1" applyAlignment="1">
      <alignment vertical="center"/>
    </xf>
    <xf numFmtId="0" fontId="47" fillId="15" borderId="11" xfId="0" applyFont="1" applyFill="1" applyBorder="1" applyAlignment="1">
      <alignment horizontal="right" vertical="center"/>
    </xf>
    <xf numFmtId="16" fontId="51" fillId="7" borderId="0" xfId="0" applyNumberFormat="1" applyFont="1" applyFill="1" applyAlignment="1">
      <alignment horizontal="left" indent="1"/>
    </xf>
    <xf numFmtId="43" fontId="54" fillId="0" borderId="0" xfId="0" applyNumberFormat="1" applyFont="1"/>
    <xf numFmtId="3" fontId="82" fillId="0" borderId="27" xfId="0" applyNumberFormat="1" applyFont="1" applyBorder="1" applyAlignment="1">
      <alignment horizontal="center"/>
    </xf>
    <xf numFmtId="0" fontId="49" fillId="16" borderId="0" xfId="0" applyFont="1" applyFill="1"/>
    <xf numFmtId="0" fontId="40" fillId="16" borderId="0" xfId="0" applyFont="1" applyFill="1"/>
    <xf numFmtId="0" fontId="40" fillId="5" borderId="0" xfId="0" applyFont="1" applyFill="1"/>
    <xf numFmtId="41" fontId="43" fillId="5" borderId="0" xfId="0" applyNumberFormat="1" applyFont="1" applyFill="1" applyAlignment="1">
      <alignment horizontal="right"/>
    </xf>
    <xf numFmtId="193" fontId="43" fillId="5" borderId="0" xfId="0" applyNumberFormat="1" applyFont="1" applyFill="1" applyAlignment="1">
      <alignment horizontal="right"/>
    </xf>
    <xf numFmtId="0" fontId="55" fillId="5" borderId="0" xfId="0" applyFont="1" applyFill="1"/>
    <xf numFmtId="169" fontId="57" fillId="0" borderId="0" xfId="0" applyNumberFormat="1" applyFont="1"/>
    <xf numFmtId="41" fontId="49" fillId="0" borderId="0" xfId="0" applyNumberFormat="1" applyFont="1"/>
    <xf numFmtId="41" fontId="57" fillId="0" borderId="0" xfId="0" applyNumberFormat="1" applyFont="1"/>
    <xf numFmtId="41" fontId="84" fillId="0" borderId="0" xfId="0" applyNumberFormat="1" applyFont="1"/>
    <xf numFmtId="171" fontId="40" fillId="0" borderId="7" xfId="0" applyNumberFormat="1" applyFont="1" applyBorder="1"/>
    <xf numFmtId="0" fontId="40" fillId="0" borderId="8" xfId="0" applyFont="1" applyBorder="1" applyAlignment="1">
      <alignment horizontal="right"/>
    </xf>
    <xf numFmtId="171" fontId="40" fillId="0" borderId="8" xfId="0" applyNumberFormat="1" applyFont="1" applyBorder="1"/>
    <xf numFmtId="171" fontId="49" fillId="0" borderId="8" xfId="0" applyNumberFormat="1" applyFont="1" applyBorder="1"/>
    <xf numFmtId="171" fontId="49" fillId="0" borderId="8" xfId="0" applyNumberFormat="1" applyFont="1" applyBorder="1" applyAlignment="1">
      <alignment horizontal="center" vertical="center"/>
    </xf>
    <xf numFmtId="171" fontId="49" fillId="0" borderId="9" xfId="0" applyNumberFormat="1" applyFont="1" applyBorder="1" applyAlignment="1">
      <alignment horizontal="center" vertical="center"/>
    </xf>
    <xf numFmtId="0" fontId="54" fillId="0" borderId="12" xfId="0" applyFont="1" applyBorder="1"/>
    <xf numFmtId="0" fontId="40" fillId="0" borderId="13" xfId="0" applyFont="1" applyBorder="1" applyAlignment="1">
      <alignment horizontal="right"/>
    </xf>
    <xf numFmtId="170" fontId="64" fillId="0" borderId="13" xfId="0" applyNumberFormat="1" applyFont="1" applyBorder="1"/>
    <xf numFmtId="170" fontId="52" fillId="0" borderId="13" xfId="0" applyNumberFormat="1" applyFont="1" applyBorder="1"/>
    <xf numFmtId="170" fontId="52" fillId="0" borderId="13" xfId="0" applyNumberFormat="1" applyFont="1" applyBorder="1" applyAlignment="1">
      <alignment horizontal="center" vertical="center"/>
    </xf>
    <xf numFmtId="170" fontId="52" fillId="0" borderId="14" xfId="0" applyNumberFormat="1" applyFont="1" applyBorder="1" applyAlignment="1">
      <alignment horizontal="center" vertical="center"/>
    </xf>
    <xf numFmtId="0" fontId="52" fillId="0" borderId="0" xfId="0" applyFont="1"/>
    <xf numFmtId="166" fontId="52" fillId="0" borderId="0" xfId="0" applyNumberFormat="1" applyFont="1"/>
    <xf numFmtId="0" fontId="52" fillId="0" borderId="0" xfId="0" applyFont="1" applyAlignment="1">
      <alignment horizontal="center" vertical="center"/>
    </xf>
    <xf numFmtId="0" fontId="52" fillId="0" borderId="11" xfId="0" applyFont="1" applyBorder="1" applyAlignment="1">
      <alignment horizontal="center" vertical="center"/>
    </xf>
    <xf numFmtId="0" fontId="49" fillId="0" borderId="10" xfId="0" applyFont="1" applyBorder="1" applyAlignment="1">
      <alignment horizontal="left" indent="1"/>
    </xf>
    <xf numFmtId="41" fontId="52" fillId="0" borderId="0" xfId="0" applyNumberFormat="1" applyFont="1"/>
    <xf numFmtId="41" fontId="52" fillId="0" borderId="0" xfId="0" applyNumberFormat="1" applyFont="1" applyAlignment="1">
      <alignment horizontal="center" vertical="center"/>
    </xf>
    <xf numFmtId="41" fontId="52" fillId="0" borderId="11" xfId="0" applyNumberFormat="1" applyFont="1" applyBorder="1" applyAlignment="1">
      <alignment horizontal="center" vertical="center"/>
    </xf>
    <xf numFmtId="41" fontId="52" fillId="0" borderId="0" xfId="0" applyNumberFormat="1" applyFont="1" applyAlignment="1">
      <alignment horizontal="right"/>
    </xf>
    <xf numFmtId="41" fontId="85" fillId="0" borderId="0" xfId="0" applyNumberFormat="1" applyFont="1" applyAlignment="1">
      <alignment horizontal="right"/>
    </xf>
    <xf numFmtId="41" fontId="85" fillId="0" borderId="0" xfId="0" applyNumberFormat="1" applyFont="1"/>
    <xf numFmtId="41" fontId="85" fillId="0" borderId="0" xfId="0" applyNumberFormat="1" applyFont="1" applyAlignment="1">
      <alignment horizontal="center" vertical="center"/>
    </xf>
    <xf numFmtId="41" fontId="85" fillId="0" borderId="11" xfId="0" applyNumberFormat="1" applyFont="1" applyBorder="1" applyAlignment="1">
      <alignment horizontal="center" vertical="center"/>
    </xf>
    <xf numFmtId="41" fontId="66" fillId="0" borderId="0" xfId="0" applyNumberFormat="1" applyFont="1"/>
    <xf numFmtId="169" fontId="54" fillId="0" borderId="0" xfId="0" applyNumberFormat="1" applyFont="1"/>
    <xf numFmtId="0" fontId="52" fillId="0" borderId="13" xfId="0" applyFont="1" applyBorder="1"/>
    <xf numFmtId="41" fontId="52" fillId="0" borderId="13" xfId="0" applyNumberFormat="1" applyFont="1" applyBorder="1"/>
    <xf numFmtId="41" fontId="52" fillId="0" borderId="13" xfId="0" applyNumberFormat="1" applyFont="1" applyBorder="1" applyAlignment="1">
      <alignment horizontal="right"/>
    </xf>
    <xf numFmtId="41" fontId="52" fillId="0" borderId="13" xfId="0" applyNumberFormat="1" applyFont="1" applyBorder="1" applyAlignment="1">
      <alignment vertical="center"/>
    </xf>
    <xf numFmtId="41" fontId="52" fillId="0" borderId="13" xfId="0" applyNumberFormat="1" applyFont="1" applyBorder="1" applyAlignment="1">
      <alignment horizontal="right" vertical="center"/>
    </xf>
    <xf numFmtId="41" fontId="52" fillId="0" borderId="14" xfId="0" applyNumberFormat="1" applyFont="1" applyBorder="1" applyAlignment="1">
      <alignment horizontal="right" vertical="center"/>
    </xf>
    <xf numFmtId="41" fontId="52" fillId="0" borderId="11" xfId="0" applyNumberFormat="1" applyFont="1" applyBorder="1" applyAlignment="1">
      <alignment horizontal="right"/>
    </xf>
    <xf numFmtId="41" fontId="52" fillId="0" borderId="11" xfId="0" applyNumberFormat="1" applyFont="1" applyBorder="1"/>
    <xf numFmtId="41" fontId="52" fillId="0" borderId="0" xfId="0" quotePrefix="1" applyNumberFormat="1" applyFont="1" applyAlignment="1">
      <alignment horizontal="left" indent="1"/>
    </xf>
    <xf numFmtId="41" fontId="85" fillId="0" borderId="11" xfId="0" applyNumberFormat="1" applyFont="1" applyBorder="1"/>
    <xf numFmtId="41" fontId="85" fillId="0" borderId="0" xfId="0" quotePrefix="1" applyNumberFormat="1" applyFont="1"/>
    <xf numFmtId="41" fontId="52" fillId="0" borderId="0" xfId="0" quotePrefix="1" applyNumberFormat="1" applyFont="1"/>
    <xf numFmtId="0" fontId="52" fillId="0" borderId="0" xfId="0" applyFont="1" applyAlignment="1">
      <alignment horizontal="right"/>
    </xf>
    <xf numFmtId="0" fontId="64" fillId="0" borderId="0" xfId="0" applyFont="1" applyAlignment="1">
      <alignment horizontal="right"/>
    </xf>
    <xf numFmtId="41" fontId="52" fillId="0" borderId="0" xfId="0" quotePrefix="1" applyNumberFormat="1" applyFont="1" applyAlignment="1">
      <alignment horizontal="right"/>
    </xf>
    <xf numFmtId="174" fontId="54" fillId="0" borderId="0" xfId="0" applyNumberFormat="1" applyFont="1"/>
    <xf numFmtId="41" fontId="86" fillId="0" borderId="0" xfId="0" applyNumberFormat="1" applyFont="1"/>
    <xf numFmtId="41" fontId="52" fillId="0" borderId="0" xfId="0" applyNumberFormat="1" applyFont="1" applyAlignment="1">
      <alignment horizontal="left"/>
    </xf>
    <xf numFmtId="41" fontId="52" fillId="0" borderId="0" xfId="0" applyNumberFormat="1" applyFont="1" applyAlignment="1">
      <alignment vertical="center"/>
    </xf>
    <xf numFmtId="41" fontId="52" fillId="0" borderId="11" xfId="0" applyNumberFormat="1" applyFont="1" applyBorder="1" applyAlignment="1">
      <alignment vertical="center"/>
    </xf>
    <xf numFmtId="41" fontId="52" fillId="0" borderId="14" xfId="0" applyNumberFormat="1" applyFont="1" applyBorder="1"/>
    <xf numFmtId="0" fontId="52" fillId="0" borderId="12" xfId="0" applyFont="1" applyBorder="1"/>
    <xf numFmtId="171" fontId="49" fillId="0" borderId="0" xfId="0" applyNumberFormat="1" applyFont="1"/>
    <xf numFmtId="0" fontId="49" fillId="0" borderId="0" xfId="0" applyFont="1" applyAlignment="1">
      <alignment horizontal="left" indent="1"/>
    </xf>
    <xf numFmtId="41" fontId="49" fillId="0" borderId="0" xfId="0" applyNumberFormat="1" applyFont="1" applyAlignment="1">
      <alignment horizontal="right"/>
    </xf>
    <xf numFmtId="41" fontId="57" fillId="0" borderId="0" xfId="0" applyNumberFormat="1" applyFont="1" applyAlignment="1">
      <alignment horizontal="right"/>
    </xf>
    <xf numFmtId="0" fontId="76" fillId="18" borderId="7" xfId="0" applyFont="1" applyFill="1" applyBorder="1"/>
    <xf numFmtId="0" fontId="77" fillId="18" borderId="8" xfId="0" applyFont="1" applyFill="1" applyBorder="1"/>
    <xf numFmtId="0" fontId="76" fillId="18" borderId="9" xfId="0" applyFont="1" applyFill="1" applyBorder="1" applyAlignment="1">
      <alignment horizontal="right"/>
    </xf>
    <xf numFmtId="0" fontId="49" fillId="18" borderId="0" xfId="0" applyFont="1" applyFill="1"/>
    <xf numFmtId="0" fontId="49" fillId="18" borderId="0" xfId="0" applyFont="1" applyFill="1" applyAlignment="1">
      <alignment vertical="center"/>
    </xf>
    <xf numFmtId="0" fontId="47" fillId="18" borderId="10" xfId="0" applyFont="1" applyFill="1" applyBorder="1"/>
    <xf numFmtId="0" fontId="47" fillId="18" borderId="0" xfId="0" applyFont="1" applyFill="1"/>
    <xf numFmtId="0" fontId="49" fillId="17" borderId="10" xfId="0" applyFont="1" applyFill="1" applyBorder="1"/>
    <xf numFmtId="0" fontId="49" fillId="17" borderId="0" xfId="0" applyFont="1" applyFill="1"/>
    <xf numFmtId="0" fontId="49" fillId="17" borderId="0" xfId="0" applyFont="1" applyFill="1" applyAlignment="1">
      <alignment horizontal="right"/>
    </xf>
    <xf numFmtId="0" fontId="49" fillId="17" borderId="0" xfId="0" applyFont="1" applyFill="1" applyAlignment="1">
      <alignment horizontal="right" vertical="center"/>
    </xf>
    <xf numFmtId="0" fontId="49" fillId="17" borderId="11" xfId="0" applyFont="1" applyFill="1" applyBorder="1" applyAlignment="1">
      <alignment horizontal="right" vertical="center"/>
    </xf>
    <xf numFmtId="0" fontId="47" fillId="18" borderId="0" xfId="0" applyFont="1" applyFill="1" applyAlignment="1">
      <alignment vertical="center"/>
    </xf>
    <xf numFmtId="0" fontId="47" fillId="18" borderId="11" xfId="0" applyFont="1" applyFill="1" applyBorder="1" applyAlignment="1">
      <alignment horizontal="right" vertical="center"/>
    </xf>
    <xf numFmtId="0" fontId="65" fillId="15" borderId="28" xfId="0" applyFont="1" applyFill="1" applyBorder="1"/>
    <xf numFmtId="0" fontId="38" fillId="15" borderId="29" xfId="0" applyFont="1" applyFill="1" applyBorder="1"/>
    <xf numFmtId="0" fontId="38" fillId="15" borderId="30" xfId="0" applyFont="1" applyFill="1" applyBorder="1"/>
    <xf numFmtId="207" fontId="82" fillId="0" borderId="31" xfId="0" applyNumberFormat="1" applyFont="1" applyBorder="1" applyAlignment="1">
      <alignment horizontal="center"/>
    </xf>
    <xf numFmtId="10" fontId="82" fillId="0" borderId="31" xfId="0" applyNumberFormat="1" applyFont="1" applyBorder="1" applyAlignment="1">
      <alignment horizontal="center"/>
    </xf>
    <xf numFmtId="207" fontId="39" fillId="0" borderId="33" xfId="0" applyNumberFormat="1" applyFont="1" applyBorder="1" applyAlignment="1">
      <alignment horizontal="center"/>
    </xf>
    <xf numFmtId="10" fontId="39" fillId="0" borderId="33" xfId="0" applyNumberFormat="1" applyFont="1" applyBorder="1" applyAlignment="1">
      <alignment horizontal="center"/>
    </xf>
    <xf numFmtId="207" fontId="39" fillId="0" borderId="31" xfId="0" applyNumberFormat="1" applyFont="1" applyBorder="1" applyAlignment="1">
      <alignment horizontal="center"/>
    </xf>
    <xf numFmtId="10" fontId="39" fillId="0" borderId="31" xfId="0" applyNumberFormat="1" applyFont="1" applyBorder="1" applyAlignment="1">
      <alignment horizontal="center"/>
    </xf>
    <xf numFmtId="207" fontId="82" fillId="19" borderId="31" xfId="0" applyNumberFormat="1" applyFont="1" applyFill="1" applyBorder="1" applyAlignment="1">
      <alignment horizontal="center"/>
    </xf>
    <xf numFmtId="10" fontId="82" fillId="19" borderId="31" xfId="0" applyNumberFormat="1" applyFont="1" applyFill="1" applyBorder="1" applyAlignment="1">
      <alignment horizontal="center"/>
    </xf>
    <xf numFmtId="0" fontId="82" fillId="0" borderId="33" xfId="0" applyFont="1" applyBorder="1" applyAlignment="1">
      <alignment horizontal="center"/>
    </xf>
    <xf numFmtId="0" fontId="39" fillId="0" borderId="33" xfId="0" applyFont="1" applyBorder="1" applyAlignment="1">
      <alignment horizontal="center"/>
    </xf>
    <xf numFmtId="0" fontId="39" fillId="0" borderId="33" xfId="0" applyFont="1" applyBorder="1"/>
    <xf numFmtId="0" fontId="82" fillId="0" borderId="0" xfId="0" applyFont="1"/>
    <xf numFmtId="207" fontId="82" fillId="0" borderId="0" xfId="0" applyNumberFormat="1" applyFont="1" applyAlignment="1">
      <alignment horizontal="center"/>
    </xf>
    <xf numFmtId="0" fontId="39" fillId="0" borderId="31" xfId="0" applyFont="1" applyBorder="1"/>
    <xf numFmtId="0" fontId="82" fillId="19" borderId="0" xfId="0" applyFont="1" applyFill="1" applyAlignment="1">
      <alignment horizontal="left"/>
    </xf>
    <xf numFmtId="0" fontId="82" fillId="19" borderId="0" xfId="0" applyFont="1" applyFill="1" applyAlignment="1">
      <alignment horizontal="center"/>
    </xf>
    <xf numFmtId="0" fontId="82" fillId="0" borderId="29" xfId="0" applyFont="1" applyBorder="1" applyAlignment="1">
      <alignment horizontal="center"/>
    </xf>
    <xf numFmtId="0" fontId="39" fillId="0" borderId="31" xfId="0" applyFont="1" applyBorder="1" applyAlignment="1">
      <alignment horizontal="center"/>
    </xf>
    <xf numFmtId="208" fontId="39" fillId="0" borderId="33" xfId="0" applyNumberFormat="1" applyFont="1" applyBorder="1" applyAlignment="1">
      <alignment horizontal="left"/>
    </xf>
    <xf numFmtId="10" fontId="39" fillId="0" borderId="33" xfId="2" applyNumberFormat="1" applyFont="1" applyBorder="1" applyAlignment="1">
      <alignment horizontal="center"/>
    </xf>
    <xf numFmtId="0" fontId="82" fillId="19" borderId="33" xfId="0" applyFont="1" applyFill="1" applyBorder="1" applyAlignment="1">
      <alignment horizontal="center"/>
    </xf>
    <xf numFmtId="0" fontId="82" fillId="19" borderId="33" xfId="0" applyFont="1" applyFill="1" applyBorder="1" applyAlignment="1">
      <alignment horizontal="left"/>
    </xf>
    <xf numFmtId="3" fontId="82" fillId="0" borderId="0" xfId="0" applyNumberFormat="1" applyFont="1" applyAlignment="1">
      <alignment horizontal="center"/>
    </xf>
    <xf numFmtId="206" fontId="82" fillId="0" borderId="0" xfId="0" applyNumberFormat="1" applyFont="1" applyAlignment="1">
      <alignment horizontal="center"/>
    </xf>
    <xf numFmtId="3" fontId="39" fillId="0" borderId="33" xfId="0" applyNumberFormat="1" applyFont="1" applyBorder="1" applyAlignment="1">
      <alignment horizontal="center"/>
    </xf>
    <xf numFmtId="37" fontId="39" fillId="0" borderId="33" xfId="0" applyNumberFormat="1" applyFont="1" applyBorder="1" applyAlignment="1">
      <alignment horizontal="center"/>
    </xf>
    <xf numFmtId="207" fontId="82" fillId="0" borderId="33" xfId="0" applyNumberFormat="1" applyFont="1" applyBorder="1" applyAlignment="1">
      <alignment horizontal="center"/>
    </xf>
    <xf numFmtId="10" fontId="82" fillId="0" borderId="33" xfId="0" applyNumberFormat="1" applyFont="1" applyBorder="1" applyAlignment="1">
      <alignment horizontal="center"/>
    </xf>
    <xf numFmtId="0" fontId="65" fillId="15" borderId="32" xfId="0" applyFont="1" applyFill="1" applyBorder="1"/>
    <xf numFmtId="0" fontId="38" fillId="15" borderId="33" xfId="0" applyFont="1" applyFill="1" applyBorder="1"/>
    <xf numFmtId="0" fontId="38" fillId="15" borderId="34" xfId="0" applyFont="1" applyFill="1" applyBorder="1"/>
    <xf numFmtId="206" fontId="39" fillId="0" borderId="33" xfId="0" applyNumberFormat="1" applyFont="1" applyBorder="1" applyAlignment="1">
      <alignment horizontal="center"/>
    </xf>
    <xf numFmtId="206" fontId="82" fillId="0" borderId="33" xfId="0" applyNumberFormat="1" applyFont="1" applyBorder="1" applyAlignment="1">
      <alignment horizontal="center"/>
    </xf>
    <xf numFmtId="190" fontId="39" fillId="0" borderId="33" xfId="0" applyNumberFormat="1" applyFont="1" applyBorder="1" applyAlignment="1">
      <alignment horizontal="center"/>
    </xf>
    <xf numFmtId="209" fontId="39" fillId="0" borderId="33" xfId="0" applyNumberFormat="1" applyFont="1" applyBorder="1" applyAlignment="1">
      <alignment horizontal="center"/>
    </xf>
    <xf numFmtId="0" fontId="82" fillId="0" borderId="33" xfId="0" applyFont="1" applyBorder="1"/>
    <xf numFmtId="0" fontId="82" fillId="0" borderId="29" xfId="0" applyFont="1" applyBorder="1"/>
    <xf numFmtId="0" fontId="82" fillId="0" borderId="31" xfId="0" applyFont="1" applyBorder="1"/>
    <xf numFmtId="206" fontId="39" fillId="0" borderId="31" xfId="0" applyNumberFormat="1" applyFont="1" applyBorder="1" applyAlignment="1">
      <alignment horizontal="center"/>
    </xf>
    <xf numFmtId="206" fontId="82" fillId="19" borderId="31" xfId="0" applyNumberFormat="1" applyFont="1" applyFill="1" applyBorder="1" applyAlignment="1">
      <alignment horizontal="center"/>
    </xf>
    <xf numFmtId="0" fontId="82" fillId="19" borderId="31" xfId="0" applyFont="1" applyFill="1" applyBorder="1"/>
    <xf numFmtId="0" fontId="65" fillId="15" borderId="0" xfId="0" applyFont="1" applyFill="1"/>
    <xf numFmtId="206" fontId="82" fillId="19" borderId="0" xfId="0" applyNumberFormat="1" applyFont="1" applyFill="1" applyAlignment="1">
      <alignment horizontal="center"/>
    </xf>
    <xf numFmtId="16" fontId="39" fillId="0" borderId="31" xfId="0" applyNumberFormat="1" applyFont="1" applyBorder="1"/>
    <xf numFmtId="3" fontId="39" fillId="0" borderId="31" xfId="0" applyNumberFormat="1" applyFont="1" applyBorder="1" applyAlignment="1">
      <alignment horizontal="center"/>
    </xf>
    <xf numFmtId="1" fontId="82" fillId="19" borderId="31" xfId="0" applyNumberFormat="1" applyFont="1" applyFill="1" applyBorder="1" applyAlignment="1">
      <alignment horizontal="center"/>
    </xf>
    <xf numFmtId="9" fontId="39" fillId="0" borderId="31" xfId="0" applyNumberFormat="1" applyFont="1" applyBorder="1" applyAlignment="1">
      <alignment horizontal="center"/>
    </xf>
    <xf numFmtId="9" fontId="82" fillId="19" borderId="31" xfId="0" applyNumberFormat="1" applyFont="1" applyFill="1" applyBorder="1" applyAlignment="1">
      <alignment horizontal="center"/>
    </xf>
    <xf numFmtId="3" fontId="39" fillId="19" borderId="31" xfId="0" applyNumberFormat="1" applyFont="1" applyFill="1" applyBorder="1" applyAlignment="1">
      <alignment horizontal="center"/>
    </xf>
    <xf numFmtId="0" fontId="34" fillId="11" borderId="0" xfId="1" applyFill="1" applyAlignment="1">
      <alignment horizontal="right"/>
    </xf>
    <xf numFmtId="0" fontId="36" fillId="0" borderId="0" xfId="1" applyFont="1"/>
    <xf numFmtId="0" fontId="37" fillId="12" borderId="0" xfId="1" applyFont="1" applyFill="1" applyAlignment="1">
      <alignment horizontal="center" vertical="center" wrapText="1"/>
    </xf>
    <xf numFmtId="0" fontId="29" fillId="0" borderId="0" xfId="0" applyFont="1" applyAlignment="1">
      <alignment wrapText="1"/>
    </xf>
    <xf numFmtId="0" fontId="36" fillId="0" borderId="0" xfId="1" applyFont="1" applyFill="1" applyAlignment="1">
      <alignment horizontal="left" indent="1"/>
    </xf>
    <xf numFmtId="0" fontId="36" fillId="0" borderId="0" xfId="1" applyFont="1" applyAlignment="1">
      <alignment horizontal="left" vertical="center" indent="1"/>
    </xf>
    <xf numFmtId="0" fontId="36" fillId="0" borderId="0" xfId="1" applyFont="1" applyAlignment="1">
      <alignment horizontal="left" indent="1"/>
    </xf>
    <xf numFmtId="0" fontId="49" fillId="0" borderId="7" xfId="0" applyFont="1" applyBorder="1" applyAlignment="1">
      <alignment horizontal="center" vertical="center"/>
    </xf>
    <xf numFmtId="0" fontId="49" fillId="0" borderId="8" xfId="0" applyFont="1" applyBorder="1" applyAlignment="1">
      <alignment horizontal="center" vertical="center"/>
    </xf>
    <xf numFmtId="0" fontId="49" fillId="0" borderId="9" xfId="0" applyFont="1" applyBorder="1" applyAlignment="1">
      <alignment horizontal="center" vertical="center"/>
    </xf>
    <xf numFmtId="0" fontId="49" fillId="0" borderId="10" xfId="0" applyFont="1" applyBorder="1" applyAlignment="1">
      <alignment horizontal="center" vertical="center"/>
    </xf>
    <xf numFmtId="0" fontId="49" fillId="0" borderId="0" xfId="0" applyFont="1" applyAlignment="1">
      <alignment horizontal="center" vertical="center"/>
    </xf>
    <xf numFmtId="0" fontId="49" fillId="0" borderId="11" xfId="0" applyFont="1" applyBorder="1" applyAlignment="1">
      <alignment horizontal="center" vertical="center"/>
    </xf>
    <xf numFmtId="0" fontId="49" fillId="0" borderId="12" xfId="0" applyFont="1" applyBorder="1" applyAlignment="1">
      <alignment horizontal="center" vertical="center"/>
    </xf>
    <xf numFmtId="0" fontId="49" fillId="0" borderId="13" xfId="0" applyFont="1" applyBorder="1" applyAlignment="1">
      <alignment horizontal="center" vertical="center"/>
    </xf>
    <xf numFmtId="0" fontId="49" fillId="0" borderId="14" xfId="0" applyFont="1" applyBorder="1" applyAlignment="1">
      <alignment horizontal="center" vertical="center"/>
    </xf>
    <xf numFmtId="0" fontId="47" fillId="10" borderId="25" xfId="0" applyFont="1" applyFill="1" applyBorder="1" applyAlignment="1">
      <alignment horizontal="center" vertical="top"/>
    </xf>
    <xf numFmtId="0" fontId="47" fillId="10" borderId="24" xfId="0" applyFont="1" applyFill="1" applyBorder="1" applyAlignment="1">
      <alignment horizontal="center" vertical="top"/>
    </xf>
    <xf numFmtId="0" fontId="47" fillId="10" borderId="26" xfId="0" applyFont="1" applyFill="1" applyBorder="1" applyAlignment="1">
      <alignment horizontal="center" vertical="top"/>
    </xf>
    <xf numFmtId="0" fontId="39" fillId="0" borderId="0" xfId="0" applyFont="1" applyAlignment="1">
      <alignment horizontal="center"/>
    </xf>
  </cellXfs>
  <cellStyles count="3">
    <cellStyle name="Hyperlink" xfId="1" builtinId="8"/>
    <cellStyle name="Normal" xfId="0" builtinId="0"/>
    <cellStyle name="Percent" xfId="2" builtinId="5"/>
  </cellStyles>
  <dxfs count="51">
    <dxf>
      <font>
        <color theme="0"/>
      </font>
      <fill>
        <patternFill>
          <bgColor rgb="FFFF0000"/>
        </patternFill>
      </fill>
    </dxf>
    <dxf>
      <fill>
        <patternFill>
          <bgColor rgb="FFE6E6E6"/>
        </patternFill>
      </fill>
    </dxf>
    <dxf>
      <font>
        <color theme="0"/>
      </font>
      <fill>
        <patternFill>
          <bgColor rgb="FFFF0000"/>
        </patternFill>
      </fill>
    </dxf>
    <dxf>
      <font>
        <u/>
      </font>
    </dxf>
    <dxf>
      <font>
        <u val="none"/>
      </font>
    </dxf>
    <dxf>
      <font>
        <u/>
      </font>
    </dxf>
    <dxf>
      <font>
        <u val="none"/>
      </font>
    </dxf>
    <dxf>
      <font>
        <color rgb="FF008000"/>
      </font>
    </dxf>
    <dxf>
      <font>
        <color theme="0"/>
      </font>
    </dxf>
    <dxf>
      <font>
        <color theme="0"/>
      </font>
    </dxf>
    <dxf>
      <font>
        <color theme="0" tint="-0.34998626667073579"/>
      </font>
      <numFmt numFmtId="210" formatCode="&quot;Detail ---&gt;&quot;"/>
      <fill>
        <patternFill>
          <bgColor rgb="FFE6E6E6"/>
        </patternFill>
      </fill>
    </dxf>
    <dxf>
      <font>
        <color rgb="FF0000FF"/>
      </font>
      <fill>
        <patternFill>
          <bgColor rgb="FFE6E6E6"/>
        </patternFill>
      </fill>
    </dxf>
    <dxf>
      <font>
        <color rgb="FFE6E6E6"/>
      </font>
      <fill>
        <patternFill>
          <bgColor rgb="FFE6E6E6"/>
        </patternFill>
      </fill>
    </dxf>
    <dxf>
      <font>
        <color rgb="FF0000FF"/>
      </font>
      <fill>
        <patternFill>
          <bgColor rgb="FFE6E6E6"/>
        </patternFill>
      </fill>
    </dxf>
    <dxf>
      <font>
        <color theme="0" tint="-0.499984740745262"/>
      </font>
      <numFmt numFmtId="211" formatCode="&quot;NA&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theme="0" tint="-0.34998626667073579"/>
      </font>
      <numFmt numFmtId="210" formatCode="&quot;Detail ---&gt;&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rgb="FFFF0000"/>
      </font>
    </dxf>
    <dxf>
      <font>
        <color rgb="FFFF0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8626667073579"/>
      </font>
      <fill>
        <patternFill patternType="none">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u/>
      </font>
    </dxf>
    <dxf>
      <font>
        <u val="none"/>
      </font>
    </dxf>
    <dxf>
      <font>
        <u/>
      </font>
    </dxf>
    <dxf>
      <font>
        <u val="none"/>
      </font>
    </dxf>
  </dxfs>
  <tableStyles count="0" defaultTableStyle="TableStyleMedium2" defaultPivotStyle="PivotStyleLight16"/>
  <colors>
    <mruColors>
      <color rgb="FFDDDDDD"/>
      <color rgb="FFE6E6E6"/>
      <color rgb="FFDFE1E1"/>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Project Costs (Uses)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Land Costs</c:v>
          </c:tx>
          <c:spPr>
            <a:solidFill>
              <a:srgbClr val="C00000"/>
            </a:solidFill>
            <a:ln w="25400" cap="flat" cmpd="sng" algn="ctr">
              <a:no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[0]!Range_Land_Costs</c:f>
              <c:numCache>
                <c:formatCode>_(* #,##0_);_(* \(#,##0\);_(* "-"_);_(@_)</c:formatCode>
                <c:ptCount val="37"/>
                <c:pt idx="0">
                  <c:v>500000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0803-4441-8E92-6A70469F44AA}"/>
            </c:ext>
          </c:extLst>
        </c:ser>
        <c:ser>
          <c:idx val="1"/>
          <c:order val="1"/>
          <c:tx>
            <c:v>Hard Costs</c:v>
          </c:tx>
          <c:spPr>
            <a:solidFill>
              <a:schemeClr val="accent2"/>
            </a:solidFill>
            <a:ln w="25400" cap="flat" cmpd="sng" algn="ctr">
              <a:noFill/>
              <a:miter lim="800000"/>
            </a:ln>
            <a:effectLst/>
          </c:spPr>
          <c:invertIfNegative val="0"/>
          <c:val>
            <c:numRef>
              <c:f>[0]!Range_Hard_Costs</c:f>
              <c:numCache>
                <c:formatCode>_(* #,##0_);_(* \(#,##0\);_(* "-"_);_(@_)</c:formatCode>
                <c:ptCount val="37"/>
                <c:pt idx="0">
                  <c:v>0</c:v>
                </c:pt>
                <c:pt idx="1">
                  <c:v>14838.051122682164</c:v>
                </c:pt>
                <c:pt idx="2">
                  <c:v>50502.066144580953</c:v>
                </c:pt>
                <c:pt idx="3">
                  <c:v>134516.94439839575</c:v>
                </c:pt>
                <c:pt idx="4">
                  <c:v>280434.43614431878</c:v>
                </c:pt>
                <c:pt idx="5">
                  <c:v>457627.05692607386</c:v>
                </c:pt>
                <c:pt idx="6">
                  <c:v>584581.44526394852</c:v>
                </c:pt>
                <c:pt idx="7">
                  <c:v>584581.44526394852</c:v>
                </c:pt>
                <c:pt idx="8">
                  <c:v>457627.05692607397</c:v>
                </c:pt>
                <c:pt idx="9">
                  <c:v>280434.43614431861</c:v>
                </c:pt>
                <c:pt idx="10">
                  <c:v>134516.94439839578</c:v>
                </c:pt>
                <c:pt idx="11">
                  <c:v>50502.066144580931</c:v>
                </c:pt>
                <c:pt idx="12">
                  <c:v>14838.051122682213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2955-4F20-B0BB-1FB7BC7F009A}"/>
            </c:ext>
          </c:extLst>
        </c:ser>
        <c:ser>
          <c:idx val="2"/>
          <c:order val="2"/>
          <c:tx>
            <c:v>Soft Costs</c:v>
          </c:tx>
          <c:spPr>
            <a:solidFill>
              <a:schemeClr val="accent5"/>
            </a:solidFill>
            <a:ln w="25400" cap="flat" cmpd="sng" algn="ctr">
              <a:noFill/>
              <a:miter lim="800000"/>
            </a:ln>
            <a:effectLst/>
          </c:spPr>
          <c:invertIfNegative val="0"/>
          <c:val>
            <c:numRef>
              <c:f>[0]!Range_Soft_Costs</c:f>
              <c:numCache>
                <c:formatCode>_(* #,##0_);_(* \(#,##0\);_(* "-"_);_(@_)</c:formatCode>
                <c:ptCount val="37"/>
                <c:pt idx="0">
                  <c:v>252002.85714285713</c:v>
                </c:pt>
                <c:pt idx="1">
                  <c:v>2002.8571428571429</c:v>
                </c:pt>
                <c:pt idx="2">
                  <c:v>2002.8571428571429</c:v>
                </c:pt>
                <c:pt idx="3">
                  <c:v>2002.8571428571429</c:v>
                </c:pt>
                <c:pt idx="4">
                  <c:v>2002.8571428571429</c:v>
                </c:pt>
                <c:pt idx="5">
                  <c:v>2002.8571428571429</c:v>
                </c:pt>
                <c:pt idx="6">
                  <c:v>2002.8571428571429</c:v>
                </c:pt>
                <c:pt idx="7">
                  <c:v>0</c:v>
                </c:pt>
                <c:pt idx="8">
                  <c:v>0</c:v>
                </c:pt>
                <c:pt idx="9">
                  <c:v>0</c:v>
                </c:pt>
                <c:pt idx="10">
                  <c:v>0</c:v>
                </c:pt>
                <c:pt idx="11">
                  <c:v>0</c:v>
                </c:pt>
                <c:pt idx="12">
                  <c:v>0</c:v>
                </c:pt>
                <c:pt idx="13">
                  <c:v>15200</c:v>
                </c:pt>
                <c:pt idx="14">
                  <c:v>15200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2-2955-4F20-B0BB-1FB7BC7F009A}"/>
            </c:ext>
          </c:extLst>
        </c:ser>
        <c:ser>
          <c:idx val="3"/>
          <c:order val="3"/>
          <c:tx>
            <c:v>Carry Costs</c:v>
          </c:tx>
          <c:spPr>
            <a:solidFill>
              <a:srgbClr val="7030A0"/>
            </a:solidFill>
            <a:ln w="25400" cap="flat" cmpd="sng" algn="ctr">
              <a:noFill/>
              <a:miter lim="800000"/>
            </a:ln>
            <a:effectLst/>
          </c:spPr>
          <c:invertIfNegative val="0"/>
          <c:val>
            <c:numRef>
              <c:f>[0]!Range_Carry_Costs</c:f>
              <c:numCache>
                <c:formatCode>_(* #,##0_);_(* \(#,##0\);_(* "-"_);_(@_)</c:formatCode>
                <c:ptCount val="37"/>
                <c:pt idx="0">
                  <c:v>70500</c:v>
                </c:pt>
                <c:pt idx="1">
                  <c:v>0</c:v>
                </c:pt>
                <c:pt idx="2">
                  <c:v>0</c:v>
                </c:pt>
                <c:pt idx="3">
                  <c:v>0</c:v>
                </c:pt>
                <c:pt idx="4">
                  <c:v>0</c:v>
                </c:pt>
                <c:pt idx="5">
                  <c:v>0</c:v>
                </c:pt>
                <c:pt idx="6">
                  <c:v>1291.629712288528</c:v>
                </c:pt>
                <c:pt idx="7">
                  <c:v>6190.5958132809792</c:v>
                </c:pt>
                <c:pt idx="8">
                  <c:v>11113.696155591226</c:v>
                </c:pt>
                <c:pt idx="9">
                  <c:v>15019.869097938436</c:v>
                </c:pt>
                <c:pt idx="10">
                  <c:v>17481.98830829058</c:v>
                </c:pt>
                <c:pt idx="11">
                  <c:v>18748.646080846302</c:v>
                </c:pt>
                <c:pt idx="12">
                  <c:v>19325.735349391529</c:v>
                </c:pt>
                <c:pt idx="13">
                  <c:v>19610.433569992147</c:v>
                </c:pt>
                <c:pt idx="14">
                  <c:v>19900.520516408742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3-2955-4F20-B0BB-1FB7BC7F009A}"/>
            </c:ext>
          </c:extLst>
        </c:ser>
        <c:dLbls>
          <c:showLegendKey val="0"/>
          <c:showVal val="0"/>
          <c:showCatName val="0"/>
          <c:showSerName val="0"/>
          <c:showPercent val="0"/>
          <c:showBubbleSize val="0"/>
        </c:dLbls>
        <c:gapWidth val="75"/>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Net Operating Income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6350" cap="flat" cmpd="sng" algn="ctr">
              <a:solidFill>
                <a:schemeClr val="accent2"/>
              </a:solid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[0]!Range_NOI</c:f>
              <c:numCache>
                <c:formatCode>_(* #,##0_);_(* \(#,##0\);_(* "-"_);_(@_)</c:formatCode>
                <c:ptCount val="37"/>
                <c:pt idx="1">
                  <c:v>0</c:v>
                </c:pt>
                <c:pt idx="2">
                  <c:v>0</c:v>
                </c:pt>
                <c:pt idx="3">
                  <c:v>0</c:v>
                </c:pt>
                <c:pt idx="4">
                  <c:v>0</c:v>
                </c:pt>
                <c:pt idx="5">
                  <c:v>0</c:v>
                </c:pt>
                <c:pt idx="6">
                  <c:v>0</c:v>
                </c:pt>
                <c:pt idx="7">
                  <c:v>0</c:v>
                </c:pt>
                <c:pt idx="8">
                  <c:v>0</c:v>
                </c:pt>
                <c:pt idx="9">
                  <c:v>0</c:v>
                </c:pt>
                <c:pt idx="10">
                  <c:v>0</c:v>
                </c:pt>
                <c:pt idx="11">
                  <c:v>0</c:v>
                </c:pt>
                <c:pt idx="12">
                  <c:v>887.8183333333327</c:v>
                </c:pt>
                <c:pt idx="13">
                  <c:v>11012.255833333333</c:v>
                </c:pt>
                <c:pt idx="14">
                  <c:v>21136.693333333333</c:v>
                </c:pt>
                <c:pt idx="15">
                  <c:v>21136.693333333333</c:v>
                </c:pt>
                <c:pt idx="16">
                  <c:v>21136.693333333333</c:v>
                </c:pt>
                <c:pt idx="17">
                  <c:v>21136.693333333333</c:v>
                </c:pt>
                <c:pt idx="18">
                  <c:v>21136.693333333333</c:v>
                </c:pt>
                <c:pt idx="19">
                  <c:v>21136.693333333333</c:v>
                </c:pt>
                <c:pt idx="20">
                  <c:v>21136.693333333333</c:v>
                </c:pt>
                <c:pt idx="21">
                  <c:v>21136.693333333333</c:v>
                </c:pt>
                <c:pt idx="22">
                  <c:v>21136.693333333333</c:v>
                </c:pt>
                <c:pt idx="23">
                  <c:v>21136.693333333333</c:v>
                </c:pt>
                <c:pt idx="24">
                  <c:v>20171.330799999996</c:v>
                </c:pt>
                <c:pt idx="25">
                  <c:v>20479.985800000002</c:v>
                </c:pt>
                <c:pt idx="26">
                  <c:v>20788.640800000001</c:v>
                </c:pt>
                <c:pt idx="27">
                  <c:v>20788.640800000001</c:v>
                </c:pt>
                <c:pt idx="28">
                  <c:v>20788.640800000001</c:v>
                </c:pt>
                <c:pt idx="29">
                  <c:v>20788.640800000001</c:v>
                </c:pt>
                <c:pt idx="30">
                  <c:v>20788.640800000001</c:v>
                </c:pt>
                <c:pt idx="31">
                  <c:v>20788.640800000001</c:v>
                </c:pt>
                <c:pt idx="32">
                  <c:v>20788.640800000001</c:v>
                </c:pt>
                <c:pt idx="33">
                  <c:v>20788.640800000001</c:v>
                </c:pt>
                <c:pt idx="34">
                  <c:v>20788.640800000001</c:v>
                </c:pt>
                <c:pt idx="35">
                  <c:v>20788.640800000001</c:v>
                </c:pt>
                <c:pt idx="36">
                  <c:v>19785.125787999998</c:v>
                </c:pt>
              </c:numCache>
            </c:numRef>
          </c:val>
          <c:extLst>
            <c:ext xmlns:c16="http://schemas.microsoft.com/office/drawing/2014/chart" uri="{C3380CC4-5D6E-409C-BE32-E72D297353CC}">
              <c16:uniqueId val="{00000000-6927-4FDA-8E8D-653CC3FD1222}"/>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Equity (Blue) and Debt (Green)</a:t>
            </a:r>
            <a:r>
              <a:rPr lang="en-US" baseline="0">
                <a:latin typeface="+mn-lt"/>
              </a:rPr>
              <a:t> Cash Flows </a:t>
            </a:r>
            <a:r>
              <a:rPr lang="en-US">
                <a:latin typeface="+mn-lt"/>
              </a:rPr>
              <a:t>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Total Equity</c:v>
          </c:tx>
          <c:spPr>
            <a:solidFill>
              <a:schemeClr val="accent2"/>
            </a:solidFill>
            <a:ln w="25400" cap="flat" cmpd="sng" algn="ctr">
              <a:noFill/>
              <a:miter lim="800000"/>
            </a:ln>
            <a:effectLst/>
          </c:spPr>
          <c:invertIfNegative val="0"/>
          <c:cat>
            <c:numRef>
              <c:f>[0]!Range_Months</c:f>
              <c:numCache>
                <c:formatCode>"Month"\ 0</c:formatCod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numCache>
            </c:numRef>
          </c:cat>
          <c:val>
            <c:numRef>
              <c:f>[0]!Range_Equity</c:f>
              <c:numCache>
                <c:formatCode>_(* #,##0_);_(* \(#,##0\);_(* "-"_);_(@_)</c:formatCode>
                <c:ptCount val="37"/>
                <c:pt idx="0">
                  <c:v>822502.85714285716</c:v>
                </c:pt>
                <c:pt idx="1">
                  <c:v>16840.908265539307</c:v>
                </c:pt>
                <c:pt idx="2">
                  <c:v>52504.923287438098</c:v>
                </c:pt>
                <c:pt idx="3">
                  <c:v>136519.80154125288</c:v>
                </c:pt>
                <c:pt idx="4">
                  <c:v>282437.29328717594</c:v>
                </c:pt>
                <c:pt idx="5">
                  <c:v>304634.34859430767</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0-3F99-4D0A-9ADF-5906A146B83A}"/>
            </c:ext>
          </c:extLst>
        </c:ser>
        <c:ser>
          <c:idx val="1"/>
          <c:order val="1"/>
          <c:tx>
            <c:v>Total Debt</c:v>
          </c:tx>
          <c:spPr>
            <a:solidFill>
              <a:schemeClr val="accent5"/>
            </a:solidFill>
            <a:ln w="25400" cap="flat" cmpd="sng" algn="ctr">
              <a:noFill/>
              <a:miter lim="800000"/>
            </a:ln>
            <a:effectLst/>
          </c:spPr>
          <c:invertIfNegative val="0"/>
          <c:val>
            <c:numRef>
              <c:f>[0]!Range_Debt</c:f>
              <c:numCache>
                <c:formatCode>_(* #,##0_);_(* \(#,##0\);_(* "-"_);_(@_)</c:formatCode>
                <c:ptCount val="37"/>
                <c:pt idx="0">
                  <c:v>0</c:v>
                </c:pt>
                <c:pt idx="1">
                  <c:v>0</c:v>
                </c:pt>
                <c:pt idx="2">
                  <c:v>0</c:v>
                </c:pt>
                <c:pt idx="3">
                  <c:v>0</c:v>
                </c:pt>
                <c:pt idx="4">
                  <c:v>0</c:v>
                </c:pt>
                <c:pt idx="5">
                  <c:v>154995.56547462335</c:v>
                </c:pt>
                <c:pt idx="6">
                  <c:v>587875.93211909418</c:v>
                </c:pt>
                <c:pt idx="7">
                  <c:v>590772.04107722954</c:v>
                </c:pt>
                <c:pt idx="8">
                  <c:v>468740.7530816652</c:v>
                </c:pt>
                <c:pt idx="9">
                  <c:v>295454.30524225702</c:v>
                </c:pt>
                <c:pt idx="10">
                  <c:v>151998.93270668635</c:v>
                </c:pt>
                <c:pt idx="11">
                  <c:v>69250.71222542724</c:v>
                </c:pt>
                <c:pt idx="12">
                  <c:v>34163.786472073742</c:v>
                </c:pt>
                <c:pt idx="13">
                  <c:v>34810.43356999215</c:v>
                </c:pt>
                <c:pt idx="14">
                  <c:v>35100.520516408258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1-F469-47D0-AF0A-C5AFD353D61A}"/>
            </c:ext>
          </c:extLst>
        </c:ser>
        <c:dLbls>
          <c:showLegendKey val="0"/>
          <c:showVal val="0"/>
          <c:showCatName val="0"/>
          <c:showSerName val="0"/>
          <c:showPercent val="0"/>
          <c:showBubbleSize val="0"/>
        </c:dLbls>
        <c:gapWidth val="40"/>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Development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Yield-on-Cost</c:v>
          </c:tx>
          <c:spPr>
            <a:solidFill>
              <a:schemeClr val="accent5">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Summary!$N$29:$P$29</c:f>
              <c:numCache>
                <c:formatCode>0.00%</c:formatCode>
                <c:ptCount val="3"/>
                <c:pt idx="0">
                  <c:v>5.6714817846729035E-2</c:v>
                </c:pt>
                <c:pt idx="1">
                  <c:v>5.6790160283548261E-2</c:v>
                </c:pt>
                <c:pt idx="2">
                  <c:v>6.0441125354287951E-2</c:v>
                </c:pt>
              </c:numCache>
            </c:numRef>
          </c:val>
          <c:extLst>
            <c:ext xmlns:c16="http://schemas.microsoft.com/office/drawing/2014/chart" uri="{C3380CC4-5D6E-409C-BE32-E72D297353CC}">
              <c16:uniqueId val="{00000000-7BE3-4A06-8D69-B4811BF43312}"/>
            </c:ext>
          </c:extLst>
        </c:ser>
        <c:ser>
          <c:idx val="1"/>
          <c:order val="1"/>
          <c:tx>
            <c:v>Market Cap Rate</c:v>
          </c:tx>
          <c:spPr>
            <a:solidFill>
              <a:schemeClr val="accent2">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Summary!$N$30:$P$30</c:f>
              <c:numCache>
                <c:formatCode>0.00%</c:formatCode>
                <c:ptCount val="3"/>
                <c:pt idx="0">
                  <c:v>5.5E-2</c:v>
                </c:pt>
                <c:pt idx="1">
                  <c:v>5.5E-2</c:v>
                </c:pt>
                <c:pt idx="2">
                  <c:v>5.5E-2</c:v>
                </c:pt>
              </c:numCache>
            </c:numRef>
          </c:val>
          <c:extLst>
            <c:ext xmlns:c16="http://schemas.microsoft.com/office/drawing/2014/chart" uri="{C3380CC4-5D6E-409C-BE32-E72D297353CC}">
              <c16:uniqueId val="{00000001-7BE3-4A06-8D69-B4811BF43312}"/>
            </c:ext>
          </c:extLst>
        </c:ser>
        <c:dLbls>
          <c:showLegendKey val="0"/>
          <c:showVal val="0"/>
          <c:showCatName val="0"/>
          <c:showSerName val="0"/>
          <c:showPercent val="0"/>
          <c:showBubbleSize val="0"/>
        </c:dLbls>
        <c:gapWidth val="219"/>
        <c:overlap val="-27"/>
        <c:axId val="42708319"/>
        <c:axId val="2133407615"/>
      </c:barChart>
      <c:lineChart>
        <c:grouping val="standard"/>
        <c:varyColors val="0"/>
        <c:ser>
          <c:idx val="2"/>
          <c:order val="2"/>
          <c:tx>
            <c:v>Development Spread</c:v>
          </c:tx>
          <c:spPr>
            <a:ln w="158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Summary!$N$31:$P$31</c:f>
              <c:numCache>
                <c:formatCode>0.0\ "bps"</c:formatCode>
                <c:ptCount val="3"/>
                <c:pt idx="0">
                  <c:v>17.148178467290347</c:v>
                </c:pt>
                <c:pt idx="1">
                  <c:v>17.901602835482603</c:v>
                </c:pt>
                <c:pt idx="2">
                  <c:v>54.411253542879514</c:v>
                </c:pt>
              </c:numCache>
            </c:numRef>
          </c:val>
          <c:smooth val="0"/>
          <c:extLst>
            <c:ext xmlns:c16="http://schemas.microsoft.com/office/drawing/2014/chart" uri="{C3380CC4-5D6E-409C-BE32-E72D297353CC}">
              <c16:uniqueId val="{00000002-7BE3-4A06-8D69-B4811BF43312}"/>
            </c:ext>
          </c:extLst>
        </c:ser>
        <c:dLbls>
          <c:showLegendKey val="0"/>
          <c:showVal val="0"/>
          <c:showCatName val="0"/>
          <c:showSerName val="0"/>
          <c:showPercent val="0"/>
          <c:showBubbleSize val="0"/>
        </c:dLbls>
        <c:marker val="1"/>
        <c:smooth val="0"/>
        <c:axId val="34589551"/>
        <c:axId val="2133386447"/>
      </c:line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valAx>
        <c:axId val="2133386447"/>
        <c:scaling>
          <c:orientation val="minMax"/>
        </c:scaling>
        <c:delete val="0"/>
        <c:axPos val="r"/>
        <c:numFmt formatCode="0.0\ &quot;bps&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89551"/>
        <c:crosses val="max"/>
        <c:crossBetween val="between"/>
      </c:valAx>
      <c:catAx>
        <c:axId val="34589551"/>
        <c:scaling>
          <c:orientation val="minMax"/>
        </c:scaling>
        <c:delete val="1"/>
        <c:axPos val="b"/>
        <c:numFmt formatCode="General" sourceLinked="1"/>
        <c:majorTickMark val="out"/>
        <c:minorTickMark val="none"/>
        <c:tickLblPos val="nextTo"/>
        <c:crossAx val="21333864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a:t>
            </a:r>
            <a:r>
              <a:rPr lang="en-US" baseline="0"/>
              <a:t>IRR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IRR</c:v>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LP</c:v>
                </c:pt>
                <c:pt idx="1">
                  <c:v>OGM HOLDINGS</c:v>
                </c:pt>
              </c:strCache>
            </c:strRef>
          </c:cat>
          <c:val>
            <c:numRef>
              <c:f>Summary!$P$21:$P$23</c:f>
              <c:numCache>
                <c:formatCode>0.00%</c:formatCode>
                <c:ptCount val="3"/>
                <c:pt idx="0">
                  <c:v>0</c:v>
                </c:pt>
                <c:pt idx="1">
                  <c:v>7.1340659260749825E-2</c:v>
                </c:pt>
                <c:pt idx="2">
                  <c:v>0</c:v>
                </c:pt>
              </c:numCache>
            </c:numRef>
          </c:val>
          <c:extLst>
            <c:ext xmlns:c16="http://schemas.microsoft.com/office/drawing/2014/chart" uri="{C3380CC4-5D6E-409C-BE32-E72D297353CC}">
              <c16:uniqueId val="{00000000-9DE1-46E1-94B7-BADC4B19F13E}"/>
            </c:ext>
          </c:extLst>
        </c:ser>
        <c:dLbls>
          <c:showLegendKey val="0"/>
          <c:showVal val="0"/>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Equity </a:t>
            </a:r>
            <a:r>
              <a:rPr lang="en-US" baseline="0"/>
              <a:t>Multiple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Multiple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LP</c:v>
                </c:pt>
                <c:pt idx="1">
                  <c:v>OGM HOLDINGS</c:v>
                </c:pt>
              </c:strCache>
            </c:strRef>
          </c:cat>
          <c:val>
            <c:numRef>
              <c:f>Summary!$O$21:$O$23</c:f>
              <c:numCache>
                <c:formatCode>0.00"X"</c:formatCode>
                <c:ptCount val="3"/>
                <c:pt idx="0">
                  <c:v>0</c:v>
                </c:pt>
                <c:pt idx="1">
                  <c:v>1.2094826879251515</c:v>
                </c:pt>
                <c:pt idx="2">
                  <c:v>0</c:v>
                </c:pt>
              </c:numCache>
            </c:numRef>
          </c:val>
          <c:extLst>
            <c:ext xmlns:c16="http://schemas.microsoft.com/office/drawing/2014/chart" uri="{C3380CC4-5D6E-409C-BE32-E72D297353CC}">
              <c16:uniqueId val="{00000000-8BAF-4A1B-A1FE-DC7CE509317A}"/>
            </c:ext>
          </c:extLst>
        </c:ser>
        <c:dLbls>
          <c:dLblPos val="outEnd"/>
          <c:showLegendKey val="0"/>
          <c:showVal val="1"/>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quot;X&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Steepness</a:t>
            </a:r>
            <a:r>
              <a:rPr lang="en-US" baseline="0"/>
              <a:t> Setting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5450.8186218771189</c:v>
                </c:pt>
                <c:pt idx="3">
                  <c:v>9396.6877681614151</c:v>
                </c:pt>
                <c:pt idx="4">
                  <c:v>15296.453551937133</c:v>
                </c:pt>
                <c:pt idx="5">
                  <c:v>23513.102062249949</c:v>
                </c:pt>
                <c:pt idx="6">
                  <c:v>34129.711659858258</c:v>
                </c:pt>
                <c:pt idx="7">
                  <c:v>46779.877223665448</c:v>
                </c:pt>
                <c:pt idx="8">
                  <c:v>60546.566553706223</c:v>
                </c:pt>
                <c:pt idx="9">
                  <c:v>73998.705904511255</c:v>
                </c:pt>
                <c:pt idx="10">
                  <c:v>85401.014354287341</c:v>
                </c:pt>
                <c:pt idx="11">
                  <c:v>93069.275260365757</c:v>
                </c:pt>
                <c:pt idx="12">
                  <c:v>95775.426159670722</c:v>
                </c:pt>
                <c:pt idx="13">
                  <c:v>93069.275260365815</c:v>
                </c:pt>
                <c:pt idx="14">
                  <c:v>85401.014354287297</c:v>
                </c:pt>
                <c:pt idx="15">
                  <c:v>73998.705904511226</c:v>
                </c:pt>
                <c:pt idx="16">
                  <c:v>60546.566553706223</c:v>
                </c:pt>
                <c:pt idx="17">
                  <c:v>46779.877223665513</c:v>
                </c:pt>
                <c:pt idx="18">
                  <c:v>34129.711659858265</c:v>
                </c:pt>
                <c:pt idx="19">
                  <c:v>23513.102062249942</c:v>
                </c:pt>
                <c:pt idx="20">
                  <c:v>15296.453551937057</c:v>
                </c:pt>
                <c:pt idx="21">
                  <c:v>9396.6877681614442</c:v>
                </c:pt>
                <c:pt idx="22">
                  <c:v>5450.8186218771325</c:v>
                </c:pt>
                <c:pt idx="23">
                  <c:v>2985.7345133915878</c:v>
                </c:pt>
                <c:pt idx="24">
                  <c:v>1544.3394461531182</c:v>
                </c:pt>
              </c:numCache>
            </c:numRef>
          </c:val>
          <c:smooth val="0"/>
          <c:extLst>
            <c:ext xmlns:c16="http://schemas.microsoft.com/office/drawing/2014/chart" uri="{C3380CC4-5D6E-409C-BE32-E72D297353CC}">
              <c16:uniqueId val="{00000000-AE30-4ADA-9088-D731B2F99E27}"/>
            </c:ext>
          </c:extLst>
        </c:ser>
        <c:dLbls>
          <c:showLegendKey val="0"/>
          <c:showVal val="0"/>
          <c:showCatName val="0"/>
          <c:showSerName val="0"/>
          <c:showPercent val="0"/>
          <c:showBubbleSize val="0"/>
        </c:dLbls>
        <c:smooth val="0"/>
        <c:axId val="655797736"/>
        <c:axId val="655798064"/>
      </c:lineChart>
      <c:catAx>
        <c:axId val="655797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8064"/>
        <c:crosses val="autoZero"/>
        <c:auto val="1"/>
        <c:lblAlgn val="ctr"/>
        <c:lblOffset val="100"/>
        <c:noMultiLvlLbl val="0"/>
      </c:catAx>
      <c:valAx>
        <c:axId val="655798064"/>
        <c:scaling>
          <c:orientation val="minMax"/>
          <c:max val="16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7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hyperlink" Target="#Nav_Development_CF"/><Relationship Id="rId7" Type="http://schemas.openxmlformats.org/officeDocument/2006/relationships/hyperlink" Target="#Nav_Sensitivity"/><Relationship Id="rId2" Type="http://schemas.openxmlformats.org/officeDocument/2006/relationships/hyperlink" Target="#Nav_Investment_Description"/><Relationship Id="rId1" Type="http://schemas.openxmlformats.org/officeDocument/2006/relationships/hyperlink" Target="#Underwriting!B188:H216"/><Relationship Id="rId6" Type="http://schemas.openxmlformats.org/officeDocument/2006/relationships/hyperlink" Target="#Nav_Waterfall_CF"/><Relationship Id="rId5" Type="http://schemas.openxmlformats.org/officeDocument/2006/relationships/hyperlink" Target="#Nav_Residual_CF"/><Relationship Id="rId4" Type="http://schemas.openxmlformats.org/officeDocument/2006/relationships/hyperlink" Target="#Nav_Operating_CF"/></Relationships>
</file>

<file path=xl/drawings/_rels/drawing3.xml.rels><?xml version="1.0" encoding="UTF-8" standalone="yes"?>
<Relationships xmlns="http://schemas.openxmlformats.org/package/2006/relationships"><Relationship Id="rId3" Type="http://schemas.openxmlformats.org/officeDocument/2006/relationships/hyperlink" Target="#Nav_Retail_Income"/><Relationship Id="rId2" Type="http://schemas.openxmlformats.org/officeDocument/2006/relationships/hyperlink" Target="#Retail_Income_Include?"/><Relationship Id="rId1" Type="http://schemas.openxmlformats.org/officeDocument/2006/relationships/hyperlink" Target="#Underwriting!B188:H216"/><Relationship Id="rId5" Type="http://schemas.openxmlformats.org/officeDocument/2006/relationships/hyperlink" Target="#Nav_Retail_Reserves"/><Relationship Id="rId4" Type="http://schemas.openxmlformats.org/officeDocument/2006/relationships/hyperlink" Target="#Nav_Retail_Expenses"/></Relationships>
</file>

<file path=xl/drawings/_rels/drawing4.xml.rels><?xml version="1.0" encoding="UTF-8" standalone="yes"?>
<Relationships xmlns="http://schemas.openxmlformats.org/package/2006/relationships"><Relationship Id="rId3" Type="http://schemas.openxmlformats.org/officeDocument/2006/relationships/hyperlink" Target="#Nav_Controllable_Expenses"/><Relationship Id="rId2" Type="http://schemas.openxmlformats.org/officeDocument/2006/relationships/hyperlink" Target="#OpEx_Underwriting_Type"/><Relationship Id="rId1" Type="http://schemas.openxmlformats.org/officeDocument/2006/relationships/hyperlink" Target="#Underwriting!B188:H216"/><Relationship Id="rId4" Type="http://schemas.openxmlformats.org/officeDocument/2006/relationships/hyperlink" Target="#Nav_Fixed_Expenses"/></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4</xdr:row>
      <xdr:rowOff>19050</xdr:rowOff>
    </xdr:from>
    <xdr:to>
      <xdr:col>15</xdr:col>
      <xdr:colOff>666750</xdr:colOff>
      <xdr:row>18</xdr:row>
      <xdr:rowOff>0</xdr:rowOff>
    </xdr:to>
    <xdr:pic>
      <xdr:nvPicPr>
        <xdr:cNvPr id="2" name="Picture 1">
          <a:extLst>
            <a:ext uri="{FF2B5EF4-FFF2-40B4-BE49-F238E27FC236}">
              <a16:creationId xmlns:a16="http://schemas.microsoft.com/office/drawing/2014/main" id="{1F2D8651-0466-467A-86C6-0BFE658441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810375" y="542925"/>
          <a:ext cx="3409950" cy="2247900"/>
        </a:xfrm>
        <a:prstGeom prst="rect">
          <a:avLst/>
        </a:prstGeom>
      </xdr:spPr>
    </xdr:pic>
    <xdr:clientData/>
  </xdr:twoCellAnchor>
  <xdr:twoCellAnchor>
    <xdr:from>
      <xdr:col>1</xdr:col>
      <xdr:colOff>28574</xdr:colOff>
      <xdr:row>38</xdr:row>
      <xdr:rowOff>47625</xdr:rowOff>
    </xdr:from>
    <xdr:to>
      <xdr:col>11</xdr:col>
      <xdr:colOff>9525</xdr:colOff>
      <xdr:row>52</xdr:row>
      <xdr:rowOff>171450</xdr:rowOff>
    </xdr:to>
    <xdr:graphicFrame macro="">
      <xdr:nvGraphicFramePr>
        <xdr:cNvPr id="3" name="Chart 2">
          <a:extLst>
            <a:ext uri="{FF2B5EF4-FFF2-40B4-BE49-F238E27FC236}">
              <a16:creationId xmlns:a16="http://schemas.microsoft.com/office/drawing/2014/main" id="{93052454-BB71-43E4-9748-F0CD31D53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28574</xdr:colOff>
      <xdr:row>67</xdr:row>
      <xdr:rowOff>66675</xdr:rowOff>
    </xdr:from>
    <xdr:to>
      <xdr:col>11</xdr:col>
      <xdr:colOff>9524</xdr:colOff>
      <xdr:row>83</xdr:row>
      <xdr:rowOff>123825</xdr:rowOff>
    </xdr:to>
    <xdr:graphicFrame macro="">
      <xdr:nvGraphicFramePr>
        <xdr:cNvPr id="5" name="Chart 4">
          <a:extLst>
            <a:ext uri="{FF2B5EF4-FFF2-40B4-BE49-F238E27FC236}">
              <a16:creationId xmlns:a16="http://schemas.microsoft.com/office/drawing/2014/main" id="{03C15FE5-64D6-48C6-A041-9F1EAE39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28574</xdr:colOff>
      <xdr:row>53</xdr:row>
      <xdr:rowOff>42863</xdr:rowOff>
    </xdr:from>
    <xdr:to>
      <xdr:col>11</xdr:col>
      <xdr:colOff>9524</xdr:colOff>
      <xdr:row>67</xdr:row>
      <xdr:rowOff>14288</xdr:rowOff>
    </xdr:to>
    <xdr:graphicFrame macro="">
      <xdr:nvGraphicFramePr>
        <xdr:cNvPr id="6" name="Chart 5">
          <a:extLst>
            <a:ext uri="{FF2B5EF4-FFF2-40B4-BE49-F238E27FC236}">
              <a16:creationId xmlns:a16="http://schemas.microsoft.com/office/drawing/2014/main" id="{FF6306D8-92C7-4180-B461-F22E87410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xdr:colOff>
      <xdr:row>38</xdr:row>
      <xdr:rowOff>47625</xdr:rowOff>
    </xdr:from>
    <xdr:to>
      <xdr:col>15</xdr:col>
      <xdr:colOff>657225</xdr:colOff>
      <xdr:row>52</xdr:row>
      <xdr:rowOff>171451</xdr:rowOff>
    </xdr:to>
    <xdr:graphicFrame macro="">
      <xdr:nvGraphicFramePr>
        <xdr:cNvPr id="7" name="Chart 6">
          <a:extLst>
            <a:ext uri="{FF2B5EF4-FFF2-40B4-BE49-F238E27FC236}">
              <a16:creationId xmlns:a16="http://schemas.microsoft.com/office/drawing/2014/main" id="{9DCFA28A-7FCF-4203-B5A3-1BDA1EE0D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53</xdr:row>
      <xdr:rowOff>47625</xdr:rowOff>
    </xdr:from>
    <xdr:to>
      <xdr:col>15</xdr:col>
      <xdr:colOff>657225</xdr:colOff>
      <xdr:row>67</xdr:row>
      <xdr:rowOff>9525</xdr:rowOff>
    </xdr:to>
    <xdr:graphicFrame macro="">
      <xdr:nvGraphicFramePr>
        <xdr:cNvPr id="9" name="Chart 8">
          <a:extLst>
            <a:ext uri="{FF2B5EF4-FFF2-40B4-BE49-F238E27FC236}">
              <a16:creationId xmlns:a16="http://schemas.microsoft.com/office/drawing/2014/main" id="{83517194-A7BA-4C59-8641-73985847D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38100</xdr:colOff>
      <xdr:row>67</xdr:row>
      <xdr:rowOff>66675</xdr:rowOff>
    </xdr:from>
    <xdr:to>
      <xdr:col>15</xdr:col>
      <xdr:colOff>657225</xdr:colOff>
      <xdr:row>83</xdr:row>
      <xdr:rowOff>123825</xdr:rowOff>
    </xdr:to>
    <xdr:graphicFrame macro="">
      <xdr:nvGraphicFramePr>
        <xdr:cNvPr id="10" name="Chart 9">
          <a:extLst>
            <a:ext uri="{FF2B5EF4-FFF2-40B4-BE49-F238E27FC236}">
              <a16:creationId xmlns:a16="http://schemas.microsoft.com/office/drawing/2014/main" id="{6A475FBB-96D6-41E1-A9E3-B8364108D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19050</xdr:colOff>
      <xdr:row>37</xdr:row>
      <xdr:rowOff>9525</xdr:rowOff>
    </xdr:from>
    <xdr:to>
      <xdr:col>14</xdr:col>
      <xdr:colOff>809625</xdr:colOff>
      <xdr:row>37</xdr:row>
      <xdr:rowOff>171450</xdr:rowOff>
    </xdr:to>
    <xdr:sp macro="[0]!Hide_Annual_CF" textlink="">
      <xdr:nvSpPr>
        <xdr:cNvPr id="13" name="Rectangle 12">
          <a:extLst>
            <a:ext uri="{FF2B5EF4-FFF2-40B4-BE49-F238E27FC236}">
              <a16:creationId xmlns:a16="http://schemas.microsoft.com/office/drawing/2014/main" id="{D0C75528-09CC-4460-B090-8F0CEE2BDA13}"/>
            </a:ext>
          </a:extLst>
        </xdr:cNvPr>
        <xdr:cNvSpPr/>
      </xdr:nvSpPr>
      <xdr:spPr>
        <a:xfrm>
          <a:off x="1990725" y="89249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19050</xdr:colOff>
      <xdr:row>37</xdr:row>
      <xdr:rowOff>0</xdr:rowOff>
    </xdr:from>
    <xdr:to>
      <xdr:col>15</xdr:col>
      <xdr:colOff>809625</xdr:colOff>
      <xdr:row>38</xdr:row>
      <xdr:rowOff>0</xdr:rowOff>
    </xdr:to>
    <xdr:sp macro="[0]!Show_Annual_CF" textlink="">
      <xdr:nvSpPr>
        <xdr:cNvPr id="14" name="Rectangle 13">
          <a:extLst>
            <a:ext uri="{FF2B5EF4-FFF2-40B4-BE49-F238E27FC236}">
              <a16:creationId xmlns:a16="http://schemas.microsoft.com/office/drawing/2014/main" id="{1A3AD664-39B7-4425-BEFC-A4B7B1E06338}"/>
            </a:ext>
          </a:extLst>
        </xdr:cNvPr>
        <xdr:cNvSpPr/>
      </xdr:nvSpPr>
      <xdr:spPr>
        <a:xfrm>
          <a:off x="2809875" y="89154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19051</xdr:colOff>
      <xdr:row>18</xdr:row>
      <xdr:rowOff>19051</xdr:rowOff>
    </xdr:from>
    <xdr:to>
      <xdr:col>15</xdr:col>
      <xdr:colOff>666751</xdr:colOff>
      <xdr:row>18</xdr:row>
      <xdr:rowOff>171450</xdr:rowOff>
    </xdr:to>
    <xdr:sp macro="[0]!ResidualLandValue" textlink="">
      <xdr:nvSpPr>
        <xdr:cNvPr id="4" name="Rectangle 3">
          <a:extLst>
            <a:ext uri="{FF2B5EF4-FFF2-40B4-BE49-F238E27FC236}">
              <a16:creationId xmlns:a16="http://schemas.microsoft.com/office/drawing/2014/main" id="{F640E782-46BF-D811-414A-2622EB07729C}"/>
            </a:ext>
          </a:extLst>
        </xdr:cNvPr>
        <xdr:cNvSpPr/>
      </xdr:nvSpPr>
      <xdr:spPr>
        <a:xfrm>
          <a:off x="8201026" y="2867026"/>
          <a:ext cx="2019300" cy="152399"/>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xdr:colOff>
      <xdr:row>1</xdr:row>
      <xdr:rowOff>0</xdr:rowOff>
    </xdr:from>
    <xdr:to>
      <xdr:col>7</xdr:col>
      <xdr:colOff>0</xdr:colOff>
      <xdr:row>2</xdr:row>
      <xdr:rowOff>7620</xdr:rowOff>
    </xdr:to>
    <xdr:sp macro="[0]!Recalculate" textlink="">
      <xdr:nvSpPr>
        <xdr:cNvPr id="10" name="Rectangle 9">
          <a:extLst>
            <a:ext uri="{FF2B5EF4-FFF2-40B4-BE49-F238E27FC236}">
              <a16:creationId xmlns:a16="http://schemas.microsoft.com/office/drawing/2014/main" id="{86BECF7D-72FA-4319-8BA1-6E7EDE3FF920}"/>
            </a:ext>
          </a:extLst>
        </xdr:cNvPr>
        <xdr:cNvSpPr/>
      </xdr:nvSpPr>
      <xdr:spPr>
        <a:xfrm>
          <a:off x="1706880" y="60960"/>
          <a:ext cx="2438400" cy="205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169545</xdr:colOff>
      <xdr:row>25</xdr:row>
      <xdr:rowOff>19050</xdr:rowOff>
    </xdr:to>
    <xdr:sp macro="[0]!Add_Item_Land_Costs" textlink="">
      <xdr:nvSpPr>
        <xdr:cNvPr id="13" name="Rectangle 12">
          <a:extLst>
            <a:ext uri="{FF2B5EF4-FFF2-40B4-BE49-F238E27FC236}">
              <a16:creationId xmlns:a16="http://schemas.microsoft.com/office/drawing/2014/main" id="{639C1F9D-8BD4-4809-99CA-2154EDD55EEE}"/>
            </a:ext>
          </a:extLst>
        </xdr:cNvPr>
        <xdr:cNvSpPr/>
      </xdr:nvSpPr>
      <xdr:spPr>
        <a:xfrm>
          <a:off x="781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32</xdr:row>
      <xdr:rowOff>38100</xdr:rowOff>
    </xdr:from>
    <xdr:to>
      <xdr:col>2</xdr:col>
      <xdr:colOff>169545</xdr:colOff>
      <xdr:row>33</xdr:row>
      <xdr:rowOff>9525</xdr:rowOff>
    </xdr:to>
    <xdr:sp macro="[0]!Add_Item_Hard_Costs" textlink="">
      <xdr:nvSpPr>
        <xdr:cNvPr id="14" name="Rectangle 13">
          <a:extLst>
            <a:ext uri="{FF2B5EF4-FFF2-40B4-BE49-F238E27FC236}">
              <a16:creationId xmlns:a16="http://schemas.microsoft.com/office/drawing/2014/main" id="{0748BD2A-D2CA-4544-9A9F-27F9733490AA}"/>
            </a:ext>
          </a:extLst>
        </xdr:cNvPr>
        <xdr:cNvSpPr/>
      </xdr:nvSpPr>
      <xdr:spPr>
        <a:xfrm>
          <a:off x="781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39</xdr:row>
      <xdr:rowOff>38100</xdr:rowOff>
    </xdr:from>
    <xdr:to>
      <xdr:col>2</xdr:col>
      <xdr:colOff>169545</xdr:colOff>
      <xdr:row>40</xdr:row>
      <xdr:rowOff>9525</xdr:rowOff>
    </xdr:to>
    <xdr:sp macro="[0]!Add_Item_Soft_Costs" textlink="">
      <xdr:nvSpPr>
        <xdr:cNvPr id="15" name="Rectangle 14">
          <a:extLst>
            <a:ext uri="{FF2B5EF4-FFF2-40B4-BE49-F238E27FC236}">
              <a16:creationId xmlns:a16="http://schemas.microsoft.com/office/drawing/2014/main" id="{AFFA879A-80DB-4140-ABB1-5C19CE3A5504}"/>
            </a:ext>
          </a:extLst>
        </xdr:cNvPr>
        <xdr:cNvSpPr/>
      </xdr:nvSpPr>
      <xdr:spPr>
        <a:xfrm>
          <a:off x="781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2</xdr:col>
      <xdr:colOff>657225</xdr:colOff>
      <xdr:row>24</xdr:row>
      <xdr:rowOff>47625</xdr:rowOff>
    </xdr:from>
    <xdr:to>
      <xdr:col>3</xdr:col>
      <xdr:colOff>569595</xdr:colOff>
      <xdr:row>25</xdr:row>
      <xdr:rowOff>19050</xdr:rowOff>
    </xdr:to>
    <xdr:sp macro="[0]!Delete_Item_Land_Costs" textlink="">
      <xdr:nvSpPr>
        <xdr:cNvPr id="16" name="Rectangle 15">
          <a:extLst>
            <a:ext uri="{FF2B5EF4-FFF2-40B4-BE49-F238E27FC236}">
              <a16:creationId xmlns:a16="http://schemas.microsoft.com/office/drawing/2014/main" id="{E21E909C-D46C-40E4-BAA9-B783BF04FBB7}"/>
            </a:ext>
          </a:extLst>
        </xdr:cNvPr>
        <xdr:cNvSpPr/>
      </xdr:nvSpPr>
      <xdr:spPr>
        <a:xfrm>
          <a:off x="1543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32</xdr:row>
      <xdr:rowOff>38100</xdr:rowOff>
    </xdr:from>
    <xdr:to>
      <xdr:col>3</xdr:col>
      <xdr:colOff>569595</xdr:colOff>
      <xdr:row>33</xdr:row>
      <xdr:rowOff>9525</xdr:rowOff>
    </xdr:to>
    <xdr:sp macro="[0]!Delete_Item_Hard_Costs" textlink="">
      <xdr:nvSpPr>
        <xdr:cNvPr id="17" name="Rectangle 16">
          <a:extLst>
            <a:ext uri="{FF2B5EF4-FFF2-40B4-BE49-F238E27FC236}">
              <a16:creationId xmlns:a16="http://schemas.microsoft.com/office/drawing/2014/main" id="{B87F6945-28B4-4F78-B192-20BA3DB397D3}"/>
            </a:ext>
          </a:extLst>
        </xdr:cNvPr>
        <xdr:cNvSpPr/>
      </xdr:nvSpPr>
      <xdr:spPr>
        <a:xfrm>
          <a:off x="1543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39</xdr:row>
      <xdr:rowOff>38100</xdr:rowOff>
    </xdr:from>
    <xdr:to>
      <xdr:col>3</xdr:col>
      <xdr:colOff>569595</xdr:colOff>
      <xdr:row>40</xdr:row>
      <xdr:rowOff>9525</xdr:rowOff>
    </xdr:to>
    <xdr:sp macro="[0]!Delete_Item_Soft_Costs" textlink="">
      <xdr:nvSpPr>
        <xdr:cNvPr id="18" name="Rectangle 17">
          <a:extLst>
            <a:ext uri="{FF2B5EF4-FFF2-40B4-BE49-F238E27FC236}">
              <a16:creationId xmlns:a16="http://schemas.microsoft.com/office/drawing/2014/main" id="{9869533D-EDC8-4357-8388-95F61AB91FAA}"/>
            </a:ext>
          </a:extLst>
        </xdr:cNvPr>
        <xdr:cNvSpPr/>
      </xdr:nvSpPr>
      <xdr:spPr>
        <a:xfrm>
          <a:off x="1543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123825</xdr:colOff>
      <xdr:row>93</xdr:row>
      <xdr:rowOff>28575</xdr:rowOff>
    </xdr:from>
    <xdr:to>
      <xdr:col>3</xdr:col>
      <xdr:colOff>316865</xdr:colOff>
      <xdr:row>94</xdr:row>
      <xdr:rowOff>0</xdr:rowOff>
    </xdr:to>
    <xdr:sp macro="[0]!Add_Unit_Types" textlink="">
      <xdr:nvSpPr>
        <xdr:cNvPr id="19" name="Rectangle 18">
          <a:extLst>
            <a:ext uri="{FF2B5EF4-FFF2-40B4-BE49-F238E27FC236}">
              <a16:creationId xmlns:a16="http://schemas.microsoft.com/office/drawing/2014/main" id="{01FCBA9C-5B03-4D57-A3B7-46798802F192}"/>
            </a:ext>
          </a:extLst>
        </xdr:cNvPr>
        <xdr:cNvSpPr/>
      </xdr:nvSpPr>
      <xdr:spPr>
        <a:xfrm>
          <a:off x="1009650"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Unit Type</a:t>
          </a:r>
        </a:p>
      </xdr:txBody>
    </xdr:sp>
    <xdr:clientData/>
  </xdr:twoCellAnchor>
  <xdr:twoCellAnchor editAs="oneCell">
    <xdr:from>
      <xdr:col>3</xdr:col>
      <xdr:colOff>342900</xdr:colOff>
      <xdr:row>93</xdr:row>
      <xdr:rowOff>28575</xdr:rowOff>
    </xdr:from>
    <xdr:to>
      <xdr:col>4</xdr:col>
      <xdr:colOff>523240</xdr:colOff>
      <xdr:row>94</xdr:row>
      <xdr:rowOff>0</xdr:rowOff>
    </xdr:to>
    <xdr:sp macro="[0]!Delete_Unit_Types" textlink="">
      <xdr:nvSpPr>
        <xdr:cNvPr id="20" name="Rectangle 19">
          <a:extLst>
            <a:ext uri="{FF2B5EF4-FFF2-40B4-BE49-F238E27FC236}">
              <a16:creationId xmlns:a16="http://schemas.microsoft.com/office/drawing/2014/main" id="{2CF07C7B-7FC0-4BD5-BE25-7827D7BFF2A3}"/>
            </a:ext>
          </a:extLst>
        </xdr:cNvPr>
        <xdr:cNvSpPr/>
      </xdr:nvSpPr>
      <xdr:spPr>
        <a:xfrm>
          <a:off x="2047875"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Unit Type</a:t>
          </a:r>
        </a:p>
      </xdr:txBody>
    </xdr:sp>
    <xdr:clientData/>
  </xdr:twoCellAnchor>
  <xdr:twoCellAnchor editAs="oneCell">
    <xdr:from>
      <xdr:col>2</xdr:col>
      <xdr:colOff>85725</xdr:colOff>
      <xdr:row>103</xdr:row>
      <xdr:rowOff>28575</xdr:rowOff>
    </xdr:from>
    <xdr:to>
      <xdr:col>3</xdr:col>
      <xdr:colOff>1905</xdr:colOff>
      <xdr:row>103</xdr:row>
      <xdr:rowOff>180975</xdr:rowOff>
    </xdr:to>
    <xdr:sp macro="[0]!Add_Other_Income" textlink="">
      <xdr:nvSpPr>
        <xdr:cNvPr id="21" name="Rectangle 20">
          <a:extLst>
            <a:ext uri="{FF2B5EF4-FFF2-40B4-BE49-F238E27FC236}">
              <a16:creationId xmlns:a16="http://schemas.microsoft.com/office/drawing/2014/main" id="{680E1692-3ED7-4325-B065-730872F43DD7}"/>
            </a:ext>
          </a:extLst>
        </xdr:cNvPr>
        <xdr:cNvSpPr/>
      </xdr:nvSpPr>
      <xdr:spPr>
        <a:xfrm>
          <a:off x="971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28575</xdr:colOff>
      <xdr:row>103</xdr:row>
      <xdr:rowOff>28575</xdr:rowOff>
    </xdr:from>
    <xdr:to>
      <xdr:col>3</xdr:col>
      <xdr:colOff>760095</xdr:colOff>
      <xdr:row>103</xdr:row>
      <xdr:rowOff>180975</xdr:rowOff>
    </xdr:to>
    <xdr:sp macro="[0]!Delete_Other_Income" textlink="">
      <xdr:nvSpPr>
        <xdr:cNvPr id="22" name="Rectangle 21">
          <a:extLst>
            <a:ext uri="{FF2B5EF4-FFF2-40B4-BE49-F238E27FC236}">
              <a16:creationId xmlns:a16="http://schemas.microsoft.com/office/drawing/2014/main" id="{E1183024-97FE-4CB2-8CB0-D2F5F74DA2BD}"/>
            </a:ext>
          </a:extLst>
        </xdr:cNvPr>
        <xdr:cNvSpPr/>
      </xdr:nvSpPr>
      <xdr:spPr>
        <a:xfrm>
          <a:off x="1733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xdr:from>
      <xdr:col>1</xdr:col>
      <xdr:colOff>19050</xdr:colOff>
      <xdr:row>118</xdr:row>
      <xdr:rowOff>9525</xdr:rowOff>
    </xdr:from>
    <xdr:to>
      <xdr:col>1</xdr:col>
      <xdr:colOff>809625</xdr:colOff>
      <xdr:row>118</xdr:row>
      <xdr:rowOff>171450</xdr:rowOff>
    </xdr:to>
    <xdr:sp macro="[0]!OpEx_Basic" textlink="">
      <xdr:nvSpPr>
        <xdr:cNvPr id="8" name="Rectangle 7">
          <a:extLst>
            <a:ext uri="{FF2B5EF4-FFF2-40B4-BE49-F238E27FC236}">
              <a16:creationId xmlns:a16="http://schemas.microsoft.com/office/drawing/2014/main" id="{C9ADF7EB-4BA6-467B-BBC7-77F1FDE0754A}"/>
            </a:ext>
          </a:extLst>
        </xdr:cNvPr>
        <xdr:cNvSpPr/>
      </xdr:nvSpPr>
      <xdr:spPr>
        <a:xfrm>
          <a:off x="85725" y="1927860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118</xdr:row>
      <xdr:rowOff>0</xdr:rowOff>
    </xdr:from>
    <xdr:to>
      <xdr:col>2</xdr:col>
      <xdr:colOff>809625</xdr:colOff>
      <xdr:row>119</xdr:row>
      <xdr:rowOff>0</xdr:rowOff>
    </xdr:to>
    <xdr:sp macro="[0]!OpEx_Detailed" textlink="">
      <xdr:nvSpPr>
        <xdr:cNvPr id="11" name="Rectangle 10">
          <a:extLst>
            <a:ext uri="{FF2B5EF4-FFF2-40B4-BE49-F238E27FC236}">
              <a16:creationId xmlns:a16="http://schemas.microsoft.com/office/drawing/2014/main" id="{3FA4A150-D592-46DB-90F2-075EEABEE74E}"/>
            </a:ext>
          </a:extLst>
        </xdr:cNvPr>
        <xdr:cNvSpPr/>
      </xdr:nvSpPr>
      <xdr:spPr>
        <a:xfrm>
          <a:off x="904875" y="19269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108</xdr:row>
      <xdr:rowOff>9525</xdr:rowOff>
    </xdr:from>
    <xdr:to>
      <xdr:col>1</xdr:col>
      <xdr:colOff>809625</xdr:colOff>
      <xdr:row>108</xdr:row>
      <xdr:rowOff>171450</xdr:rowOff>
    </xdr:to>
    <xdr:sp macro="[0]!Retail_Not_Include" textlink="">
      <xdr:nvSpPr>
        <xdr:cNvPr id="23" name="Rectangle 22">
          <a:extLst>
            <a:ext uri="{FF2B5EF4-FFF2-40B4-BE49-F238E27FC236}">
              <a16:creationId xmlns:a16="http://schemas.microsoft.com/office/drawing/2014/main" id="{D8C4314A-43FB-4FB5-A4E0-9BAE8700E580}"/>
            </a:ext>
          </a:extLst>
        </xdr:cNvPr>
        <xdr:cNvSpPr/>
      </xdr:nvSpPr>
      <xdr:spPr>
        <a:xfrm>
          <a:off x="85725" y="198310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108</xdr:row>
      <xdr:rowOff>0</xdr:rowOff>
    </xdr:from>
    <xdr:to>
      <xdr:col>2</xdr:col>
      <xdr:colOff>809625</xdr:colOff>
      <xdr:row>109</xdr:row>
      <xdr:rowOff>0</xdr:rowOff>
    </xdr:to>
    <xdr:sp macro="[0]!Retail_Include" textlink="">
      <xdr:nvSpPr>
        <xdr:cNvPr id="24" name="Rectangle 23">
          <a:extLst>
            <a:ext uri="{FF2B5EF4-FFF2-40B4-BE49-F238E27FC236}">
              <a16:creationId xmlns:a16="http://schemas.microsoft.com/office/drawing/2014/main" id="{18D24F5E-2EA9-4B63-BBDC-9F58DF22FA70}"/>
            </a:ext>
          </a:extLst>
        </xdr:cNvPr>
        <xdr:cNvSpPr/>
      </xdr:nvSpPr>
      <xdr:spPr>
        <a:xfrm>
          <a:off x="904875" y="198215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223</xdr:row>
      <xdr:rowOff>9525</xdr:rowOff>
    </xdr:from>
    <xdr:to>
      <xdr:col>2</xdr:col>
      <xdr:colOff>0</xdr:colOff>
      <xdr:row>223</xdr:row>
      <xdr:rowOff>171450</xdr:rowOff>
    </xdr:to>
    <xdr:sp macro="[0]!Single_Promote" textlink="">
      <xdr:nvSpPr>
        <xdr:cNvPr id="25" name="Rectangle 24">
          <a:extLst>
            <a:ext uri="{FF2B5EF4-FFF2-40B4-BE49-F238E27FC236}">
              <a16:creationId xmlns:a16="http://schemas.microsoft.com/office/drawing/2014/main" id="{0D4272EA-FCAC-4ED8-AD9D-CBFAB80D96E9}"/>
            </a:ext>
          </a:extLst>
        </xdr:cNvPr>
        <xdr:cNvSpPr/>
      </xdr:nvSpPr>
      <xdr:spPr>
        <a:xfrm>
          <a:off x="85725" y="34985325"/>
          <a:ext cx="1257300"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223</xdr:row>
      <xdr:rowOff>0</xdr:rowOff>
    </xdr:from>
    <xdr:to>
      <xdr:col>2</xdr:col>
      <xdr:colOff>809625</xdr:colOff>
      <xdr:row>224</xdr:row>
      <xdr:rowOff>0</xdr:rowOff>
    </xdr:to>
    <xdr:sp macro="[0]!Double_Promote" textlink="">
      <xdr:nvSpPr>
        <xdr:cNvPr id="26" name="Rectangle 25">
          <a:extLst>
            <a:ext uri="{FF2B5EF4-FFF2-40B4-BE49-F238E27FC236}">
              <a16:creationId xmlns:a16="http://schemas.microsoft.com/office/drawing/2014/main" id="{96B09A3D-8084-4659-9F89-AC8608DF8569}"/>
            </a:ext>
          </a:extLst>
        </xdr:cNvPr>
        <xdr:cNvSpPr/>
      </xdr:nvSpPr>
      <xdr:spPr>
        <a:xfrm>
          <a:off x="904875" y="19650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259</xdr:row>
      <xdr:rowOff>9525</xdr:rowOff>
    </xdr:from>
    <xdr:to>
      <xdr:col>1</xdr:col>
      <xdr:colOff>809625</xdr:colOff>
      <xdr:row>259</xdr:row>
      <xdr:rowOff>171450</xdr:rowOff>
    </xdr:to>
    <xdr:sp macro="[0]!OpEx_Basic" textlink="">
      <xdr:nvSpPr>
        <xdr:cNvPr id="27" name="Rectangle 26">
          <a:extLst>
            <a:ext uri="{FF2B5EF4-FFF2-40B4-BE49-F238E27FC236}">
              <a16:creationId xmlns:a16="http://schemas.microsoft.com/office/drawing/2014/main" id="{9A587E91-6123-497E-8105-DD80F016915D}"/>
            </a:ext>
          </a:extLst>
        </xdr:cNvPr>
        <xdr:cNvSpPr/>
      </xdr:nvSpPr>
      <xdr:spPr>
        <a:xfrm>
          <a:off x="85725" y="352901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259</xdr:row>
      <xdr:rowOff>0</xdr:rowOff>
    </xdr:from>
    <xdr:to>
      <xdr:col>2</xdr:col>
      <xdr:colOff>809625</xdr:colOff>
      <xdr:row>260</xdr:row>
      <xdr:rowOff>0</xdr:rowOff>
    </xdr:to>
    <xdr:sp macro="[0]!OpEx_Detailed" textlink="">
      <xdr:nvSpPr>
        <xdr:cNvPr id="28" name="Rectangle 27">
          <a:extLst>
            <a:ext uri="{FF2B5EF4-FFF2-40B4-BE49-F238E27FC236}">
              <a16:creationId xmlns:a16="http://schemas.microsoft.com/office/drawing/2014/main" id="{E1640A0B-83EC-4C07-A58A-1FD696BB2E42}"/>
            </a:ext>
          </a:extLst>
        </xdr:cNvPr>
        <xdr:cNvSpPr/>
      </xdr:nvSpPr>
      <xdr:spPr>
        <a:xfrm>
          <a:off x="904875" y="352806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147</xdr:col>
      <xdr:colOff>19050</xdr:colOff>
      <xdr:row>4</xdr:row>
      <xdr:rowOff>9525</xdr:rowOff>
    </xdr:from>
    <xdr:to>
      <xdr:col>147</xdr:col>
      <xdr:colOff>809625</xdr:colOff>
      <xdr:row>4</xdr:row>
      <xdr:rowOff>171450</xdr:rowOff>
    </xdr:to>
    <xdr:sp macro="[0]!Hide_Calc" textlink="">
      <xdr:nvSpPr>
        <xdr:cNvPr id="29" name="Rectangle 28">
          <a:extLst>
            <a:ext uri="{FF2B5EF4-FFF2-40B4-BE49-F238E27FC236}">
              <a16:creationId xmlns:a16="http://schemas.microsoft.com/office/drawing/2014/main" id="{0628CC6D-CA63-4AE0-AC25-5EFC0F941AD2}"/>
            </a:ext>
          </a:extLst>
        </xdr:cNvPr>
        <xdr:cNvSpPr/>
      </xdr:nvSpPr>
      <xdr:spPr>
        <a:xfrm>
          <a:off x="85725" y="18297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148</xdr:col>
      <xdr:colOff>19050</xdr:colOff>
      <xdr:row>4</xdr:row>
      <xdr:rowOff>0</xdr:rowOff>
    </xdr:from>
    <xdr:to>
      <xdr:col>148</xdr:col>
      <xdr:colOff>809625</xdr:colOff>
      <xdr:row>5</xdr:row>
      <xdr:rowOff>0</xdr:rowOff>
    </xdr:to>
    <xdr:sp macro="[0]!Show_Calc" textlink="">
      <xdr:nvSpPr>
        <xdr:cNvPr id="30" name="Rectangle 29">
          <a:extLst>
            <a:ext uri="{FF2B5EF4-FFF2-40B4-BE49-F238E27FC236}">
              <a16:creationId xmlns:a16="http://schemas.microsoft.com/office/drawing/2014/main" id="{93E93F8C-FA3B-4CCE-A0B7-8F7EDF5DAC48}"/>
            </a:ext>
          </a:extLst>
        </xdr:cNvPr>
        <xdr:cNvSpPr/>
      </xdr:nvSpPr>
      <xdr:spPr>
        <a:xfrm>
          <a:off x="904875" y="182880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45720</xdr:rowOff>
    </xdr:from>
    <xdr:to>
      <xdr:col>9</xdr:col>
      <xdr:colOff>0</xdr:colOff>
      <xdr:row>3</xdr:row>
      <xdr:rowOff>55245</xdr:rowOff>
    </xdr:to>
    <xdr:grpSp>
      <xdr:nvGrpSpPr>
        <xdr:cNvPr id="12" name="Group 11">
          <a:extLst>
            <a:ext uri="{FF2B5EF4-FFF2-40B4-BE49-F238E27FC236}">
              <a16:creationId xmlns:a16="http://schemas.microsoft.com/office/drawing/2014/main" id="{57110702-6A59-4D6D-BD0D-79E4D1341DEF}"/>
            </a:ext>
          </a:extLst>
        </xdr:cNvPr>
        <xdr:cNvGrpSpPr/>
      </xdr:nvGrpSpPr>
      <xdr:grpSpPr>
        <a:xfrm>
          <a:off x="66675" y="302895"/>
          <a:ext cx="7010400" cy="200025"/>
          <a:chOff x="66675" y="302895"/>
          <a:chExt cx="5734050" cy="190500"/>
        </a:xfrm>
      </xdr:grpSpPr>
      <xdr:grpSp>
        <xdr:nvGrpSpPr>
          <xdr:cNvPr id="7" name="Group 6">
            <a:hlinkClick xmlns:r="http://schemas.openxmlformats.org/officeDocument/2006/relationships" r:id="rId1"/>
            <a:extLst>
              <a:ext uri="{FF2B5EF4-FFF2-40B4-BE49-F238E27FC236}">
                <a16:creationId xmlns:a16="http://schemas.microsoft.com/office/drawing/2014/main" id="{50027F74-E132-4756-A152-441348DED499}"/>
              </a:ext>
            </a:extLst>
          </xdr:cNvPr>
          <xdr:cNvGrpSpPr>
            <a:grpSpLocks noChangeAspect="1"/>
          </xdr:cNvGrpSpPr>
        </xdr:nvGrpSpPr>
        <xdr:grpSpPr>
          <a:xfrm>
            <a:off x="66675" y="302895"/>
            <a:ext cx="4770120" cy="188595"/>
            <a:chOff x="114300" y="281940"/>
            <a:chExt cx="3462848" cy="182880"/>
          </a:xfrm>
        </xdr:grpSpPr>
        <xdr:sp macro="" textlink="">
          <xdr:nvSpPr>
            <xdr:cNvPr id="2" name="Rectangle 1">
              <a:hlinkClick xmlns:r="http://schemas.openxmlformats.org/officeDocument/2006/relationships" r:id="rId2"/>
              <a:extLst>
                <a:ext uri="{FF2B5EF4-FFF2-40B4-BE49-F238E27FC236}">
                  <a16:creationId xmlns:a16="http://schemas.microsoft.com/office/drawing/2014/main" id="{5758E069-154E-4409-93A9-B27F5DB305CD}"/>
                </a:ext>
              </a:extLst>
            </xdr:cNvPr>
            <xdr:cNvSpPr/>
          </xdr:nvSpPr>
          <xdr:spPr>
            <a:xfrm>
              <a:off x="114300" y="281940"/>
              <a:ext cx="663805" cy="17526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Description</a:t>
              </a:r>
              <a:endParaRPr lang="en-US" sz="1100"/>
            </a:p>
          </xdr:txBody>
        </xdr:sp>
        <xdr:sp macro="" textlink="">
          <xdr:nvSpPr>
            <xdr:cNvPr id="3" name="Rectangle 2">
              <a:hlinkClick xmlns:r="http://schemas.openxmlformats.org/officeDocument/2006/relationships" r:id="rId3"/>
              <a:extLst>
                <a:ext uri="{FF2B5EF4-FFF2-40B4-BE49-F238E27FC236}">
                  <a16:creationId xmlns:a16="http://schemas.microsoft.com/office/drawing/2014/main" id="{30DEDF57-290A-40A8-B9BA-F43B236F1A1D}"/>
                </a:ext>
              </a:extLst>
            </xdr:cNvPr>
            <xdr:cNvSpPr/>
          </xdr:nvSpPr>
          <xdr:spPr>
            <a:xfrm>
              <a:off x="814061"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Investment</a:t>
              </a:r>
              <a:endParaRPr lang="en-US" sz="1100"/>
            </a:p>
          </xdr:txBody>
        </xdr:sp>
        <xdr:sp macro="" textlink="">
          <xdr:nvSpPr>
            <xdr:cNvPr id="4" name="Rectangle 3">
              <a:hlinkClick xmlns:r="http://schemas.openxmlformats.org/officeDocument/2006/relationships" r:id="rId4"/>
              <a:extLst>
                <a:ext uri="{FF2B5EF4-FFF2-40B4-BE49-F238E27FC236}">
                  <a16:creationId xmlns:a16="http://schemas.microsoft.com/office/drawing/2014/main" id="{E89015DB-9D24-4F62-A4FB-9A9BED18013F}"/>
                </a:ext>
              </a:extLst>
            </xdr:cNvPr>
            <xdr:cNvSpPr/>
          </xdr:nvSpPr>
          <xdr:spPr>
            <a:xfrm>
              <a:off x="151382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Operations</a:t>
              </a:r>
              <a:endParaRPr lang="en-US" sz="1100"/>
            </a:p>
          </xdr:txBody>
        </xdr:sp>
        <xdr:sp macro="" textlink="">
          <xdr:nvSpPr>
            <xdr:cNvPr id="5" name="Rectangle 4">
              <a:hlinkClick xmlns:r="http://schemas.openxmlformats.org/officeDocument/2006/relationships" r:id="rId5"/>
              <a:extLst>
                <a:ext uri="{FF2B5EF4-FFF2-40B4-BE49-F238E27FC236}">
                  <a16:creationId xmlns:a16="http://schemas.microsoft.com/office/drawing/2014/main" id="{2EE89063-1FE9-4347-A7BB-E9440CAC1D53}"/>
                </a:ext>
              </a:extLst>
            </xdr:cNvPr>
            <xdr:cNvSpPr/>
          </xdr:nvSpPr>
          <xdr:spPr>
            <a:xfrm>
              <a:off x="221358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Reversion (Sale)</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596A4E4F-755F-4360-B54B-D368395F344C}"/>
                </a:ext>
              </a:extLst>
            </xdr:cNvPr>
            <xdr:cNvSpPr/>
          </xdr:nvSpPr>
          <xdr:spPr>
            <a:xfrm>
              <a:off x="2913343"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Returns</a:t>
              </a:r>
            </a:p>
          </xdr:txBody>
        </xdr:sp>
      </xdr:grpSp>
      <xdr:sp macro="" textlink="">
        <xdr:nvSpPr>
          <xdr:cNvPr id="31" name="Rectangle 30">
            <a:hlinkClick xmlns:r="http://schemas.openxmlformats.org/officeDocument/2006/relationships" r:id="rId7"/>
            <a:extLst>
              <a:ext uri="{FF2B5EF4-FFF2-40B4-BE49-F238E27FC236}">
                <a16:creationId xmlns:a16="http://schemas.microsoft.com/office/drawing/2014/main" id="{399E52E5-4BC5-4826-BE87-602C2745CE78}"/>
              </a:ext>
            </a:extLst>
          </xdr:cNvPr>
          <xdr:cNvSpPr/>
        </xdr:nvSpPr>
        <xdr:spPr>
          <a:xfrm>
            <a:off x="4886325" y="304800"/>
            <a:ext cx="914400" cy="18859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Sensitivity</a:t>
            </a:r>
          </a:p>
        </xdr:txBody>
      </xdr:sp>
    </xdr:grpSp>
    <xdr:clientData/>
  </xdr:twoCellAnchor>
  <xdr:twoCellAnchor>
    <xdr:from>
      <xdr:col>3</xdr:col>
      <xdr:colOff>57150</xdr:colOff>
      <xdr:row>271</xdr:row>
      <xdr:rowOff>38100</xdr:rowOff>
    </xdr:from>
    <xdr:to>
      <xdr:col>6</xdr:col>
      <xdr:colOff>619125</xdr:colOff>
      <xdr:row>272</xdr:row>
      <xdr:rowOff>142875</xdr:rowOff>
    </xdr:to>
    <xdr:sp macro="[0]!Update_Sensitivity_Tables" textlink="">
      <xdr:nvSpPr>
        <xdr:cNvPr id="9" name="Rectangle 8">
          <a:extLst>
            <a:ext uri="{FF2B5EF4-FFF2-40B4-BE49-F238E27FC236}">
              <a16:creationId xmlns:a16="http://schemas.microsoft.com/office/drawing/2014/main" id="{D7415E95-92C7-426B-8250-111C33E958FA}"/>
            </a:ext>
          </a:extLst>
        </xdr:cNvPr>
        <xdr:cNvSpPr/>
      </xdr:nvSpPr>
      <xdr:spPr>
        <a:xfrm>
          <a:off x="1762125" y="41119425"/>
          <a:ext cx="2200275" cy="161925"/>
        </a:xfrm>
        <a:prstGeom prst="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UPDATE SENSITIVITY TABLES</a:t>
          </a:r>
        </a:p>
      </xdr:txBody>
    </xdr:sp>
    <xdr:clientData/>
  </xdr:twoCellAnchor>
  <xdr:twoCellAnchor>
    <xdr:from>
      <xdr:col>6</xdr:col>
      <xdr:colOff>19050</xdr:colOff>
      <xdr:row>89</xdr:row>
      <xdr:rowOff>9525</xdr:rowOff>
    </xdr:from>
    <xdr:to>
      <xdr:col>6</xdr:col>
      <xdr:colOff>809625</xdr:colOff>
      <xdr:row>89</xdr:row>
      <xdr:rowOff>171450</xdr:rowOff>
    </xdr:to>
    <xdr:sp macro="[0]!LeaseUp_Basic" textlink="">
      <xdr:nvSpPr>
        <xdr:cNvPr id="32" name="Rectangle 31">
          <a:extLst>
            <a:ext uri="{FF2B5EF4-FFF2-40B4-BE49-F238E27FC236}">
              <a16:creationId xmlns:a16="http://schemas.microsoft.com/office/drawing/2014/main" id="{B2E81A2C-7ECC-44A6-A812-20635EEE58C4}"/>
            </a:ext>
          </a:extLst>
        </xdr:cNvPr>
        <xdr:cNvSpPr/>
      </xdr:nvSpPr>
      <xdr:spPr>
        <a:xfrm>
          <a:off x="82550" y="15122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89</xdr:row>
      <xdr:rowOff>0</xdr:rowOff>
    </xdr:from>
    <xdr:to>
      <xdr:col>7</xdr:col>
      <xdr:colOff>809625</xdr:colOff>
      <xdr:row>90</xdr:row>
      <xdr:rowOff>0</xdr:rowOff>
    </xdr:to>
    <xdr:sp macro="[0]!LeaseUp_Detailed" textlink="">
      <xdr:nvSpPr>
        <xdr:cNvPr id="33" name="Rectangle 32">
          <a:extLst>
            <a:ext uri="{FF2B5EF4-FFF2-40B4-BE49-F238E27FC236}">
              <a16:creationId xmlns:a16="http://schemas.microsoft.com/office/drawing/2014/main" id="{7B78120B-6869-4BE0-B286-0D5EE100C496}"/>
            </a:ext>
          </a:extLst>
        </xdr:cNvPr>
        <xdr:cNvSpPr/>
      </xdr:nvSpPr>
      <xdr:spPr>
        <a:xfrm>
          <a:off x="1168400" y="15113000"/>
          <a:ext cx="790575" cy="177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68</xdr:row>
      <xdr:rowOff>9525</xdr:rowOff>
    </xdr:from>
    <xdr:to>
      <xdr:col>3</xdr:col>
      <xdr:colOff>809625</xdr:colOff>
      <xdr:row>68</xdr:row>
      <xdr:rowOff>171450</xdr:rowOff>
    </xdr:to>
    <xdr:sp macro="[0]!Fixed_Rate" textlink="">
      <xdr:nvSpPr>
        <xdr:cNvPr id="34" name="Rectangle 33">
          <a:extLst>
            <a:ext uri="{FF2B5EF4-FFF2-40B4-BE49-F238E27FC236}">
              <a16:creationId xmlns:a16="http://schemas.microsoft.com/office/drawing/2014/main" id="{FA705885-8247-4DF3-86B6-68FC3EF16374}"/>
            </a:ext>
          </a:extLst>
        </xdr:cNvPr>
        <xdr:cNvSpPr/>
      </xdr:nvSpPr>
      <xdr:spPr>
        <a:xfrm>
          <a:off x="85725" y="154495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68</xdr:row>
      <xdr:rowOff>0</xdr:rowOff>
    </xdr:from>
    <xdr:to>
      <xdr:col>4</xdr:col>
      <xdr:colOff>809625</xdr:colOff>
      <xdr:row>69</xdr:row>
      <xdr:rowOff>0</xdr:rowOff>
    </xdr:to>
    <xdr:sp macro="[0]!Variable_Rate" textlink="">
      <xdr:nvSpPr>
        <xdr:cNvPr id="35" name="Rectangle 34">
          <a:extLst>
            <a:ext uri="{FF2B5EF4-FFF2-40B4-BE49-F238E27FC236}">
              <a16:creationId xmlns:a16="http://schemas.microsoft.com/office/drawing/2014/main" id="{21BB4220-54CA-4691-978A-629CB16ADEDB}"/>
            </a:ext>
          </a:extLst>
        </xdr:cNvPr>
        <xdr:cNvSpPr/>
      </xdr:nvSpPr>
      <xdr:spPr>
        <a:xfrm>
          <a:off x="1171575" y="154400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79</xdr:row>
      <xdr:rowOff>9525</xdr:rowOff>
    </xdr:from>
    <xdr:to>
      <xdr:col>7</xdr:col>
      <xdr:colOff>809625</xdr:colOff>
      <xdr:row>79</xdr:row>
      <xdr:rowOff>171450</xdr:rowOff>
    </xdr:to>
    <xdr:sp macro="[0]!PermDebt_Deactivate" textlink="">
      <xdr:nvSpPr>
        <xdr:cNvPr id="36" name="Rectangle 35">
          <a:extLst>
            <a:ext uri="{FF2B5EF4-FFF2-40B4-BE49-F238E27FC236}">
              <a16:creationId xmlns:a16="http://schemas.microsoft.com/office/drawing/2014/main" id="{1AE85668-5BBF-4455-B123-BAA4E9F20B0C}"/>
            </a:ext>
          </a:extLst>
        </xdr:cNvPr>
        <xdr:cNvSpPr/>
      </xdr:nvSpPr>
      <xdr:spPr>
        <a:xfrm>
          <a:off x="4448175" y="124396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79</xdr:row>
      <xdr:rowOff>0</xdr:rowOff>
    </xdr:from>
    <xdr:to>
      <xdr:col>8</xdr:col>
      <xdr:colOff>809625</xdr:colOff>
      <xdr:row>80</xdr:row>
      <xdr:rowOff>0</xdr:rowOff>
    </xdr:to>
    <xdr:sp macro="[0]!PermDebt_Activate" textlink="">
      <xdr:nvSpPr>
        <xdr:cNvPr id="37" name="Rectangle 36">
          <a:extLst>
            <a:ext uri="{FF2B5EF4-FFF2-40B4-BE49-F238E27FC236}">
              <a16:creationId xmlns:a16="http://schemas.microsoft.com/office/drawing/2014/main" id="{45F49357-2FC3-44F6-8E03-312E7CF1FA71}"/>
            </a:ext>
          </a:extLst>
        </xdr:cNvPr>
        <xdr:cNvSpPr/>
      </xdr:nvSpPr>
      <xdr:spPr>
        <a:xfrm>
          <a:off x="5267325" y="124301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160020</xdr:colOff>
      <xdr:row>25</xdr:row>
      <xdr:rowOff>6350</xdr:rowOff>
    </xdr:to>
    <xdr:sp macro="[0]!Add_Item_Land_Costs" textlink="">
      <xdr:nvSpPr>
        <xdr:cNvPr id="38" name="Rectangle 37">
          <a:extLst>
            <a:ext uri="{FF2B5EF4-FFF2-40B4-BE49-F238E27FC236}">
              <a16:creationId xmlns:a16="http://schemas.microsoft.com/office/drawing/2014/main" id="{4B2C2E88-CD74-4153-B58C-7913AFFE2257}"/>
            </a:ext>
          </a:extLst>
        </xdr:cNvPr>
        <xdr:cNvSpPr/>
      </xdr:nvSpPr>
      <xdr:spPr>
        <a:xfrm>
          <a:off x="777875" y="3495675"/>
          <a:ext cx="731520" cy="149225"/>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32</xdr:row>
      <xdr:rowOff>38100</xdr:rowOff>
    </xdr:from>
    <xdr:to>
      <xdr:col>2</xdr:col>
      <xdr:colOff>160020</xdr:colOff>
      <xdr:row>33</xdr:row>
      <xdr:rowOff>9525</xdr:rowOff>
    </xdr:to>
    <xdr:sp macro="[0]!Add_Item_Hard_Costs" textlink="">
      <xdr:nvSpPr>
        <xdr:cNvPr id="39" name="Rectangle 38">
          <a:extLst>
            <a:ext uri="{FF2B5EF4-FFF2-40B4-BE49-F238E27FC236}">
              <a16:creationId xmlns:a16="http://schemas.microsoft.com/office/drawing/2014/main" id="{F6DEC66E-57BE-4163-B68D-CBE4644169EC}"/>
            </a:ext>
          </a:extLst>
        </xdr:cNvPr>
        <xdr:cNvSpPr/>
      </xdr:nvSpPr>
      <xdr:spPr>
        <a:xfrm>
          <a:off x="777875" y="4622800"/>
          <a:ext cx="731520" cy="1460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39</xdr:row>
      <xdr:rowOff>38100</xdr:rowOff>
    </xdr:from>
    <xdr:to>
      <xdr:col>2</xdr:col>
      <xdr:colOff>160020</xdr:colOff>
      <xdr:row>40</xdr:row>
      <xdr:rowOff>9525</xdr:rowOff>
    </xdr:to>
    <xdr:sp macro="[0]!Add_Item_Soft_Costs" textlink="">
      <xdr:nvSpPr>
        <xdr:cNvPr id="40" name="Rectangle 39">
          <a:extLst>
            <a:ext uri="{FF2B5EF4-FFF2-40B4-BE49-F238E27FC236}">
              <a16:creationId xmlns:a16="http://schemas.microsoft.com/office/drawing/2014/main" id="{4940E1EF-5494-473B-9D2A-3B3A42C62774}"/>
            </a:ext>
          </a:extLst>
        </xdr:cNvPr>
        <xdr:cNvSpPr/>
      </xdr:nvSpPr>
      <xdr:spPr>
        <a:xfrm>
          <a:off x="777875" y="5581650"/>
          <a:ext cx="731520" cy="1460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66676</xdr:colOff>
      <xdr:row>2</xdr:row>
      <xdr:rowOff>36194</xdr:rowOff>
    </xdr:from>
    <xdr:to>
      <xdr:col>8</xdr:col>
      <xdr:colOff>949924</xdr:colOff>
      <xdr:row>3</xdr:row>
      <xdr:rowOff>49146</xdr:rowOff>
    </xdr:to>
    <xdr:grpSp>
      <xdr:nvGrpSpPr>
        <xdr:cNvPr id="7" name="Group 6">
          <a:extLst>
            <a:ext uri="{FF2B5EF4-FFF2-40B4-BE49-F238E27FC236}">
              <a16:creationId xmlns:a16="http://schemas.microsoft.com/office/drawing/2014/main" id="{0990C35F-CF8C-419B-919F-B1F461DD3233}"/>
            </a:ext>
          </a:extLst>
        </xdr:cNvPr>
        <xdr:cNvGrpSpPr/>
      </xdr:nvGrpSpPr>
      <xdr:grpSpPr>
        <a:xfrm>
          <a:off x="133351" y="236219"/>
          <a:ext cx="6836373" cy="193927"/>
          <a:chOff x="133351" y="293369"/>
          <a:chExt cx="6207723" cy="193927"/>
        </a:xfrm>
      </xdr:grpSpPr>
      <xdr:grpSp>
        <xdr:nvGrpSpPr>
          <xdr:cNvPr id="2" name="Group 1">
            <a:hlinkClick xmlns:r="http://schemas.openxmlformats.org/officeDocument/2006/relationships" r:id="rId1"/>
            <a:extLst>
              <a:ext uri="{FF2B5EF4-FFF2-40B4-BE49-F238E27FC236}">
                <a16:creationId xmlns:a16="http://schemas.microsoft.com/office/drawing/2014/main" id="{63C9A859-D236-4389-B594-6EE9EC44AF64}"/>
              </a:ext>
            </a:extLst>
          </xdr:cNvPr>
          <xdr:cNvGrpSpPr>
            <a:grpSpLocks noChangeAspect="1"/>
          </xdr:cNvGrpSpPr>
        </xdr:nvGrpSpPr>
        <xdr:grpSpPr>
          <a:xfrm>
            <a:off x="133351" y="293369"/>
            <a:ext cx="4979669" cy="193927"/>
            <a:chOff x="147329" y="281940"/>
            <a:chExt cx="3368395" cy="188051"/>
          </a:xfrm>
        </xdr:grpSpPr>
        <xdr:sp macro="" textlink="">
          <xdr:nvSpPr>
            <xdr:cNvPr id="3" name="Rectangle 2">
              <a:hlinkClick xmlns:r="http://schemas.openxmlformats.org/officeDocument/2006/relationships" r:id="rId2"/>
              <a:extLst>
                <a:ext uri="{FF2B5EF4-FFF2-40B4-BE49-F238E27FC236}">
                  <a16:creationId xmlns:a16="http://schemas.microsoft.com/office/drawing/2014/main" id="{A42BF056-CC15-4497-9B0C-97F73165338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BB92D0C3-6A04-444D-9245-A1B94C73DCB0}"/>
                </a:ext>
              </a:extLst>
            </xdr:cNvPr>
            <xdr:cNvSpPr/>
          </xdr:nvSpPr>
          <xdr:spPr>
            <a:xfrm>
              <a:off x="1862912"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 Income</a:t>
              </a: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86E1337F-1862-4B33-B736-5ED22BB07241}"/>
                </a:ext>
              </a:extLst>
            </xdr:cNvPr>
            <xdr:cNvSpPr/>
          </xdr:nvSpPr>
          <xdr:spPr>
            <a:xfrm>
              <a:off x="2692764"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Expenses</a:t>
              </a:r>
              <a:endParaRPr lang="en-US" sz="900"/>
            </a:p>
          </xdr:txBody>
        </xdr:sp>
      </xdr:grpSp>
      <xdr:sp macro="" textlink="">
        <xdr:nvSpPr>
          <xdr:cNvPr id="6" name="Rectangle 5">
            <a:hlinkClick xmlns:r="http://schemas.openxmlformats.org/officeDocument/2006/relationships" r:id="rId5"/>
            <a:extLst>
              <a:ext uri="{FF2B5EF4-FFF2-40B4-BE49-F238E27FC236}">
                <a16:creationId xmlns:a16="http://schemas.microsoft.com/office/drawing/2014/main" id="{9B36A635-683E-4016-B419-A9A3B79B30A2}"/>
              </a:ext>
            </a:extLst>
          </xdr:cNvPr>
          <xdr:cNvSpPr/>
        </xdr:nvSpPr>
        <xdr:spPr>
          <a:xfrm>
            <a:off x="5124451" y="296035"/>
            <a:ext cx="1216623" cy="188594"/>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Reserves</a:t>
            </a:r>
            <a:endParaRPr lang="en-US" sz="900"/>
          </a:p>
        </xdr:txBody>
      </xdr:sp>
    </xdr:grpSp>
    <xdr:clientData/>
  </xdr:twoCellAnchor>
  <xdr:twoCellAnchor editAs="oneCell">
    <xdr:from>
      <xdr:col>2</xdr:col>
      <xdr:colOff>1000124</xdr:colOff>
      <xdr:row>9</xdr:row>
      <xdr:rowOff>28574</xdr:rowOff>
    </xdr:from>
    <xdr:to>
      <xdr:col>4</xdr:col>
      <xdr:colOff>133349</xdr:colOff>
      <xdr:row>10</xdr:row>
      <xdr:rowOff>9524</xdr:rowOff>
    </xdr:to>
    <xdr:sp macro="[0]!Add_Retail_Tenant" textlink="">
      <xdr:nvSpPr>
        <xdr:cNvPr id="8" name="Rectangle 7">
          <a:extLst>
            <a:ext uri="{FF2B5EF4-FFF2-40B4-BE49-F238E27FC236}">
              <a16:creationId xmlns:a16="http://schemas.microsoft.com/office/drawing/2014/main" id="{84AAE70A-A45F-4581-83C2-F0C7990017DE}"/>
            </a:ext>
          </a:extLst>
        </xdr:cNvPr>
        <xdr:cNvSpPr/>
      </xdr:nvSpPr>
      <xdr:spPr>
        <a:xfrm>
          <a:off x="1724024" y="1257299"/>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Retail Tenant</a:t>
          </a:r>
        </a:p>
      </xdr:txBody>
    </xdr:sp>
    <xdr:clientData/>
  </xdr:twoCellAnchor>
  <xdr:twoCellAnchor editAs="oneCell">
    <xdr:from>
      <xdr:col>4</xdr:col>
      <xdr:colOff>171450</xdr:colOff>
      <xdr:row>9</xdr:row>
      <xdr:rowOff>28575</xdr:rowOff>
    </xdr:from>
    <xdr:to>
      <xdr:col>5</xdr:col>
      <xdr:colOff>495300</xdr:colOff>
      <xdr:row>10</xdr:row>
      <xdr:rowOff>9525</xdr:rowOff>
    </xdr:to>
    <xdr:sp macro="[0]!Delete_Retail_Tenant" textlink="">
      <xdr:nvSpPr>
        <xdr:cNvPr id="9" name="Rectangle 8">
          <a:extLst>
            <a:ext uri="{FF2B5EF4-FFF2-40B4-BE49-F238E27FC236}">
              <a16:creationId xmlns:a16="http://schemas.microsoft.com/office/drawing/2014/main" id="{7EEBC64C-9037-4918-8EF8-D3E158FAF94D}"/>
            </a:ext>
          </a:extLst>
        </xdr:cNvPr>
        <xdr:cNvSpPr/>
      </xdr:nvSpPr>
      <xdr:spPr>
        <a:xfrm>
          <a:off x="2933700" y="1257300"/>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Retail Tenant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xdr:colOff>
      <xdr:row>2</xdr:row>
      <xdr:rowOff>36194</xdr:rowOff>
    </xdr:from>
    <xdr:to>
      <xdr:col>6</xdr:col>
      <xdr:colOff>788670</xdr:colOff>
      <xdr:row>3</xdr:row>
      <xdr:rowOff>49146</xdr:rowOff>
    </xdr:to>
    <xdr:grpSp>
      <xdr:nvGrpSpPr>
        <xdr:cNvPr id="2" name="Group 1">
          <a:hlinkClick xmlns:r="http://schemas.openxmlformats.org/officeDocument/2006/relationships" r:id="rId1"/>
          <a:extLst>
            <a:ext uri="{FF2B5EF4-FFF2-40B4-BE49-F238E27FC236}">
              <a16:creationId xmlns:a16="http://schemas.microsoft.com/office/drawing/2014/main" id="{240B8454-7F0B-4E2F-9558-EA30ABB7A75C}"/>
            </a:ext>
          </a:extLst>
        </xdr:cNvPr>
        <xdr:cNvGrpSpPr>
          <a:grpSpLocks noChangeAspect="1"/>
        </xdr:cNvGrpSpPr>
      </xdr:nvGrpSpPr>
      <xdr:grpSpPr>
        <a:xfrm>
          <a:off x="66676" y="236219"/>
          <a:ext cx="5427344" cy="193927"/>
          <a:chOff x="147329" y="281940"/>
          <a:chExt cx="4135111" cy="188051"/>
        </a:xfrm>
      </xdr:grpSpPr>
      <xdr:sp macro="" textlink="">
        <xdr:nvSpPr>
          <xdr:cNvPr id="5" name="Rectangle 4">
            <a:hlinkClick xmlns:r="http://schemas.openxmlformats.org/officeDocument/2006/relationships" r:id="rId2"/>
            <a:extLst>
              <a:ext uri="{FF2B5EF4-FFF2-40B4-BE49-F238E27FC236}">
                <a16:creationId xmlns:a16="http://schemas.microsoft.com/office/drawing/2014/main" id="{92BF40C4-4CED-4E10-B19A-6C5ACEEC7C4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6" name="Rectangle 5">
            <a:hlinkClick xmlns:r="http://schemas.openxmlformats.org/officeDocument/2006/relationships" r:id="rId3"/>
            <a:extLst>
              <a:ext uri="{FF2B5EF4-FFF2-40B4-BE49-F238E27FC236}">
                <a16:creationId xmlns:a16="http://schemas.microsoft.com/office/drawing/2014/main" id="{10641292-BF12-4E6A-8079-51090EB17AEF}"/>
              </a:ext>
            </a:extLst>
          </xdr:cNvPr>
          <xdr:cNvSpPr/>
        </xdr:nvSpPr>
        <xdr:spPr>
          <a:xfrm>
            <a:off x="2623185"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Controllable</a:t>
            </a:r>
          </a:p>
        </xdr:txBody>
      </xdr:sp>
      <xdr:sp macro="" textlink="">
        <xdr:nvSpPr>
          <xdr:cNvPr id="7" name="Rectangle 6">
            <a:hlinkClick xmlns:r="http://schemas.openxmlformats.org/officeDocument/2006/relationships" r:id="rId4"/>
            <a:extLst>
              <a:ext uri="{FF2B5EF4-FFF2-40B4-BE49-F238E27FC236}">
                <a16:creationId xmlns:a16="http://schemas.microsoft.com/office/drawing/2014/main" id="{410BC875-340B-499E-AAC3-75FD021548D5}"/>
              </a:ext>
            </a:extLst>
          </xdr:cNvPr>
          <xdr:cNvSpPr/>
        </xdr:nvSpPr>
        <xdr:spPr>
          <a:xfrm>
            <a:off x="3459480"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Fixed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26670</xdr:colOff>
      <xdr:row>3</xdr:row>
      <xdr:rowOff>5715</xdr:rowOff>
    </xdr:from>
    <xdr:to>
      <xdr:col>13</xdr:col>
      <xdr:colOff>339090</xdr:colOff>
      <xdr:row>12</xdr:row>
      <xdr:rowOff>108585</xdr:rowOff>
    </xdr:to>
    <xdr:graphicFrame macro="">
      <xdr:nvGraphicFramePr>
        <xdr:cNvPr id="2" name="Chart 1">
          <a:extLst>
            <a:ext uri="{FF2B5EF4-FFF2-40B4-BE49-F238E27FC236}">
              <a16:creationId xmlns:a16="http://schemas.microsoft.com/office/drawing/2014/main" id="{228DD3B3-2BD9-4E32-AF22-E6F13461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creconsulting.com/" TargetMode="External"/><Relationship Id="rId3" Type="http://schemas.openxmlformats.org/officeDocument/2006/relationships/hyperlink" Target="https://www.adventuresincre.shop/accelerator/" TargetMode="External"/><Relationship Id="rId7" Type="http://schemas.openxmlformats.org/officeDocument/2006/relationships/hyperlink" Target="https://www.adventuresincre.com/re-modeling-best-practice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apartment-development-model-tutorials/" TargetMode="External"/><Relationship Id="rId5" Type="http://schemas.openxmlformats.org/officeDocument/2006/relationships/hyperlink" Target="https://www.adventuresincre.com/apartment-development-model/" TargetMode="External"/><Relationship Id="rId4" Type="http://schemas.openxmlformats.org/officeDocument/2006/relationships/hyperlink" Target="https://www.adventuresincre.com/acre-disclaimer/"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269A-60A3-48D5-9698-C8CCEC0A2F4A}">
  <sheetPr codeName="Sheet1"/>
  <dimension ref="A2:N315"/>
  <sheetViews>
    <sheetView showGridLines="0" zoomScaleNormal="100" workbookViewId="0"/>
  </sheetViews>
  <sheetFormatPr defaultColWidth="0" defaultRowHeight="14.25" x14ac:dyDescent="0.2"/>
  <cols>
    <col min="1" max="1" width="1.625" customWidth="1"/>
    <col min="2" max="2" width="9" style="141" customWidth="1"/>
    <col min="3" max="13" width="9" style="4" customWidth="1"/>
    <col min="14" max="14" width="0.75" customWidth="1"/>
    <col min="15" max="16384" width="9" hidden="1"/>
  </cols>
  <sheetData>
    <row r="2" spans="2:13" ht="15.75" x14ac:dyDescent="0.25">
      <c r="B2" s="149" t="s">
        <v>470</v>
      </c>
      <c r="C2" s="147"/>
      <c r="D2" s="147"/>
      <c r="E2" s="147"/>
      <c r="F2" s="147"/>
      <c r="G2" s="147"/>
      <c r="H2" s="147"/>
      <c r="I2" s="147"/>
      <c r="J2" s="147"/>
      <c r="K2" s="148"/>
      <c r="L2" s="147"/>
      <c r="M2" s="147"/>
    </row>
    <row r="3" spans="2:13" x14ac:dyDescent="0.2">
      <c r="B3" s="145" t="s">
        <v>469</v>
      </c>
      <c r="C3" s="144"/>
      <c r="D3" s="144"/>
      <c r="E3" s="144"/>
      <c r="F3" s="144"/>
      <c r="G3" s="144"/>
      <c r="H3" s="144"/>
      <c r="I3" s="144"/>
      <c r="J3" s="144"/>
      <c r="K3" s="144"/>
      <c r="L3" s="144"/>
      <c r="M3" s="146" t="str">
        <f>B15</f>
        <v>v2.95</v>
      </c>
    </row>
    <row r="4" spans="2:13" x14ac:dyDescent="0.2">
      <c r="B4" t="s">
        <v>467</v>
      </c>
      <c r="C4"/>
      <c r="D4"/>
      <c r="E4"/>
      <c r="F4"/>
      <c r="G4"/>
      <c r="H4" s="31" t="s">
        <v>472</v>
      </c>
      <c r="I4" s="31"/>
      <c r="J4"/>
      <c r="L4"/>
      <c r="M4"/>
    </row>
    <row r="5" spans="2:13" x14ac:dyDescent="0.2">
      <c r="B5" s="691" t="s">
        <v>471</v>
      </c>
      <c r="C5" s="691"/>
      <c r="D5" s="691"/>
      <c r="E5"/>
      <c r="F5"/>
      <c r="G5"/>
      <c r="H5" s="694" t="s">
        <v>682</v>
      </c>
      <c r="I5" s="694"/>
      <c r="J5" s="694"/>
      <c r="K5" s="694"/>
      <c r="L5" s="694"/>
      <c r="M5" s="694"/>
    </row>
    <row r="6" spans="2:13" x14ac:dyDescent="0.2">
      <c r="B6"/>
      <c r="C6"/>
      <c r="D6"/>
      <c r="E6"/>
      <c r="F6"/>
      <c r="G6"/>
      <c r="H6" s="695" t="s">
        <v>824</v>
      </c>
      <c r="I6" s="695"/>
      <c r="J6" s="695"/>
      <c r="K6" s="695"/>
      <c r="L6" s="695"/>
      <c r="M6" s="695"/>
    </row>
    <row r="7" spans="2:13" x14ac:dyDescent="0.2">
      <c r="B7" s="31" t="s">
        <v>473</v>
      </c>
      <c r="C7"/>
      <c r="D7"/>
      <c r="E7"/>
      <c r="F7"/>
      <c r="G7"/>
      <c r="M7"/>
    </row>
    <row r="8" spans="2:13" x14ac:dyDescent="0.2">
      <c r="B8" s="139" t="s">
        <v>474</v>
      </c>
      <c r="C8"/>
      <c r="D8"/>
      <c r="E8"/>
      <c r="F8"/>
      <c r="G8"/>
      <c r="H8" s="696" t="s">
        <v>492</v>
      </c>
      <c r="I8" s="696"/>
      <c r="J8" s="696"/>
      <c r="K8" s="696"/>
      <c r="L8" s="696"/>
      <c r="M8" s="696"/>
    </row>
    <row r="9" spans="2:13" x14ac:dyDescent="0.2">
      <c r="B9" s="139" t="s">
        <v>475</v>
      </c>
      <c r="C9"/>
      <c r="D9"/>
      <c r="E9"/>
      <c r="F9"/>
      <c r="G9"/>
      <c r="H9" s="696" t="s">
        <v>490</v>
      </c>
      <c r="I9" s="696"/>
      <c r="J9" s="696"/>
      <c r="K9" s="696"/>
      <c r="L9" s="696"/>
      <c r="M9" s="696"/>
    </row>
    <row r="10" spans="2:13" x14ac:dyDescent="0.2">
      <c r="B10" s="139" t="s">
        <v>476</v>
      </c>
      <c r="C10"/>
      <c r="D10"/>
      <c r="E10"/>
      <c r="F10"/>
      <c r="G10"/>
      <c r="H10" s="695" t="s">
        <v>491</v>
      </c>
      <c r="I10" s="695"/>
      <c r="J10" s="695"/>
      <c r="K10" s="695"/>
      <c r="L10" s="695"/>
      <c r="M10" s="695"/>
    </row>
    <row r="11" spans="2:13" x14ac:dyDescent="0.2">
      <c r="B11"/>
      <c r="C11"/>
      <c r="D11"/>
      <c r="E11"/>
      <c r="F11"/>
      <c r="G11"/>
      <c r="H11"/>
      <c r="I11"/>
      <c r="J11"/>
      <c r="K11"/>
      <c r="L11"/>
      <c r="M11"/>
    </row>
    <row r="12" spans="2:13" ht="36.75" customHeight="1" x14ac:dyDescent="0.2">
      <c r="B12" s="693" t="s">
        <v>556</v>
      </c>
      <c r="C12" s="693"/>
      <c r="D12" s="693"/>
      <c r="E12" s="693"/>
      <c r="F12" s="693"/>
      <c r="G12" s="693"/>
      <c r="H12" s="693"/>
      <c r="I12" s="693"/>
      <c r="J12" s="693"/>
      <c r="K12" s="693"/>
      <c r="L12" s="693"/>
      <c r="M12" s="693"/>
    </row>
    <row r="13" spans="2:13" ht="37.5" customHeight="1" x14ac:dyDescent="0.2">
      <c r="B13" s="692" t="s">
        <v>555</v>
      </c>
      <c r="C13" s="692"/>
      <c r="D13" s="692"/>
      <c r="E13" s="692"/>
      <c r="F13" s="692"/>
      <c r="G13" s="692"/>
      <c r="H13" s="692"/>
      <c r="I13" s="692"/>
      <c r="J13" s="692"/>
      <c r="K13" s="692"/>
      <c r="L13" s="692"/>
      <c r="M13" s="692"/>
    </row>
    <row r="14" spans="2:13" x14ac:dyDescent="0.2">
      <c r="B14" s="145" t="s">
        <v>468</v>
      </c>
      <c r="C14" s="144"/>
      <c r="D14" s="144"/>
      <c r="E14" s="144"/>
      <c r="F14" s="144"/>
      <c r="G14" s="144"/>
      <c r="H14" s="144"/>
      <c r="I14" s="144"/>
      <c r="J14" s="690" t="s">
        <v>554</v>
      </c>
      <c r="K14" s="690"/>
      <c r="L14" s="690"/>
      <c r="M14" s="690"/>
    </row>
    <row r="15" spans="2:13" x14ac:dyDescent="0.2">
      <c r="B15" s="140" t="s">
        <v>841</v>
      </c>
      <c r="J15"/>
    </row>
    <row r="16" spans="2:13" x14ac:dyDescent="0.2">
      <c r="B16" s="141" t="s">
        <v>842</v>
      </c>
      <c r="J16"/>
    </row>
    <row r="17" spans="2:2" x14ac:dyDescent="0.2">
      <c r="B17" s="141" t="s">
        <v>844</v>
      </c>
    </row>
    <row r="18" spans="2:2" x14ac:dyDescent="0.2">
      <c r="B18" s="141" t="s">
        <v>847</v>
      </c>
    </row>
    <row r="19" spans="2:2" x14ac:dyDescent="0.2">
      <c r="B19" s="141" t="s">
        <v>852</v>
      </c>
    </row>
    <row r="20" spans="2:2" x14ac:dyDescent="0.2">
      <c r="B20" s="141" t="s">
        <v>843</v>
      </c>
    </row>
    <row r="22" spans="2:2" x14ac:dyDescent="0.2">
      <c r="B22" s="140" t="s">
        <v>839</v>
      </c>
    </row>
    <row r="23" spans="2:2" x14ac:dyDescent="0.2">
      <c r="B23" s="141" t="s">
        <v>840</v>
      </c>
    </row>
    <row r="24" spans="2:2" x14ac:dyDescent="0.2">
      <c r="B24" s="141" t="s">
        <v>799</v>
      </c>
    </row>
    <row r="26" spans="2:2" x14ac:dyDescent="0.2">
      <c r="B26" s="140" t="s">
        <v>836</v>
      </c>
    </row>
    <row r="27" spans="2:2" x14ac:dyDescent="0.2">
      <c r="B27" s="141" t="s">
        <v>826</v>
      </c>
    </row>
    <row r="28" spans="2:2" x14ac:dyDescent="0.2">
      <c r="B28" s="141" t="s">
        <v>837</v>
      </c>
    </row>
    <row r="29" spans="2:2" x14ac:dyDescent="0.2">
      <c r="B29" s="141" t="s">
        <v>834</v>
      </c>
    </row>
    <row r="30" spans="2:2" x14ac:dyDescent="0.2">
      <c r="B30" s="142" t="s">
        <v>827</v>
      </c>
    </row>
    <row r="31" spans="2:2" x14ac:dyDescent="0.2">
      <c r="B31" s="142" t="s">
        <v>828</v>
      </c>
    </row>
    <row r="32" spans="2:2" x14ac:dyDescent="0.2">
      <c r="B32" s="142" t="s">
        <v>829</v>
      </c>
    </row>
    <row r="33" spans="2:2" x14ac:dyDescent="0.2">
      <c r="B33" s="142" t="s">
        <v>830</v>
      </c>
    </row>
    <row r="34" spans="2:2" x14ac:dyDescent="0.2">
      <c r="B34" s="142" t="s">
        <v>831</v>
      </c>
    </row>
    <row r="35" spans="2:2" x14ac:dyDescent="0.2">
      <c r="B35" s="142" t="s">
        <v>832</v>
      </c>
    </row>
    <row r="36" spans="2:2" x14ac:dyDescent="0.2">
      <c r="B36" s="142" t="s">
        <v>833</v>
      </c>
    </row>
    <row r="37" spans="2:2" x14ac:dyDescent="0.2">
      <c r="B37" s="141" t="s">
        <v>835</v>
      </c>
    </row>
    <row r="38" spans="2:2" x14ac:dyDescent="0.2">
      <c r="B38" s="141" t="s">
        <v>838</v>
      </c>
    </row>
    <row r="39" spans="2:2" x14ac:dyDescent="0.2">
      <c r="B39" s="141" t="s">
        <v>825</v>
      </c>
    </row>
    <row r="41" spans="2:2" x14ac:dyDescent="0.2">
      <c r="B41" s="140" t="s">
        <v>822</v>
      </c>
    </row>
    <row r="42" spans="2:2" x14ac:dyDescent="0.2">
      <c r="B42" s="141" t="s">
        <v>823</v>
      </c>
    </row>
    <row r="43" spans="2:2" x14ac:dyDescent="0.2">
      <c r="B43" s="141" t="s">
        <v>799</v>
      </c>
    </row>
    <row r="45" spans="2:2" x14ac:dyDescent="0.2">
      <c r="B45" s="140" t="s">
        <v>820</v>
      </c>
    </row>
    <row r="46" spans="2:2" x14ac:dyDescent="0.2">
      <c r="B46" s="141" t="s">
        <v>821</v>
      </c>
    </row>
    <row r="48" spans="2:2" x14ac:dyDescent="0.2">
      <c r="B48" s="140" t="s">
        <v>818</v>
      </c>
    </row>
    <row r="49" spans="2:2" x14ac:dyDescent="0.2">
      <c r="B49" s="141" t="s">
        <v>819</v>
      </c>
    </row>
    <row r="50" spans="2:2" x14ac:dyDescent="0.2">
      <c r="B50" s="141" t="s">
        <v>799</v>
      </c>
    </row>
    <row r="52" spans="2:2" x14ac:dyDescent="0.2">
      <c r="B52" s="140" t="s">
        <v>815</v>
      </c>
    </row>
    <row r="53" spans="2:2" x14ac:dyDescent="0.2">
      <c r="B53" s="141" t="s">
        <v>816</v>
      </c>
    </row>
    <row r="54" spans="2:2" x14ac:dyDescent="0.2">
      <c r="B54" s="141" t="s">
        <v>817</v>
      </c>
    </row>
    <row r="55" spans="2:2" x14ac:dyDescent="0.2">
      <c r="B55" s="142"/>
    </row>
    <row r="56" spans="2:2" x14ac:dyDescent="0.2">
      <c r="B56" s="140" t="s">
        <v>813</v>
      </c>
    </row>
    <row r="57" spans="2:2" x14ac:dyDescent="0.2">
      <c r="B57" s="141" t="s">
        <v>814</v>
      </c>
    </row>
    <row r="58" spans="2:2" x14ac:dyDescent="0.2">
      <c r="B58" s="142"/>
    </row>
    <row r="59" spans="2:2" x14ac:dyDescent="0.2">
      <c r="B59" s="140" t="s">
        <v>807</v>
      </c>
    </row>
    <row r="60" spans="2:2" x14ac:dyDescent="0.2">
      <c r="B60" s="141" t="s">
        <v>808</v>
      </c>
    </row>
    <row r="61" spans="2:2" x14ac:dyDescent="0.2">
      <c r="B61" s="142" t="s">
        <v>809</v>
      </c>
    </row>
    <row r="62" spans="2:2" x14ac:dyDescent="0.2">
      <c r="B62" s="142" t="s">
        <v>810</v>
      </c>
    </row>
    <row r="63" spans="2:2" x14ac:dyDescent="0.2">
      <c r="B63" s="141" t="s">
        <v>811</v>
      </c>
    </row>
    <row r="64" spans="2:2" x14ac:dyDescent="0.2">
      <c r="B64" s="141" t="s">
        <v>799</v>
      </c>
    </row>
    <row r="66" spans="2:2" x14ac:dyDescent="0.2">
      <c r="B66" s="140" t="s">
        <v>804</v>
      </c>
    </row>
    <row r="67" spans="2:2" x14ac:dyDescent="0.2">
      <c r="B67" s="141" t="s">
        <v>805</v>
      </c>
    </row>
    <row r="68" spans="2:2" x14ac:dyDescent="0.2">
      <c r="B68" s="141" t="s">
        <v>806</v>
      </c>
    </row>
    <row r="70" spans="2:2" x14ac:dyDescent="0.2">
      <c r="B70" s="140" t="s">
        <v>802</v>
      </c>
    </row>
    <row r="71" spans="2:2" x14ac:dyDescent="0.2">
      <c r="B71" s="141" t="s">
        <v>803</v>
      </c>
    </row>
    <row r="73" spans="2:2" x14ac:dyDescent="0.2">
      <c r="B73" s="140" t="s">
        <v>800</v>
      </c>
    </row>
    <row r="74" spans="2:2" x14ac:dyDescent="0.2">
      <c r="B74" s="141" t="s">
        <v>801</v>
      </c>
    </row>
    <row r="75" spans="2:2" x14ac:dyDescent="0.2">
      <c r="B75" s="142"/>
    </row>
    <row r="76" spans="2:2" x14ac:dyDescent="0.2">
      <c r="B76" s="140" t="s">
        <v>794</v>
      </c>
    </row>
    <row r="77" spans="2:2" x14ac:dyDescent="0.2">
      <c r="B77" s="141" t="s">
        <v>795</v>
      </c>
    </row>
    <row r="78" spans="2:2" x14ac:dyDescent="0.2">
      <c r="B78" s="142" t="s">
        <v>796</v>
      </c>
    </row>
    <row r="79" spans="2:2" x14ac:dyDescent="0.2">
      <c r="B79" s="142" t="s">
        <v>797</v>
      </c>
    </row>
    <row r="80" spans="2:2" x14ac:dyDescent="0.2">
      <c r="B80" s="142" t="s">
        <v>798</v>
      </c>
    </row>
    <row r="81" spans="2:2" x14ac:dyDescent="0.2">
      <c r="B81" s="141" t="s">
        <v>799</v>
      </c>
    </row>
    <row r="82" spans="2:2" x14ac:dyDescent="0.2">
      <c r="B82" s="142"/>
    </row>
    <row r="83" spans="2:2" x14ac:dyDescent="0.2">
      <c r="B83" s="140" t="s">
        <v>787</v>
      </c>
    </row>
    <row r="84" spans="2:2" x14ac:dyDescent="0.2">
      <c r="B84" s="141" t="s">
        <v>788</v>
      </c>
    </row>
    <row r="85" spans="2:2" x14ac:dyDescent="0.2">
      <c r="B85" s="142" t="s">
        <v>789</v>
      </c>
    </row>
    <row r="86" spans="2:2" x14ac:dyDescent="0.2">
      <c r="B86" s="142" t="s">
        <v>790</v>
      </c>
    </row>
    <row r="87" spans="2:2" x14ac:dyDescent="0.2">
      <c r="B87" s="142" t="s">
        <v>791</v>
      </c>
    </row>
    <row r="88" spans="2:2" x14ac:dyDescent="0.2">
      <c r="B88" s="142" t="s">
        <v>792</v>
      </c>
    </row>
    <row r="90" spans="2:2" x14ac:dyDescent="0.2">
      <c r="B90" s="140" t="s">
        <v>773</v>
      </c>
    </row>
    <row r="91" spans="2:2" x14ac:dyDescent="0.2">
      <c r="B91" s="141" t="s">
        <v>775</v>
      </c>
    </row>
    <row r="92" spans="2:2" x14ac:dyDescent="0.2">
      <c r="B92" s="141" t="s">
        <v>777</v>
      </c>
    </row>
    <row r="93" spans="2:2" x14ac:dyDescent="0.2">
      <c r="B93" s="141" t="s">
        <v>779</v>
      </c>
    </row>
    <row r="94" spans="2:2" x14ac:dyDescent="0.2">
      <c r="B94" s="140"/>
    </row>
    <row r="95" spans="2:2" x14ac:dyDescent="0.2">
      <c r="B95" s="140" t="s">
        <v>771</v>
      </c>
    </row>
    <row r="96" spans="2:2" x14ac:dyDescent="0.2">
      <c r="B96" s="141" t="s">
        <v>772</v>
      </c>
    </row>
    <row r="98" spans="2:2" x14ac:dyDescent="0.2">
      <c r="B98" s="140" t="s">
        <v>762</v>
      </c>
    </row>
    <row r="99" spans="2:2" x14ac:dyDescent="0.2">
      <c r="B99" s="141" t="s">
        <v>761</v>
      </c>
    </row>
    <row r="100" spans="2:2" x14ac:dyDescent="0.2">
      <c r="B100" s="141" t="s">
        <v>765</v>
      </c>
    </row>
    <row r="101" spans="2:2" x14ac:dyDescent="0.2">
      <c r="B101" s="141" t="s">
        <v>768</v>
      </c>
    </row>
    <row r="102" spans="2:2" x14ac:dyDescent="0.2">
      <c r="B102" s="142" t="s">
        <v>767</v>
      </c>
    </row>
    <row r="103" spans="2:2" x14ac:dyDescent="0.2">
      <c r="B103" s="142" t="s">
        <v>769</v>
      </c>
    </row>
    <row r="104" spans="2:2" x14ac:dyDescent="0.2">
      <c r="B104" s="141" t="s">
        <v>770</v>
      </c>
    </row>
    <row r="106" spans="2:2" x14ac:dyDescent="0.2">
      <c r="B106" s="140" t="s">
        <v>756</v>
      </c>
    </row>
    <row r="107" spans="2:2" x14ac:dyDescent="0.2">
      <c r="B107" s="141" t="s">
        <v>757</v>
      </c>
    </row>
    <row r="109" spans="2:2" x14ac:dyDescent="0.2">
      <c r="B109" s="140" t="s">
        <v>749</v>
      </c>
    </row>
    <row r="110" spans="2:2" x14ac:dyDescent="0.2">
      <c r="B110" s="141" t="s">
        <v>750</v>
      </c>
    </row>
    <row r="111" spans="2:2" x14ac:dyDescent="0.2">
      <c r="B111" s="141" t="s">
        <v>751</v>
      </c>
    </row>
    <row r="112" spans="2:2" x14ac:dyDescent="0.2">
      <c r="B112" s="141" t="s">
        <v>755</v>
      </c>
    </row>
    <row r="114" spans="2:2" x14ac:dyDescent="0.2">
      <c r="B114" s="140" t="s">
        <v>747</v>
      </c>
    </row>
    <row r="115" spans="2:2" x14ac:dyDescent="0.2">
      <c r="B115" s="141" t="s">
        <v>748</v>
      </c>
    </row>
    <row r="117" spans="2:2" x14ac:dyDescent="0.2">
      <c r="B117" s="140" t="s">
        <v>741</v>
      </c>
    </row>
    <row r="118" spans="2:2" x14ac:dyDescent="0.2">
      <c r="B118" s="141" t="s">
        <v>743</v>
      </c>
    </row>
    <row r="119" spans="2:2" x14ac:dyDescent="0.2">
      <c r="B119" s="141" t="s">
        <v>745</v>
      </c>
    </row>
    <row r="120" spans="2:2" x14ac:dyDescent="0.2">
      <c r="B120" s="141" t="s">
        <v>746</v>
      </c>
    </row>
    <row r="121" spans="2:2" x14ac:dyDescent="0.2">
      <c r="B121" s="141" t="s">
        <v>742</v>
      </c>
    </row>
    <row r="122" spans="2:2" x14ac:dyDescent="0.2">
      <c r="B122" s="142"/>
    </row>
    <row r="123" spans="2:2" x14ac:dyDescent="0.2">
      <c r="B123" s="140" t="s">
        <v>735</v>
      </c>
    </row>
    <row r="124" spans="2:2" x14ac:dyDescent="0.2">
      <c r="B124" s="141" t="s">
        <v>736</v>
      </c>
    </row>
    <row r="125" spans="2:2" x14ac:dyDescent="0.2">
      <c r="B125" s="142" t="s">
        <v>737</v>
      </c>
    </row>
    <row r="126" spans="2:2" x14ac:dyDescent="0.2">
      <c r="B126" s="142" t="s">
        <v>738</v>
      </c>
    </row>
    <row r="127" spans="2:2" x14ac:dyDescent="0.2">
      <c r="B127" s="142" t="s">
        <v>739</v>
      </c>
    </row>
    <row r="128" spans="2:2" x14ac:dyDescent="0.2">
      <c r="B128" s="142" t="s">
        <v>740</v>
      </c>
    </row>
    <row r="130" spans="2:2" x14ac:dyDescent="0.2">
      <c r="B130" s="140" t="s">
        <v>728</v>
      </c>
    </row>
    <row r="131" spans="2:2" x14ac:dyDescent="0.2">
      <c r="B131" s="141" t="s">
        <v>730</v>
      </c>
    </row>
    <row r="132" spans="2:2" x14ac:dyDescent="0.2">
      <c r="B132" s="142" t="s">
        <v>731</v>
      </c>
    </row>
    <row r="133" spans="2:2" x14ac:dyDescent="0.2">
      <c r="B133" s="142" t="s">
        <v>732</v>
      </c>
    </row>
    <row r="134" spans="2:2" x14ac:dyDescent="0.2">
      <c r="B134" s="142" t="s">
        <v>733</v>
      </c>
    </row>
    <row r="135" spans="2:2" x14ac:dyDescent="0.2">
      <c r="B135" s="141" t="s">
        <v>727</v>
      </c>
    </row>
    <row r="136" spans="2:2" x14ac:dyDescent="0.2">
      <c r="B136" s="141" t="s">
        <v>734</v>
      </c>
    </row>
    <row r="138" spans="2:2" x14ac:dyDescent="0.2">
      <c r="B138" s="140" t="s">
        <v>724</v>
      </c>
    </row>
    <row r="139" spans="2:2" x14ac:dyDescent="0.2">
      <c r="B139" s="141" t="s">
        <v>725</v>
      </c>
    </row>
    <row r="140" spans="2:2" x14ac:dyDescent="0.2">
      <c r="B140" s="141" t="s">
        <v>726</v>
      </c>
    </row>
    <row r="141" spans="2:2" x14ac:dyDescent="0.2">
      <c r="B141" s="141" t="s">
        <v>727</v>
      </c>
    </row>
    <row r="143" spans="2:2" x14ac:dyDescent="0.2">
      <c r="B143" s="140" t="s">
        <v>722</v>
      </c>
    </row>
    <row r="144" spans="2:2" x14ac:dyDescent="0.2">
      <c r="B144" s="141" t="s">
        <v>723</v>
      </c>
    </row>
    <row r="146" spans="2:2" x14ac:dyDescent="0.2">
      <c r="B146" s="140" t="s">
        <v>716</v>
      </c>
    </row>
    <row r="147" spans="2:2" x14ac:dyDescent="0.2">
      <c r="B147" s="141" t="s">
        <v>717</v>
      </c>
    </row>
    <row r="148" spans="2:2" x14ac:dyDescent="0.2">
      <c r="B148" s="141" t="s">
        <v>718</v>
      </c>
    </row>
    <row r="149" spans="2:2" x14ac:dyDescent="0.2">
      <c r="B149" s="141" t="s">
        <v>719</v>
      </c>
    </row>
    <row r="150" spans="2:2" x14ac:dyDescent="0.2">
      <c r="B150" s="141" t="s">
        <v>721</v>
      </c>
    </row>
    <row r="151" spans="2:2" x14ac:dyDescent="0.2">
      <c r="B151" s="142"/>
    </row>
    <row r="152" spans="2:2" x14ac:dyDescent="0.2">
      <c r="B152" s="140" t="s">
        <v>714</v>
      </c>
    </row>
    <row r="153" spans="2:2" x14ac:dyDescent="0.2">
      <c r="B153" s="141" t="s">
        <v>715</v>
      </c>
    </row>
    <row r="154" spans="2:2" x14ac:dyDescent="0.2">
      <c r="B154" s="142"/>
    </row>
    <row r="155" spans="2:2" x14ac:dyDescent="0.2">
      <c r="B155" s="140" t="s">
        <v>700</v>
      </c>
    </row>
    <row r="156" spans="2:2" x14ac:dyDescent="0.2">
      <c r="B156" s="141" t="s">
        <v>713</v>
      </c>
    </row>
    <row r="157" spans="2:2" x14ac:dyDescent="0.2">
      <c r="B157" s="142" t="s">
        <v>709</v>
      </c>
    </row>
    <row r="158" spans="2:2" x14ac:dyDescent="0.2">
      <c r="B158" s="142" t="s">
        <v>710</v>
      </c>
    </row>
    <row r="159" spans="2:2" x14ac:dyDescent="0.2">
      <c r="B159" s="142" t="s">
        <v>711</v>
      </c>
    </row>
    <row r="160" spans="2:2" x14ac:dyDescent="0.2">
      <c r="B160" s="142" t="s">
        <v>712</v>
      </c>
    </row>
    <row r="162" spans="2:2" x14ac:dyDescent="0.2">
      <c r="B162" s="140" t="s">
        <v>698</v>
      </c>
    </row>
    <row r="163" spans="2:2" x14ac:dyDescent="0.2">
      <c r="B163" s="141" t="s">
        <v>699</v>
      </c>
    </row>
    <row r="165" spans="2:2" x14ac:dyDescent="0.2">
      <c r="B165" s="140" t="s">
        <v>697</v>
      </c>
    </row>
    <row r="166" spans="2:2" x14ac:dyDescent="0.2">
      <c r="B166" s="141" t="s">
        <v>696</v>
      </c>
    </row>
    <row r="168" spans="2:2" x14ac:dyDescent="0.2">
      <c r="B168" s="140" t="s">
        <v>695</v>
      </c>
    </row>
    <row r="169" spans="2:2" x14ac:dyDescent="0.2">
      <c r="B169" s="141" t="s">
        <v>694</v>
      </c>
    </row>
    <row r="170" spans="2:2" x14ac:dyDescent="0.2">
      <c r="B170" s="142"/>
    </row>
    <row r="171" spans="2:2" x14ac:dyDescent="0.2">
      <c r="B171" s="140" t="s">
        <v>686</v>
      </c>
    </row>
    <row r="172" spans="2:2" x14ac:dyDescent="0.2">
      <c r="B172" s="141" t="s">
        <v>689</v>
      </c>
    </row>
    <row r="173" spans="2:2" x14ac:dyDescent="0.2">
      <c r="B173" s="142" t="s">
        <v>690</v>
      </c>
    </row>
    <row r="174" spans="2:2" x14ac:dyDescent="0.2">
      <c r="B174" s="142" t="s">
        <v>691</v>
      </c>
    </row>
    <row r="175" spans="2:2" x14ac:dyDescent="0.2">
      <c r="B175" s="142" t="s">
        <v>692</v>
      </c>
    </row>
    <row r="176" spans="2:2" x14ac:dyDescent="0.2">
      <c r="B176" s="141" t="s">
        <v>693</v>
      </c>
    </row>
    <row r="177" spans="2:2" x14ac:dyDescent="0.2">
      <c r="B177" s="141" t="s">
        <v>647</v>
      </c>
    </row>
    <row r="179" spans="2:2" x14ac:dyDescent="0.2">
      <c r="B179" s="140" t="s">
        <v>683</v>
      </c>
    </row>
    <row r="180" spans="2:2" x14ac:dyDescent="0.2">
      <c r="B180" s="141" t="s">
        <v>684</v>
      </c>
    </row>
    <row r="181" spans="2:2" x14ac:dyDescent="0.2">
      <c r="B181" s="141" t="s">
        <v>685</v>
      </c>
    </row>
    <row r="183" spans="2:2" x14ac:dyDescent="0.2">
      <c r="B183" s="140" t="s">
        <v>680</v>
      </c>
    </row>
    <row r="184" spans="2:2" x14ac:dyDescent="0.2">
      <c r="B184" s="141" t="s">
        <v>681</v>
      </c>
    </row>
    <row r="186" spans="2:2" x14ac:dyDescent="0.2">
      <c r="B186" s="140" t="s">
        <v>661</v>
      </c>
    </row>
    <row r="187" spans="2:2" x14ac:dyDescent="0.2">
      <c r="B187" s="141" t="s">
        <v>662</v>
      </c>
    </row>
    <row r="188" spans="2:2" x14ac:dyDescent="0.2">
      <c r="B188" s="141" t="s">
        <v>663</v>
      </c>
    </row>
    <row r="189" spans="2:2" x14ac:dyDescent="0.2">
      <c r="B189" s="141" t="s">
        <v>664</v>
      </c>
    </row>
    <row r="190" spans="2:2" x14ac:dyDescent="0.2">
      <c r="B190" s="141" t="s">
        <v>667</v>
      </c>
    </row>
    <row r="191" spans="2:2" x14ac:dyDescent="0.2">
      <c r="B191" s="142" t="s">
        <v>666</v>
      </c>
    </row>
    <row r="192" spans="2:2" x14ac:dyDescent="0.2">
      <c r="B192" s="142" t="s">
        <v>675</v>
      </c>
    </row>
    <row r="193" spans="2:2" x14ac:dyDescent="0.2">
      <c r="B193" s="142" t="s">
        <v>676</v>
      </c>
    </row>
    <row r="194" spans="2:2" x14ac:dyDescent="0.2">
      <c r="B194" s="141" t="s">
        <v>677</v>
      </c>
    </row>
    <row r="195" spans="2:2" x14ac:dyDescent="0.2">
      <c r="B195" s="141" t="s">
        <v>679</v>
      </c>
    </row>
    <row r="196" spans="2:2" x14ac:dyDescent="0.2">
      <c r="B196" s="141" t="s">
        <v>678</v>
      </c>
    </row>
    <row r="198" spans="2:2" x14ac:dyDescent="0.2">
      <c r="B198" s="140" t="s">
        <v>658</v>
      </c>
    </row>
    <row r="199" spans="2:2" x14ac:dyDescent="0.2">
      <c r="B199" s="141" t="s">
        <v>659</v>
      </c>
    </row>
    <row r="200" spans="2:2" x14ac:dyDescent="0.2">
      <c r="B200" s="141" t="s">
        <v>660</v>
      </c>
    </row>
    <row r="202" spans="2:2" x14ac:dyDescent="0.2">
      <c r="B202" s="140" t="s">
        <v>648</v>
      </c>
    </row>
    <row r="203" spans="2:2" x14ac:dyDescent="0.2">
      <c r="B203" s="141" t="s">
        <v>651</v>
      </c>
    </row>
    <row r="204" spans="2:2" x14ac:dyDescent="0.2">
      <c r="B204" s="142" t="s">
        <v>649</v>
      </c>
    </row>
    <row r="205" spans="2:2" x14ac:dyDescent="0.2">
      <c r="B205" s="142" t="s">
        <v>650</v>
      </c>
    </row>
    <row r="206" spans="2:2" x14ac:dyDescent="0.2">
      <c r="B206" s="142" t="s">
        <v>652</v>
      </c>
    </row>
    <row r="207" spans="2:2" x14ac:dyDescent="0.2">
      <c r="B207" s="142" t="s">
        <v>654</v>
      </c>
    </row>
    <row r="208" spans="2:2" x14ac:dyDescent="0.2">
      <c r="B208" s="141" t="s">
        <v>655</v>
      </c>
    </row>
    <row r="209" spans="2:2" x14ac:dyDescent="0.2">
      <c r="B209" s="141" t="s">
        <v>657</v>
      </c>
    </row>
    <row r="210" spans="2:2" x14ac:dyDescent="0.2">
      <c r="B210" s="141" t="s">
        <v>656</v>
      </c>
    </row>
    <row r="212" spans="2:2" x14ac:dyDescent="0.2">
      <c r="B212" s="140" t="s">
        <v>644</v>
      </c>
    </row>
    <row r="213" spans="2:2" x14ac:dyDescent="0.2">
      <c r="B213" s="141" t="s">
        <v>645</v>
      </c>
    </row>
    <row r="214" spans="2:2" x14ac:dyDescent="0.2">
      <c r="B214" s="141" t="s">
        <v>646</v>
      </c>
    </row>
    <row r="215" spans="2:2" x14ac:dyDescent="0.2">
      <c r="B215" s="141" t="s">
        <v>647</v>
      </c>
    </row>
    <row r="217" spans="2:2" x14ac:dyDescent="0.2">
      <c r="B217" s="140" t="s">
        <v>620</v>
      </c>
    </row>
    <row r="218" spans="2:2" x14ac:dyDescent="0.2">
      <c r="B218" s="141" t="s">
        <v>621</v>
      </c>
    </row>
    <row r="219" spans="2:2" x14ac:dyDescent="0.2">
      <c r="B219" s="141" t="s">
        <v>623</v>
      </c>
    </row>
    <row r="220" spans="2:2" x14ac:dyDescent="0.2">
      <c r="B220" s="141" t="s">
        <v>638</v>
      </c>
    </row>
    <row r="221" spans="2:2" x14ac:dyDescent="0.2">
      <c r="B221" s="142" t="s">
        <v>632</v>
      </c>
    </row>
    <row r="222" spans="2:2" x14ac:dyDescent="0.2">
      <c r="B222" s="142" t="s">
        <v>633</v>
      </c>
    </row>
    <row r="223" spans="2:2" x14ac:dyDescent="0.2">
      <c r="B223" s="142" t="s">
        <v>634</v>
      </c>
    </row>
    <row r="224" spans="2:2" x14ac:dyDescent="0.2">
      <c r="B224" s="142" t="s">
        <v>635</v>
      </c>
    </row>
    <row r="225" spans="2:2" x14ac:dyDescent="0.2">
      <c r="B225" s="142" t="s">
        <v>636</v>
      </c>
    </row>
    <row r="226" spans="2:2" x14ac:dyDescent="0.2">
      <c r="B226" s="142" t="s">
        <v>637</v>
      </c>
    </row>
    <row r="227" spans="2:2" x14ac:dyDescent="0.2">
      <c r="B227" s="142" t="s">
        <v>641</v>
      </c>
    </row>
    <row r="228" spans="2:2" x14ac:dyDescent="0.2">
      <c r="B228" s="141" t="s">
        <v>642</v>
      </c>
    </row>
    <row r="229" spans="2:2" x14ac:dyDescent="0.2">
      <c r="B229" s="141" t="s">
        <v>643</v>
      </c>
    </row>
    <row r="231" spans="2:2" x14ac:dyDescent="0.2">
      <c r="B231" s="140" t="s">
        <v>606</v>
      </c>
    </row>
    <row r="232" spans="2:2" x14ac:dyDescent="0.2">
      <c r="B232" s="141" t="s">
        <v>608</v>
      </c>
    </row>
    <row r="233" spans="2:2" x14ac:dyDescent="0.2">
      <c r="B233" s="141" t="s">
        <v>607</v>
      </c>
    </row>
    <row r="234" spans="2:2" x14ac:dyDescent="0.2">
      <c r="B234" s="141" t="s">
        <v>615</v>
      </c>
    </row>
    <row r="235" spans="2:2" x14ac:dyDescent="0.2">
      <c r="B235" s="142" t="s">
        <v>616</v>
      </c>
    </row>
    <row r="236" spans="2:2" x14ac:dyDescent="0.2">
      <c r="B236" s="142" t="s">
        <v>618</v>
      </c>
    </row>
    <row r="237" spans="2:2" x14ac:dyDescent="0.2">
      <c r="B237" s="141" t="s">
        <v>619</v>
      </c>
    </row>
    <row r="239" spans="2:2" x14ac:dyDescent="0.2">
      <c r="B239" s="140" t="s">
        <v>601</v>
      </c>
    </row>
    <row r="240" spans="2:2" x14ac:dyDescent="0.2">
      <c r="B240" s="141" t="s">
        <v>602</v>
      </c>
    </row>
    <row r="241" spans="2:2" x14ac:dyDescent="0.2">
      <c r="B241" s="141" t="s">
        <v>603</v>
      </c>
    </row>
    <row r="242" spans="2:2" x14ac:dyDescent="0.2">
      <c r="B242" s="141" t="s">
        <v>605</v>
      </c>
    </row>
    <row r="243" spans="2:2" x14ac:dyDescent="0.2">
      <c r="B243" s="141" t="s">
        <v>604</v>
      </c>
    </row>
    <row r="245" spans="2:2" x14ac:dyDescent="0.2">
      <c r="B245" s="140" t="s">
        <v>596</v>
      </c>
    </row>
    <row r="246" spans="2:2" x14ac:dyDescent="0.2">
      <c r="B246" s="141" t="s">
        <v>597</v>
      </c>
    </row>
    <row r="247" spans="2:2" x14ac:dyDescent="0.2">
      <c r="B247" s="141" t="s">
        <v>598</v>
      </c>
    </row>
    <row r="249" spans="2:2" x14ac:dyDescent="0.2">
      <c r="B249" s="140" t="s">
        <v>588</v>
      </c>
    </row>
    <row r="250" spans="2:2" x14ac:dyDescent="0.2">
      <c r="B250" s="141" t="s">
        <v>557</v>
      </c>
    </row>
    <row r="251" spans="2:2" x14ac:dyDescent="0.2">
      <c r="B251" s="141" t="s">
        <v>559</v>
      </c>
    </row>
    <row r="252" spans="2:2" x14ac:dyDescent="0.2">
      <c r="B252" s="141" t="s">
        <v>573</v>
      </c>
    </row>
    <row r="253" spans="2:2" x14ac:dyDescent="0.2">
      <c r="B253" s="141" t="s">
        <v>591</v>
      </c>
    </row>
    <row r="254" spans="2:2" x14ac:dyDescent="0.2">
      <c r="B254" s="141" t="s">
        <v>589</v>
      </c>
    </row>
    <row r="255" spans="2:2" x14ac:dyDescent="0.2">
      <c r="B255" s="141" t="s">
        <v>569</v>
      </c>
    </row>
    <row r="256" spans="2:2" x14ac:dyDescent="0.2">
      <c r="B256" s="142" t="s">
        <v>571</v>
      </c>
    </row>
    <row r="257" spans="2:2" x14ac:dyDescent="0.2">
      <c r="B257" s="142" t="s">
        <v>593</v>
      </c>
    </row>
    <row r="258" spans="2:2" x14ac:dyDescent="0.2">
      <c r="B258" s="142" t="s">
        <v>570</v>
      </c>
    </row>
    <row r="259" spans="2:2" x14ac:dyDescent="0.2">
      <c r="B259" s="142" t="s">
        <v>594</v>
      </c>
    </row>
    <row r="260" spans="2:2" x14ac:dyDescent="0.2">
      <c r="B260" s="142" t="s">
        <v>592</v>
      </c>
    </row>
    <row r="261" spans="2:2" x14ac:dyDescent="0.2">
      <c r="B261" s="141" t="s">
        <v>595</v>
      </c>
    </row>
    <row r="262" spans="2:2" x14ac:dyDescent="0.2">
      <c r="B262" s="141" t="s">
        <v>558</v>
      </c>
    </row>
    <row r="264" spans="2:2" x14ac:dyDescent="0.2">
      <c r="B264" s="140" t="s">
        <v>533</v>
      </c>
    </row>
    <row r="265" spans="2:2" x14ac:dyDescent="0.2">
      <c r="B265" s="141" t="s">
        <v>536</v>
      </c>
    </row>
    <row r="266" spans="2:2" x14ac:dyDescent="0.2">
      <c r="B266" s="142" t="s">
        <v>534</v>
      </c>
    </row>
    <row r="267" spans="2:2" x14ac:dyDescent="0.2">
      <c r="B267" s="142" t="s">
        <v>535</v>
      </c>
    </row>
    <row r="268" spans="2:2" x14ac:dyDescent="0.2">
      <c r="B268" s="142" t="s">
        <v>537</v>
      </c>
    </row>
    <row r="269" spans="2:2" x14ac:dyDescent="0.2">
      <c r="B269" s="141" t="s">
        <v>538</v>
      </c>
    </row>
    <row r="270" spans="2:2" x14ac:dyDescent="0.2">
      <c r="B270" s="141" t="s">
        <v>539</v>
      </c>
    </row>
    <row r="271" spans="2:2" x14ac:dyDescent="0.2">
      <c r="B271" s="141" t="s">
        <v>540</v>
      </c>
    </row>
    <row r="272" spans="2:2" x14ac:dyDescent="0.2">
      <c r="B272" s="141" t="s">
        <v>541</v>
      </c>
    </row>
    <row r="273" spans="2:2" x14ac:dyDescent="0.2">
      <c r="B273" s="141" t="s">
        <v>544</v>
      </c>
    </row>
    <row r="274" spans="2:2" x14ac:dyDescent="0.2">
      <c r="B274" s="141" t="s">
        <v>546</v>
      </c>
    </row>
    <row r="275" spans="2:2" x14ac:dyDescent="0.2">
      <c r="B275" s="141" t="s">
        <v>551</v>
      </c>
    </row>
    <row r="276" spans="2:2" x14ac:dyDescent="0.2">
      <c r="B276" s="141" t="s">
        <v>553</v>
      </c>
    </row>
    <row r="277" spans="2:2" x14ac:dyDescent="0.2">
      <c r="B277"/>
    </row>
    <row r="278" spans="2:2" x14ac:dyDescent="0.2">
      <c r="B278" s="140" t="s">
        <v>529</v>
      </c>
    </row>
    <row r="279" spans="2:2" x14ac:dyDescent="0.2">
      <c r="B279" s="141" t="s">
        <v>530</v>
      </c>
    </row>
    <row r="280" spans="2:2" x14ac:dyDescent="0.2">
      <c r="B280" s="141" t="s">
        <v>531</v>
      </c>
    </row>
    <row r="281" spans="2:2" x14ac:dyDescent="0.2">
      <c r="B281" s="141" t="s">
        <v>532</v>
      </c>
    </row>
    <row r="283" spans="2:2" x14ac:dyDescent="0.2">
      <c r="B283" s="140" t="s">
        <v>509</v>
      </c>
    </row>
    <row r="284" spans="2:2" x14ac:dyDescent="0.2">
      <c r="B284" s="141" t="s">
        <v>528</v>
      </c>
    </row>
    <row r="285" spans="2:2" x14ac:dyDescent="0.2">
      <c r="B285" s="141" t="s">
        <v>510</v>
      </c>
    </row>
    <row r="286" spans="2:2" x14ac:dyDescent="0.2">
      <c r="B286" s="141" t="s">
        <v>527</v>
      </c>
    </row>
    <row r="287" spans="2:2" x14ac:dyDescent="0.2">
      <c r="B287" s="141" t="s">
        <v>513</v>
      </c>
    </row>
    <row r="288" spans="2:2" x14ac:dyDescent="0.2">
      <c r="B288" s="141" t="s">
        <v>514</v>
      </c>
    </row>
    <row r="290" spans="2:2" x14ac:dyDescent="0.2">
      <c r="B290" s="140" t="s">
        <v>505</v>
      </c>
    </row>
    <row r="291" spans="2:2" x14ac:dyDescent="0.2">
      <c r="B291" s="141" t="s">
        <v>500</v>
      </c>
    </row>
    <row r="292" spans="2:2" x14ac:dyDescent="0.2">
      <c r="B292" s="141" t="s">
        <v>501</v>
      </c>
    </row>
    <row r="293" spans="2:2" x14ac:dyDescent="0.2">
      <c r="B293" s="142" t="s">
        <v>502</v>
      </c>
    </row>
    <row r="294" spans="2:2" x14ac:dyDescent="0.2">
      <c r="B294" s="142" t="s">
        <v>503</v>
      </c>
    </row>
    <row r="295" spans="2:2" x14ac:dyDescent="0.2">
      <c r="B295" s="142" t="s">
        <v>504</v>
      </c>
    </row>
    <row r="297" spans="2:2" x14ac:dyDescent="0.2">
      <c r="B297" s="140" t="s">
        <v>493</v>
      </c>
    </row>
    <row r="298" spans="2:2" x14ac:dyDescent="0.2">
      <c r="B298" s="141" t="s">
        <v>494</v>
      </c>
    </row>
    <row r="299" spans="2:2" x14ac:dyDescent="0.2">
      <c r="B299" s="141" t="s">
        <v>499</v>
      </c>
    </row>
    <row r="300" spans="2:2" x14ac:dyDescent="0.2">
      <c r="B300" s="142" t="s">
        <v>495</v>
      </c>
    </row>
    <row r="301" spans="2:2" x14ac:dyDescent="0.2">
      <c r="B301" s="142" t="s">
        <v>496</v>
      </c>
    </row>
    <row r="302" spans="2:2" x14ac:dyDescent="0.2">
      <c r="B302" s="142" t="s">
        <v>497</v>
      </c>
    </row>
    <row r="303" spans="2:2" x14ac:dyDescent="0.2">
      <c r="B303" s="142" t="s">
        <v>498</v>
      </c>
    </row>
    <row r="305" spans="2:2" x14ac:dyDescent="0.2">
      <c r="B305" s="140" t="s">
        <v>477</v>
      </c>
    </row>
    <row r="306" spans="2:2" x14ac:dyDescent="0.2">
      <c r="B306" s="141" t="s">
        <v>479</v>
      </c>
    </row>
    <row r="307" spans="2:2" x14ac:dyDescent="0.2">
      <c r="B307" s="141" t="s">
        <v>484</v>
      </c>
    </row>
    <row r="308" spans="2:2" x14ac:dyDescent="0.2">
      <c r="B308" s="141" t="s">
        <v>485</v>
      </c>
    </row>
    <row r="309" spans="2:2" x14ac:dyDescent="0.2">
      <c r="B309" s="141" t="s">
        <v>486</v>
      </c>
    </row>
    <row r="310" spans="2:2" x14ac:dyDescent="0.2">
      <c r="B310" s="141" t="s">
        <v>489</v>
      </c>
    </row>
    <row r="311" spans="2:2" x14ac:dyDescent="0.2">
      <c r="B311"/>
    </row>
    <row r="312" spans="2:2" x14ac:dyDescent="0.2">
      <c r="B312" s="140" t="s">
        <v>466</v>
      </c>
    </row>
    <row r="313" spans="2:2" x14ac:dyDescent="0.2">
      <c r="B313" s="141" t="s">
        <v>459</v>
      </c>
    </row>
    <row r="314" spans="2:2" x14ac:dyDescent="0.2">
      <c r="B314" s="141" t="s">
        <v>460</v>
      </c>
    </row>
    <row r="315" spans="2:2" x14ac:dyDescent="0.2">
      <c r="B315" s="141" t="s">
        <v>465</v>
      </c>
    </row>
  </sheetData>
  <mergeCells count="9">
    <mergeCell ref="J14:M14"/>
    <mergeCell ref="B5:D5"/>
    <mergeCell ref="B13:M13"/>
    <mergeCell ref="B12:M12"/>
    <mergeCell ref="H5:M5"/>
    <mergeCell ref="H6:M6"/>
    <mergeCell ref="H8:M8"/>
    <mergeCell ref="H9:M9"/>
    <mergeCell ref="H10:M10"/>
  </mergeCells>
  <hyperlinks>
    <hyperlink ref="B5" r:id="rId1" xr:uid="{B1451EAA-133E-4D35-B158-1A8B51A425F9}"/>
    <hyperlink ref="H10" r:id="rId2" xr:uid="{7E64E30D-B343-40E6-83A1-EF403EE4E0B9}"/>
    <hyperlink ref="B13:M13" r:id="rId3" display="https://www.adventuresincre.shop/accelerator/" xr:uid="{B21DDB5C-EF47-4F8A-A113-81F500C064C0}"/>
    <hyperlink ref="J14" r:id="rId4" xr:uid="{26DBD333-1594-4BC3-AF18-594180483AFD}"/>
    <hyperlink ref="H8" r:id="rId5" xr:uid="{E5BF4B90-E5F5-4203-9BDF-64DA4A79E9E0}"/>
    <hyperlink ref="H9" r:id="rId6" xr:uid="{FFD35F32-7C39-4533-8EC0-7B8FE07EC5F1}"/>
    <hyperlink ref="H5" r:id="rId7" display="New to Our Models? Read our Best Practices Guide Now" xr:uid="{F938DBAF-44ED-45A0-AC9D-8B767B6A5AF7}"/>
    <hyperlink ref="H6" r:id="rId8" xr:uid="{01B5A3EB-8DB3-43D7-BDBB-8790E1482D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pageSetUpPr fitToPage="1"/>
  </sheetPr>
  <dimension ref="A2:AB87"/>
  <sheetViews>
    <sheetView showGridLines="0" tabSelected="1" topLeftCell="A2" zoomScaleNormal="100" zoomScaleSheetLayoutView="100" workbookViewId="0">
      <selection activeCell="A2" sqref="A2"/>
    </sheetView>
  </sheetViews>
  <sheetFormatPr defaultColWidth="0" defaultRowHeight="15" zeroHeight="1" x14ac:dyDescent="0.25"/>
  <cols>
    <col min="1" max="1" width="0.875" style="151" customWidth="1"/>
    <col min="2" max="5" width="8.625" style="151" customWidth="1"/>
    <col min="6" max="16" width="9" style="151" customWidth="1"/>
    <col min="17" max="17" width="0.875" style="151" customWidth="1"/>
    <col min="18" max="27" width="9" style="151" hidden="1" customWidth="1"/>
    <col min="28" max="28" width="0" style="151" hidden="1" customWidth="1"/>
    <col min="29" max="16384" width="9" style="151" hidden="1"/>
  </cols>
  <sheetData>
    <row r="2" spans="2:16" ht="15.75" x14ac:dyDescent="0.25">
      <c r="B2" s="551" t="str">
        <f>Underwriting!B2</f>
        <v>16TH TERRACE</v>
      </c>
      <c r="C2" s="552"/>
      <c r="D2" s="552"/>
      <c r="E2" s="552"/>
      <c r="F2" s="552"/>
      <c r="G2" s="552"/>
      <c r="H2" s="552"/>
      <c r="I2" s="552"/>
      <c r="J2" s="552"/>
      <c r="K2" s="552"/>
      <c r="L2" s="552"/>
      <c r="M2" s="552"/>
      <c r="N2" s="552"/>
      <c r="O2" s="552"/>
      <c r="P2" s="553" t="str">
        <f>UPPER(Underwriting!I2)</f>
        <v>OGM HOLDINGS</v>
      </c>
    </row>
    <row r="3" spans="2:16" s="448" customFormat="1" ht="12.75" x14ac:dyDescent="0.2">
      <c r="B3" s="554" t="str">
        <f>Underwriting!E11&amp;", "&amp;Underwriting!I10</f>
        <v>Cape Coral, Florida</v>
      </c>
      <c r="C3" s="555"/>
      <c r="D3" s="555"/>
      <c r="E3" s="555"/>
      <c r="F3" s="555"/>
      <c r="G3" s="555"/>
      <c r="H3" s="555"/>
      <c r="I3" s="555"/>
      <c r="J3" s="555"/>
      <c r="K3" s="555"/>
      <c r="L3" s="556"/>
      <c r="M3" s="556"/>
      <c r="N3" s="556"/>
      <c r="O3" s="556"/>
      <c r="P3" s="557" t="str">
        <f>"ANALYSIS START - "&amp;UPPER(TEXT(Underwriting!E13,"MMM YYYY"))</f>
        <v>ANALYSIS START - FEB 2025</v>
      </c>
    </row>
    <row r="4" spans="2:16" s="448" customFormat="1" ht="12.75" x14ac:dyDescent="0.2">
      <c r="B4" s="455" t="s">
        <v>0</v>
      </c>
      <c r="C4" s="456"/>
      <c r="D4" s="456"/>
      <c r="E4" s="456"/>
      <c r="F4" s="456"/>
      <c r="G4" s="456"/>
      <c r="H4" s="456"/>
      <c r="I4" s="456"/>
      <c r="J4" s="456"/>
      <c r="K4" s="456"/>
      <c r="L4" s="457"/>
      <c r="M4" s="457"/>
      <c r="N4" s="457"/>
      <c r="O4" s="457"/>
      <c r="P4" s="458"/>
    </row>
    <row r="5" spans="2:16" s="448" customFormat="1" ht="12.75" x14ac:dyDescent="0.2">
      <c r="B5" s="459" t="s">
        <v>4</v>
      </c>
      <c r="C5" s="460"/>
      <c r="D5" s="461"/>
      <c r="E5" s="462" t="str">
        <f>Underwriting!E10&amp;", "&amp;Underwriting!E11&amp;" "&amp;Underwriting!I10</f>
        <v>111 SW 16th Terrace, Cape Coral Florida</v>
      </c>
      <c r="F5" s="463" t="s">
        <v>394</v>
      </c>
      <c r="G5" s="460"/>
      <c r="H5" s="460"/>
      <c r="I5" s="460"/>
      <c r="J5" s="460"/>
      <c r="K5" s="464"/>
      <c r="L5" s="697" t="s">
        <v>405</v>
      </c>
      <c r="M5" s="698"/>
      <c r="N5" s="698"/>
      <c r="O5" s="698"/>
      <c r="P5" s="699"/>
    </row>
    <row r="6" spans="2:16" s="448" customFormat="1" ht="12.75" x14ac:dyDescent="0.2">
      <c r="B6" s="465" t="s">
        <v>13</v>
      </c>
      <c r="D6" s="466"/>
      <c r="E6" s="467">
        <f>Units</f>
        <v>16</v>
      </c>
      <c r="F6" s="468"/>
      <c r="G6" s="469"/>
      <c r="H6" s="469"/>
      <c r="I6" s="469"/>
      <c r="J6" s="469"/>
      <c r="K6" s="470"/>
      <c r="L6" s="700"/>
      <c r="M6" s="701"/>
      <c r="N6" s="701"/>
      <c r="O6" s="701"/>
      <c r="P6" s="702"/>
    </row>
    <row r="7" spans="2:16" s="448" customFormat="1" ht="12.75" x14ac:dyDescent="0.2">
      <c r="B7" s="471" t="str">
        <f>"NRA ("&amp;Unit_Type&amp;")"</f>
        <v>NRA (SF)</v>
      </c>
      <c r="D7" s="466"/>
      <c r="E7" s="472">
        <f>Units_SF_M2</f>
        <v>16296</v>
      </c>
      <c r="F7" s="473"/>
      <c r="G7" s="474"/>
      <c r="H7" s="474"/>
      <c r="I7" s="474"/>
      <c r="J7" s="474"/>
      <c r="K7" s="475"/>
      <c r="L7" s="700"/>
      <c r="M7" s="701"/>
      <c r="N7" s="701"/>
      <c r="O7" s="701"/>
      <c r="P7" s="702"/>
    </row>
    <row r="8" spans="2:16" s="448" customFormat="1" ht="12.75" x14ac:dyDescent="0.2">
      <c r="B8" s="465" t="s">
        <v>9</v>
      </c>
      <c r="D8" s="466"/>
      <c r="E8" s="476">
        <f>Underwriting!E15</f>
        <v>2.0661157024793386</v>
      </c>
      <c r="F8" s="473"/>
      <c r="G8" s="474"/>
      <c r="H8" s="474"/>
      <c r="I8" s="474"/>
      <c r="J8" s="474"/>
      <c r="K8" s="475"/>
      <c r="L8" s="700"/>
      <c r="M8" s="701"/>
      <c r="N8" s="701"/>
      <c r="O8" s="701"/>
      <c r="P8" s="702"/>
    </row>
    <row r="9" spans="2:16" s="448" customFormat="1" ht="12.75" x14ac:dyDescent="0.2">
      <c r="B9" s="465" t="s">
        <v>398</v>
      </c>
      <c r="D9" s="466"/>
      <c r="E9" s="477" t="str">
        <f>IF(Underwriting!I15=1,Underwriting!I15&amp;" Bldg",Underwriting!I15&amp;" Bldgs")</f>
        <v>1 Bldg</v>
      </c>
      <c r="F9" s="473"/>
      <c r="G9" s="474"/>
      <c r="H9" s="474"/>
      <c r="I9" s="474"/>
      <c r="J9" s="474"/>
      <c r="K9" s="475"/>
      <c r="L9" s="700"/>
      <c r="M9" s="701"/>
      <c r="N9" s="701"/>
      <c r="O9" s="701"/>
      <c r="P9" s="702"/>
    </row>
    <row r="10" spans="2:16" s="448" customFormat="1" ht="12.75" x14ac:dyDescent="0.2">
      <c r="B10" s="471" t="s">
        <v>397</v>
      </c>
      <c r="D10" s="466"/>
      <c r="E10" s="477" t="str">
        <f>Underwriting!I16&amp;"-Story"</f>
        <v>2-Story</v>
      </c>
      <c r="F10" s="473"/>
      <c r="G10" s="474"/>
      <c r="H10" s="474"/>
      <c r="I10" s="474"/>
      <c r="J10" s="474"/>
      <c r="K10" s="475"/>
      <c r="L10" s="700"/>
      <c r="M10" s="701"/>
      <c r="N10" s="701"/>
      <c r="O10" s="701"/>
      <c r="P10" s="702"/>
    </row>
    <row r="11" spans="2:16" s="448" customFormat="1" ht="12.75" x14ac:dyDescent="0.2">
      <c r="B11" s="465" t="s">
        <v>399</v>
      </c>
      <c r="D11" s="466"/>
      <c r="E11" s="478">
        <f>Parking_Total</f>
        <v>0</v>
      </c>
      <c r="F11" s="473"/>
      <c r="G11" s="474"/>
      <c r="H11" s="474"/>
      <c r="I11" s="474"/>
      <c r="J11" s="474"/>
      <c r="K11" s="475"/>
      <c r="L11" s="700"/>
      <c r="M11" s="701"/>
      <c r="N11" s="701"/>
      <c r="O11" s="701"/>
      <c r="P11" s="702"/>
    </row>
    <row r="12" spans="2:16" s="448" customFormat="1" ht="12.75" x14ac:dyDescent="0.2">
      <c r="B12" s="465" t="s">
        <v>17</v>
      </c>
      <c r="D12" s="466"/>
      <c r="E12" s="479">
        <f>Underwriting!E20</f>
        <v>0</v>
      </c>
      <c r="F12" s="480" t="s">
        <v>395</v>
      </c>
      <c r="K12" s="481"/>
      <c r="L12" s="700"/>
      <c r="M12" s="701"/>
      <c r="N12" s="701"/>
      <c r="O12" s="701"/>
      <c r="P12" s="702"/>
    </row>
    <row r="13" spans="2:16" s="448" customFormat="1" ht="12.75" x14ac:dyDescent="0.2">
      <c r="B13" s="465" t="s">
        <v>400</v>
      </c>
      <c r="D13" s="482">
        <v>1</v>
      </c>
      <c r="E13" s="483">
        <f>Underwriting!E13</f>
        <v>45689</v>
      </c>
      <c r="F13" s="468"/>
      <c r="G13" s="469"/>
      <c r="H13" s="469"/>
      <c r="I13" s="469"/>
      <c r="J13" s="469"/>
      <c r="K13" s="470"/>
      <c r="L13" s="700"/>
      <c r="M13" s="701"/>
      <c r="N13" s="701"/>
      <c r="O13" s="701"/>
      <c r="P13" s="702"/>
    </row>
    <row r="14" spans="2:16" s="448" customFormat="1" ht="12.75" x14ac:dyDescent="0.2">
      <c r="B14" s="465" t="s">
        <v>401</v>
      </c>
      <c r="D14" s="482">
        <v>1</v>
      </c>
      <c r="E14" s="483">
        <f>Underwriting!E13</f>
        <v>45689</v>
      </c>
      <c r="F14" s="473"/>
      <c r="G14" s="474"/>
      <c r="H14" s="474"/>
      <c r="I14" s="474"/>
      <c r="J14" s="474"/>
      <c r="K14" s="475"/>
      <c r="L14" s="700"/>
      <c r="M14" s="701"/>
      <c r="N14" s="701"/>
      <c r="O14" s="701"/>
      <c r="P14" s="702"/>
    </row>
    <row r="15" spans="2:16" s="448" customFormat="1" ht="12.75" x14ac:dyDescent="0.2">
      <c r="B15" s="465" t="s">
        <v>403</v>
      </c>
      <c r="D15" s="482">
        <f>Timing_Construction_End</f>
        <v>14</v>
      </c>
      <c r="E15" s="483">
        <f>INDEX(Underwriting!$R$89:$ES$89,1,MATCH(Timing_Construction_End,Underwriting!$R$88:$ES$88,0))</f>
        <v>46112</v>
      </c>
      <c r="F15" s="473"/>
      <c r="G15" s="474"/>
      <c r="H15" s="474"/>
      <c r="I15" s="474"/>
      <c r="J15" s="474"/>
      <c r="K15" s="475"/>
      <c r="L15" s="700"/>
      <c r="M15" s="701"/>
      <c r="N15" s="701"/>
      <c r="O15" s="701"/>
      <c r="P15" s="702"/>
    </row>
    <row r="16" spans="2:16" s="448" customFormat="1" ht="12.75" x14ac:dyDescent="0.2">
      <c r="B16" s="465" t="s">
        <v>402</v>
      </c>
      <c r="D16" s="482">
        <f>Timing_Operation_Begin_Month</f>
        <v>12</v>
      </c>
      <c r="E16" s="483">
        <f>INDEX(Underwriting!$R$89:$ES$89,1,MATCH(Timing_Operation_Begin_Month,Underwriting!$R$88:$ES$88,0))</f>
        <v>46053</v>
      </c>
      <c r="F16" s="473"/>
      <c r="G16" s="474"/>
      <c r="H16" s="474"/>
      <c r="I16" s="474"/>
      <c r="J16" s="474"/>
      <c r="K16" s="475"/>
      <c r="L16" s="700"/>
      <c r="M16" s="701"/>
      <c r="N16" s="701"/>
      <c r="O16" s="701"/>
      <c r="P16" s="702"/>
    </row>
    <row r="17" spans="2:16" s="448" customFormat="1" ht="12.75" x14ac:dyDescent="0.2">
      <c r="B17" s="465" t="s">
        <v>404</v>
      </c>
      <c r="D17" s="482">
        <f>Stabilization_1st_Month</f>
        <v>14</v>
      </c>
      <c r="E17" s="483">
        <f>INDEX(Underwriting!$R$89:$ES$89,1,MATCH(Stabilization_1st_Month,Underwriting!$R$88:$ES$88,0))</f>
        <v>46112</v>
      </c>
      <c r="F17" s="473"/>
      <c r="G17" s="474"/>
      <c r="H17" s="474"/>
      <c r="I17" s="474"/>
      <c r="J17" s="474"/>
      <c r="K17" s="475"/>
      <c r="L17" s="700"/>
      <c r="M17" s="701"/>
      <c r="N17" s="701"/>
      <c r="O17" s="701"/>
      <c r="P17" s="702"/>
    </row>
    <row r="18" spans="2:16" s="448" customFormat="1" ht="12.75" x14ac:dyDescent="0.2">
      <c r="B18" s="484" t="s">
        <v>19</v>
      </c>
      <c r="C18" s="485"/>
      <c r="D18" s="486">
        <f>Timing_Reversion_Month</f>
        <v>36</v>
      </c>
      <c r="E18" s="487">
        <f>INDEX(Underwriting!$R$89:$ES$89,1,MATCH(Timing_Reversion_Month,Underwriting!$R$88:$ES$88,0))</f>
        <v>46783</v>
      </c>
      <c r="F18" s="488"/>
      <c r="G18" s="489"/>
      <c r="H18" s="489"/>
      <c r="I18" s="489"/>
      <c r="J18" s="489"/>
      <c r="K18" s="490"/>
      <c r="L18" s="703"/>
      <c r="M18" s="704"/>
      <c r="N18" s="704"/>
      <c r="O18" s="704"/>
      <c r="P18" s="705"/>
    </row>
    <row r="19" spans="2:16" x14ac:dyDescent="0.25">
      <c r="B19" s="455" t="s">
        <v>423</v>
      </c>
      <c r="C19" s="456"/>
      <c r="D19" s="456"/>
      <c r="E19" s="456"/>
      <c r="F19" s="456"/>
      <c r="G19" s="456"/>
      <c r="H19" s="456"/>
      <c r="I19" s="491"/>
      <c r="J19" s="491"/>
      <c r="K19" s="491"/>
      <c r="L19" s="457"/>
      <c r="M19" s="457"/>
      <c r="N19" s="706" t="s">
        <v>793</v>
      </c>
      <c r="O19" s="707"/>
      <c r="P19" s="708"/>
    </row>
    <row r="20" spans="2:16" s="448" customFormat="1" ht="12.75" x14ac:dyDescent="0.2">
      <c r="B20" s="459" t="s">
        <v>774</v>
      </c>
      <c r="C20" s="460"/>
      <c r="D20" s="460"/>
      <c r="E20" s="460"/>
      <c r="F20" s="462" t="str">
        <f>TEXT(Underwriting!D91,"0.00%")&amp;" / "&amp;TEXT(Underwriting!D131,"0.00%")</f>
        <v>3.00% / 2.00%</v>
      </c>
      <c r="G20" s="492" t="s">
        <v>157</v>
      </c>
      <c r="H20" s="460"/>
      <c r="I20" s="493" t="s">
        <v>420</v>
      </c>
      <c r="J20" s="493" t="s">
        <v>421</v>
      </c>
      <c r="K20" s="494" t="s">
        <v>422</v>
      </c>
      <c r="L20" s="495" t="s">
        <v>407</v>
      </c>
      <c r="M20" s="460"/>
      <c r="N20" s="493" t="s">
        <v>388</v>
      </c>
      <c r="O20" s="493" t="s">
        <v>850</v>
      </c>
      <c r="P20" s="494" t="s">
        <v>849</v>
      </c>
    </row>
    <row r="21" spans="2:16" s="448" customFormat="1" ht="12.75" x14ac:dyDescent="0.2">
      <c r="B21" s="465" t="s">
        <v>425</v>
      </c>
      <c r="F21" s="496" t="str">
        <f>TEXT(Underwriting!G103,"0.00")&amp;" / "&amp;TEXT(Underwriting!H103,"#,##0")</f>
        <v>1.87 / 1,900</v>
      </c>
      <c r="G21" s="448" t="s">
        <v>415</v>
      </c>
      <c r="I21" s="497">
        <f>Underwriting!G166</f>
        <v>346560</v>
      </c>
      <c r="J21" s="497">
        <f ca="1">Underwriting!H166</f>
        <v>347318.1</v>
      </c>
      <c r="K21" s="498">
        <f ca="1">Underwriting!I166</f>
        <v>366661.56299999985</v>
      </c>
      <c r="L21" s="465" t="str">
        <f>Underwriting!B227</f>
        <v>LP</v>
      </c>
      <c r="N21" s="499" t="str">
        <f ca="1">Underwriting!G227</f>
        <v>NA</v>
      </c>
      <c r="O21" s="500" t="str">
        <f ca="1">Underwriting!H227</f>
        <v>NA</v>
      </c>
      <c r="P21" s="501" t="str">
        <f ca="1">Underwriting!I227</f>
        <v>NA</v>
      </c>
    </row>
    <row r="22" spans="2:16" s="448" customFormat="1" x14ac:dyDescent="0.35">
      <c r="B22" s="465" t="s">
        <v>426</v>
      </c>
      <c r="F22" s="502">
        <f>SUM(Underwriting!F112:F113)</f>
        <v>0.05</v>
      </c>
      <c r="G22" s="503" t="s">
        <v>416</v>
      </c>
      <c r="I22" s="504">
        <f>-Underwriting!G179</f>
        <v>-117511.36</v>
      </c>
      <c r="J22" s="504">
        <f ca="1">-Underwriting!H179</f>
        <v>-117965.18179999999</v>
      </c>
      <c r="K22" s="505">
        <f ca="1">-Underwriting!I179</f>
        <v>-122563.84589400003</v>
      </c>
      <c r="L22" s="465" t="str">
        <f>Underwriting!B228</f>
        <v>OGM HOLDINGS</v>
      </c>
      <c r="N22" s="499">
        <f ca="1">Underwriting!G228</f>
        <v>0.20948268792515248</v>
      </c>
      <c r="O22" s="500">
        <f ca="1">Underwriting!H228</f>
        <v>1.2094826879251515</v>
      </c>
      <c r="P22" s="501">
        <f ca="1">Underwriting!I228</f>
        <v>7.1340659260749825E-2</v>
      </c>
    </row>
    <row r="23" spans="2:16" s="448" customFormat="1" ht="12.75" x14ac:dyDescent="0.2">
      <c r="B23" s="465" t="s">
        <v>427</v>
      </c>
      <c r="F23" s="502">
        <f>Underwriting!G131</f>
        <v>0.33907940904893813</v>
      </c>
      <c r="G23" s="448" t="s">
        <v>417</v>
      </c>
      <c r="I23" s="497">
        <f>I21+I22</f>
        <v>229048.64</v>
      </c>
      <c r="J23" s="497">
        <f ca="1">J21+J22</f>
        <v>229352.91819999999</v>
      </c>
      <c r="K23" s="498">
        <f ca="1">K21+K22</f>
        <v>244097.71710599982</v>
      </c>
      <c r="L23" s="465" t="str">
        <f>Underwriting!B229</f>
        <v/>
      </c>
      <c r="N23" s="499" t="str">
        <f>Underwriting!G229</f>
        <v/>
      </c>
      <c r="O23" s="500" t="str">
        <f>Underwriting!H229</f>
        <v/>
      </c>
      <c r="P23" s="501" t="str">
        <f>Underwriting!I229</f>
        <v/>
      </c>
    </row>
    <row r="24" spans="2:16" s="448" customFormat="1" x14ac:dyDescent="0.35">
      <c r="B24" s="465" t="s">
        <v>428</v>
      </c>
      <c r="F24" s="502">
        <f ca="1">(-I22-I24+(MAX(Underwriting!$Q$54:$ES$54)*12))/I21</f>
        <v>1.0327724093862676</v>
      </c>
      <c r="G24" s="503" t="s">
        <v>418</v>
      </c>
      <c r="I24" s="504">
        <f>-Underwriting!G187</f>
        <v>-1600</v>
      </c>
      <c r="J24" s="504">
        <f ca="1">-Underwriting!H187</f>
        <v>-1605.3333333333333</v>
      </c>
      <c r="K24" s="505">
        <f ca="1">-Underwriting!I187</f>
        <v>-1664.64</v>
      </c>
      <c r="L24" s="506" t="s">
        <v>408</v>
      </c>
      <c r="N24" s="507" t="s">
        <v>388</v>
      </c>
      <c r="O24" s="507" t="s">
        <v>853</v>
      </c>
      <c r="P24" s="508" t="s">
        <v>848</v>
      </c>
    </row>
    <row r="25" spans="2:16" s="448" customFormat="1" ht="12.75" x14ac:dyDescent="0.2">
      <c r="B25" s="465" t="s">
        <v>429</v>
      </c>
      <c r="F25" s="509">
        <f ca="1">Underwriting!E193</f>
        <v>4238423.9970223606</v>
      </c>
      <c r="G25" s="510" t="s">
        <v>177</v>
      </c>
      <c r="I25" s="497">
        <f>SUM(I23:I24)</f>
        <v>227448.64</v>
      </c>
      <c r="J25" s="497">
        <f ca="1">SUM(J23:J24)</f>
        <v>227747.58486666664</v>
      </c>
      <c r="K25" s="498">
        <f ca="1">SUM(K23:K24)</f>
        <v>242433.07710599981</v>
      </c>
      <c r="L25" s="465" t="s">
        <v>409</v>
      </c>
      <c r="N25" s="499">
        <f ca="1">Underwriting!I215/Underwriting!I51</f>
        <v>0.23112166288407127</v>
      </c>
      <c r="O25" s="500">
        <f ca="1">Underwriting!G215</f>
        <v>1.2327574802571253</v>
      </c>
      <c r="P25" s="501">
        <f ca="1">Underwriting!H215</f>
        <v>8.806982338428497E-2</v>
      </c>
    </row>
    <row r="26" spans="2:16" s="448" customFormat="1" x14ac:dyDescent="0.35">
      <c r="B26" s="511" t="str">
        <f>IF(Perm_Debt?,"Permanent Loan Payoff","Construction Loan Payoff")</f>
        <v>Permanent Loan Payoff</v>
      </c>
      <c r="F26" s="512">
        <f ca="1">IF(Perm_Debt?,Underwriting!I85,-Underwriting!I77)</f>
        <v>-2412875.1924297237</v>
      </c>
      <c r="G26" s="503" t="s">
        <v>173</v>
      </c>
      <c r="I26" s="513">
        <f>Underwriting!G192</f>
        <v>5.5E-2</v>
      </c>
      <c r="J26" s="513">
        <f>Underwriting!H192</f>
        <v>5.5E-2</v>
      </c>
      <c r="K26" s="501">
        <f>Underwriting!I192</f>
        <v>5.5E-2</v>
      </c>
      <c r="L26" s="465" t="s">
        <v>410</v>
      </c>
      <c r="N26" s="499">
        <f ca="1">Underwriting!I216/Equity_Total</f>
        <v>0.20948268792515248</v>
      </c>
      <c r="O26" s="500">
        <f ca="1">Underwriting!G216</f>
        <v>1.2094826879251515</v>
      </c>
      <c r="P26" s="501">
        <f ca="1">Underwriting!H216</f>
        <v>7.1340659260749825E-2</v>
      </c>
    </row>
    <row r="27" spans="2:16" s="448" customFormat="1" ht="12.75" x14ac:dyDescent="0.2">
      <c r="B27" s="465" t="s">
        <v>181</v>
      </c>
      <c r="F27" s="509">
        <f ca="1">Underwriting!E195</f>
        <v>1825548.8045926369</v>
      </c>
      <c r="G27" s="510" t="s">
        <v>419</v>
      </c>
      <c r="I27" s="497">
        <f>Underwriting!G194</f>
        <v>4164520.7272727275</v>
      </c>
      <c r="J27" s="497">
        <f ca="1">Underwriting!H194</f>
        <v>4170053.0581818181</v>
      </c>
      <c r="K27" s="498">
        <f ca="1">Underwriting!I194</f>
        <v>4438140.3110181782</v>
      </c>
    </row>
    <row r="28" spans="2:16" s="448" customFormat="1" ht="12.75" x14ac:dyDescent="0.2">
      <c r="B28" s="465" t="str">
        <f>IF(Perm_Debt?=0,"",Underwriting!E143)</f>
        <v>Cash-on-Cash Return (Month 15)</v>
      </c>
      <c r="F28" s="502">
        <f ca="1">IF(Perm_Debt?=0,"",Underwriting!F143)</f>
        <v>3.321682734923969E-2</v>
      </c>
      <c r="G28" s="510" t="s">
        <v>430</v>
      </c>
      <c r="I28" s="499">
        <f ca="1">I27/$K$36</f>
        <v>1.0311785063041643</v>
      </c>
      <c r="J28" s="499">
        <f ca="1">J27/$K$36</f>
        <v>1.0325483687917865</v>
      </c>
      <c r="K28" s="514">
        <f ca="1">K27/$K$36</f>
        <v>1.0989295518961444</v>
      </c>
      <c r="L28" s="506" t="s">
        <v>411</v>
      </c>
      <c r="N28" s="507" t="str">
        <f>PROPER(Underwriting!G218)</f>
        <v>Untrended</v>
      </c>
      <c r="O28" s="507" t="str">
        <f>PROPER(Underwriting!H218)</f>
        <v>Trended</v>
      </c>
      <c r="P28" s="508" t="str">
        <f>PROPER(Underwriting!I218)</f>
        <v>Sale</v>
      </c>
    </row>
    <row r="29" spans="2:16" s="448" customFormat="1" ht="12.75" x14ac:dyDescent="0.2">
      <c r="B29" s="465" t="str">
        <f>IF(Perm_Debt?=0,"",Underwriting!G85)</f>
        <v>Debt Service Coverage Ratio (Month 15):</v>
      </c>
      <c r="F29" s="515">
        <f ca="1">+Underwriting!H85</f>
        <v>1.2814008156562899</v>
      </c>
      <c r="G29" s="510" t="s">
        <v>464</v>
      </c>
      <c r="I29" s="516">
        <f>I27/Units</f>
        <v>260282.54545454547</v>
      </c>
      <c r="J29" s="516">
        <f ca="1">J27/Units</f>
        <v>260628.31613636363</v>
      </c>
      <c r="K29" s="472">
        <f ca="1">K27/Units</f>
        <v>277383.76943863614</v>
      </c>
      <c r="L29" s="465" t="str">
        <f>Underwriting!B219</f>
        <v>Yield-on-Cost</v>
      </c>
      <c r="N29" s="513">
        <f ca="1">Underwriting!G219</f>
        <v>5.6714817846729035E-2</v>
      </c>
      <c r="O29" s="513">
        <f ca="1">Underwriting!H219</f>
        <v>5.6790160283548261E-2</v>
      </c>
      <c r="P29" s="501">
        <f ca="1">Underwriting!I219</f>
        <v>6.0441125354287951E-2</v>
      </c>
    </row>
    <row r="30" spans="2:16" s="448" customFormat="1" ht="12.75" x14ac:dyDescent="0.2">
      <c r="B30" s="465"/>
      <c r="F30" s="509"/>
      <c r="G30" s="510"/>
      <c r="I30" s="499"/>
      <c r="J30" s="499"/>
      <c r="K30" s="514"/>
      <c r="L30" s="465" t="str">
        <f>Underwriting!B220</f>
        <v>Market Cap Rate</v>
      </c>
      <c r="N30" s="517">
        <f>Underwriting!G220</f>
        <v>5.5E-2</v>
      </c>
      <c r="O30" s="517">
        <f>Underwriting!H220</f>
        <v>5.5E-2</v>
      </c>
      <c r="P30" s="518">
        <f>Underwriting!I220</f>
        <v>5.5E-2</v>
      </c>
    </row>
    <row r="31" spans="2:16" s="448" customFormat="1" ht="12.75" x14ac:dyDescent="0.2">
      <c r="B31" s="506" t="s">
        <v>58</v>
      </c>
      <c r="C31" s="449"/>
      <c r="D31" s="507" t="s">
        <v>412</v>
      </c>
      <c r="E31" s="519" t="s">
        <v>413</v>
      </c>
      <c r="F31" s="508" t="s">
        <v>44</v>
      </c>
      <c r="G31" s="520" t="s">
        <v>29</v>
      </c>
      <c r="H31" s="507" t="s">
        <v>412</v>
      </c>
      <c r="I31" s="519" t="s">
        <v>414</v>
      </c>
      <c r="J31" s="519" t="s">
        <v>413</v>
      </c>
      <c r="K31" s="508" t="s">
        <v>44</v>
      </c>
      <c r="L31" s="465" t="str">
        <f>Underwriting!B221</f>
        <v>Development Spread</v>
      </c>
      <c r="N31" s="521">
        <f ca="1">Underwriting!G221</f>
        <v>17.148178467290347</v>
      </c>
      <c r="O31" s="521">
        <f ca="1">Underwriting!H221</f>
        <v>17.901602835482603</v>
      </c>
      <c r="P31" s="522">
        <f ca="1">Underwriting!I221</f>
        <v>54.411253542879514</v>
      </c>
    </row>
    <row r="32" spans="2:16" s="448" customFormat="1" ht="12.75" x14ac:dyDescent="0.2">
      <c r="B32" s="465" t="str">
        <f>+Underwriting!B67</f>
        <v>Construction Loan</v>
      </c>
      <c r="D32" s="499">
        <f ca="1">IF(Dbl_Promote?=1,F32/$F$37,F32/$F$36)</f>
        <v>0.60000027576937087</v>
      </c>
      <c r="E32" s="497">
        <f t="shared" ref="E32:E37" ca="1" si="0">IFERROR(F32/Units,"")</f>
        <v>151447.68640534108</v>
      </c>
      <c r="F32" s="498">
        <f ca="1">Underwriting!I67</f>
        <v>2423162.9824854573</v>
      </c>
      <c r="G32" s="448" t="str">
        <f>Underwriting!B25</f>
        <v>Land Costs</v>
      </c>
      <c r="H32" s="499">
        <f ca="1">K32/$K$36</f>
        <v>0.12380518357744676</v>
      </c>
      <c r="I32" s="523">
        <f>K32/Underwriting!$E$18</f>
        <v>24.54590083456063</v>
      </c>
      <c r="J32" s="497">
        <f>IFERROR(K32/Units,"")</f>
        <v>31250</v>
      </c>
      <c r="K32" s="498">
        <f>Underwriting!I31</f>
        <v>500000</v>
      </c>
    </row>
    <row r="33" spans="2:16" s="448" customFormat="1" ht="12.75" x14ac:dyDescent="0.2">
      <c r="B33" s="465" t="str">
        <f>+Underwriting!B68</f>
        <v>Mezzanine Loan</v>
      </c>
      <c r="D33" s="499">
        <f ca="1">IF(Dbl_Promote?=1,F33/$F$37,F33/$F$36)</f>
        <v>0</v>
      </c>
      <c r="E33" s="497">
        <f t="shared" ca="1" si="0"/>
        <v>0</v>
      </c>
      <c r="F33" s="498">
        <f ca="1">Underwriting!I68</f>
        <v>0</v>
      </c>
      <c r="G33" s="448" t="str">
        <f>Underwriting!B33</f>
        <v>Hard Costs</v>
      </c>
      <c r="H33" s="499">
        <f ca="1">K33/$K$36</f>
        <v>0.75397356798665083</v>
      </c>
      <c r="I33" s="523">
        <f>K33/Underwriting!$E$18</f>
        <v>149.48453608247422</v>
      </c>
      <c r="J33" s="497">
        <f>IFERROR(K33/Units,"")</f>
        <v>190312.5</v>
      </c>
      <c r="K33" s="498">
        <f>Underwriting!I38</f>
        <v>3045000</v>
      </c>
      <c r="L33" s="520" t="s">
        <v>431</v>
      </c>
      <c r="M33" s="524"/>
      <c r="N33" s="507" t="s">
        <v>433</v>
      </c>
      <c r="O33" s="507" t="str">
        <f>Underwriting!H275</f>
        <v>Dev. Spread</v>
      </c>
      <c r="P33" s="508" t="str">
        <f>Underwriting!I275</f>
        <v>Levered EMx</v>
      </c>
    </row>
    <row r="34" spans="2:16" s="448" customFormat="1" ht="12.75" x14ac:dyDescent="0.2">
      <c r="B34" s="465" t="str">
        <f>Underwriting!B227</f>
        <v>LP</v>
      </c>
      <c r="D34" s="499">
        <f ca="1">IF(Dbl_Promote?=1,F34/$F$37,F34/$F$36)</f>
        <v>0</v>
      </c>
      <c r="E34" s="497">
        <f t="shared" si="0"/>
        <v>0</v>
      </c>
      <c r="F34" s="498">
        <f>Underwriting!I71*Underwriting!H233</f>
        <v>0</v>
      </c>
      <c r="G34" s="448" t="str">
        <f>Underwriting!B40</f>
        <v>Soft Costs</v>
      </c>
      <c r="H34" s="499">
        <f ca="1">K34/$K$36</f>
        <v>7.2901444297743756E-2</v>
      </c>
      <c r="I34" s="523">
        <f>K34/Underwriting!$E$18</f>
        <v>14.453608247422681</v>
      </c>
      <c r="J34" s="497">
        <f>IFERROR(K34/Units,"")</f>
        <v>18401.25</v>
      </c>
      <c r="K34" s="498">
        <f>Underwriting!I49</f>
        <v>294420</v>
      </c>
      <c r="L34" s="525"/>
      <c r="M34" s="157" t="str">
        <f>Underwriting!B276</f>
        <v>Base Case</v>
      </c>
      <c r="N34" s="526">
        <f>Underwriting!G276</f>
        <v>5.5E-2</v>
      </c>
      <c r="O34" s="527">
        <f ca="1">Underwriting!H276</f>
        <v>54.411253542879514</v>
      </c>
      <c r="P34" s="528">
        <f ca="1">Underwriting!I276</f>
        <v>1.2094826879251515</v>
      </c>
    </row>
    <row r="35" spans="2:16" s="448" customFormat="1" x14ac:dyDescent="0.35">
      <c r="B35" s="465" t="str">
        <f>Underwriting!B228</f>
        <v>OGM HOLDINGS</v>
      </c>
      <c r="D35" s="499">
        <f ca="1">IF(Dbl_Promote?=1,F35/$F$37,F35/$F$36)</f>
        <v>0.39999972423062907</v>
      </c>
      <c r="E35" s="497">
        <f t="shared" si="0"/>
        <v>100965.00825741069</v>
      </c>
      <c r="F35" s="498">
        <f>IF(B37="",Equity_Total*Underwriting!H232,(Equity_Total-F34)*Underwriting!H253)</f>
        <v>1615440.1321185711</v>
      </c>
      <c r="G35" s="448" t="str">
        <f>Underwriting!B53</f>
        <v>Carry Costs</v>
      </c>
      <c r="H35" s="499">
        <f ca="1">K35/$K$36</f>
        <v>4.9319804138158722E-2</v>
      </c>
      <c r="I35" s="529">
        <f ca="1">K35/Underwriting!$E$18</f>
        <v>9.7782579579788145</v>
      </c>
      <c r="J35" s="504">
        <f ca="1">IFERROR(K35/Units,"")</f>
        <v>12448.944662751779</v>
      </c>
      <c r="K35" s="505">
        <f ca="1">Underwriting!I57</f>
        <v>199183.11460402847</v>
      </c>
      <c r="M35" s="530" t="str">
        <f>Underwriting!B277</f>
        <v>Downside #1</v>
      </c>
      <c r="N35" s="513">
        <f>Underwriting!G277</f>
        <v>5.7500000000000002E-2</v>
      </c>
      <c r="O35" s="527">
        <f>Underwriting!H277</f>
        <v>29.411253542879489</v>
      </c>
      <c r="P35" s="528">
        <f>Underwriting!I277</f>
        <v>1.095408943838647</v>
      </c>
    </row>
    <row r="36" spans="2:16" s="448" customFormat="1" x14ac:dyDescent="0.35">
      <c r="B36" s="465" t="str">
        <f>IF(Dbl_Promote?=1,Underwriting!B229,"Total Sources")</f>
        <v>Total Sources</v>
      </c>
      <c r="D36" s="499">
        <f ca="1">IF(Dbl_Promote?=1,F36/$F$37,F36/$F$36)</f>
        <v>1</v>
      </c>
      <c r="E36" s="504">
        <f t="shared" ca="1" si="0"/>
        <v>252412.69466275178</v>
      </c>
      <c r="F36" s="505">
        <f ca="1">IF(B37="",SUM(F32:F35),(Equity_Total-F34)*Underwriting!H254)</f>
        <v>4038603.1146040284</v>
      </c>
      <c r="G36" s="465" t="s">
        <v>81</v>
      </c>
      <c r="H36" s="499">
        <f ca="1">K36/$K$36</f>
        <v>1</v>
      </c>
      <c r="I36" s="523">
        <f ca="1">SUM(I32:I35)</f>
        <v>198.26230312243635</v>
      </c>
      <c r="J36" s="497">
        <f ca="1">SUM(J32:J35)</f>
        <v>252412.69466275178</v>
      </c>
      <c r="K36" s="498">
        <f ca="1">SUM(K32:K35)</f>
        <v>4038603.1146040284</v>
      </c>
      <c r="M36" s="530" t="str">
        <f>Underwriting!B278</f>
        <v>Downside #2</v>
      </c>
      <c r="N36" s="513">
        <f>Underwriting!G278</f>
        <v>6.0000000000000005E-2</v>
      </c>
      <c r="O36" s="527">
        <f>Underwriting!H278</f>
        <v>-20.588746457120486</v>
      </c>
      <c r="P36" s="528">
        <f>Underwriting!I278</f>
        <v>0.89463915424639839</v>
      </c>
    </row>
    <row r="37" spans="2:16" s="448" customFormat="1" ht="12.75" x14ac:dyDescent="0.2">
      <c r="B37" s="484" t="str">
        <f>IF(Dbl_Promote?=1,"Total Sources","")</f>
        <v/>
      </c>
      <c r="C37" s="485"/>
      <c r="D37" s="531" t="str">
        <f>IF(Dbl_Promote?=1,F37/$F$37,"")</f>
        <v/>
      </c>
      <c r="E37" s="532" t="str">
        <f t="shared" si="0"/>
        <v/>
      </c>
      <c r="F37" s="533" t="str">
        <f>IF(B37="","",SUM(F32:F36))</f>
        <v/>
      </c>
      <c r="G37" s="484"/>
      <c r="H37" s="485"/>
      <c r="I37" s="485"/>
      <c r="J37" s="485"/>
      <c r="K37" s="534"/>
      <c r="L37" s="484"/>
      <c r="M37" s="535" t="str">
        <f>Underwriting!B279</f>
        <v>Downside #3</v>
      </c>
      <c r="N37" s="536">
        <f>Underwriting!G279</f>
        <v>6.25E-2</v>
      </c>
      <c r="O37" s="537">
        <f>Underwriting!H279</f>
        <v>-95.58874645712055</v>
      </c>
      <c r="P37" s="538">
        <f>Underwriting!I279</f>
        <v>0.64726209207023488</v>
      </c>
    </row>
    <row r="38" spans="2:16" x14ac:dyDescent="0.25">
      <c r="B38" s="455" t="s">
        <v>406</v>
      </c>
      <c r="C38" s="456"/>
      <c r="D38" s="456"/>
      <c r="E38" s="456"/>
      <c r="F38" s="456"/>
      <c r="G38" s="456"/>
      <c r="H38" s="456"/>
      <c r="I38" s="456"/>
      <c r="J38" s="456"/>
      <c r="K38" s="456"/>
      <c r="L38" s="457"/>
      <c r="M38" s="457"/>
      <c r="N38" s="539" t="s">
        <v>526</v>
      </c>
      <c r="O38" s="540" t="s">
        <v>512</v>
      </c>
      <c r="P38" s="540" t="s">
        <v>511</v>
      </c>
    </row>
    <row r="39" spans="2:16" s="448" customFormat="1" ht="12.75" x14ac:dyDescent="0.2">
      <c r="B39" s="459"/>
      <c r="C39" s="460"/>
      <c r="D39" s="460"/>
      <c r="E39" s="460"/>
      <c r="F39" s="460"/>
      <c r="G39" s="460"/>
      <c r="H39" s="460"/>
      <c r="I39" s="460"/>
      <c r="J39" s="460"/>
      <c r="K39" s="464"/>
      <c r="L39" s="459"/>
      <c r="M39" s="460"/>
      <c r="N39" s="460"/>
      <c r="O39" s="460"/>
      <c r="P39" s="464"/>
    </row>
    <row r="40" spans="2:16" s="448" customFormat="1" ht="12.75" x14ac:dyDescent="0.2">
      <c r="B40" s="465"/>
      <c r="K40" s="481"/>
      <c r="L40" s="465"/>
      <c r="P40" s="481"/>
    </row>
    <row r="41" spans="2:16" s="448" customFormat="1" ht="12.75" x14ac:dyDescent="0.2">
      <c r="B41" s="465"/>
      <c r="K41" s="481"/>
      <c r="L41" s="465"/>
      <c r="P41" s="481"/>
    </row>
    <row r="42" spans="2:16" s="448" customFormat="1" ht="12.75" x14ac:dyDescent="0.2">
      <c r="B42" s="465"/>
      <c r="K42" s="481"/>
      <c r="L42" s="465"/>
      <c r="P42" s="481"/>
    </row>
    <row r="43" spans="2:16" s="448" customFormat="1" ht="12.75" x14ac:dyDescent="0.2">
      <c r="B43" s="465"/>
      <c r="K43" s="481"/>
      <c r="L43" s="465"/>
      <c r="P43" s="481"/>
    </row>
    <row r="44" spans="2:16" s="448" customFormat="1" ht="12.75" x14ac:dyDescent="0.2">
      <c r="B44" s="465"/>
      <c r="K44" s="481"/>
      <c r="L44" s="465"/>
      <c r="P44" s="481"/>
    </row>
    <row r="45" spans="2:16" s="448" customFormat="1" ht="12.75" x14ac:dyDescent="0.2">
      <c r="B45" s="465"/>
      <c r="K45" s="481"/>
      <c r="L45" s="465"/>
      <c r="P45" s="481"/>
    </row>
    <row r="46" spans="2:16" s="448" customFormat="1" ht="12.75" x14ac:dyDescent="0.2">
      <c r="B46" s="465"/>
      <c r="K46" s="481"/>
      <c r="L46" s="465"/>
      <c r="P46" s="481"/>
    </row>
    <row r="47" spans="2:16" s="448" customFormat="1" ht="12.75" x14ac:dyDescent="0.2">
      <c r="B47" s="465"/>
      <c r="K47" s="481"/>
      <c r="L47" s="465"/>
      <c r="P47" s="481"/>
    </row>
    <row r="48" spans="2:16" s="448" customFormat="1" ht="12.75" x14ac:dyDescent="0.2">
      <c r="B48" s="465"/>
      <c r="K48" s="481"/>
      <c r="L48" s="465"/>
      <c r="P48" s="481"/>
    </row>
    <row r="49" spans="2:16" s="448" customFormat="1" ht="12.75" x14ac:dyDescent="0.2">
      <c r="B49" s="465"/>
      <c r="K49" s="481"/>
      <c r="L49" s="465"/>
      <c r="P49" s="481"/>
    </row>
    <row r="50" spans="2:16" s="448" customFormat="1" ht="12.75" x14ac:dyDescent="0.2">
      <c r="B50" s="465"/>
      <c r="K50" s="481"/>
      <c r="L50" s="465"/>
      <c r="P50" s="481"/>
    </row>
    <row r="51" spans="2:16" s="448" customFormat="1" ht="12.75" x14ac:dyDescent="0.2">
      <c r="B51" s="465"/>
      <c r="K51" s="481"/>
      <c r="L51" s="465"/>
      <c r="P51" s="481"/>
    </row>
    <row r="52" spans="2:16" s="448" customFormat="1" ht="12.75" x14ac:dyDescent="0.2">
      <c r="B52" s="465"/>
      <c r="K52" s="481"/>
      <c r="L52" s="465"/>
      <c r="P52" s="481"/>
    </row>
    <row r="53" spans="2:16" x14ac:dyDescent="0.25">
      <c r="B53" s="484"/>
      <c r="C53" s="485"/>
      <c r="D53" s="485"/>
      <c r="E53" s="485"/>
      <c r="F53" s="485"/>
      <c r="G53" s="485"/>
      <c r="H53" s="485"/>
      <c r="I53" s="485"/>
      <c r="J53" s="485"/>
      <c r="K53" s="534"/>
      <c r="L53" s="484"/>
      <c r="M53" s="485"/>
      <c r="N53" s="485"/>
      <c r="O53" s="485"/>
      <c r="P53" s="534"/>
    </row>
    <row r="54" spans="2:16" x14ac:dyDescent="0.25">
      <c r="B54" s="459"/>
      <c r="C54" s="460"/>
      <c r="D54" s="460"/>
      <c r="E54" s="460"/>
      <c r="F54" s="460"/>
      <c r="G54" s="460"/>
      <c r="H54" s="460"/>
      <c r="I54" s="460"/>
      <c r="J54" s="460"/>
      <c r="K54" s="464"/>
      <c r="L54" s="448"/>
      <c r="M54" s="448"/>
      <c r="N54" s="448"/>
      <c r="O54" s="448"/>
      <c r="P54" s="481"/>
    </row>
    <row r="55" spans="2:16" s="448" customFormat="1" ht="12.75" x14ac:dyDescent="0.2">
      <c r="B55" s="465"/>
      <c r="K55" s="481"/>
      <c r="P55" s="481"/>
    </row>
    <row r="56" spans="2:16" s="448" customFormat="1" ht="12.75" x14ac:dyDescent="0.2">
      <c r="B56" s="465"/>
      <c r="K56" s="481"/>
      <c r="P56" s="481"/>
    </row>
    <row r="57" spans="2:16" s="448" customFormat="1" ht="12.75" x14ac:dyDescent="0.2">
      <c r="B57" s="465"/>
      <c r="K57" s="481"/>
      <c r="P57" s="481"/>
    </row>
    <row r="58" spans="2:16" s="448" customFormat="1" ht="12.75" x14ac:dyDescent="0.2">
      <c r="B58" s="465"/>
      <c r="K58" s="481"/>
      <c r="P58" s="481"/>
    </row>
    <row r="59" spans="2:16" s="448" customFormat="1" ht="12.75" x14ac:dyDescent="0.2">
      <c r="B59" s="465"/>
      <c r="K59" s="481"/>
      <c r="P59" s="481"/>
    </row>
    <row r="60" spans="2:16" s="448" customFormat="1" ht="12.75" x14ac:dyDescent="0.2">
      <c r="B60" s="465"/>
      <c r="K60" s="481"/>
      <c r="P60" s="481"/>
    </row>
    <row r="61" spans="2:16" s="448" customFormat="1" ht="12.75" x14ac:dyDescent="0.2">
      <c r="B61" s="465"/>
      <c r="K61" s="481"/>
      <c r="P61" s="481"/>
    </row>
    <row r="62" spans="2:16" s="448" customFormat="1" ht="12.75" x14ac:dyDescent="0.2">
      <c r="B62" s="465"/>
      <c r="K62" s="481"/>
      <c r="P62" s="481"/>
    </row>
    <row r="63" spans="2:16" s="448" customFormat="1" ht="12.75" x14ac:dyDescent="0.2">
      <c r="B63" s="465"/>
      <c r="K63" s="481"/>
      <c r="P63" s="481"/>
    </row>
    <row r="64" spans="2:16" s="448" customFormat="1" ht="12.75" x14ac:dyDescent="0.2">
      <c r="B64" s="465"/>
      <c r="K64" s="481"/>
      <c r="P64" s="481"/>
    </row>
    <row r="65" spans="2:16" s="448" customFormat="1" ht="12.75" x14ac:dyDescent="0.2">
      <c r="B65" s="465"/>
      <c r="K65" s="481"/>
      <c r="P65" s="481"/>
    </row>
    <row r="66" spans="2:16" s="448" customFormat="1" ht="12.75" x14ac:dyDescent="0.2">
      <c r="B66" s="465"/>
      <c r="K66" s="481"/>
      <c r="P66" s="481"/>
    </row>
    <row r="67" spans="2:16" s="448" customFormat="1" ht="12.75" x14ac:dyDescent="0.2">
      <c r="B67" s="484"/>
      <c r="C67" s="485"/>
      <c r="D67" s="485"/>
      <c r="E67" s="485"/>
      <c r="F67" s="485"/>
      <c r="G67" s="485"/>
      <c r="H67" s="485"/>
      <c r="I67" s="485"/>
      <c r="J67" s="485"/>
      <c r="K67" s="534"/>
      <c r="P67" s="481"/>
    </row>
    <row r="68" spans="2:16" s="448" customFormat="1" ht="12.75" x14ac:dyDescent="0.2">
      <c r="B68" s="459"/>
      <c r="C68" s="460"/>
      <c r="D68" s="460"/>
      <c r="E68" s="460"/>
      <c r="F68" s="460"/>
      <c r="G68" s="460"/>
      <c r="H68" s="460"/>
      <c r="I68" s="460"/>
      <c r="J68" s="460"/>
      <c r="K68" s="464"/>
      <c r="L68" s="459"/>
      <c r="M68" s="460"/>
      <c r="N68" s="460"/>
      <c r="O68" s="460"/>
      <c r="P68" s="464"/>
    </row>
    <row r="69" spans="2:16" x14ac:dyDescent="0.25">
      <c r="B69" s="465"/>
      <c r="C69" s="448"/>
      <c r="D69" s="448"/>
      <c r="E69" s="448"/>
      <c r="F69" s="448"/>
      <c r="G69" s="448"/>
      <c r="H69" s="448"/>
      <c r="I69" s="448"/>
      <c r="J69" s="448"/>
      <c r="K69" s="481"/>
      <c r="L69" s="465"/>
      <c r="M69" s="448"/>
      <c r="N69" s="448"/>
      <c r="O69" s="448"/>
      <c r="P69" s="481"/>
    </row>
    <row r="70" spans="2:16" x14ac:dyDescent="0.25">
      <c r="B70" s="465"/>
      <c r="C70" s="448"/>
      <c r="D70" s="448"/>
      <c r="E70" s="448"/>
      <c r="F70" s="448"/>
      <c r="G70" s="448"/>
      <c r="H70" s="448"/>
      <c r="I70" s="448"/>
      <c r="J70" s="448"/>
      <c r="K70" s="481"/>
      <c r="L70" s="465"/>
      <c r="M70" s="448"/>
      <c r="N70" s="448"/>
      <c r="O70" s="448"/>
      <c r="P70" s="481"/>
    </row>
    <row r="71" spans="2:16" s="448" customFormat="1" ht="12.75" x14ac:dyDescent="0.2">
      <c r="B71" s="465"/>
      <c r="K71" s="481"/>
      <c r="L71" s="465"/>
      <c r="P71" s="481"/>
    </row>
    <row r="72" spans="2:16" s="448" customFormat="1" ht="12.75" x14ac:dyDescent="0.2">
      <c r="B72" s="465"/>
      <c r="K72" s="481"/>
      <c r="L72" s="465"/>
      <c r="P72" s="481"/>
    </row>
    <row r="73" spans="2:16" s="448" customFormat="1" ht="12.75" x14ac:dyDescent="0.2">
      <c r="B73" s="465"/>
      <c r="K73" s="481"/>
      <c r="L73" s="465"/>
      <c r="P73" s="481"/>
    </row>
    <row r="74" spans="2:16" s="448" customFormat="1" ht="12.75" x14ac:dyDescent="0.2">
      <c r="B74" s="465"/>
      <c r="K74" s="481"/>
      <c r="L74" s="465"/>
      <c r="P74" s="481"/>
    </row>
    <row r="75" spans="2:16" s="448" customFormat="1" ht="12.75" x14ac:dyDescent="0.2">
      <c r="B75" s="465"/>
      <c r="K75" s="481"/>
      <c r="L75" s="465"/>
      <c r="P75" s="481"/>
    </row>
    <row r="76" spans="2:16" s="448" customFormat="1" ht="12.75" x14ac:dyDescent="0.2">
      <c r="B76" s="465"/>
      <c r="K76" s="481"/>
      <c r="L76" s="465"/>
      <c r="P76" s="481"/>
    </row>
    <row r="77" spans="2:16" s="448" customFormat="1" ht="12.75" x14ac:dyDescent="0.2">
      <c r="B77" s="465"/>
      <c r="K77" s="481"/>
      <c r="L77" s="465"/>
      <c r="P77" s="481"/>
    </row>
    <row r="78" spans="2:16" s="448" customFormat="1" ht="12.75" x14ac:dyDescent="0.2">
      <c r="B78" s="465"/>
      <c r="K78" s="481"/>
      <c r="L78" s="465"/>
      <c r="P78" s="481"/>
    </row>
    <row r="79" spans="2:16" s="448" customFormat="1" ht="12.75" x14ac:dyDescent="0.2">
      <c r="B79" s="465"/>
      <c r="K79" s="481"/>
      <c r="L79" s="465"/>
      <c r="P79" s="481"/>
    </row>
    <row r="80" spans="2:16" s="448" customFormat="1" ht="12.75" x14ac:dyDescent="0.2">
      <c r="B80" s="465"/>
      <c r="K80" s="481"/>
      <c r="L80" s="465"/>
      <c r="P80" s="481"/>
    </row>
    <row r="81" spans="2:16" s="448" customFormat="1" ht="12.75" x14ac:dyDescent="0.2">
      <c r="B81" s="465"/>
      <c r="K81" s="481"/>
      <c r="L81" s="465"/>
      <c r="P81" s="481"/>
    </row>
    <row r="82" spans="2:16" s="448" customFormat="1" ht="12.75" x14ac:dyDescent="0.2">
      <c r="B82" s="465"/>
      <c r="K82" s="481"/>
      <c r="L82" s="465"/>
      <c r="P82" s="481"/>
    </row>
    <row r="83" spans="2:16" s="448" customFormat="1" ht="12.75" x14ac:dyDescent="0.2">
      <c r="B83" s="465"/>
      <c r="K83" s="481"/>
      <c r="L83" s="465"/>
      <c r="P83" s="481"/>
    </row>
    <row r="84" spans="2:16" s="448" customFormat="1" ht="12.75" x14ac:dyDescent="0.2">
      <c r="B84" s="484"/>
      <c r="C84" s="485"/>
      <c r="D84" s="485"/>
      <c r="E84" s="485"/>
      <c r="F84" s="485"/>
      <c r="G84" s="485"/>
      <c r="H84" s="485"/>
      <c r="I84" s="485"/>
      <c r="J84" s="485"/>
      <c r="K84" s="534"/>
      <c r="L84" s="484"/>
      <c r="M84" s="485"/>
      <c r="N84" s="485"/>
      <c r="O84" s="485"/>
      <c r="P84" s="534"/>
    </row>
    <row r="87" spans="2:16" ht="5.0999999999999996" customHeight="1" x14ac:dyDescent="0.25">
      <c r="P87" s="541">
        <v>0.33</v>
      </c>
    </row>
  </sheetData>
  <mergeCells count="2">
    <mergeCell ref="L5:P18"/>
    <mergeCell ref="N19:P19"/>
  </mergeCells>
  <conditionalFormatting sqref="F36">
    <cfRule type="expression" dxfId="50" priority="11">
      <formula>$B$37=""</formula>
    </cfRule>
  </conditionalFormatting>
  <conditionalFormatting sqref="F35">
    <cfRule type="expression" dxfId="49" priority="10">
      <formula>$B$37=""</formula>
    </cfRule>
  </conditionalFormatting>
  <conditionalFormatting sqref="E36">
    <cfRule type="expression" dxfId="48" priority="7">
      <formula>$B$37=""</formula>
    </cfRule>
  </conditionalFormatting>
  <conditionalFormatting sqref="E35">
    <cfRule type="expression" dxfId="47" priority="6">
      <formula>$B$37=""</formula>
    </cfRule>
  </conditionalFormatting>
  <conditionalFormatting sqref="O38">
    <cfRule type="expression" dxfId="46" priority="3">
      <formula>CF_Report?=1</formula>
    </cfRule>
  </conditionalFormatting>
  <conditionalFormatting sqref="P38">
    <cfRule type="expression" dxfId="45" priority="2">
      <formula>CF_Report?=0</formula>
    </cfRule>
  </conditionalFormatting>
  <conditionalFormatting sqref="N19">
    <cfRule type="expression" dxfId="44" priority="1">
      <formula>CF_Report?=1</formula>
    </cfRule>
  </conditionalFormatting>
  <printOptions horizontalCentered="1"/>
  <pageMargins left="0.25" right="0.25" top="0.5" bottom="0.5" header="0.3" footer="0.3"/>
  <pageSetup scale="6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sheetPr>
  <dimension ref="A1:KC309"/>
  <sheetViews>
    <sheetView showGridLines="0" zoomScaleNormal="100" workbookViewId="0">
      <pane xSplit="9" ySplit="6" topLeftCell="J7" activePane="bottomRight" state="frozen"/>
      <selection pane="topRight" activeCell="I1" sqref="I1"/>
      <selection pane="bottomLeft" activeCell="A7" sqref="A7"/>
      <selection pane="bottomRight" activeCell="J7" sqref="J7"/>
    </sheetView>
  </sheetViews>
  <sheetFormatPr defaultColWidth="0" defaultRowHeight="15" zeroHeight="1" outlineLevelCol="1" x14ac:dyDescent="0.25"/>
  <cols>
    <col min="1" max="1" width="0.875" style="150" customWidth="1"/>
    <col min="2" max="2" width="16.75" style="448" bestFit="1" customWidth="1"/>
    <col min="3" max="9" width="10.75" style="448" customWidth="1"/>
    <col min="10" max="10" width="1.25" style="152" customWidth="1"/>
    <col min="11" max="14" width="12.625" style="152" hidden="1" customWidth="1" outlineLevel="1"/>
    <col min="15" max="15" width="2.375" style="152" customWidth="1" collapsed="1"/>
    <col min="16" max="16" width="9.875" style="152" customWidth="1"/>
    <col min="17" max="17" width="7.875" style="152" bestFit="1" customWidth="1"/>
    <col min="18" max="18" width="8.75" style="152" customWidth="1"/>
    <col min="19" max="19" width="8.5" style="152" bestFit="1" customWidth="1"/>
    <col min="20" max="20" width="8.75" style="152" customWidth="1"/>
    <col min="21" max="21" width="9.875" style="152" bestFit="1" customWidth="1"/>
    <col min="22" max="24" width="8.75" style="152" customWidth="1"/>
    <col min="25" max="32" width="9.375" style="152" bestFit="1" customWidth="1"/>
    <col min="33" max="149" width="8.75" style="152" customWidth="1"/>
    <col min="150" max="150" width="0.875" style="152" customWidth="1"/>
    <col min="151" max="155" width="10.625" style="152" customWidth="1"/>
    <col min="156" max="156" width="10.625" style="157" customWidth="1"/>
    <col min="157" max="289" width="10.625" style="152" customWidth="1"/>
    <col min="290" max="16384" width="8.75" style="152" hidden="1"/>
  </cols>
  <sheetData>
    <row r="1" spans="2:289" ht="4.9000000000000004" customHeight="1" x14ac:dyDescent="0.25">
      <c r="B1" s="151"/>
      <c r="C1" s="151"/>
      <c r="D1" s="151"/>
      <c r="E1" s="151"/>
      <c r="F1" s="151"/>
      <c r="G1" s="151"/>
      <c r="H1" s="151"/>
      <c r="I1" s="151"/>
      <c r="EU1" s="153"/>
      <c r="EV1" s="153"/>
      <c r="EW1" s="153"/>
      <c r="EX1" s="153"/>
      <c r="EY1" s="153"/>
      <c r="EZ1" s="154"/>
      <c r="FA1" s="153"/>
      <c r="FB1" s="153"/>
      <c r="FC1" s="153"/>
      <c r="FD1" s="153"/>
      <c r="FE1" s="153"/>
      <c r="FF1" s="153"/>
      <c r="FG1" s="153"/>
      <c r="FH1" s="153"/>
      <c r="FI1" s="153"/>
      <c r="FJ1" s="153"/>
      <c r="FK1" s="153"/>
      <c r="FL1" s="153"/>
      <c r="FM1" s="153"/>
      <c r="FN1" s="153"/>
      <c r="FO1" s="153"/>
      <c r="FP1" s="153"/>
      <c r="FQ1" s="153"/>
      <c r="FR1" s="153"/>
      <c r="FS1" s="153"/>
      <c r="FT1" s="153"/>
      <c r="FU1" s="153"/>
      <c r="FV1" s="153"/>
      <c r="FW1" s="153"/>
      <c r="FX1" s="153"/>
      <c r="FY1" s="153"/>
      <c r="FZ1" s="153"/>
      <c r="GA1" s="153"/>
      <c r="GB1" s="153"/>
      <c r="GC1" s="153"/>
      <c r="GD1" s="153"/>
      <c r="GE1" s="153"/>
      <c r="GF1" s="153"/>
      <c r="GG1" s="153"/>
      <c r="GH1" s="153"/>
      <c r="GI1" s="153"/>
      <c r="GJ1" s="153"/>
      <c r="GK1" s="153"/>
      <c r="GL1" s="153"/>
      <c r="GM1" s="153"/>
      <c r="GN1" s="153"/>
      <c r="GO1" s="153"/>
      <c r="GP1" s="153"/>
      <c r="GQ1" s="153"/>
      <c r="GR1" s="153"/>
      <c r="GS1" s="153"/>
      <c r="GT1" s="153"/>
      <c r="GU1" s="153"/>
      <c r="GV1" s="153"/>
      <c r="GW1" s="153"/>
      <c r="GX1" s="153"/>
      <c r="GY1" s="153"/>
      <c r="GZ1" s="153"/>
      <c r="HA1" s="153"/>
      <c r="HB1" s="153"/>
      <c r="HC1" s="153"/>
      <c r="HD1" s="153"/>
      <c r="HE1" s="153"/>
      <c r="HF1" s="153"/>
      <c r="HG1" s="153"/>
      <c r="HH1" s="153"/>
      <c r="HI1" s="153"/>
      <c r="HJ1" s="153"/>
      <c r="HK1" s="153"/>
      <c r="HL1" s="153"/>
      <c r="HM1" s="153"/>
      <c r="HN1" s="153"/>
      <c r="HO1" s="153"/>
      <c r="HP1" s="153"/>
      <c r="HQ1" s="153"/>
      <c r="HR1" s="153"/>
      <c r="HS1" s="153"/>
      <c r="HT1" s="153"/>
      <c r="HU1" s="153"/>
      <c r="HV1" s="153"/>
      <c r="HW1" s="153"/>
      <c r="HX1" s="153"/>
      <c r="HY1" s="153"/>
      <c r="HZ1" s="153"/>
      <c r="IA1" s="153"/>
      <c r="IB1" s="153"/>
      <c r="IC1" s="153"/>
      <c r="ID1" s="153"/>
      <c r="IE1" s="153"/>
      <c r="IF1" s="153"/>
      <c r="IG1" s="153"/>
      <c r="IH1" s="153"/>
      <c r="II1" s="153"/>
      <c r="IJ1" s="153"/>
      <c r="IK1" s="153"/>
      <c r="IL1" s="153"/>
      <c r="IM1" s="153"/>
      <c r="IN1" s="153"/>
      <c r="IO1" s="153"/>
      <c r="IP1" s="153"/>
      <c r="IQ1" s="153"/>
      <c r="IR1" s="153"/>
      <c r="IS1" s="153"/>
      <c r="IT1" s="153"/>
      <c r="IU1" s="153"/>
      <c r="IV1" s="153"/>
      <c r="IW1" s="153"/>
      <c r="IX1" s="153"/>
      <c r="IY1" s="153"/>
      <c r="IZ1" s="153"/>
      <c r="JA1" s="153"/>
      <c r="JB1" s="153"/>
      <c r="JC1" s="153"/>
      <c r="JD1" s="153"/>
      <c r="JE1" s="153"/>
      <c r="JF1" s="153"/>
      <c r="JG1" s="153"/>
      <c r="JH1" s="153"/>
      <c r="JI1" s="153"/>
      <c r="JJ1" s="153"/>
      <c r="JK1" s="153"/>
      <c r="JL1" s="153"/>
      <c r="JM1" s="153"/>
      <c r="JN1" s="153"/>
      <c r="JO1" s="153"/>
      <c r="JP1" s="153"/>
      <c r="JQ1" s="153"/>
      <c r="JR1" s="153"/>
      <c r="JS1" s="153"/>
      <c r="JT1" s="153"/>
      <c r="JU1" s="153"/>
      <c r="JV1" s="153"/>
      <c r="JW1" s="153"/>
      <c r="JX1" s="153"/>
      <c r="JY1" s="153"/>
      <c r="JZ1" s="153"/>
      <c r="KA1" s="153"/>
      <c r="KB1" s="153"/>
      <c r="KC1" s="153"/>
    </row>
    <row r="2" spans="2:289" ht="15.75" x14ac:dyDescent="0.25">
      <c r="B2" s="155" t="str">
        <f>UPPER(Investment_Name)</f>
        <v>16TH TERRACE</v>
      </c>
      <c r="C2" s="151"/>
      <c r="D2" s="709" t="str">
        <f ca="1">IF(Recalc?=TRUE,"CLICK TO RECALCULATE","")</f>
        <v/>
      </c>
      <c r="E2" s="709"/>
      <c r="F2" s="709"/>
      <c r="G2" s="709"/>
      <c r="H2" s="151"/>
      <c r="I2" s="156" t="s">
        <v>859</v>
      </c>
      <c r="J2" s="157"/>
      <c r="K2" s="157"/>
      <c r="L2" s="157"/>
      <c r="M2" s="157"/>
      <c r="N2" s="157"/>
      <c r="O2" s="157"/>
      <c r="P2" s="157" t="s">
        <v>461</v>
      </c>
      <c r="Q2" s="158">
        <f>ROUNDUP(Q3/12,0)</f>
        <v>0</v>
      </c>
      <c r="R2" s="158">
        <f>ROUNDUP(R3/12,0)</f>
        <v>1</v>
      </c>
      <c r="S2" s="158">
        <f t="shared" ref="S2:CD2" si="0">ROUNDUP(S3/12,0)</f>
        <v>1</v>
      </c>
      <c r="T2" s="158">
        <f t="shared" si="0"/>
        <v>1</v>
      </c>
      <c r="U2" s="158">
        <f t="shared" si="0"/>
        <v>1</v>
      </c>
      <c r="V2" s="158">
        <f t="shared" si="0"/>
        <v>1</v>
      </c>
      <c r="W2" s="158">
        <f t="shared" si="0"/>
        <v>1</v>
      </c>
      <c r="X2" s="158">
        <f t="shared" si="0"/>
        <v>1</v>
      </c>
      <c r="Y2" s="158">
        <f t="shared" si="0"/>
        <v>1</v>
      </c>
      <c r="Z2" s="158">
        <f t="shared" si="0"/>
        <v>1</v>
      </c>
      <c r="AA2" s="158">
        <f t="shared" si="0"/>
        <v>1</v>
      </c>
      <c r="AB2" s="158">
        <f t="shared" si="0"/>
        <v>1</v>
      </c>
      <c r="AC2" s="158">
        <f t="shared" si="0"/>
        <v>1</v>
      </c>
      <c r="AD2" s="158">
        <f t="shared" si="0"/>
        <v>2</v>
      </c>
      <c r="AE2" s="158">
        <f t="shared" si="0"/>
        <v>2</v>
      </c>
      <c r="AF2" s="158">
        <f t="shared" si="0"/>
        <v>2</v>
      </c>
      <c r="AG2" s="158">
        <f t="shared" si="0"/>
        <v>2</v>
      </c>
      <c r="AH2" s="158">
        <f t="shared" si="0"/>
        <v>2</v>
      </c>
      <c r="AI2" s="158">
        <f t="shared" si="0"/>
        <v>2</v>
      </c>
      <c r="AJ2" s="158">
        <f t="shared" si="0"/>
        <v>2</v>
      </c>
      <c r="AK2" s="158">
        <f t="shared" si="0"/>
        <v>2</v>
      </c>
      <c r="AL2" s="158">
        <f t="shared" si="0"/>
        <v>2</v>
      </c>
      <c r="AM2" s="158">
        <f t="shared" si="0"/>
        <v>2</v>
      </c>
      <c r="AN2" s="158">
        <f t="shared" si="0"/>
        <v>2</v>
      </c>
      <c r="AO2" s="158">
        <f t="shared" si="0"/>
        <v>2</v>
      </c>
      <c r="AP2" s="158">
        <f t="shared" si="0"/>
        <v>3</v>
      </c>
      <c r="AQ2" s="158">
        <f t="shared" si="0"/>
        <v>3</v>
      </c>
      <c r="AR2" s="158">
        <f t="shared" si="0"/>
        <v>3</v>
      </c>
      <c r="AS2" s="158">
        <f t="shared" si="0"/>
        <v>3</v>
      </c>
      <c r="AT2" s="158">
        <f t="shared" si="0"/>
        <v>3</v>
      </c>
      <c r="AU2" s="158">
        <f t="shared" si="0"/>
        <v>3</v>
      </c>
      <c r="AV2" s="158">
        <f t="shared" si="0"/>
        <v>3</v>
      </c>
      <c r="AW2" s="158">
        <f t="shared" si="0"/>
        <v>3</v>
      </c>
      <c r="AX2" s="158">
        <f t="shared" si="0"/>
        <v>3</v>
      </c>
      <c r="AY2" s="158">
        <f t="shared" si="0"/>
        <v>3</v>
      </c>
      <c r="AZ2" s="158">
        <f t="shared" si="0"/>
        <v>3</v>
      </c>
      <c r="BA2" s="158">
        <f t="shared" si="0"/>
        <v>3</v>
      </c>
      <c r="BB2" s="158">
        <f t="shared" si="0"/>
        <v>4</v>
      </c>
      <c r="BC2" s="158">
        <f t="shared" si="0"/>
        <v>4</v>
      </c>
      <c r="BD2" s="158">
        <f t="shared" si="0"/>
        <v>4</v>
      </c>
      <c r="BE2" s="158">
        <f t="shared" si="0"/>
        <v>4</v>
      </c>
      <c r="BF2" s="158">
        <f t="shared" si="0"/>
        <v>4</v>
      </c>
      <c r="BG2" s="158">
        <f t="shared" si="0"/>
        <v>4</v>
      </c>
      <c r="BH2" s="158">
        <f t="shared" si="0"/>
        <v>4</v>
      </c>
      <c r="BI2" s="158">
        <f t="shared" si="0"/>
        <v>4</v>
      </c>
      <c r="BJ2" s="158">
        <f t="shared" si="0"/>
        <v>4</v>
      </c>
      <c r="BK2" s="158">
        <f t="shared" si="0"/>
        <v>4</v>
      </c>
      <c r="BL2" s="158">
        <f t="shared" si="0"/>
        <v>4</v>
      </c>
      <c r="BM2" s="158">
        <f t="shared" si="0"/>
        <v>4</v>
      </c>
      <c r="BN2" s="158">
        <f t="shared" si="0"/>
        <v>5</v>
      </c>
      <c r="BO2" s="158">
        <f t="shared" si="0"/>
        <v>5</v>
      </c>
      <c r="BP2" s="158">
        <f t="shared" si="0"/>
        <v>5</v>
      </c>
      <c r="BQ2" s="158">
        <f t="shared" si="0"/>
        <v>5</v>
      </c>
      <c r="BR2" s="158">
        <f t="shared" si="0"/>
        <v>5</v>
      </c>
      <c r="BS2" s="158">
        <f t="shared" si="0"/>
        <v>5</v>
      </c>
      <c r="BT2" s="158">
        <f t="shared" si="0"/>
        <v>5</v>
      </c>
      <c r="BU2" s="158">
        <f t="shared" si="0"/>
        <v>5</v>
      </c>
      <c r="BV2" s="158">
        <f t="shared" si="0"/>
        <v>5</v>
      </c>
      <c r="BW2" s="158">
        <f t="shared" si="0"/>
        <v>5</v>
      </c>
      <c r="BX2" s="158">
        <f t="shared" si="0"/>
        <v>5</v>
      </c>
      <c r="BY2" s="158">
        <f t="shared" si="0"/>
        <v>5</v>
      </c>
      <c r="BZ2" s="158">
        <f t="shared" si="0"/>
        <v>6</v>
      </c>
      <c r="CA2" s="158">
        <f t="shared" si="0"/>
        <v>6</v>
      </c>
      <c r="CB2" s="158">
        <f t="shared" si="0"/>
        <v>6</v>
      </c>
      <c r="CC2" s="158">
        <f t="shared" si="0"/>
        <v>6</v>
      </c>
      <c r="CD2" s="158">
        <f t="shared" si="0"/>
        <v>6</v>
      </c>
      <c r="CE2" s="158">
        <f t="shared" ref="CE2:EP2" si="1">ROUNDUP(CE3/12,0)</f>
        <v>6</v>
      </c>
      <c r="CF2" s="158">
        <f t="shared" si="1"/>
        <v>6</v>
      </c>
      <c r="CG2" s="158">
        <f t="shared" si="1"/>
        <v>6</v>
      </c>
      <c r="CH2" s="158">
        <f t="shared" si="1"/>
        <v>6</v>
      </c>
      <c r="CI2" s="158">
        <f t="shared" si="1"/>
        <v>6</v>
      </c>
      <c r="CJ2" s="158">
        <f t="shared" si="1"/>
        <v>6</v>
      </c>
      <c r="CK2" s="158">
        <f t="shared" si="1"/>
        <v>6</v>
      </c>
      <c r="CL2" s="158">
        <f t="shared" si="1"/>
        <v>7</v>
      </c>
      <c r="CM2" s="158">
        <f t="shared" si="1"/>
        <v>7</v>
      </c>
      <c r="CN2" s="158">
        <f t="shared" si="1"/>
        <v>7</v>
      </c>
      <c r="CO2" s="158">
        <f t="shared" si="1"/>
        <v>7</v>
      </c>
      <c r="CP2" s="158">
        <f t="shared" si="1"/>
        <v>7</v>
      </c>
      <c r="CQ2" s="158">
        <f t="shared" si="1"/>
        <v>7</v>
      </c>
      <c r="CR2" s="158">
        <f t="shared" si="1"/>
        <v>7</v>
      </c>
      <c r="CS2" s="158">
        <f t="shared" si="1"/>
        <v>7</v>
      </c>
      <c r="CT2" s="158">
        <f t="shared" si="1"/>
        <v>7</v>
      </c>
      <c r="CU2" s="158">
        <f t="shared" si="1"/>
        <v>7</v>
      </c>
      <c r="CV2" s="158">
        <f t="shared" si="1"/>
        <v>7</v>
      </c>
      <c r="CW2" s="158">
        <f t="shared" si="1"/>
        <v>7</v>
      </c>
      <c r="CX2" s="158">
        <f t="shared" si="1"/>
        <v>8</v>
      </c>
      <c r="CY2" s="158">
        <f t="shared" si="1"/>
        <v>8</v>
      </c>
      <c r="CZ2" s="158">
        <f t="shared" si="1"/>
        <v>8</v>
      </c>
      <c r="DA2" s="158">
        <f t="shared" si="1"/>
        <v>8</v>
      </c>
      <c r="DB2" s="158">
        <f t="shared" si="1"/>
        <v>8</v>
      </c>
      <c r="DC2" s="158">
        <f t="shared" si="1"/>
        <v>8</v>
      </c>
      <c r="DD2" s="158">
        <f t="shared" si="1"/>
        <v>8</v>
      </c>
      <c r="DE2" s="158">
        <f t="shared" si="1"/>
        <v>8</v>
      </c>
      <c r="DF2" s="158">
        <f t="shared" si="1"/>
        <v>8</v>
      </c>
      <c r="DG2" s="158">
        <f t="shared" si="1"/>
        <v>8</v>
      </c>
      <c r="DH2" s="158">
        <f t="shared" si="1"/>
        <v>8</v>
      </c>
      <c r="DI2" s="158">
        <f t="shared" si="1"/>
        <v>8</v>
      </c>
      <c r="DJ2" s="158">
        <f t="shared" si="1"/>
        <v>9</v>
      </c>
      <c r="DK2" s="158">
        <f t="shared" si="1"/>
        <v>9</v>
      </c>
      <c r="DL2" s="158">
        <f t="shared" si="1"/>
        <v>9</v>
      </c>
      <c r="DM2" s="158">
        <f t="shared" si="1"/>
        <v>9</v>
      </c>
      <c r="DN2" s="158">
        <f t="shared" si="1"/>
        <v>9</v>
      </c>
      <c r="DO2" s="158">
        <f t="shared" si="1"/>
        <v>9</v>
      </c>
      <c r="DP2" s="158">
        <f t="shared" si="1"/>
        <v>9</v>
      </c>
      <c r="DQ2" s="158">
        <f t="shared" si="1"/>
        <v>9</v>
      </c>
      <c r="DR2" s="158">
        <f t="shared" si="1"/>
        <v>9</v>
      </c>
      <c r="DS2" s="158">
        <f t="shared" si="1"/>
        <v>9</v>
      </c>
      <c r="DT2" s="158">
        <f t="shared" si="1"/>
        <v>9</v>
      </c>
      <c r="DU2" s="158">
        <f t="shared" si="1"/>
        <v>9</v>
      </c>
      <c r="DV2" s="158">
        <f t="shared" si="1"/>
        <v>10</v>
      </c>
      <c r="DW2" s="158">
        <f t="shared" si="1"/>
        <v>10</v>
      </c>
      <c r="DX2" s="158">
        <f t="shared" si="1"/>
        <v>10</v>
      </c>
      <c r="DY2" s="158">
        <f t="shared" si="1"/>
        <v>10</v>
      </c>
      <c r="DZ2" s="158">
        <f t="shared" si="1"/>
        <v>10</v>
      </c>
      <c r="EA2" s="158">
        <f t="shared" si="1"/>
        <v>10</v>
      </c>
      <c r="EB2" s="158">
        <f t="shared" si="1"/>
        <v>10</v>
      </c>
      <c r="EC2" s="158">
        <f t="shared" si="1"/>
        <v>10</v>
      </c>
      <c r="ED2" s="158">
        <f t="shared" si="1"/>
        <v>10</v>
      </c>
      <c r="EE2" s="158">
        <f t="shared" si="1"/>
        <v>10</v>
      </c>
      <c r="EF2" s="158">
        <f t="shared" si="1"/>
        <v>10</v>
      </c>
      <c r="EG2" s="158">
        <f t="shared" si="1"/>
        <v>10</v>
      </c>
      <c r="EH2" s="158">
        <f t="shared" si="1"/>
        <v>11</v>
      </c>
      <c r="EI2" s="158">
        <f t="shared" si="1"/>
        <v>11</v>
      </c>
      <c r="EJ2" s="158">
        <f t="shared" si="1"/>
        <v>11</v>
      </c>
      <c r="EK2" s="158">
        <f t="shared" si="1"/>
        <v>11</v>
      </c>
      <c r="EL2" s="158">
        <f t="shared" si="1"/>
        <v>11</v>
      </c>
      <c r="EM2" s="158">
        <f t="shared" si="1"/>
        <v>11</v>
      </c>
      <c r="EN2" s="158">
        <f t="shared" si="1"/>
        <v>11</v>
      </c>
      <c r="EO2" s="158">
        <f t="shared" si="1"/>
        <v>11</v>
      </c>
      <c r="EP2" s="158">
        <f t="shared" si="1"/>
        <v>11</v>
      </c>
      <c r="EQ2" s="158">
        <f>ROUNDUP(EQ3/12,0)</f>
        <v>11</v>
      </c>
      <c r="ER2" s="158">
        <f>ROUNDUP(ER3/12,0)</f>
        <v>11</v>
      </c>
      <c r="ES2" s="158">
        <f>ROUNDUP(ES3/12,0)</f>
        <v>11</v>
      </c>
      <c r="EU2" s="153"/>
      <c r="EV2" s="153"/>
      <c r="EW2" s="153"/>
      <c r="EX2" s="153"/>
      <c r="EY2" s="153"/>
      <c r="EZ2" s="154"/>
      <c r="FA2" s="159">
        <f>Q2</f>
        <v>0</v>
      </c>
      <c r="FB2" s="159">
        <f t="shared" ref="FB2:HM3" si="2">R2</f>
        <v>1</v>
      </c>
      <c r="FC2" s="159">
        <f t="shared" si="2"/>
        <v>1</v>
      </c>
      <c r="FD2" s="159">
        <f t="shared" si="2"/>
        <v>1</v>
      </c>
      <c r="FE2" s="159">
        <f t="shared" si="2"/>
        <v>1</v>
      </c>
      <c r="FF2" s="159">
        <f t="shared" si="2"/>
        <v>1</v>
      </c>
      <c r="FG2" s="159">
        <f t="shared" si="2"/>
        <v>1</v>
      </c>
      <c r="FH2" s="159">
        <f t="shared" si="2"/>
        <v>1</v>
      </c>
      <c r="FI2" s="159">
        <f t="shared" si="2"/>
        <v>1</v>
      </c>
      <c r="FJ2" s="159">
        <f t="shared" si="2"/>
        <v>1</v>
      </c>
      <c r="FK2" s="159">
        <f t="shared" si="2"/>
        <v>1</v>
      </c>
      <c r="FL2" s="159">
        <f t="shared" si="2"/>
        <v>1</v>
      </c>
      <c r="FM2" s="159">
        <f t="shared" si="2"/>
        <v>1</v>
      </c>
      <c r="FN2" s="159">
        <f t="shared" si="2"/>
        <v>2</v>
      </c>
      <c r="FO2" s="159">
        <f t="shared" si="2"/>
        <v>2</v>
      </c>
      <c r="FP2" s="159">
        <f t="shared" si="2"/>
        <v>2</v>
      </c>
      <c r="FQ2" s="159">
        <f t="shared" si="2"/>
        <v>2</v>
      </c>
      <c r="FR2" s="159">
        <f t="shared" si="2"/>
        <v>2</v>
      </c>
      <c r="FS2" s="159">
        <f t="shared" si="2"/>
        <v>2</v>
      </c>
      <c r="FT2" s="159">
        <f t="shared" si="2"/>
        <v>2</v>
      </c>
      <c r="FU2" s="159">
        <f t="shared" si="2"/>
        <v>2</v>
      </c>
      <c r="FV2" s="159">
        <f t="shared" si="2"/>
        <v>2</v>
      </c>
      <c r="FW2" s="159">
        <f t="shared" si="2"/>
        <v>2</v>
      </c>
      <c r="FX2" s="159">
        <f t="shared" si="2"/>
        <v>2</v>
      </c>
      <c r="FY2" s="159">
        <f t="shared" si="2"/>
        <v>2</v>
      </c>
      <c r="FZ2" s="159">
        <f t="shared" si="2"/>
        <v>3</v>
      </c>
      <c r="GA2" s="159">
        <f t="shared" si="2"/>
        <v>3</v>
      </c>
      <c r="GB2" s="159">
        <f t="shared" si="2"/>
        <v>3</v>
      </c>
      <c r="GC2" s="159">
        <f t="shared" si="2"/>
        <v>3</v>
      </c>
      <c r="GD2" s="159">
        <f t="shared" si="2"/>
        <v>3</v>
      </c>
      <c r="GE2" s="159">
        <f t="shared" si="2"/>
        <v>3</v>
      </c>
      <c r="GF2" s="159">
        <f t="shared" si="2"/>
        <v>3</v>
      </c>
      <c r="GG2" s="159">
        <f t="shared" si="2"/>
        <v>3</v>
      </c>
      <c r="GH2" s="159">
        <f t="shared" si="2"/>
        <v>3</v>
      </c>
      <c r="GI2" s="159">
        <f t="shared" si="2"/>
        <v>3</v>
      </c>
      <c r="GJ2" s="159">
        <f t="shared" si="2"/>
        <v>3</v>
      </c>
      <c r="GK2" s="159">
        <f t="shared" si="2"/>
        <v>3</v>
      </c>
      <c r="GL2" s="159">
        <f t="shared" si="2"/>
        <v>4</v>
      </c>
      <c r="GM2" s="159">
        <f t="shared" si="2"/>
        <v>4</v>
      </c>
      <c r="GN2" s="159">
        <f t="shared" si="2"/>
        <v>4</v>
      </c>
      <c r="GO2" s="159">
        <f t="shared" si="2"/>
        <v>4</v>
      </c>
      <c r="GP2" s="159">
        <f t="shared" si="2"/>
        <v>4</v>
      </c>
      <c r="GQ2" s="159">
        <f t="shared" si="2"/>
        <v>4</v>
      </c>
      <c r="GR2" s="159">
        <f t="shared" si="2"/>
        <v>4</v>
      </c>
      <c r="GS2" s="159">
        <f t="shared" si="2"/>
        <v>4</v>
      </c>
      <c r="GT2" s="159">
        <f t="shared" si="2"/>
        <v>4</v>
      </c>
      <c r="GU2" s="159">
        <f t="shared" si="2"/>
        <v>4</v>
      </c>
      <c r="GV2" s="159">
        <f t="shared" si="2"/>
        <v>4</v>
      </c>
      <c r="GW2" s="159">
        <f t="shared" si="2"/>
        <v>4</v>
      </c>
      <c r="GX2" s="159">
        <f t="shared" si="2"/>
        <v>5</v>
      </c>
      <c r="GY2" s="159">
        <f t="shared" si="2"/>
        <v>5</v>
      </c>
      <c r="GZ2" s="159">
        <f t="shared" si="2"/>
        <v>5</v>
      </c>
      <c r="HA2" s="159">
        <f t="shared" si="2"/>
        <v>5</v>
      </c>
      <c r="HB2" s="159">
        <f t="shared" si="2"/>
        <v>5</v>
      </c>
      <c r="HC2" s="159">
        <f t="shared" si="2"/>
        <v>5</v>
      </c>
      <c r="HD2" s="159">
        <f t="shared" si="2"/>
        <v>5</v>
      </c>
      <c r="HE2" s="159">
        <f t="shared" si="2"/>
        <v>5</v>
      </c>
      <c r="HF2" s="159">
        <f t="shared" si="2"/>
        <v>5</v>
      </c>
      <c r="HG2" s="159">
        <f t="shared" si="2"/>
        <v>5</v>
      </c>
      <c r="HH2" s="159">
        <f t="shared" si="2"/>
        <v>5</v>
      </c>
      <c r="HI2" s="159">
        <f t="shared" si="2"/>
        <v>5</v>
      </c>
      <c r="HJ2" s="159">
        <f t="shared" si="2"/>
        <v>6</v>
      </c>
      <c r="HK2" s="159">
        <f t="shared" si="2"/>
        <v>6</v>
      </c>
      <c r="HL2" s="159">
        <f t="shared" si="2"/>
        <v>6</v>
      </c>
      <c r="HM2" s="159">
        <f t="shared" si="2"/>
        <v>6</v>
      </c>
      <c r="HN2" s="159">
        <f t="shared" ref="HN2:IV3" si="3">CD2</f>
        <v>6</v>
      </c>
      <c r="HO2" s="159">
        <f t="shared" si="3"/>
        <v>6</v>
      </c>
      <c r="HP2" s="159">
        <f t="shared" si="3"/>
        <v>6</v>
      </c>
      <c r="HQ2" s="159">
        <f t="shared" si="3"/>
        <v>6</v>
      </c>
      <c r="HR2" s="159">
        <f t="shared" si="3"/>
        <v>6</v>
      </c>
      <c r="HS2" s="159">
        <f t="shared" si="3"/>
        <v>6</v>
      </c>
      <c r="HT2" s="159">
        <f t="shared" si="3"/>
        <v>6</v>
      </c>
      <c r="HU2" s="159">
        <f t="shared" si="3"/>
        <v>6</v>
      </c>
      <c r="HV2" s="159">
        <f t="shared" si="3"/>
        <v>7</v>
      </c>
      <c r="HW2" s="159">
        <f t="shared" si="3"/>
        <v>7</v>
      </c>
      <c r="HX2" s="159">
        <f t="shared" si="3"/>
        <v>7</v>
      </c>
      <c r="HY2" s="159">
        <f t="shared" si="3"/>
        <v>7</v>
      </c>
      <c r="HZ2" s="159">
        <f t="shared" si="3"/>
        <v>7</v>
      </c>
      <c r="IA2" s="159">
        <f t="shared" si="3"/>
        <v>7</v>
      </c>
      <c r="IB2" s="159">
        <f t="shared" si="3"/>
        <v>7</v>
      </c>
      <c r="IC2" s="159">
        <f t="shared" si="3"/>
        <v>7</v>
      </c>
      <c r="ID2" s="159">
        <f t="shared" si="3"/>
        <v>7</v>
      </c>
      <c r="IE2" s="159">
        <f t="shared" si="3"/>
        <v>7</v>
      </c>
      <c r="IF2" s="159">
        <f t="shared" si="3"/>
        <v>7</v>
      </c>
      <c r="IG2" s="159">
        <f t="shared" si="3"/>
        <v>7</v>
      </c>
      <c r="IH2" s="159">
        <f t="shared" si="3"/>
        <v>8</v>
      </c>
      <c r="II2" s="159">
        <f t="shared" si="3"/>
        <v>8</v>
      </c>
      <c r="IJ2" s="159">
        <f t="shared" si="3"/>
        <v>8</v>
      </c>
      <c r="IK2" s="159">
        <f t="shared" si="3"/>
        <v>8</v>
      </c>
      <c r="IL2" s="159">
        <f t="shared" si="3"/>
        <v>8</v>
      </c>
      <c r="IM2" s="159">
        <f t="shared" si="3"/>
        <v>8</v>
      </c>
      <c r="IN2" s="159">
        <f t="shared" si="3"/>
        <v>8</v>
      </c>
      <c r="IO2" s="159">
        <f t="shared" si="3"/>
        <v>8</v>
      </c>
      <c r="IP2" s="159">
        <f t="shared" si="3"/>
        <v>8</v>
      </c>
      <c r="IQ2" s="159">
        <f t="shared" si="3"/>
        <v>8</v>
      </c>
      <c r="IR2" s="159">
        <f t="shared" si="3"/>
        <v>8</v>
      </c>
      <c r="IS2" s="159">
        <f t="shared" si="3"/>
        <v>8</v>
      </c>
      <c r="IT2" s="159">
        <f t="shared" si="3"/>
        <v>9</v>
      </c>
      <c r="IU2" s="159">
        <f t="shared" si="3"/>
        <v>9</v>
      </c>
      <c r="IV2" s="159">
        <f t="shared" si="3"/>
        <v>9</v>
      </c>
      <c r="IW2" s="159">
        <f t="shared" ref="IW2:JF3" si="4">DM2</f>
        <v>9</v>
      </c>
      <c r="IX2" s="159">
        <f t="shared" si="4"/>
        <v>9</v>
      </c>
      <c r="IY2" s="159">
        <f t="shared" si="4"/>
        <v>9</v>
      </c>
      <c r="IZ2" s="159">
        <f t="shared" si="4"/>
        <v>9</v>
      </c>
      <c r="JA2" s="159">
        <f t="shared" si="4"/>
        <v>9</v>
      </c>
      <c r="JB2" s="159">
        <f t="shared" si="4"/>
        <v>9</v>
      </c>
      <c r="JC2" s="159">
        <f t="shared" si="4"/>
        <v>9</v>
      </c>
      <c r="JD2" s="159">
        <f t="shared" si="4"/>
        <v>9</v>
      </c>
      <c r="JE2" s="159">
        <f t="shared" si="4"/>
        <v>9</v>
      </c>
      <c r="JF2" s="159">
        <f t="shared" si="4"/>
        <v>10</v>
      </c>
      <c r="JG2" s="159">
        <f t="shared" ref="JG2:JP3" si="5">DW2</f>
        <v>10</v>
      </c>
      <c r="JH2" s="159">
        <f t="shared" si="5"/>
        <v>10</v>
      </c>
      <c r="JI2" s="159">
        <f t="shared" si="5"/>
        <v>10</v>
      </c>
      <c r="JJ2" s="159">
        <f t="shared" si="5"/>
        <v>10</v>
      </c>
      <c r="JK2" s="159">
        <f t="shared" si="5"/>
        <v>10</v>
      </c>
      <c r="JL2" s="159">
        <f t="shared" si="5"/>
        <v>10</v>
      </c>
      <c r="JM2" s="159">
        <f t="shared" si="5"/>
        <v>10</v>
      </c>
      <c r="JN2" s="159">
        <f t="shared" si="5"/>
        <v>10</v>
      </c>
      <c r="JO2" s="159">
        <f t="shared" si="5"/>
        <v>10</v>
      </c>
      <c r="JP2" s="159">
        <f t="shared" si="5"/>
        <v>10</v>
      </c>
      <c r="JQ2" s="159">
        <f t="shared" ref="JQ2:JZ3" si="6">EG2</f>
        <v>10</v>
      </c>
      <c r="JR2" s="159">
        <f t="shared" si="6"/>
        <v>11</v>
      </c>
      <c r="JS2" s="159">
        <f t="shared" si="6"/>
        <v>11</v>
      </c>
      <c r="JT2" s="159">
        <f t="shared" si="6"/>
        <v>11</v>
      </c>
      <c r="JU2" s="159">
        <f t="shared" si="6"/>
        <v>11</v>
      </c>
      <c r="JV2" s="159">
        <f t="shared" si="6"/>
        <v>11</v>
      </c>
      <c r="JW2" s="159">
        <f t="shared" si="6"/>
        <v>11</v>
      </c>
      <c r="JX2" s="159">
        <f t="shared" si="6"/>
        <v>11</v>
      </c>
      <c r="JY2" s="159">
        <f t="shared" si="6"/>
        <v>11</v>
      </c>
      <c r="JZ2" s="159">
        <f t="shared" si="6"/>
        <v>11</v>
      </c>
      <c r="KA2" s="159">
        <f t="shared" ref="KA2:KC3" si="7">EQ2</f>
        <v>11</v>
      </c>
      <c r="KB2" s="159">
        <f t="shared" si="7"/>
        <v>11</v>
      </c>
      <c r="KC2" s="159">
        <f t="shared" si="7"/>
        <v>11</v>
      </c>
    </row>
    <row r="3" spans="2:289" x14ac:dyDescent="0.25">
      <c r="B3" s="151"/>
      <c r="C3" s="151"/>
      <c r="D3" s="151"/>
      <c r="E3" s="151"/>
      <c r="F3" s="151"/>
      <c r="G3" s="151"/>
      <c r="H3" s="151"/>
      <c r="I3" s="151"/>
      <c r="J3" s="160"/>
      <c r="K3" s="160"/>
      <c r="L3" s="160"/>
      <c r="M3" s="160"/>
      <c r="N3" s="160"/>
      <c r="O3" s="160"/>
      <c r="P3" s="160" t="s">
        <v>462</v>
      </c>
      <c r="Q3" s="161">
        <v>0</v>
      </c>
      <c r="R3" s="161">
        <f>Q3+1</f>
        <v>1</v>
      </c>
      <c r="S3" s="161">
        <f t="shared" ref="S3:CD3" si="8">R3+1</f>
        <v>2</v>
      </c>
      <c r="T3" s="161">
        <f t="shared" si="8"/>
        <v>3</v>
      </c>
      <c r="U3" s="161">
        <f t="shared" si="8"/>
        <v>4</v>
      </c>
      <c r="V3" s="161">
        <f t="shared" si="8"/>
        <v>5</v>
      </c>
      <c r="W3" s="161">
        <f t="shared" si="8"/>
        <v>6</v>
      </c>
      <c r="X3" s="161">
        <f t="shared" si="8"/>
        <v>7</v>
      </c>
      <c r="Y3" s="161">
        <f t="shared" si="8"/>
        <v>8</v>
      </c>
      <c r="Z3" s="161">
        <f t="shared" si="8"/>
        <v>9</v>
      </c>
      <c r="AA3" s="161">
        <f t="shared" si="8"/>
        <v>10</v>
      </c>
      <c r="AB3" s="161">
        <f t="shared" si="8"/>
        <v>11</v>
      </c>
      <c r="AC3" s="161">
        <f t="shared" si="8"/>
        <v>12</v>
      </c>
      <c r="AD3" s="161">
        <f t="shared" si="8"/>
        <v>13</v>
      </c>
      <c r="AE3" s="161">
        <f t="shared" si="8"/>
        <v>14</v>
      </c>
      <c r="AF3" s="161">
        <f t="shared" si="8"/>
        <v>15</v>
      </c>
      <c r="AG3" s="161">
        <f t="shared" si="8"/>
        <v>16</v>
      </c>
      <c r="AH3" s="161">
        <f t="shared" si="8"/>
        <v>17</v>
      </c>
      <c r="AI3" s="161">
        <f t="shared" si="8"/>
        <v>18</v>
      </c>
      <c r="AJ3" s="161">
        <f t="shared" si="8"/>
        <v>19</v>
      </c>
      <c r="AK3" s="161">
        <f t="shared" si="8"/>
        <v>20</v>
      </c>
      <c r="AL3" s="161">
        <f t="shared" si="8"/>
        <v>21</v>
      </c>
      <c r="AM3" s="161">
        <f t="shared" si="8"/>
        <v>22</v>
      </c>
      <c r="AN3" s="161">
        <f t="shared" si="8"/>
        <v>23</v>
      </c>
      <c r="AO3" s="161">
        <f t="shared" si="8"/>
        <v>24</v>
      </c>
      <c r="AP3" s="161">
        <f t="shared" si="8"/>
        <v>25</v>
      </c>
      <c r="AQ3" s="161">
        <f t="shared" si="8"/>
        <v>26</v>
      </c>
      <c r="AR3" s="161">
        <f t="shared" si="8"/>
        <v>27</v>
      </c>
      <c r="AS3" s="161">
        <f t="shared" si="8"/>
        <v>28</v>
      </c>
      <c r="AT3" s="161">
        <f t="shared" si="8"/>
        <v>29</v>
      </c>
      <c r="AU3" s="161">
        <f t="shared" si="8"/>
        <v>30</v>
      </c>
      <c r="AV3" s="161">
        <f t="shared" si="8"/>
        <v>31</v>
      </c>
      <c r="AW3" s="161">
        <f t="shared" si="8"/>
        <v>32</v>
      </c>
      <c r="AX3" s="161">
        <f t="shared" si="8"/>
        <v>33</v>
      </c>
      <c r="AY3" s="161">
        <f t="shared" si="8"/>
        <v>34</v>
      </c>
      <c r="AZ3" s="161">
        <f t="shared" si="8"/>
        <v>35</v>
      </c>
      <c r="BA3" s="161">
        <f t="shared" si="8"/>
        <v>36</v>
      </c>
      <c r="BB3" s="161">
        <f t="shared" si="8"/>
        <v>37</v>
      </c>
      <c r="BC3" s="161">
        <f t="shared" si="8"/>
        <v>38</v>
      </c>
      <c r="BD3" s="161">
        <f t="shared" si="8"/>
        <v>39</v>
      </c>
      <c r="BE3" s="161">
        <f t="shared" si="8"/>
        <v>40</v>
      </c>
      <c r="BF3" s="161">
        <f t="shared" si="8"/>
        <v>41</v>
      </c>
      <c r="BG3" s="161">
        <f t="shared" si="8"/>
        <v>42</v>
      </c>
      <c r="BH3" s="161">
        <f t="shared" si="8"/>
        <v>43</v>
      </c>
      <c r="BI3" s="161">
        <f t="shared" si="8"/>
        <v>44</v>
      </c>
      <c r="BJ3" s="161">
        <f t="shared" si="8"/>
        <v>45</v>
      </c>
      <c r="BK3" s="161">
        <f t="shared" si="8"/>
        <v>46</v>
      </c>
      <c r="BL3" s="161">
        <f t="shared" si="8"/>
        <v>47</v>
      </c>
      <c r="BM3" s="161">
        <f t="shared" si="8"/>
        <v>48</v>
      </c>
      <c r="BN3" s="161">
        <f t="shared" si="8"/>
        <v>49</v>
      </c>
      <c r="BO3" s="161">
        <f t="shared" si="8"/>
        <v>50</v>
      </c>
      <c r="BP3" s="161">
        <f t="shared" si="8"/>
        <v>51</v>
      </c>
      <c r="BQ3" s="161">
        <f t="shared" si="8"/>
        <v>52</v>
      </c>
      <c r="BR3" s="161">
        <f t="shared" si="8"/>
        <v>53</v>
      </c>
      <c r="BS3" s="161">
        <f t="shared" si="8"/>
        <v>54</v>
      </c>
      <c r="BT3" s="161">
        <f t="shared" si="8"/>
        <v>55</v>
      </c>
      <c r="BU3" s="161">
        <f t="shared" si="8"/>
        <v>56</v>
      </c>
      <c r="BV3" s="161">
        <f t="shared" si="8"/>
        <v>57</v>
      </c>
      <c r="BW3" s="161">
        <f t="shared" si="8"/>
        <v>58</v>
      </c>
      <c r="BX3" s="161">
        <f t="shared" si="8"/>
        <v>59</v>
      </c>
      <c r="BY3" s="161">
        <f t="shared" si="8"/>
        <v>60</v>
      </c>
      <c r="BZ3" s="161">
        <f t="shared" si="8"/>
        <v>61</v>
      </c>
      <c r="CA3" s="161">
        <f t="shared" si="8"/>
        <v>62</v>
      </c>
      <c r="CB3" s="161">
        <f t="shared" si="8"/>
        <v>63</v>
      </c>
      <c r="CC3" s="161">
        <f t="shared" si="8"/>
        <v>64</v>
      </c>
      <c r="CD3" s="161">
        <f t="shared" si="8"/>
        <v>65</v>
      </c>
      <c r="CE3" s="161">
        <f t="shared" ref="CE3:EP3" si="9">CD3+1</f>
        <v>66</v>
      </c>
      <c r="CF3" s="161">
        <f t="shared" si="9"/>
        <v>67</v>
      </c>
      <c r="CG3" s="161">
        <f t="shared" si="9"/>
        <v>68</v>
      </c>
      <c r="CH3" s="161">
        <f t="shared" si="9"/>
        <v>69</v>
      </c>
      <c r="CI3" s="161">
        <f t="shared" si="9"/>
        <v>70</v>
      </c>
      <c r="CJ3" s="161">
        <f t="shared" si="9"/>
        <v>71</v>
      </c>
      <c r="CK3" s="161">
        <f t="shared" si="9"/>
        <v>72</v>
      </c>
      <c r="CL3" s="161">
        <f t="shared" si="9"/>
        <v>73</v>
      </c>
      <c r="CM3" s="161">
        <f t="shared" si="9"/>
        <v>74</v>
      </c>
      <c r="CN3" s="161">
        <f t="shared" si="9"/>
        <v>75</v>
      </c>
      <c r="CO3" s="161">
        <f t="shared" si="9"/>
        <v>76</v>
      </c>
      <c r="CP3" s="161">
        <f t="shared" si="9"/>
        <v>77</v>
      </c>
      <c r="CQ3" s="161">
        <f t="shared" si="9"/>
        <v>78</v>
      </c>
      <c r="CR3" s="161">
        <f t="shared" si="9"/>
        <v>79</v>
      </c>
      <c r="CS3" s="161">
        <f t="shared" si="9"/>
        <v>80</v>
      </c>
      <c r="CT3" s="161">
        <f t="shared" si="9"/>
        <v>81</v>
      </c>
      <c r="CU3" s="161">
        <f t="shared" si="9"/>
        <v>82</v>
      </c>
      <c r="CV3" s="161">
        <f t="shared" si="9"/>
        <v>83</v>
      </c>
      <c r="CW3" s="161">
        <f t="shared" si="9"/>
        <v>84</v>
      </c>
      <c r="CX3" s="161">
        <f t="shared" si="9"/>
        <v>85</v>
      </c>
      <c r="CY3" s="161">
        <f t="shared" si="9"/>
        <v>86</v>
      </c>
      <c r="CZ3" s="161">
        <f t="shared" si="9"/>
        <v>87</v>
      </c>
      <c r="DA3" s="161">
        <f t="shared" si="9"/>
        <v>88</v>
      </c>
      <c r="DB3" s="161">
        <f t="shared" si="9"/>
        <v>89</v>
      </c>
      <c r="DC3" s="161">
        <f t="shared" si="9"/>
        <v>90</v>
      </c>
      <c r="DD3" s="161">
        <f t="shared" si="9"/>
        <v>91</v>
      </c>
      <c r="DE3" s="161">
        <f t="shared" si="9"/>
        <v>92</v>
      </c>
      <c r="DF3" s="161">
        <f t="shared" si="9"/>
        <v>93</v>
      </c>
      <c r="DG3" s="161">
        <f t="shared" si="9"/>
        <v>94</v>
      </c>
      <c r="DH3" s="161">
        <f t="shared" si="9"/>
        <v>95</v>
      </c>
      <c r="DI3" s="161">
        <f t="shared" si="9"/>
        <v>96</v>
      </c>
      <c r="DJ3" s="161">
        <f t="shared" si="9"/>
        <v>97</v>
      </c>
      <c r="DK3" s="161">
        <f t="shared" si="9"/>
        <v>98</v>
      </c>
      <c r="DL3" s="161">
        <f t="shared" si="9"/>
        <v>99</v>
      </c>
      <c r="DM3" s="161">
        <f t="shared" si="9"/>
        <v>100</v>
      </c>
      <c r="DN3" s="161">
        <f t="shared" si="9"/>
        <v>101</v>
      </c>
      <c r="DO3" s="161">
        <f t="shared" si="9"/>
        <v>102</v>
      </c>
      <c r="DP3" s="161">
        <f t="shared" si="9"/>
        <v>103</v>
      </c>
      <c r="DQ3" s="161">
        <f t="shared" si="9"/>
        <v>104</v>
      </c>
      <c r="DR3" s="161">
        <f t="shared" si="9"/>
        <v>105</v>
      </c>
      <c r="DS3" s="161">
        <f t="shared" si="9"/>
        <v>106</v>
      </c>
      <c r="DT3" s="161">
        <f t="shared" si="9"/>
        <v>107</v>
      </c>
      <c r="DU3" s="161">
        <f t="shared" si="9"/>
        <v>108</v>
      </c>
      <c r="DV3" s="161">
        <f t="shared" si="9"/>
        <v>109</v>
      </c>
      <c r="DW3" s="161">
        <f t="shared" si="9"/>
        <v>110</v>
      </c>
      <c r="DX3" s="161">
        <f t="shared" si="9"/>
        <v>111</v>
      </c>
      <c r="DY3" s="161">
        <f t="shared" si="9"/>
        <v>112</v>
      </c>
      <c r="DZ3" s="161">
        <f t="shared" si="9"/>
        <v>113</v>
      </c>
      <c r="EA3" s="161">
        <f t="shared" si="9"/>
        <v>114</v>
      </c>
      <c r="EB3" s="161">
        <f t="shared" si="9"/>
        <v>115</v>
      </c>
      <c r="EC3" s="161">
        <f t="shared" si="9"/>
        <v>116</v>
      </c>
      <c r="ED3" s="161">
        <f t="shared" si="9"/>
        <v>117</v>
      </c>
      <c r="EE3" s="161">
        <f t="shared" si="9"/>
        <v>118</v>
      </c>
      <c r="EF3" s="161">
        <f t="shared" si="9"/>
        <v>119</v>
      </c>
      <c r="EG3" s="161">
        <f t="shared" si="9"/>
        <v>120</v>
      </c>
      <c r="EH3" s="161">
        <f t="shared" si="9"/>
        <v>121</v>
      </c>
      <c r="EI3" s="161">
        <f t="shared" si="9"/>
        <v>122</v>
      </c>
      <c r="EJ3" s="161">
        <f t="shared" si="9"/>
        <v>123</v>
      </c>
      <c r="EK3" s="161">
        <f t="shared" si="9"/>
        <v>124</v>
      </c>
      <c r="EL3" s="161">
        <f t="shared" si="9"/>
        <v>125</v>
      </c>
      <c r="EM3" s="161">
        <f t="shared" si="9"/>
        <v>126</v>
      </c>
      <c r="EN3" s="161">
        <f t="shared" si="9"/>
        <v>127</v>
      </c>
      <c r="EO3" s="161">
        <f t="shared" si="9"/>
        <v>128</v>
      </c>
      <c r="EP3" s="161">
        <f t="shared" si="9"/>
        <v>129</v>
      </c>
      <c r="EQ3" s="161">
        <f>EP3+1</f>
        <v>130</v>
      </c>
      <c r="ER3" s="161">
        <f>EQ3+1</f>
        <v>131</v>
      </c>
      <c r="ES3" s="161">
        <f>ER3+1</f>
        <v>132</v>
      </c>
      <c r="EU3" s="153"/>
      <c r="EV3" s="153"/>
      <c r="EW3" s="153"/>
      <c r="EX3" s="153"/>
      <c r="EY3" s="153"/>
      <c r="EZ3" s="154"/>
      <c r="FA3" s="162">
        <f>Q3</f>
        <v>0</v>
      </c>
      <c r="FB3" s="162">
        <f t="shared" si="2"/>
        <v>1</v>
      </c>
      <c r="FC3" s="162">
        <f t="shared" si="2"/>
        <v>2</v>
      </c>
      <c r="FD3" s="162">
        <f t="shared" si="2"/>
        <v>3</v>
      </c>
      <c r="FE3" s="162">
        <f t="shared" si="2"/>
        <v>4</v>
      </c>
      <c r="FF3" s="162">
        <f t="shared" si="2"/>
        <v>5</v>
      </c>
      <c r="FG3" s="162">
        <f t="shared" si="2"/>
        <v>6</v>
      </c>
      <c r="FH3" s="162">
        <f t="shared" si="2"/>
        <v>7</v>
      </c>
      <c r="FI3" s="162">
        <f t="shared" si="2"/>
        <v>8</v>
      </c>
      <c r="FJ3" s="162">
        <f t="shared" si="2"/>
        <v>9</v>
      </c>
      <c r="FK3" s="162">
        <f t="shared" si="2"/>
        <v>10</v>
      </c>
      <c r="FL3" s="162">
        <f t="shared" si="2"/>
        <v>11</v>
      </c>
      <c r="FM3" s="162">
        <f t="shared" si="2"/>
        <v>12</v>
      </c>
      <c r="FN3" s="162">
        <f t="shared" si="2"/>
        <v>13</v>
      </c>
      <c r="FO3" s="162">
        <f t="shared" si="2"/>
        <v>14</v>
      </c>
      <c r="FP3" s="162">
        <f t="shared" si="2"/>
        <v>15</v>
      </c>
      <c r="FQ3" s="162">
        <f t="shared" si="2"/>
        <v>16</v>
      </c>
      <c r="FR3" s="162">
        <f t="shared" si="2"/>
        <v>17</v>
      </c>
      <c r="FS3" s="162">
        <f t="shared" si="2"/>
        <v>18</v>
      </c>
      <c r="FT3" s="162">
        <f t="shared" si="2"/>
        <v>19</v>
      </c>
      <c r="FU3" s="162">
        <f t="shared" si="2"/>
        <v>20</v>
      </c>
      <c r="FV3" s="162">
        <f t="shared" si="2"/>
        <v>21</v>
      </c>
      <c r="FW3" s="162">
        <f t="shared" si="2"/>
        <v>22</v>
      </c>
      <c r="FX3" s="162">
        <f t="shared" si="2"/>
        <v>23</v>
      </c>
      <c r="FY3" s="162">
        <f t="shared" si="2"/>
        <v>24</v>
      </c>
      <c r="FZ3" s="162">
        <f t="shared" si="2"/>
        <v>25</v>
      </c>
      <c r="GA3" s="162">
        <f t="shared" si="2"/>
        <v>26</v>
      </c>
      <c r="GB3" s="162">
        <f t="shared" si="2"/>
        <v>27</v>
      </c>
      <c r="GC3" s="162">
        <f t="shared" si="2"/>
        <v>28</v>
      </c>
      <c r="GD3" s="162">
        <f t="shared" si="2"/>
        <v>29</v>
      </c>
      <c r="GE3" s="162">
        <f t="shared" si="2"/>
        <v>30</v>
      </c>
      <c r="GF3" s="162">
        <f t="shared" si="2"/>
        <v>31</v>
      </c>
      <c r="GG3" s="162">
        <f t="shared" si="2"/>
        <v>32</v>
      </c>
      <c r="GH3" s="162">
        <f t="shared" si="2"/>
        <v>33</v>
      </c>
      <c r="GI3" s="162">
        <f t="shared" si="2"/>
        <v>34</v>
      </c>
      <c r="GJ3" s="162">
        <f t="shared" si="2"/>
        <v>35</v>
      </c>
      <c r="GK3" s="162">
        <f t="shared" si="2"/>
        <v>36</v>
      </c>
      <c r="GL3" s="162">
        <f t="shared" si="2"/>
        <v>37</v>
      </c>
      <c r="GM3" s="162">
        <f t="shared" si="2"/>
        <v>38</v>
      </c>
      <c r="GN3" s="162">
        <f t="shared" si="2"/>
        <v>39</v>
      </c>
      <c r="GO3" s="162">
        <f t="shared" si="2"/>
        <v>40</v>
      </c>
      <c r="GP3" s="162">
        <f t="shared" si="2"/>
        <v>41</v>
      </c>
      <c r="GQ3" s="162">
        <f t="shared" si="2"/>
        <v>42</v>
      </c>
      <c r="GR3" s="162">
        <f t="shared" si="2"/>
        <v>43</v>
      </c>
      <c r="GS3" s="162">
        <f t="shared" si="2"/>
        <v>44</v>
      </c>
      <c r="GT3" s="162">
        <f t="shared" si="2"/>
        <v>45</v>
      </c>
      <c r="GU3" s="162">
        <f t="shared" si="2"/>
        <v>46</v>
      </c>
      <c r="GV3" s="162">
        <f t="shared" si="2"/>
        <v>47</v>
      </c>
      <c r="GW3" s="162">
        <f t="shared" si="2"/>
        <v>48</v>
      </c>
      <c r="GX3" s="162">
        <f t="shared" si="2"/>
        <v>49</v>
      </c>
      <c r="GY3" s="162">
        <f t="shared" si="2"/>
        <v>50</v>
      </c>
      <c r="GZ3" s="162">
        <f t="shared" si="2"/>
        <v>51</v>
      </c>
      <c r="HA3" s="162">
        <f t="shared" si="2"/>
        <v>52</v>
      </c>
      <c r="HB3" s="162">
        <f t="shared" si="2"/>
        <v>53</v>
      </c>
      <c r="HC3" s="162">
        <f t="shared" si="2"/>
        <v>54</v>
      </c>
      <c r="HD3" s="162">
        <f t="shared" si="2"/>
        <v>55</v>
      </c>
      <c r="HE3" s="162">
        <f t="shared" si="2"/>
        <v>56</v>
      </c>
      <c r="HF3" s="162">
        <f t="shared" si="2"/>
        <v>57</v>
      </c>
      <c r="HG3" s="162">
        <f t="shared" si="2"/>
        <v>58</v>
      </c>
      <c r="HH3" s="162">
        <f t="shared" si="2"/>
        <v>59</v>
      </c>
      <c r="HI3" s="162">
        <f t="shared" si="2"/>
        <v>60</v>
      </c>
      <c r="HJ3" s="162">
        <f t="shared" si="2"/>
        <v>61</v>
      </c>
      <c r="HK3" s="162">
        <f t="shared" si="2"/>
        <v>62</v>
      </c>
      <c r="HL3" s="162">
        <f t="shared" si="2"/>
        <v>63</v>
      </c>
      <c r="HM3" s="162">
        <f t="shared" si="2"/>
        <v>64</v>
      </c>
      <c r="HN3" s="162">
        <f t="shared" si="3"/>
        <v>65</v>
      </c>
      <c r="HO3" s="162">
        <f t="shared" si="3"/>
        <v>66</v>
      </c>
      <c r="HP3" s="162">
        <f t="shared" si="3"/>
        <v>67</v>
      </c>
      <c r="HQ3" s="162">
        <f t="shared" si="3"/>
        <v>68</v>
      </c>
      <c r="HR3" s="162">
        <f t="shared" si="3"/>
        <v>69</v>
      </c>
      <c r="HS3" s="162">
        <f t="shared" si="3"/>
        <v>70</v>
      </c>
      <c r="HT3" s="162">
        <f t="shared" si="3"/>
        <v>71</v>
      </c>
      <c r="HU3" s="162">
        <f t="shared" si="3"/>
        <v>72</v>
      </c>
      <c r="HV3" s="162">
        <f t="shared" si="3"/>
        <v>73</v>
      </c>
      <c r="HW3" s="162">
        <f t="shared" si="3"/>
        <v>74</v>
      </c>
      <c r="HX3" s="162">
        <f t="shared" si="3"/>
        <v>75</v>
      </c>
      <c r="HY3" s="162">
        <f t="shared" si="3"/>
        <v>76</v>
      </c>
      <c r="HZ3" s="162">
        <f t="shared" si="3"/>
        <v>77</v>
      </c>
      <c r="IA3" s="162">
        <f t="shared" si="3"/>
        <v>78</v>
      </c>
      <c r="IB3" s="162">
        <f t="shared" si="3"/>
        <v>79</v>
      </c>
      <c r="IC3" s="162">
        <f t="shared" si="3"/>
        <v>80</v>
      </c>
      <c r="ID3" s="162">
        <f t="shared" si="3"/>
        <v>81</v>
      </c>
      <c r="IE3" s="162">
        <f t="shared" si="3"/>
        <v>82</v>
      </c>
      <c r="IF3" s="162">
        <f t="shared" si="3"/>
        <v>83</v>
      </c>
      <c r="IG3" s="162">
        <f t="shared" si="3"/>
        <v>84</v>
      </c>
      <c r="IH3" s="162">
        <f t="shared" si="3"/>
        <v>85</v>
      </c>
      <c r="II3" s="162">
        <f t="shared" si="3"/>
        <v>86</v>
      </c>
      <c r="IJ3" s="162">
        <f t="shared" si="3"/>
        <v>87</v>
      </c>
      <c r="IK3" s="162">
        <f t="shared" si="3"/>
        <v>88</v>
      </c>
      <c r="IL3" s="162">
        <f t="shared" si="3"/>
        <v>89</v>
      </c>
      <c r="IM3" s="162">
        <f t="shared" si="3"/>
        <v>90</v>
      </c>
      <c r="IN3" s="162">
        <f t="shared" si="3"/>
        <v>91</v>
      </c>
      <c r="IO3" s="162">
        <f t="shared" si="3"/>
        <v>92</v>
      </c>
      <c r="IP3" s="162">
        <f t="shared" si="3"/>
        <v>93</v>
      </c>
      <c r="IQ3" s="162">
        <f t="shared" si="3"/>
        <v>94</v>
      </c>
      <c r="IR3" s="162">
        <f t="shared" si="3"/>
        <v>95</v>
      </c>
      <c r="IS3" s="162">
        <f t="shared" si="3"/>
        <v>96</v>
      </c>
      <c r="IT3" s="162">
        <f t="shared" si="3"/>
        <v>97</v>
      </c>
      <c r="IU3" s="162">
        <f t="shared" si="3"/>
        <v>98</v>
      </c>
      <c r="IV3" s="162">
        <f t="shared" si="3"/>
        <v>99</v>
      </c>
      <c r="IW3" s="162">
        <f t="shared" si="4"/>
        <v>100</v>
      </c>
      <c r="IX3" s="162">
        <f t="shared" si="4"/>
        <v>101</v>
      </c>
      <c r="IY3" s="162">
        <f t="shared" si="4"/>
        <v>102</v>
      </c>
      <c r="IZ3" s="162">
        <f t="shared" si="4"/>
        <v>103</v>
      </c>
      <c r="JA3" s="162">
        <f t="shared" si="4"/>
        <v>104</v>
      </c>
      <c r="JB3" s="162">
        <f t="shared" si="4"/>
        <v>105</v>
      </c>
      <c r="JC3" s="162">
        <f t="shared" si="4"/>
        <v>106</v>
      </c>
      <c r="JD3" s="162">
        <f t="shared" si="4"/>
        <v>107</v>
      </c>
      <c r="JE3" s="162">
        <f t="shared" si="4"/>
        <v>108</v>
      </c>
      <c r="JF3" s="162">
        <f t="shared" si="4"/>
        <v>109</v>
      </c>
      <c r="JG3" s="162">
        <f t="shared" si="5"/>
        <v>110</v>
      </c>
      <c r="JH3" s="162">
        <f t="shared" si="5"/>
        <v>111</v>
      </c>
      <c r="JI3" s="162">
        <f t="shared" si="5"/>
        <v>112</v>
      </c>
      <c r="JJ3" s="162">
        <f t="shared" si="5"/>
        <v>113</v>
      </c>
      <c r="JK3" s="162">
        <f t="shared" si="5"/>
        <v>114</v>
      </c>
      <c r="JL3" s="162">
        <f t="shared" si="5"/>
        <v>115</v>
      </c>
      <c r="JM3" s="162">
        <f t="shared" si="5"/>
        <v>116</v>
      </c>
      <c r="JN3" s="162">
        <f t="shared" si="5"/>
        <v>117</v>
      </c>
      <c r="JO3" s="162">
        <f t="shared" si="5"/>
        <v>118</v>
      </c>
      <c r="JP3" s="162">
        <f t="shared" si="5"/>
        <v>119</v>
      </c>
      <c r="JQ3" s="162">
        <f t="shared" si="6"/>
        <v>120</v>
      </c>
      <c r="JR3" s="162">
        <f t="shared" si="6"/>
        <v>121</v>
      </c>
      <c r="JS3" s="162">
        <f t="shared" si="6"/>
        <v>122</v>
      </c>
      <c r="JT3" s="162">
        <f t="shared" si="6"/>
        <v>123</v>
      </c>
      <c r="JU3" s="162">
        <f t="shared" si="6"/>
        <v>124</v>
      </c>
      <c r="JV3" s="162">
        <f t="shared" si="6"/>
        <v>125</v>
      </c>
      <c r="JW3" s="162">
        <f t="shared" si="6"/>
        <v>126</v>
      </c>
      <c r="JX3" s="162">
        <f t="shared" si="6"/>
        <v>127</v>
      </c>
      <c r="JY3" s="162">
        <f t="shared" si="6"/>
        <v>128</v>
      </c>
      <c r="JZ3" s="162">
        <f t="shared" si="6"/>
        <v>129</v>
      </c>
      <c r="KA3" s="162">
        <f t="shared" si="7"/>
        <v>130</v>
      </c>
      <c r="KB3" s="162">
        <f t="shared" si="7"/>
        <v>131</v>
      </c>
      <c r="KC3" s="162">
        <f t="shared" si="7"/>
        <v>132</v>
      </c>
    </row>
    <row r="4" spans="2:289" ht="5.0999999999999996" customHeight="1" x14ac:dyDescent="0.25">
      <c r="B4" s="151"/>
      <c r="C4" s="151"/>
      <c r="D4" s="151"/>
      <c r="E4" s="151"/>
      <c r="F4" s="151"/>
      <c r="G4" s="151"/>
      <c r="H4" s="151"/>
      <c r="I4" s="151"/>
      <c r="EU4" s="153"/>
      <c r="EV4" s="153"/>
      <c r="EW4" s="153"/>
      <c r="EX4" s="153"/>
      <c r="EY4" s="153"/>
      <c r="EZ4" s="154"/>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c r="IM4" s="153"/>
      <c r="IN4" s="153"/>
      <c r="IO4" s="153"/>
      <c r="IP4" s="153"/>
      <c r="IQ4" s="153"/>
      <c r="IR4" s="153"/>
      <c r="IS4" s="153"/>
      <c r="IT4" s="153"/>
      <c r="IU4" s="153"/>
      <c r="IV4" s="153"/>
      <c r="IW4" s="153"/>
      <c r="IX4" s="153"/>
      <c r="IY4" s="153"/>
      <c r="IZ4" s="153"/>
      <c r="JA4" s="153"/>
      <c r="JB4" s="153"/>
      <c r="JC4" s="153"/>
      <c r="JD4" s="153"/>
      <c r="JE4" s="153"/>
      <c r="JF4" s="153"/>
      <c r="JG4" s="153"/>
      <c r="JH4" s="153"/>
      <c r="JI4" s="153"/>
      <c r="JJ4" s="153"/>
      <c r="JK4" s="153"/>
      <c r="JL4" s="153"/>
      <c r="JM4" s="153"/>
      <c r="JN4" s="153"/>
      <c r="JO4" s="153"/>
      <c r="JP4" s="153"/>
      <c r="JQ4" s="153"/>
      <c r="JR4" s="153"/>
      <c r="JS4" s="153"/>
      <c r="JT4" s="153"/>
      <c r="JU4" s="153"/>
      <c r="JV4" s="153"/>
      <c r="JW4" s="153"/>
      <c r="JX4" s="153"/>
      <c r="JY4" s="153"/>
      <c r="JZ4" s="153"/>
      <c r="KA4" s="153"/>
      <c r="KB4" s="153"/>
      <c r="KC4" s="153"/>
    </row>
    <row r="5" spans="2:289" s="163" customFormat="1" ht="12.75" x14ac:dyDescent="0.2">
      <c r="B5" s="164" t="s">
        <v>846</v>
      </c>
      <c r="C5" s="165">
        <f ca="1">H216</f>
        <v>7.1340659260749825E-2</v>
      </c>
      <c r="D5" s="166" t="s">
        <v>845</v>
      </c>
      <c r="E5" s="167">
        <f ca="1">G216</f>
        <v>1.2094826879251515</v>
      </c>
      <c r="F5" s="167"/>
      <c r="G5" s="165"/>
      <c r="H5" s="164" t="s">
        <v>287</v>
      </c>
      <c r="I5" s="168">
        <f ca="1">G221</f>
        <v>17.148178467290347</v>
      </c>
      <c r="J5" s="169" t="s">
        <v>812</v>
      </c>
      <c r="ER5" s="170" t="s">
        <v>392</v>
      </c>
      <c r="ES5" s="171" t="s">
        <v>391</v>
      </c>
      <c r="ET5" s="163">
        <v>1</v>
      </c>
      <c r="EU5" s="172"/>
      <c r="EV5" s="172"/>
      <c r="EW5" s="172"/>
      <c r="EX5" s="172"/>
      <c r="EY5" s="172"/>
      <c r="EZ5" s="173"/>
      <c r="FA5" s="172"/>
      <c r="FB5" s="172"/>
      <c r="FC5" s="172"/>
      <c r="FD5" s="172"/>
      <c r="FE5" s="172"/>
      <c r="FF5" s="172"/>
      <c r="FG5" s="172"/>
      <c r="FH5" s="172"/>
      <c r="FI5" s="172"/>
      <c r="FJ5" s="172"/>
      <c r="FK5" s="172"/>
      <c r="FL5" s="172"/>
      <c r="FM5" s="172"/>
      <c r="FN5" s="172"/>
      <c r="FO5" s="172"/>
      <c r="FP5" s="172"/>
      <c r="FQ5" s="172"/>
      <c r="FR5" s="172"/>
      <c r="FS5" s="172"/>
      <c r="FT5" s="172"/>
      <c r="FU5" s="172"/>
      <c r="FV5" s="172"/>
      <c r="FW5" s="172"/>
      <c r="FX5" s="172"/>
      <c r="FY5" s="172"/>
      <c r="FZ5" s="172"/>
      <c r="GA5" s="172"/>
      <c r="GB5" s="172"/>
      <c r="GC5" s="172"/>
      <c r="GD5" s="172"/>
      <c r="GE5" s="172"/>
      <c r="GF5" s="172"/>
      <c r="GG5" s="172"/>
      <c r="GH5" s="172"/>
      <c r="GI5" s="172"/>
      <c r="GJ5" s="172"/>
      <c r="GK5" s="172"/>
      <c r="GL5" s="172"/>
      <c r="GM5" s="172"/>
      <c r="GN5" s="172"/>
      <c r="GO5" s="172"/>
      <c r="GP5" s="172"/>
      <c r="GQ5" s="172"/>
      <c r="GR5" s="172"/>
      <c r="GS5" s="172"/>
      <c r="GT5" s="172"/>
      <c r="GU5" s="172"/>
      <c r="GV5" s="172"/>
      <c r="GW5" s="172"/>
      <c r="GX5" s="172"/>
      <c r="GY5" s="172"/>
      <c r="GZ5" s="172"/>
      <c r="HA5" s="172"/>
      <c r="HB5" s="172"/>
      <c r="HC5" s="172"/>
      <c r="HD5" s="172"/>
      <c r="HE5" s="172"/>
      <c r="HF5" s="172"/>
      <c r="HG5" s="172"/>
      <c r="HH5" s="172"/>
      <c r="HI5" s="172"/>
      <c r="HJ5" s="172"/>
      <c r="HK5" s="172"/>
      <c r="HL5" s="172"/>
      <c r="HM5" s="172"/>
      <c r="HN5" s="172"/>
      <c r="HO5" s="172"/>
      <c r="HP5" s="172"/>
      <c r="HQ5" s="172"/>
      <c r="HR5" s="172"/>
      <c r="HS5" s="172"/>
      <c r="HT5" s="172"/>
      <c r="HU5" s="172"/>
      <c r="HV5" s="172"/>
      <c r="HW5" s="172"/>
      <c r="HX5" s="172"/>
      <c r="HY5" s="172"/>
      <c r="HZ5" s="172"/>
      <c r="IA5" s="172"/>
      <c r="IB5" s="172"/>
      <c r="IC5" s="172"/>
      <c r="ID5" s="172"/>
      <c r="IE5" s="172"/>
      <c r="IF5" s="172"/>
      <c r="IG5" s="172"/>
      <c r="IH5" s="172"/>
      <c r="II5" s="172"/>
      <c r="IJ5" s="172"/>
      <c r="IK5" s="172"/>
      <c r="IL5" s="172"/>
      <c r="IM5" s="172"/>
      <c r="IN5" s="172"/>
      <c r="IO5" s="172"/>
      <c r="IP5" s="172"/>
      <c r="IQ5" s="172"/>
      <c r="IR5" s="172"/>
      <c r="IS5" s="172"/>
      <c r="IT5" s="172"/>
      <c r="IU5" s="172"/>
      <c r="IV5" s="172"/>
      <c r="IW5" s="172"/>
      <c r="IX5" s="172"/>
      <c r="IY5" s="172"/>
      <c r="IZ5" s="172"/>
      <c r="JA5" s="172"/>
      <c r="JB5" s="172"/>
      <c r="JC5" s="172"/>
      <c r="JD5" s="172"/>
      <c r="JE5" s="172"/>
      <c r="JF5" s="172"/>
      <c r="JG5" s="172"/>
      <c r="JH5" s="172"/>
      <c r="JI5" s="172"/>
      <c r="JJ5" s="172"/>
      <c r="JK5" s="172"/>
      <c r="JL5" s="172"/>
      <c r="JM5" s="172"/>
      <c r="JN5" s="172"/>
      <c r="JO5" s="172"/>
      <c r="JP5" s="172"/>
      <c r="JQ5" s="172"/>
      <c r="JR5" s="172"/>
      <c r="JS5" s="172"/>
      <c r="JT5" s="172"/>
      <c r="JU5" s="172"/>
      <c r="JV5" s="172"/>
      <c r="JW5" s="172"/>
      <c r="JX5" s="172"/>
      <c r="JY5" s="172"/>
      <c r="JZ5" s="172"/>
      <c r="KA5" s="172"/>
      <c r="KB5" s="172"/>
      <c r="KC5" s="172"/>
    </row>
    <row r="6" spans="2:289" s="163" customFormat="1" ht="5.0999999999999996" customHeight="1" x14ac:dyDescent="0.2">
      <c r="B6" s="164"/>
      <c r="C6" s="165"/>
      <c r="D6" s="166"/>
      <c r="E6" s="167"/>
      <c r="F6" s="167"/>
      <c r="G6" s="165"/>
      <c r="H6" s="164"/>
      <c r="I6" s="168"/>
      <c r="ER6" s="174"/>
      <c r="ES6" s="175"/>
      <c r="EU6" s="172"/>
      <c r="EV6" s="172"/>
      <c r="EW6" s="172"/>
      <c r="EX6" s="172"/>
      <c r="EY6" s="172"/>
      <c r="EZ6" s="173"/>
      <c r="FA6" s="172"/>
      <c r="FB6" s="172"/>
      <c r="FC6" s="172"/>
      <c r="FD6" s="172"/>
      <c r="FE6" s="172"/>
      <c r="FF6" s="172"/>
      <c r="FG6" s="172"/>
      <c r="FH6" s="172"/>
      <c r="FI6" s="172"/>
      <c r="FJ6" s="172"/>
      <c r="FK6" s="172"/>
      <c r="FL6" s="172"/>
      <c r="FM6" s="172"/>
      <c r="FN6" s="172"/>
      <c r="FO6" s="172"/>
      <c r="FP6" s="172"/>
      <c r="FQ6" s="172"/>
      <c r="FR6" s="172"/>
      <c r="FS6" s="172"/>
      <c r="FT6" s="172"/>
      <c r="FU6" s="172"/>
      <c r="FV6" s="172"/>
      <c r="FW6" s="172"/>
      <c r="FX6" s="172"/>
      <c r="FY6" s="172"/>
      <c r="FZ6" s="172"/>
      <c r="GA6" s="172"/>
      <c r="GB6" s="172"/>
      <c r="GC6" s="172"/>
      <c r="GD6" s="172"/>
      <c r="GE6" s="172"/>
      <c r="GF6" s="172"/>
      <c r="GG6" s="172"/>
      <c r="GH6" s="172"/>
      <c r="GI6" s="172"/>
      <c r="GJ6" s="172"/>
      <c r="GK6" s="172"/>
      <c r="GL6" s="172"/>
      <c r="GM6" s="172"/>
      <c r="GN6" s="172"/>
      <c r="GO6" s="172"/>
      <c r="GP6" s="172"/>
      <c r="GQ6" s="172"/>
      <c r="GR6" s="172"/>
      <c r="GS6" s="172"/>
      <c r="GT6" s="172"/>
      <c r="GU6" s="172"/>
      <c r="GV6" s="172"/>
      <c r="GW6" s="172"/>
      <c r="GX6" s="172"/>
      <c r="GY6" s="172"/>
      <c r="GZ6" s="172"/>
      <c r="HA6" s="172"/>
      <c r="HB6" s="172"/>
      <c r="HC6" s="172"/>
      <c r="HD6" s="172"/>
      <c r="HE6" s="172"/>
      <c r="HF6" s="172"/>
      <c r="HG6" s="172"/>
      <c r="HH6" s="172"/>
      <c r="HI6" s="172"/>
      <c r="HJ6" s="172"/>
      <c r="HK6" s="172"/>
      <c r="HL6" s="172"/>
      <c r="HM6" s="172"/>
      <c r="HN6" s="172"/>
      <c r="HO6" s="172"/>
      <c r="HP6" s="172"/>
      <c r="HQ6" s="172"/>
      <c r="HR6" s="172"/>
      <c r="HS6" s="172"/>
      <c r="HT6" s="172"/>
      <c r="HU6" s="172"/>
      <c r="HV6" s="172"/>
      <c r="HW6" s="172"/>
      <c r="HX6" s="172"/>
      <c r="HY6" s="172"/>
      <c r="HZ6" s="172"/>
      <c r="IA6" s="172"/>
      <c r="IB6" s="172"/>
      <c r="IC6" s="172"/>
      <c r="ID6" s="172"/>
      <c r="IE6" s="172"/>
      <c r="IF6" s="172"/>
      <c r="IG6" s="172"/>
      <c r="IH6" s="172"/>
      <c r="II6" s="172"/>
      <c r="IJ6" s="172"/>
      <c r="IK6" s="172"/>
      <c r="IL6" s="172"/>
      <c r="IM6" s="172"/>
      <c r="IN6" s="172"/>
      <c r="IO6" s="172"/>
      <c r="IP6" s="172"/>
      <c r="IQ6" s="172"/>
      <c r="IR6" s="172"/>
      <c r="IS6" s="172"/>
      <c r="IT6" s="172"/>
      <c r="IU6" s="172"/>
      <c r="IV6" s="172"/>
      <c r="IW6" s="172"/>
      <c r="IX6" s="172"/>
      <c r="IY6" s="172"/>
      <c r="IZ6" s="172"/>
      <c r="JA6" s="172"/>
      <c r="JB6" s="172"/>
      <c r="JC6" s="172"/>
      <c r="JD6" s="172"/>
      <c r="JE6" s="172"/>
      <c r="JF6" s="172"/>
      <c r="JG6" s="172"/>
      <c r="JH6" s="172"/>
      <c r="JI6" s="172"/>
      <c r="JJ6" s="172"/>
      <c r="JK6" s="172"/>
      <c r="JL6" s="172"/>
      <c r="JM6" s="172"/>
      <c r="JN6" s="172"/>
      <c r="JO6" s="172"/>
      <c r="JP6" s="172"/>
      <c r="JQ6" s="172"/>
      <c r="JR6" s="172"/>
      <c r="JS6" s="172"/>
      <c r="JT6" s="172"/>
      <c r="JU6" s="172"/>
      <c r="JV6" s="172"/>
      <c r="JW6" s="172"/>
      <c r="JX6" s="172"/>
      <c r="JY6" s="172"/>
      <c r="JZ6" s="172"/>
      <c r="KA6" s="172"/>
      <c r="KB6" s="172"/>
      <c r="KC6" s="172"/>
    </row>
    <row r="7" spans="2:289" ht="5.0999999999999996" customHeight="1" x14ac:dyDescent="0.25">
      <c r="B7" s="542"/>
      <c r="C7" s="542"/>
      <c r="D7" s="542"/>
      <c r="E7" s="542"/>
      <c r="F7" s="542"/>
      <c r="G7" s="542"/>
      <c r="H7" s="542"/>
      <c r="I7" s="542"/>
      <c r="J7" s="546"/>
      <c r="K7" s="546"/>
      <c r="L7" s="546"/>
      <c r="M7" s="546"/>
      <c r="N7" s="546"/>
      <c r="O7" s="546"/>
      <c r="P7" s="546"/>
      <c r="Q7" s="546"/>
      <c r="R7" s="546"/>
      <c r="S7" s="546"/>
      <c r="T7" s="546"/>
      <c r="U7" s="546"/>
      <c r="V7" s="546"/>
      <c r="W7" s="546"/>
      <c r="X7" s="546"/>
      <c r="Y7" s="546"/>
      <c r="Z7" s="546"/>
      <c r="AA7" s="546"/>
      <c r="AB7" s="546"/>
      <c r="AC7" s="546"/>
      <c r="AD7" s="546"/>
      <c r="AE7" s="546"/>
      <c r="AF7" s="546"/>
      <c r="AG7" s="546"/>
      <c r="AH7" s="546"/>
      <c r="AI7" s="546"/>
      <c r="AJ7" s="546"/>
      <c r="AK7" s="546"/>
      <c r="AL7" s="546"/>
      <c r="AM7" s="546"/>
      <c r="AN7" s="546"/>
      <c r="AO7" s="546"/>
      <c r="AP7" s="546"/>
      <c r="AQ7" s="546"/>
      <c r="AR7" s="546"/>
      <c r="AS7" s="546"/>
      <c r="AT7" s="546"/>
      <c r="AU7" s="546"/>
      <c r="AV7" s="546"/>
      <c r="AW7" s="546"/>
      <c r="AX7" s="546"/>
      <c r="AY7" s="546"/>
      <c r="AZ7" s="546"/>
      <c r="BA7" s="546"/>
      <c r="BB7" s="546"/>
      <c r="BC7" s="546"/>
      <c r="BD7" s="546"/>
      <c r="BE7" s="546"/>
      <c r="BF7" s="546"/>
      <c r="BG7" s="546"/>
      <c r="BH7" s="546"/>
      <c r="BI7" s="546"/>
      <c r="BJ7" s="546"/>
      <c r="BK7" s="546"/>
      <c r="BL7" s="546"/>
      <c r="BM7" s="546"/>
      <c r="BN7" s="546"/>
      <c r="BO7" s="546"/>
      <c r="BP7" s="546"/>
      <c r="BQ7" s="546"/>
      <c r="BR7" s="546"/>
      <c r="BS7" s="546"/>
      <c r="BT7" s="546"/>
      <c r="BU7" s="546"/>
      <c r="BV7" s="546"/>
      <c r="BW7" s="546"/>
      <c r="BX7" s="546"/>
      <c r="BY7" s="546"/>
      <c r="BZ7" s="546"/>
      <c r="CA7" s="546"/>
      <c r="CB7" s="546"/>
      <c r="CC7" s="546"/>
      <c r="CD7" s="546"/>
      <c r="CE7" s="546"/>
      <c r="CF7" s="546"/>
      <c r="CG7" s="546"/>
      <c r="CH7" s="546"/>
      <c r="CI7" s="546"/>
      <c r="CJ7" s="546"/>
      <c r="CK7" s="546"/>
      <c r="CL7" s="546"/>
      <c r="CM7" s="546"/>
      <c r="CN7" s="546"/>
      <c r="CO7" s="546"/>
      <c r="CP7" s="546"/>
      <c r="CQ7" s="546"/>
      <c r="CR7" s="546"/>
      <c r="CS7" s="546"/>
      <c r="CT7" s="546"/>
      <c r="CU7" s="546"/>
      <c r="CV7" s="546"/>
      <c r="CW7" s="546"/>
      <c r="CX7" s="546"/>
      <c r="CY7" s="546"/>
      <c r="CZ7" s="546"/>
      <c r="DA7" s="546"/>
      <c r="DB7" s="546"/>
      <c r="DC7" s="546"/>
      <c r="DD7" s="546"/>
      <c r="DE7" s="546"/>
      <c r="DF7" s="546"/>
      <c r="DG7" s="546"/>
      <c r="DH7" s="546"/>
      <c r="DI7" s="546"/>
      <c r="DJ7" s="546"/>
      <c r="DK7" s="546"/>
      <c r="DL7" s="546"/>
      <c r="DM7" s="546"/>
      <c r="DN7" s="546"/>
      <c r="DO7" s="546"/>
      <c r="DP7" s="546"/>
      <c r="DQ7" s="546"/>
      <c r="DR7" s="546"/>
      <c r="DS7" s="546"/>
      <c r="DT7" s="546"/>
      <c r="DU7" s="546"/>
      <c r="DV7" s="546"/>
      <c r="DW7" s="546"/>
      <c r="DX7" s="546"/>
      <c r="DY7" s="546"/>
      <c r="DZ7" s="546"/>
      <c r="EA7" s="546"/>
      <c r="EB7" s="546"/>
      <c r="EC7" s="546"/>
      <c r="ED7" s="546"/>
      <c r="EE7" s="546"/>
      <c r="EF7" s="546"/>
      <c r="EG7" s="546"/>
      <c r="EH7" s="546"/>
      <c r="EI7" s="546"/>
      <c r="EJ7" s="546"/>
      <c r="EK7" s="546"/>
      <c r="EL7" s="546"/>
      <c r="EM7" s="546"/>
      <c r="EN7" s="546"/>
      <c r="EO7" s="546"/>
      <c r="EP7" s="546"/>
      <c r="EQ7" s="546"/>
      <c r="ER7" s="546"/>
      <c r="ES7" s="546"/>
      <c r="ET7" s="546"/>
      <c r="EU7" s="176"/>
      <c r="EV7" s="176"/>
      <c r="EW7" s="176"/>
      <c r="EX7" s="176"/>
      <c r="EY7" s="176"/>
      <c r="EZ7" s="177"/>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c r="GY7" s="176"/>
      <c r="GZ7" s="176"/>
      <c r="HA7" s="176"/>
      <c r="HB7" s="176"/>
      <c r="HC7" s="176"/>
      <c r="HD7" s="176"/>
      <c r="HE7" s="176"/>
      <c r="HF7" s="176"/>
      <c r="HG7" s="176"/>
      <c r="HH7" s="176"/>
      <c r="HI7" s="176"/>
      <c r="HJ7" s="176"/>
      <c r="HK7" s="176"/>
      <c r="HL7" s="176"/>
      <c r="HM7" s="176"/>
      <c r="HN7" s="176"/>
      <c r="HO7" s="176"/>
      <c r="HP7" s="176"/>
      <c r="HQ7" s="176"/>
      <c r="HR7" s="176"/>
      <c r="HS7" s="176"/>
      <c r="HT7" s="176"/>
      <c r="HU7" s="176"/>
      <c r="HV7" s="176"/>
      <c r="HW7" s="176"/>
      <c r="HX7" s="176"/>
      <c r="HY7" s="176"/>
      <c r="HZ7" s="176"/>
      <c r="IA7" s="176"/>
      <c r="IB7" s="176"/>
      <c r="IC7" s="176"/>
      <c r="ID7" s="176"/>
      <c r="IE7" s="176"/>
      <c r="IF7" s="176"/>
      <c r="IG7" s="176"/>
      <c r="IH7" s="176"/>
      <c r="II7" s="176"/>
      <c r="IJ7" s="176"/>
      <c r="IK7" s="176"/>
      <c r="IL7" s="176"/>
      <c r="IM7" s="176"/>
      <c r="IN7" s="176"/>
      <c r="IO7" s="176"/>
      <c r="IP7" s="176"/>
      <c r="IQ7" s="176"/>
      <c r="IR7" s="176"/>
      <c r="IS7" s="176"/>
      <c r="IT7" s="176"/>
      <c r="IU7" s="176"/>
      <c r="IV7" s="176"/>
      <c r="IW7" s="176"/>
      <c r="IX7" s="176"/>
      <c r="IY7" s="176"/>
      <c r="IZ7" s="176"/>
      <c r="JA7" s="176"/>
      <c r="JB7" s="176"/>
      <c r="JC7" s="176"/>
      <c r="JD7" s="176"/>
      <c r="JE7" s="176"/>
      <c r="JF7" s="176"/>
      <c r="JG7" s="176"/>
      <c r="JH7" s="176"/>
      <c r="JI7" s="176"/>
      <c r="JJ7" s="176"/>
      <c r="JK7" s="176"/>
      <c r="JL7" s="176"/>
      <c r="JM7" s="176"/>
      <c r="JN7" s="176"/>
      <c r="JO7" s="176"/>
      <c r="JP7" s="176"/>
      <c r="JQ7" s="176"/>
      <c r="JR7" s="176"/>
      <c r="JS7" s="176"/>
      <c r="JT7" s="176"/>
      <c r="JU7" s="176"/>
      <c r="JV7" s="176"/>
      <c r="JW7" s="176"/>
      <c r="JX7" s="176"/>
      <c r="JY7" s="176"/>
      <c r="JZ7" s="176"/>
      <c r="KA7" s="176"/>
      <c r="KB7" s="176"/>
      <c r="KC7" s="176"/>
    </row>
    <row r="8" spans="2:289" x14ac:dyDescent="0.25">
      <c r="B8" s="543" t="s">
        <v>0</v>
      </c>
      <c r="C8" s="544"/>
      <c r="D8" s="544"/>
      <c r="E8" s="544"/>
      <c r="F8" s="544"/>
      <c r="G8" s="544"/>
      <c r="H8" s="545"/>
      <c r="I8" s="178" t="s">
        <v>305</v>
      </c>
      <c r="J8" s="179"/>
      <c r="K8" s="179"/>
      <c r="L8" s="179"/>
      <c r="M8" s="179"/>
      <c r="N8" s="179"/>
      <c r="O8" s="179"/>
      <c r="P8" s="179"/>
      <c r="Q8" s="179"/>
      <c r="R8" s="179"/>
      <c r="S8" s="179"/>
      <c r="T8" s="179"/>
      <c r="U8" s="179"/>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c r="CX8" s="179"/>
      <c r="CY8" s="179"/>
      <c r="CZ8" s="179"/>
      <c r="DA8" s="179"/>
      <c r="DB8" s="179"/>
      <c r="DC8" s="179"/>
      <c r="DD8" s="179"/>
      <c r="DE8" s="179"/>
      <c r="DF8" s="179"/>
      <c r="DG8" s="179"/>
      <c r="DH8" s="179"/>
      <c r="DI8" s="179"/>
      <c r="DJ8" s="179"/>
      <c r="DK8" s="179"/>
      <c r="DL8" s="179"/>
      <c r="DM8" s="179"/>
      <c r="DN8" s="179"/>
      <c r="DO8" s="179"/>
      <c r="DP8" s="179"/>
      <c r="DQ8" s="179"/>
      <c r="DR8" s="179"/>
      <c r="DS8" s="179"/>
      <c r="DT8" s="179"/>
      <c r="DU8" s="179"/>
      <c r="DV8" s="179"/>
      <c r="DW8" s="179"/>
      <c r="DX8" s="179"/>
      <c r="DY8" s="179"/>
      <c r="DZ8" s="179"/>
      <c r="EA8" s="179"/>
      <c r="EB8" s="179"/>
      <c r="EC8" s="179"/>
      <c r="ED8" s="179"/>
      <c r="EE8" s="179"/>
      <c r="EF8" s="179"/>
      <c r="EG8" s="179"/>
      <c r="EH8" s="179"/>
      <c r="EI8" s="179"/>
      <c r="EJ8" s="179"/>
      <c r="EK8" s="179"/>
      <c r="EL8" s="179"/>
      <c r="EM8" s="179"/>
      <c r="EN8" s="179"/>
      <c r="EO8" s="179"/>
      <c r="EP8" s="179"/>
      <c r="EQ8" s="179"/>
      <c r="ER8" s="179"/>
      <c r="ES8" s="179"/>
      <c r="ET8" s="179"/>
      <c r="EU8" s="153"/>
      <c r="EV8" s="153"/>
      <c r="EW8" s="153"/>
      <c r="EX8" s="153"/>
      <c r="EY8" s="153"/>
      <c r="EZ8" s="154"/>
      <c r="FA8" s="153"/>
      <c r="FB8" s="153"/>
      <c r="FC8" s="153"/>
      <c r="FD8" s="153"/>
      <c r="FE8" s="153"/>
      <c r="FF8" s="153"/>
      <c r="FG8" s="153"/>
      <c r="FH8" s="153"/>
      <c r="FI8" s="153"/>
      <c r="FJ8" s="153"/>
      <c r="FK8" s="153"/>
      <c r="FL8" s="153"/>
      <c r="FM8" s="153"/>
      <c r="FN8" s="153"/>
      <c r="FO8" s="153"/>
      <c r="FP8" s="153"/>
      <c r="FQ8" s="153"/>
      <c r="FR8" s="153"/>
      <c r="FS8" s="153"/>
      <c r="FT8" s="153"/>
      <c r="FU8" s="153"/>
      <c r="FV8" s="153"/>
      <c r="FW8" s="153"/>
      <c r="FX8" s="153"/>
      <c r="FY8" s="153"/>
      <c r="FZ8" s="153"/>
      <c r="GA8" s="153"/>
      <c r="GB8" s="153"/>
      <c r="GC8" s="153"/>
      <c r="GD8" s="153"/>
      <c r="GE8" s="153"/>
      <c r="GF8" s="153"/>
      <c r="GG8" s="153"/>
      <c r="GH8" s="153"/>
      <c r="GI8" s="153"/>
      <c r="GJ8" s="153"/>
      <c r="GK8" s="153"/>
      <c r="GL8" s="153"/>
      <c r="GM8" s="153"/>
      <c r="GN8" s="153"/>
      <c r="GO8" s="153"/>
      <c r="GP8" s="153"/>
      <c r="GQ8" s="153"/>
      <c r="GR8" s="153"/>
      <c r="GS8" s="153"/>
      <c r="GT8" s="153"/>
      <c r="GU8" s="153"/>
      <c r="GV8" s="153"/>
      <c r="GW8" s="153"/>
      <c r="GX8" s="153"/>
      <c r="GY8" s="153"/>
      <c r="GZ8" s="153"/>
      <c r="HA8" s="153"/>
      <c r="HB8" s="153"/>
      <c r="HC8" s="153"/>
      <c r="HD8" s="153"/>
      <c r="HE8" s="153"/>
      <c r="HF8" s="153"/>
      <c r="HG8" s="153"/>
      <c r="HH8" s="153"/>
      <c r="HI8" s="153"/>
      <c r="HJ8" s="153"/>
      <c r="HK8" s="153"/>
      <c r="HL8" s="153"/>
      <c r="HM8" s="153"/>
      <c r="HN8" s="153"/>
      <c r="HO8" s="153"/>
      <c r="HP8" s="153"/>
      <c r="HQ8" s="153"/>
      <c r="HR8" s="153"/>
      <c r="HS8" s="153"/>
      <c r="HT8" s="153"/>
      <c r="HU8" s="153"/>
      <c r="HV8" s="153"/>
      <c r="HW8" s="153"/>
      <c r="HX8" s="153"/>
      <c r="HY8" s="153"/>
      <c r="HZ8" s="153"/>
      <c r="IA8" s="153"/>
      <c r="IB8" s="153"/>
      <c r="IC8" s="153"/>
      <c r="ID8" s="153"/>
      <c r="IE8" s="153"/>
      <c r="IF8" s="153"/>
      <c r="IG8" s="153"/>
      <c r="IH8" s="153"/>
      <c r="II8" s="153"/>
      <c r="IJ8" s="153"/>
      <c r="IK8" s="153"/>
      <c r="IL8" s="153"/>
      <c r="IM8" s="153"/>
      <c r="IN8" s="153"/>
      <c r="IO8" s="153"/>
      <c r="IP8" s="153"/>
      <c r="IQ8" s="153"/>
      <c r="IR8" s="153"/>
      <c r="IS8" s="153"/>
      <c r="IT8" s="153"/>
      <c r="IU8" s="153"/>
      <c r="IV8" s="153"/>
      <c r="IW8" s="153"/>
      <c r="IX8" s="153"/>
      <c r="IY8" s="153"/>
      <c r="IZ8" s="153"/>
      <c r="JA8" s="153"/>
      <c r="JB8" s="153"/>
      <c r="JC8" s="153"/>
      <c r="JD8" s="153"/>
      <c r="JE8" s="153"/>
      <c r="JF8" s="153"/>
      <c r="JG8" s="153"/>
      <c r="JH8" s="153"/>
      <c r="JI8" s="153"/>
      <c r="JJ8" s="153"/>
      <c r="JK8" s="153"/>
      <c r="JL8" s="153"/>
      <c r="JM8" s="153"/>
      <c r="JN8" s="153"/>
      <c r="JO8" s="153"/>
      <c r="JP8" s="153"/>
      <c r="JQ8" s="153"/>
      <c r="JR8" s="153"/>
      <c r="JS8" s="153"/>
      <c r="JT8" s="153"/>
      <c r="JU8" s="153"/>
      <c r="JV8" s="153"/>
      <c r="JW8" s="153"/>
      <c r="JX8" s="153"/>
      <c r="JY8" s="153"/>
      <c r="JZ8" s="153"/>
      <c r="KA8" s="153"/>
      <c r="KB8" s="153"/>
      <c r="KC8" s="153"/>
    </row>
    <row r="9" spans="2:289" x14ac:dyDescent="0.25">
      <c r="B9" s="180" t="s">
        <v>2</v>
      </c>
      <c r="C9" s="180"/>
      <c r="D9" s="181"/>
      <c r="E9" s="182" t="s">
        <v>866</v>
      </c>
      <c r="F9" s="180" t="s">
        <v>6</v>
      </c>
      <c r="G9" s="181"/>
      <c r="H9" s="181"/>
      <c r="I9" s="182" t="s">
        <v>854</v>
      </c>
      <c r="J9" s="179"/>
      <c r="K9" s="179"/>
      <c r="L9" s="179"/>
      <c r="M9" s="179"/>
      <c r="N9" s="179"/>
      <c r="O9" s="179"/>
      <c r="P9" s="179"/>
      <c r="Q9" s="179"/>
      <c r="R9" s="179"/>
      <c r="S9" s="179"/>
      <c r="T9" s="179"/>
      <c r="U9" s="179"/>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c r="CX9" s="179"/>
      <c r="CY9" s="179"/>
      <c r="CZ9" s="179"/>
      <c r="DA9" s="179"/>
      <c r="DB9" s="179"/>
      <c r="DC9" s="179"/>
      <c r="DD9" s="179"/>
      <c r="DE9" s="179"/>
      <c r="DF9" s="179"/>
      <c r="DG9" s="179"/>
      <c r="DH9" s="179"/>
      <c r="DI9" s="179"/>
      <c r="DJ9" s="179"/>
      <c r="DK9" s="179"/>
      <c r="DL9" s="179"/>
      <c r="DM9" s="179"/>
      <c r="DN9" s="179"/>
      <c r="DO9" s="179"/>
      <c r="DP9" s="179"/>
      <c r="DQ9" s="179"/>
      <c r="DR9" s="179"/>
      <c r="DS9" s="179"/>
      <c r="DT9" s="179"/>
      <c r="DU9" s="179"/>
      <c r="DV9" s="179"/>
      <c r="DW9" s="179"/>
      <c r="DX9" s="179"/>
      <c r="DY9" s="179"/>
      <c r="DZ9" s="179"/>
      <c r="EA9" s="179"/>
      <c r="EB9" s="179"/>
      <c r="EC9" s="179"/>
      <c r="ED9" s="179"/>
      <c r="EE9" s="179"/>
      <c r="EF9" s="179"/>
      <c r="EG9" s="179"/>
      <c r="EH9" s="179"/>
      <c r="EI9" s="179"/>
      <c r="EJ9" s="179"/>
      <c r="EK9" s="179"/>
      <c r="EL9" s="179"/>
      <c r="EM9" s="179"/>
      <c r="EN9" s="179"/>
      <c r="EO9" s="179"/>
      <c r="EP9" s="179"/>
      <c r="EQ9" s="179"/>
      <c r="ER9" s="179"/>
      <c r="ES9" s="179"/>
      <c r="ET9" s="179"/>
      <c r="EU9" s="153"/>
      <c r="EV9" s="153"/>
      <c r="EW9" s="153"/>
      <c r="EX9" s="153"/>
      <c r="EY9" s="153"/>
      <c r="EZ9" s="154"/>
      <c r="FA9" s="153"/>
      <c r="FB9" s="153"/>
      <c r="FC9" s="153"/>
      <c r="FD9" s="153"/>
      <c r="FE9" s="153"/>
      <c r="FF9" s="153"/>
      <c r="FG9" s="153"/>
      <c r="FH9" s="153"/>
      <c r="FI9" s="153"/>
      <c r="FJ9" s="153"/>
      <c r="FK9" s="153"/>
      <c r="FL9" s="153"/>
      <c r="FM9" s="153"/>
      <c r="FN9" s="153"/>
      <c r="FO9" s="153"/>
      <c r="FP9" s="153"/>
      <c r="FQ9" s="153"/>
      <c r="FR9" s="153"/>
      <c r="FS9" s="153"/>
      <c r="FT9" s="153"/>
      <c r="FU9" s="153"/>
      <c r="FV9" s="153"/>
      <c r="FW9" s="153"/>
      <c r="FX9" s="153"/>
      <c r="FY9" s="153"/>
      <c r="FZ9" s="153"/>
      <c r="GA9" s="153"/>
      <c r="GB9" s="153"/>
      <c r="GC9" s="153"/>
      <c r="GD9" s="153"/>
      <c r="GE9" s="153"/>
      <c r="GF9" s="153"/>
      <c r="GG9" s="153"/>
      <c r="GH9" s="153"/>
      <c r="GI9" s="153"/>
      <c r="GJ9" s="153"/>
      <c r="GK9" s="153"/>
      <c r="GL9" s="153"/>
      <c r="GM9" s="153"/>
      <c r="GN9" s="153"/>
      <c r="GO9" s="153"/>
      <c r="GP9" s="153"/>
      <c r="GQ9" s="153"/>
      <c r="GR9" s="153"/>
      <c r="GS9" s="153"/>
      <c r="GT9" s="153"/>
      <c r="GU9" s="153"/>
      <c r="GV9" s="153"/>
      <c r="GW9" s="153"/>
      <c r="GX9" s="153"/>
      <c r="GY9" s="153"/>
      <c r="GZ9" s="153"/>
      <c r="HA9" s="153"/>
      <c r="HB9" s="153"/>
      <c r="HC9" s="153"/>
      <c r="HD9" s="153"/>
      <c r="HE9" s="153"/>
      <c r="HF9" s="153"/>
      <c r="HG9" s="153"/>
      <c r="HH9" s="153"/>
      <c r="HI9" s="153"/>
      <c r="HJ9" s="153"/>
      <c r="HK9" s="153"/>
      <c r="HL9" s="153"/>
      <c r="HM9" s="153"/>
      <c r="HN9" s="153"/>
      <c r="HO9" s="153"/>
      <c r="HP9" s="153"/>
      <c r="HQ9" s="153"/>
      <c r="HR9" s="153"/>
      <c r="HS9" s="153"/>
      <c r="HT9" s="153"/>
      <c r="HU9" s="153"/>
      <c r="HV9" s="153"/>
      <c r="HW9" s="153"/>
      <c r="HX9" s="153"/>
      <c r="HY9" s="153"/>
      <c r="HZ9" s="153"/>
      <c r="IA9" s="153"/>
      <c r="IB9" s="153"/>
      <c r="IC9" s="153"/>
      <c r="ID9" s="153"/>
      <c r="IE9" s="153"/>
      <c r="IF9" s="153"/>
      <c r="IG9" s="153"/>
      <c r="IH9" s="153"/>
      <c r="II9" s="153"/>
      <c r="IJ9" s="153"/>
      <c r="IK9" s="153"/>
      <c r="IL9" s="153"/>
      <c r="IM9" s="153"/>
      <c r="IN9" s="153"/>
      <c r="IO9" s="153"/>
      <c r="IP9" s="153"/>
      <c r="IQ9" s="153"/>
      <c r="IR9" s="153"/>
      <c r="IS9" s="153"/>
      <c r="IT9" s="153"/>
      <c r="IU9" s="153"/>
      <c r="IV9" s="153"/>
      <c r="IW9" s="153"/>
      <c r="IX9" s="153"/>
      <c r="IY9" s="153"/>
      <c r="IZ9" s="153"/>
      <c r="JA9" s="153"/>
      <c r="JB9" s="153"/>
      <c r="JC9" s="153"/>
      <c r="JD9" s="153"/>
      <c r="JE9" s="153"/>
      <c r="JF9" s="153"/>
      <c r="JG9" s="153"/>
      <c r="JH9" s="153"/>
      <c r="JI9" s="153"/>
      <c r="JJ9" s="153"/>
      <c r="JK9" s="153"/>
      <c r="JL9" s="153"/>
      <c r="JM9" s="153"/>
      <c r="JN9" s="153"/>
      <c r="JO9" s="153"/>
      <c r="JP9" s="153"/>
      <c r="JQ9" s="153"/>
      <c r="JR9" s="153"/>
      <c r="JS9" s="153"/>
      <c r="JT9" s="153"/>
      <c r="JU9" s="153"/>
      <c r="JV9" s="153"/>
      <c r="JW9" s="153"/>
      <c r="JX9" s="153"/>
      <c r="JY9" s="153"/>
      <c r="JZ9" s="153"/>
      <c r="KA9" s="153"/>
      <c r="KB9" s="153"/>
      <c r="KC9" s="153"/>
    </row>
    <row r="10" spans="2:289" x14ac:dyDescent="0.25">
      <c r="B10" s="183" t="s">
        <v>4</v>
      </c>
      <c r="C10" s="180"/>
      <c r="D10" s="181"/>
      <c r="E10" s="182" t="s">
        <v>922</v>
      </c>
      <c r="F10" s="180" t="s">
        <v>7</v>
      </c>
      <c r="G10" s="181"/>
      <c r="H10" s="181"/>
      <c r="I10" s="182" t="s">
        <v>855</v>
      </c>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53"/>
      <c r="EV10" s="153"/>
      <c r="EW10" s="153"/>
      <c r="EX10" s="153"/>
      <c r="EY10" s="153"/>
      <c r="EZ10" s="154"/>
      <c r="FA10" s="153"/>
      <c r="FB10" s="153"/>
      <c r="FC10" s="153"/>
      <c r="FD10" s="153"/>
      <c r="FE10" s="153"/>
      <c r="FF10" s="153"/>
      <c r="FG10" s="153"/>
      <c r="FH10" s="153"/>
      <c r="FI10" s="153"/>
      <c r="FJ10" s="153"/>
      <c r="FK10" s="153"/>
      <c r="FL10" s="153"/>
      <c r="FM10" s="153"/>
      <c r="FN10" s="153"/>
      <c r="FO10" s="153"/>
      <c r="FP10" s="153"/>
      <c r="FQ10" s="153"/>
      <c r="FR10" s="153"/>
      <c r="FS10" s="153"/>
      <c r="FT10" s="153"/>
      <c r="FU10" s="153"/>
      <c r="FV10" s="153"/>
      <c r="FW10" s="153"/>
      <c r="FX10" s="153"/>
      <c r="FY10" s="153"/>
      <c r="FZ10" s="153"/>
      <c r="GA10" s="153"/>
      <c r="GB10" s="153"/>
      <c r="GC10" s="153"/>
      <c r="GD10" s="153"/>
      <c r="GE10" s="153"/>
      <c r="GF10" s="153"/>
      <c r="GG10" s="153"/>
      <c r="GH10" s="153"/>
      <c r="GI10" s="153"/>
      <c r="GJ10" s="153"/>
      <c r="GK10" s="153"/>
      <c r="GL10" s="153"/>
      <c r="GM10" s="153"/>
      <c r="GN10" s="153"/>
      <c r="GO10" s="153"/>
      <c r="GP10" s="153"/>
      <c r="GQ10" s="153"/>
      <c r="GR10" s="153"/>
      <c r="GS10" s="153"/>
      <c r="GT10" s="153"/>
      <c r="GU10" s="153"/>
      <c r="GV10" s="153"/>
      <c r="GW10" s="153"/>
      <c r="GX10" s="153"/>
      <c r="GY10" s="153"/>
      <c r="GZ10" s="153"/>
      <c r="HA10" s="153"/>
      <c r="HB10" s="153"/>
      <c r="HC10" s="153"/>
      <c r="HD10" s="153"/>
      <c r="HE10" s="153"/>
      <c r="HF10" s="153"/>
      <c r="HG10" s="153"/>
      <c r="HH10" s="153"/>
      <c r="HI10" s="153"/>
      <c r="HJ10" s="153"/>
      <c r="HK10" s="153"/>
      <c r="HL10" s="153"/>
      <c r="HM10" s="153"/>
      <c r="HN10" s="153"/>
      <c r="HO10" s="153"/>
      <c r="HP10" s="153"/>
      <c r="HQ10" s="153"/>
      <c r="HR10" s="153"/>
      <c r="HS10" s="153"/>
      <c r="HT10" s="153"/>
      <c r="HU10" s="153"/>
      <c r="HV10" s="153"/>
      <c r="HW10" s="153"/>
      <c r="HX10" s="153"/>
      <c r="HY10" s="153"/>
      <c r="HZ10" s="153"/>
      <c r="IA10" s="153"/>
      <c r="IB10" s="153"/>
      <c r="IC10" s="153"/>
      <c r="ID10" s="153"/>
      <c r="IE10" s="153"/>
      <c r="IF10" s="153"/>
      <c r="IG10" s="153"/>
      <c r="IH10" s="153"/>
      <c r="II10" s="153"/>
      <c r="IJ10" s="153"/>
      <c r="IK10" s="153"/>
      <c r="IL10" s="153"/>
      <c r="IM10" s="153"/>
      <c r="IN10" s="153"/>
      <c r="IO10" s="153"/>
      <c r="IP10" s="153"/>
      <c r="IQ10" s="153"/>
      <c r="IR10" s="153"/>
      <c r="IS10" s="153"/>
      <c r="IT10" s="153"/>
      <c r="IU10" s="153"/>
      <c r="IV10" s="153"/>
      <c r="IW10" s="153"/>
      <c r="IX10" s="153"/>
      <c r="IY10" s="153"/>
      <c r="IZ10" s="153"/>
      <c r="JA10" s="153"/>
      <c r="JB10" s="153"/>
      <c r="JC10" s="153"/>
      <c r="JD10" s="153"/>
      <c r="JE10" s="153"/>
      <c r="JF10" s="153"/>
      <c r="JG10" s="153"/>
      <c r="JH10" s="153"/>
      <c r="JI10" s="153"/>
      <c r="JJ10" s="153"/>
      <c r="JK10" s="153"/>
      <c r="JL10" s="153"/>
      <c r="JM10" s="153"/>
      <c r="JN10" s="153"/>
      <c r="JO10" s="153"/>
      <c r="JP10" s="153"/>
      <c r="JQ10" s="153"/>
      <c r="JR10" s="153"/>
      <c r="JS10" s="153"/>
      <c r="JT10" s="153"/>
      <c r="JU10" s="153"/>
      <c r="JV10" s="153"/>
      <c r="JW10" s="153"/>
      <c r="JX10" s="153"/>
      <c r="JY10" s="153"/>
      <c r="JZ10" s="153"/>
      <c r="KA10" s="153"/>
      <c r="KB10" s="153"/>
      <c r="KC10" s="153"/>
    </row>
    <row r="11" spans="2:289" x14ac:dyDescent="0.25">
      <c r="B11" s="180" t="s">
        <v>5</v>
      </c>
      <c r="C11" s="180"/>
      <c r="D11" s="181"/>
      <c r="E11" s="182" t="s">
        <v>865</v>
      </c>
      <c r="F11" s="180" t="s">
        <v>8</v>
      </c>
      <c r="G11" s="181"/>
      <c r="H11" s="181"/>
      <c r="I11" s="184">
        <v>33991</v>
      </c>
      <c r="J11" s="179"/>
      <c r="K11" s="179"/>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c r="CX11" s="179"/>
      <c r="CY11" s="179"/>
      <c r="CZ11" s="179"/>
      <c r="DA11" s="179"/>
      <c r="DB11" s="179"/>
      <c r="DC11" s="179"/>
      <c r="DD11" s="179"/>
      <c r="DE11" s="179"/>
      <c r="DF11" s="179"/>
      <c r="DG11" s="179"/>
      <c r="DH11" s="179"/>
      <c r="DI11" s="179"/>
      <c r="DJ11" s="179"/>
      <c r="DK11" s="179"/>
      <c r="DL11" s="179"/>
      <c r="DM11" s="179"/>
      <c r="DN11" s="179"/>
      <c r="DO11" s="179"/>
      <c r="DP11" s="179"/>
      <c r="DQ11" s="179"/>
      <c r="DR11" s="179"/>
      <c r="DS11" s="179"/>
      <c r="DT11" s="179"/>
      <c r="DU11" s="179"/>
      <c r="DV11" s="179"/>
      <c r="DW11" s="179"/>
      <c r="DX11" s="179"/>
      <c r="DY11" s="179"/>
      <c r="DZ11" s="179"/>
      <c r="EA11" s="179"/>
      <c r="EB11" s="179"/>
      <c r="EC11" s="179"/>
      <c r="ED11" s="179"/>
      <c r="EE11" s="179"/>
      <c r="EF11" s="179"/>
      <c r="EG11" s="179"/>
      <c r="EH11" s="179"/>
      <c r="EI11" s="179"/>
      <c r="EJ11" s="179"/>
      <c r="EK11" s="179"/>
      <c r="EL11" s="179"/>
      <c r="EM11" s="179"/>
      <c r="EN11" s="179"/>
      <c r="EO11" s="179"/>
      <c r="EP11" s="179"/>
      <c r="EQ11" s="179"/>
      <c r="ER11" s="179"/>
      <c r="ES11" s="179"/>
      <c r="ET11" s="179"/>
      <c r="EU11" s="153"/>
      <c r="EV11" s="153"/>
      <c r="EW11" s="153"/>
      <c r="EX11" s="153"/>
      <c r="EY11" s="153"/>
      <c r="EZ11" s="154"/>
      <c r="FA11" s="153"/>
      <c r="FB11" s="153"/>
      <c r="FC11" s="153"/>
      <c r="FD11" s="153"/>
      <c r="FE11" s="153"/>
      <c r="FF11" s="153"/>
      <c r="FG11" s="153"/>
      <c r="FH11" s="153"/>
      <c r="FI11" s="153"/>
      <c r="FJ11" s="153"/>
      <c r="FK11" s="153"/>
      <c r="FL11" s="153"/>
      <c r="FM11" s="153"/>
      <c r="FN11" s="153"/>
      <c r="FO11" s="153"/>
      <c r="FP11" s="153"/>
      <c r="FQ11" s="153"/>
      <c r="FR11" s="153"/>
      <c r="FS11" s="153"/>
      <c r="FT11" s="153"/>
      <c r="FU11" s="153"/>
      <c r="FV11" s="153"/>
      <c r="FW11" s="153"/>
      <c r="FX11" s="153"/>
      <c r="FY11" s="153"/>
      <c r="FZ11" s="153"/>
      <c r="GA11" s="153"/>
      <c r="GB11" s="153"/>
      <c r="GC11" s="153"/>
      <c r="GD11" s="153"/>
      <c r="GE11" s="153"/>
      <c r="GF11" s="153"/>
      <c r="GG11" s="153"/>
      <c r="GH11" s="153"/>
      <c r="GI11" s="153"/>
      <c r="GJ11" s="153"/>
      <c r="GK11" s="153"/>
      <c r="GL11" s="153"/>
      <c r="GM11" s="153"/>
      <c r="GN11" s="153"/>
      <c r="GO11" s="153"/>
      <c r="GP11" s="153"/>
      <c r="GQ11" s="153"/>
      <c r="GR11" s="153"/>
      <c r="GS11" s="153"/>
      <c r="GT11" s="153"/>
      <c r="GU11" s="153"/>
      <c r="GV11" s="153"/>
      <c r="GW11" s="153"/>
      <c r="GX11" s="153"/>
      <c r="GY11" s="153"/>
      <c r="GZ11" s="153"/>
      <c r="HA11" s="153"/>
      <c r="HB11" s="153"/>
      <c r="HC11" s="153"/>
      <c r="HD11" s="153"/>
      <c r="HE11" s="153"/>
      <c r="HF11" s="153"/>
      <c r="HG11" s="153"/>
      <c r="HH11" s="153"/>
      <c r="HI11" s="153"/>
      <c r="HJ11" s="153"/>
      <c r="HK11" s="153"/>
      <c r="HL11" s="153"/>
      <c r="HM11" s="153"/>
      <c r="HN11" s="153"/>
      <c r="HO11" s="153"/>
      <c r="HP11" s="153"/>
      <c r="HQ11" s="153"/>
      <c r="HR11" s="153"/>
      <c r="HS11" s="153"/>
      <c r="HT11" s="153"/>
      <c r="HU11" s="153"/>
      <c r="HV11" s="153"/>
      <c r="HW11" s="153"/>
      <c r="HX11" s="153"/>
      <c r="HY11" s="153"/>
      <c r="HZ11" s="153"/>
      <c r="IA11" s="153"/>
      <c r="IB11" s="153"/>
      <c r="IC11" s="153"/>
      <c r="ID11" s="153"/>
      <c r="IE11" s="153"/>
      <c r="IF11" s="153"/>
      <c r="IG11" s="153"/>
      <c r="IH11" s="153"/>
      <c r="II11" s="153"/>
      <c r="IJ11" s="153"/>
      <c r="IK11" s="153"/>
      <c r="IL11" s="153"/>
      <c r="IM11" s="153"/>
      <c r="IN11" s="153"/>
      <c r="IO11" s="153"/>
      <c r="IP11" s="153"/>
      <c r="IQ11" s="153"/>
      <c r="IR11" s="153"/>
      <c r="IS11" s="153"/>
      <c r="IT11" s="153"/>
      <c r="IU11" s="153"/>
      <c r="IV11" s="153"/>
      <c r="IW11" s="153"/>
      <c r="IX11" s="153"/>
      <c r="IY11" s="153"/>
      <c r="IZ11" s="153"/>
      <c r="JA11" s="153"/>
      <c r="JB11" s="153"/>
      <c r="JC11" s="153"/>
      <c r="JD11" s="153"/>
      <c r="JE11" s="153"/>
      <c r="JF11" s="153"/>
      <c r="JG11" s="153"/>
      <c r="JH11" s="153"/>
      <c r="JI11" s="153"/>
      <c r="JJ11" s="153"/>
      <c r="JK11" s="153"/>
      <c r="JL11" s="153"/>
      <c r="JM11" s="153"/>
      <c r="JN11" s="153"/>
      <c r="JO11" s="153"/>
      <c r="JP11" s="153"/>
      <c r="JQ11" s="153"/>
      <c r="JR11" s="153"/>
      <c r="JS11" s="153"/>
      <c r="JT11" s="153"/>
      <c r="JU11" s="153"/>
      <c r="JV11" s="153"/>
      <c r="JW11" s="153"/>
      <c r="JX11" s="153"/>
      <c r="JY11" s="153"/>
      <c r="JZ11" s="153"/>
      <c r="KA11" s="153"/>
      <c r="KB11" s="153"/>
      <c r="KC11" s="153"/>
    </row>
    <row r="12" spans="2:289" ht="4.9000000000000004" customHeight="1" x14ac:dyDescent="0.25">
      <c r="B12" s="180"/>
      <c r="C12" s="180"/>
      <c r="D12" s="181"/>
      <c r="E12" s="182"/>
      <c r="F12" s="180"/>
      <c r="G12" s="181"/>
      <c r="H12" s="181"/>
      <c r="I12" s="184"/>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53"/>
      <c r="EV12" s="153"/>
      <c r="EW12" s="153"/>
      <c r="EX12" s="153"/>
      <c r="EY12" s="153"/>
      <c r="EZ12" s="154"/>
      <c r="FA12" s="153"/>
      <c r="FB12" s="153"/>
      <c r="FC12" s="153"/>
      <c r="FD12" s="153"/>
      <c r="FE12" s="153"/>
      <c r="FF12" s="153"/>
      <c r="FG12" s="153"/>
      <c r="FH12" s="153"/>
      <c r="FI12" s="153"/>
      <c r="FJ12" s="153"/>
      <c r="FK12" s="153"/>
      <c r="FL12" s="153"/>
      <c r="FM12" s="153"/>
      <c r="FN12" s="153"/>
      <c r="FO12" s="153"/>
      <c r="FP12" s="153"/>
      <c r="FQ12" s="153"/>
      <c r="FR12" s="153"/>
      <c r="FS12" s="153"/>
      <c r="FT12" s="153"/>
      <c r="FU12" s="153"/>
      <c r="FV12" s="153"/>
      <c r="FW12" s="153"/>
      <c r="FX12" s="153"/>
      <c r="FY12" s="153"/>
      <c r="FZ12" s="153"/>
      <c r="GA12" s="153"/>
      <c r="GB12" s="153"/>
      <c r="GC12" s="153"/>
      <c r="GD12" s="153"/>
      <c r="GE12" s="153"/>
      <c r="GF12" s="153"/>
      <c r="GG12" s="153"/>
      <c r="GH12" s="153"/>
      <c r="GI12" s="153"/>
      <c r="GJ12" s="153"/>
      <c r="GK12" s="153"/>
      <c r="GL12" s="153"/>
      <c r="GM12" s="153"/>
      <c r="GN12" s="153"/>
      <c r="GO12" s="153"/>
      <c r="GP12" s="153"/>
      <c r="GQ12" s="153"/>
      <c r="GR12" s="153"/>
      <c r="GS12" s="153"/>
      <c r="GT12" s="153"/>
      <c r="GU12" s="153"/>
      <c r="GV12" s="153"/>
      <c r="GW12" s="153"/>
      <c r="GX12" s="153"/>
      <c r="GY12" s="153"/>
      <c r="GZ12" s="153"/>
      <c r="HA12" s="153"/>
      <c r="HB12" s="153"/>
      <c r="HC12" s="153"/>
      <c r="HD12" s="153"/>
      <c r="HE12" s="153"/>
      <c r="HF12" s="153"/>
      <c r="HG12" s="153"/>
      <c r="HH12" s="153"/>
      <c r="HI12" s="153"/>
      <c r="HJ12" s="153"/>
      <c r="HK12" s="153"/>
      <c r="HL12" s="153"/>
      <c r="HM12" s="153"/>
      <c r="HN12" s="153"/>
      <c r="HO12" s="153"/>
      <c r="HP12" s="153"/>
      <c r="HQ12" s="153"/>
      <c r="HR12" s="153"/>
      <c r="HS12" s="153"/>
      <c r="HT12" s="153"/>
      <c r="HU12" s="153"/>
      <c r="HV12" s="153"/>
      <c r="HW12" s="153"/>
      <c r="HX12" s="153"/>
      <c r="HY12" s="153"/>
      <c r="HZ12" s="153"/>
      <c r="IA12" s="153"/>
      <c r="IB12" s="153"/>
      <c r="IC12" s="153"/>
      <c r="ID12" s="153"/>
      <c r="IE12" s="153"/>
      <c r="IF12" s="153"/>
      <c r="IG12" s="153"/>
      <c r="IH12" s="153"/>
      <c r="II12" s="153"/>
      <c r="IJ12" s="153"/>
      <c r="IK12" s="153"/>
      <c r="IL12" s="153"/>
      <c r="IM12" s="153"/>
      <c r="IN12" s="153"/>
      <c r="IO12" s="153"/>
      <c r="IP12" s="153"/>
      <c r="IQ12" s="153"/>
      <c r="IR12" s="153"/>
      <c r="IS12" s="153"/>
      <c r="IT12" s="153"/>
      <c r="IU12" s="153"/>
      <c r="IV12" s="153"/>
      <c r="IW12" s="153"/>
      <c r="IX12" s="153"/>
      <c r="IY12" s="153"/>
      <c r="IZ12" s="153"/>
      <c r="JA12" s="153"/>
      <c r="JB12" s="153"/>
      <c r="JC12" s="153"/>
      <c r="JD12" s="153"/>
      <c r="JE12" s="153"/>
      <c r="JF12" s="153"/>
      <c r="JG12" s="153"/>
      <c r="JH12" s="153"/>
      <c r="JI12" s="153"/>
      <c r="JJ12" s="153"/>
      <c r="JK12" s="153"/>
      <c r="JL12" s="153"/>
      <c r="JM12" s="153"/>
      <c r="JN12" s="153"/>
      <c r="JO12" s="153"/>
      <c r="JP12" s="153"/>
      <c r="JQ12" s="153"/>
      <c r="JR12" s="153"/>
      <c r="JS12" s="153"/>
      <c r="JT12" s="153"/>
      <c r="JU12" s="153"/>
      <c r="JV12" s="153"/>
      <c r="JW12" s="153"/>
      <c r="JX12" s="153"/>
      <c r="JY12" s="153"/>
      <c r="JZ12" s="153"/>
      <c r="KA12" s="153"/>
      <c r="KB12" s="153"/>
      <c r="KC12" s="153"/>
    </row>
    <row r="13" spans="2:289" x14ac:dyDescent="0.25">
      <c r="B13" s="180" t="s">
        <v>18</v>
      </c>
      <c r="C13" s="180"/>
      <c r="D13" s="181"/>
      <c r="E13" s="185">
        <v>45689</v>
      </c>
      <c r="F13" s="180" t="s">
        <v>19</v>
      </c>
      <c r="G13" s="181"/>
      <c r="H13" s="186">
        <f>Timing_Reversion_Month</f>
        <v>36</v>
      </c>
      <c r="I13" s="187">
        <f>EDATE(E13,H13-1)</f>
        <v>46753</v>
      </c>
      <c r="J13" s="179"/>
      <c r="K13" s="179"/>
      <c r="L13" s="179"/>
      <c r="M13" s="179"/>
      <c r="N13" s="179"/>
      <c r="O13" s="179"/>
      <c r="P13" s="179"/>
      <c r="Q13" s="179"/>
      <c r="R13" s="179"/>
      <c r="S13" s="179"/>
      <c r="T13" s="179"/>
      <c r="U13" s="179"/>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53"/>
      <c r="EV13" s="153"/>
      <c r="EW13" s="153"/>
      <c r="EX13" s="153"/>
      <c r="EY13" s="153"/>
      <c r="EZ13" s="154"/>
      <c r="FA13" s="153"/>
      <c r="FB13" s="153"/>
      <c r="FC13" s="153"/>
      <c r="FD13" s="153"/>
      <c r="FE13" s="153"/>
      <c r="FF13" s="153"/>
      <c r="FG13" s="153"/>
      <c r="FH13" s="153"/>
      <c r="FI13" s="153"/>
      <c r="FJ13" s="153"/>
      <c r="FK13" s="153"/>
      <c r="FL13" s="153"/>
      <c r="FM13" s="153"/>
      <c r="FN13" s="153"/>
      <c r="FO13" s="153"/>
      <c r="FP13" s="153"/>
      <c r="FQ13" s="153"/>
      <c r="FR13" s="153"/>
      <c r="FS13" s="153"/>
      <c r="FT13" s="153"/>
      <c r="FU13" s="153"/>
      <c r="FV13" s="153"/>
      <c r="FW13" s="153"/>
      <c r="FX13" s="153"/>
      <c r="FY13" s="153"/>
      <c r="FZ13" s="153"/>
      <c r="GA13" s="153"/>
      <c r="GB13" s="153"/>
      <c r="GC13" s="153"/>
      <c r="GD13" s="153"/>
      <c r="GE13" s="153"/>
      <c r="GF13" s="153"/>
      <c r="GG13" s="153"/>
      <c r="GH13" s="153"/>
      <c r="GI13" s="153"/>
      <c r="GJ13" s="153"/>
      <c r="GK13" s="153"/>
      <c r="GL13" s="153"/>
      <c r="GM13" s="153"/>
      <c r="GN13" s="153"/>
      <c r="GO13" s="153"/>
      <c r="GP13" s="153"/>
      <c r="GQ13" s="153"/>
      <c r="GR13" s="153"/>
      <c r="GS13" s="153"/>
      <c r="GT13" s="153"/>
      <c r="GU13" s="153"/>
      <c r="GV13" s="153"/>
      <c r="GW13" s="153"/>
      <c r="GX13" s="153"/>
      <c r="GY13" s="153"/>
      <c r="GZ13" s="153"/>
      <c r="HA13" s="153"/>
      <c r="HB13" s="153"/>
      <c r="HC13" s="153"/>
      <c r="HD13" s="153"/>
      <c r="HE13" s="153"/>
      <c r="HF13" s="153"/>
      <c r="HG13" s="153"/>
      <c r="HH13" s="153"/>
      <c r="HI13" s="153"/>
      <c r="HJ13" s="153"/>
      <c r="HK13" s="153"/>
      <c r="HL13" s="153"/>
      <c r="HM13" s="153"/>
      <c r="HN13" s="153"/>
      <c r="HO13" s="153"/>
      <c r="HP13" s="153"/>
      <c r="HQ13" s="153"/>
      <c r="HR13" s="153"/>
      <c r="HS13" s="153"/>
      <c r="HT13" s="153"/>
      <c r="HU13" s="153"/>
      <c r="HV13" s="153"/>
      <c r="HW13" s="153"/>
      <c r="HX13" s="153"/>
      <c r="HY13" s="153"/>
      <c r="HZ13" s="153"/>
      <c r="IA13" s="153"/>
      <c r="IB13" s="153"/>
      <c r="IC13" s="153"/>
      <c r="ID13" s="153"/>
      <c r="IE13" s="153"/>
      <c r="IF13" s="153"/>
      <c r="IG13" s="153"/>
      <c r="IH13" s="153"/>
      <c r="II13" s="153"/>
      <c r="IJ13" s="153"/>
      <c r="IK13" s="153"/>
      <c r="IL13" s="153"/>
      <c r="IM13" s="153"/>
      <c r="IN13" s="153"/>
      <c r="IO13" s="153"/>
      <c r="IP13" s="153"/>
      <c r="IQ13" s="153"/>
      <c r="IR13" s="153"/>
      <c r="IS13" s="153"/>
      <c r="IT13" s="153"/>
      <c r="IU13" s="153"/>
      <c r="IV13" s="153"/>
      <c r="IW13" s="153"/>
      <c r="IX13" s="153"/>
      <c r="IY13" s="153"/>
      <c r="IZ13" s="153"/>
      <c r="JA13" s="153"/>
      <c r="JB13" s="153"/>
      <c r="JC13" s="153"/>
      <c r="JD13" s="153"/>
      <c r="JE13" s="153"/>
      <c r="JF13" s="153"/>
      <c r="JG13" s="153"/>
      <c r="JH13" s="153"/>
      <c r="JI13" s="153"/>
      <c r="JJ13" s="153"/>
      <c r="JK13" s="153"/>
      <c r="JL13" s="153"/>
      <c r="JM13" s="153"/>
      <c r="JN13" s="153"/>
      <c r="JO13" s="153"/>
      <c r="JP13" s="153"/>
      <c r="JQ13" s="153"/>
      <c r="JR13" s="153"/>
      <c r="JS13" s="153"/>
      <c r="JT13" s="153"/>
      <c r="JU13" s="153"/>
      <c r="JV13" s="153"/>
      <c r="JW13" s="153"/>
      <c r="JX13" s="153"/>
      <c r="JY13" s="153"/>
      <c r="JZ13" s="153"/>
      <c r="KA13" s="153"/>
      <c r="KB13" s="153"/>
      <c r="KC13" s="153"/>
    </row>
    <row r="14" spans="2:289" ht="4.9000000000000004" customHeight="1" x14ac:dyDescent="0.25">
      <c r="B14" s="180"/>
      <c r="C14" s="180"/>
      <c r="D14" s="181"/>
      <c r="E14" s="182"/>
      <c r="F14" s="180"/>
      <c r="G14" s="181"/>
      <c r="H14" s="181"/>
      <c r="I14" s="182"/>
      <c r="J14" s="179"/>
      <c r="K14" s="179"/>
      <c r="L14" s="179"/>
      <c r="M14" s="179"/>
      <c r="N14" s="179"/>
      <c r="O14" s="179"/>
      <c r="P14" s="179"/>
      <c r="Q14" s="179"/>
      <c r="R14" s="179"/>
      <c r="S14" s="179"/>
      <c r="T14" s="179"/>
      <c r="U14" s="179"/>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c r="CX14" s="179"/>
      <c r="CY14" s="179"/>
      <c r="CZ14" s="179"/>
      <c r="DA14" s="179"/>
      <c r="DB14" s="179"/>
      <c r="DC14" s="179"/>
      <c r="DD14" s="179"/>
      <c r="DE14" s="179"/>
      <c r="DF14" s="179"/>
      <c r="DG14" s="179"/>
      <c r="DH14" s="179"/>
      <c r="DI14" s="179"/>
      <c r="DJ14" s="179"/>
      <c r="DK14" s="179"/>
      <c r="DL14" s="179"/>
      <c r="DM14" s="179"/>
      <c r="DN14" s="179"/>
      <c r="DO14" s="179"/>
      <c r="DP14" s="179"/>
      <c r="DQ14" s="179"/>
      <c r="DR14" s="179"/>
      <c r="DS14" s="179"/>
      <c r="DT14" s="179"/>
      <c r="DU14" s="179"/>
      <c r="DV14" s="179"/>
      <c r="DW14" s="179"/>
      <c r="DX14" s="179"/>
      <c r="DY14" s="179"/>
      <c r="DZ14" s="179"/>
      <c r="EA14" s="179"/>
      <c r="EB14" s="179"/>
      <c r="EC14" s="179"/>
      <c r="ED14" s="179"/>
      <c r="EE14" s="179"/>
      <c r="EF14" s="179"/>
      <c r="EG14" s="179"/>
      <c r="EH14" s="179"/>
      <c r="EI14" s="179"/>
      <c r="EJ14" s="179"/>
      <c r="EK14" s="179"/>
      <c r="EL14" s="179"/>
      <c r="EM14" s="179"/>
      <c r="EN14" s="179"/>
      <c r="EO14" s="179"/>
      <c r="EP14" s="179"/>
      <c r="EQ14" s="179"/>
      <c r="ER14" s="179"/>
      <c r="ES14" s="179"/>
      <c r="ET14" s="179"/>
      <c r="EU14" s="153"/>
      <c r="EV14" s="153"/>
      <c r="EW14" s="153"/>
      <c r="EX14" s="153"/>
      <c r="EY14" s="153"/>
      <c r="EZ14" s="154"/>
      <c r="FA14" s="153"/>
      <c r="FB14" s="153"/>
      <c r="FC14" s="153"/>
      <c r="FD14" s="153"/>
      <c r="FE14" s="153"/>
      <c r="FF14" s="153"/>
      <c r="FG14" s="153"/>
      <c r="FH14" s="153"/>
      <c r="FI14" s="153"/>
      <c r="FJ14" s="153"/>
      <c r="FK14" s="153"/>
      <c r="FL14" s="153"/>
      <c r="FM14" s="153"/>
      <c r="FN14" s="153"/>
      <c r="FO14" s="153"/>
      <c r="FP14" s="153"/>
      <c r="FQ14" s="153"/>
      <c r="FR14" s="153"/>
      <c r="FS14" s="153"/>
      <c r="FT14" s="153"/>
      <c r="FU14" s="153"/>
      <c r="FV14" s="153"/>
      <c r="FW14" s="153"/>
      <c r="FX14" s="153"/>
      <c r="FY14" s="153"/>
      <c r="FZ14" s="153"/>
      <c r="GA14" s="153"/>
      <c r="GB14" s="153"/>
      <c r="GC14" s="153"/>
      <c r="GD14" s="153"/>
      <c r="GE14" s="153"/>
      <c r="GF14" s="153"/>
      <c r="GG14" s="153"/>
      <c r="GH14" s="153"/>
      <c r="GI14" s="153"/>
      <c r="GJ14" s="153"/>
      <c r="GK14" s="153"/>
      <c r="GL14" s="153"/>
      <c r="GM14" s="153"/>
      <c r="GN14" s="153"/>
      <c r="GO14" s="153"/>
      <c r="GP14" s="153"/>
      <c r="GQ14" s="153"/>
      <c r="GR14" s="153"/>
      <c r="GS14" s="153"/>
      <c r="GT14" s="153"/>
      <c r="GU14" s="153"/>
      <c r="GV14" s="153"/>
      <c r="GW14" s="153"/>
      <c r="GX14" s="153"/>
      <c r="GY14" s="153"/>
      <c r="GZ14" s="153"/>
      <c r="HA14" s="153"/>
      <c r="HB14" s="153"/>
      <c r="HC14" s="153"/>
      <c r="HD14" s="153"/>
      <c r="HE14" s="153"/>
      <c r="HF14" s="153"/>
      <c r="HG14" s="153"/>
      <c r="HH14" s="153"/>
      <c r="HI14" s="153"/>
      <c r="HJ14" s="153"/>
      <c r="HK14" s="153"/>
      <c r="HL14" s="153"/>
      <c r="HM14" s="153"/>
      <c r="HN14" s="153"/>
      <c r="HO14" s="153"/>
      <c r="HP14" s="153"/>
      <c r="HQ14" s="153"/>
      <c r="HR14" s="153"/>
      <c r="HS14" s="153"/>
      <c r="HT14" s="153"/>
      <c r="HU14" s="153"/>
      <c r="HV14" s="153"/>
      <c r="HW14" s="153"/>
      <c r="HX14" s="153"/>
      <c r="HY14" s="153"/>
      <c r="HZ14" s="153"/>
      <c r="IA14" s="153"/>
      <c r="IB14" s="153"/>
      <c r="IC14" s="153"/>
      <c r="ID14" s="153"/>
      <c r="IE14" s="153"/>
      <c r="IF14" s="153"/>
      <c r="IG14" s="153"/>
      <c r="IH14" s="153"/>
      <c r="II14" s="153"/>
      <c r="IJ14" s="153"/>
      <c r="IK14" s="153"/>
      <c r="IL14" s="153"/>
      <c r="IM14" s="153"/>
      <c r="IN14" s="153"/>
      <c r="IO14" s="153"/>
      <c r="IP14" s="153"/>
      <c r="IQ14" s="153"/>
      <c r="IR14" s="153"/>
      <c r="IS14" s="153"/>
      <c r="IT14" s="153"/>
      <c r="IU14" s="153"/>
      <c r="IV14" s="153"/>
      <c r="IW14" s="153"/>
      <c r="IX14" s="153"/>
      <c r="IY14" s="153"/>
      <c r="IZ14" s="153"/>
      <c r="JA14" s="153"/>
      <c r="JB14" s="153"/>
      <c r="JC14" s="153"/>
      <c r="JD14" s="153"/>
      <c r="JE14" s="153"/>
      <c r="JF14" s="153"/>
      <c r="JG14" s="153"/>
      <c r="JH14" s="153"/>
      <c r="JI14" s="153"/>
      <c r="JJ14" s="153"/>
      <c r="JK14" s="153"/>
      <c r="JL14" s="153"/>
      <c r="JM14" s="153"/>
      <c r="JN14" s="153"/>
      <c r="JO14" s="153"/>
      <c r="JP14" s="153"/>
      <c r="JQ14" s="153"/>
      <c r="JR14" s="153"/>
      <c r="JS14" s="153"/>
      <c r="JT14" s="153"/>
      <c r="JU14" s="153"/>
      <c r="JV14" s="153"/>
      <c r="JW14" s="153"/>
      <c r="JX14" s="153"/>
      <c r="JY14" s="153"/>
      <c r="JZ14" s="153"/>
      <c r="KA14" s="153"/>
      <c r="KB14" s="153"/>
      <c r="KC14" s="153"/>
    </row>
    <row r="15" spans="2:289" x14ac:dyDescent="0.25">
      <c r="B15" s="180" t="s">
        <v>9</v>
      </c>
      <c r="C15" s="188">
        <f>IF(Unit_Type="SF",E15*43560,E15*4046.86)</f>
        <v>89999.999999999985</v>
      </c>
      <c r="D15" s="181" t="str">
        <f>Unit_Type</f>
        <v>SF</v>
      </c>
      <c r="E15" s="189">
        <f>40*250*9/43560</f>
        <v>2.0661157024793386</v>
      </c>
      <c r="F15" s="180" t="s">
        <v>10</v>
      </c>
      <c r="G15" s="181"/>
      <c r="H15" s="181"/>
      <c r="I15" s="190">
        <v>1</v>
      </c>
      <c r="J15" s="179"/>
      <c r="K15" s="179"/>
      <c r="L15" s="179"/>
      <c r="M15" s="179"/>
      <c r="N15" s="179"/>
      <c r="O15" s="179"/>
      <c r="P15" s="179"/>
      <c r="Q15" s="179"/>
      <c r="R15" s="179"/>
      <c r="S15" s="179"/>
      <c r="T15" s="179"/>
      <c r="U15" s="179"/>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c r="CX15" s="179"/>
      <c r="CY15" s="179"/>
      <c r="CZ15" s="179"/>
      <c r="DA15" s="179"/>
      <c r="DB15" s="179"/>
      <c r="DC15" s="179"/>
      <c r="DD15" s="179"/>
      <c r="DE15" s="179"/>
      <c r="DF15" s="179"/>
      <c r="DG15" s="179"/>
      <c r="DH15" s="179"/>
      <c r="DI15" s="179"/>
      <c r="DJ15" s="179"/>
      <c r="DK15" s="179"/>
      <c r="DL15" s="179"/>
      <c r="DM15" s="179"/>
      <c r="DN15" s="179"/>
      <c r="DO15" s="179"/>
      <c r="DP15" s="179"/>
      <c r="DQ15" s="179"/>
      <c r="DR15" s="179"/>
      <c r="DS15" s="179"/>
      <c r="DT15" s="179"/>
      <c r="DU15" s="179"/>
      <c r="DV15" s="179"/>
      <c r="DW15" s="179"/>
      <c r="DX15" s="179"/>
      <c r="DY15" s="179"/>
      <c r="DZ15" s="179"/>
      <c r="EA15" s="179"/>
      <c r="EB15" s="179"/>
      <c r="EC15" s="179"/>
      <c r="ED15" s="179"/>
      <c r="EE15" s="179"/>
      <c r="EF15" s="179"/>
      <c r="EG15" s="179"/>
      <c r="EH15" s="179"/>
      <c r="EI15" s="179"/>
      <c r="EJ15" s="179"/>
      <c r="EK15" s="179"/>
      <c r="EL15" s="179"/>
      <c r="EM15" s="179"/>
      <c r="EN15" s="179"/>
      <c r="EO15" s="179"/>
      <c r="EP15" s="179"/>
      <c r="EQ15" s="179"/>
      <c r="ER15" s="179"/>
      <c r="ES15" s="179"/>
      <c r="ET15" s="179"/>
      <c r="EU15" s="153"/>
      <c r="EV15" s="153"/>
      <c r="EW15" s="153"/>
      <c r="EX15" s="153"/>
      <c r="EY15" s="153"/>
      <c r="EZ15" s="154"/>
      <c r="FA15" s="153"/>
      <c r="FB15" s="153"/>
      <c r="FC15" s="153"/>
      <c r="FD15" s="153"/>
      <c r="FE15" s="153"/>
      <c r="FF15" s="153"/>
      <c r="FG15" s="153"/>
      <c r="FH15" s="153"/>
      <c r="FI15" s="153"/>
      <c r="FJ15" s="153"/>
      <c r="FK15" s="153"/>
      <c r="FL15" s="153"/>
      <c r="FM15" s="153"/>
      <c r="FN15" s="153"/>
      <c r="FO15" s="153"/>
      <c r="FP15" s="153"/>
      <c r="FQ15" s="153"/>
      <c r="FR15" s="153"/>
      <c r="FS15" s="153"/>
      <c r="FT15" s="153"/>
      <c r="FU15" s="153"/>
      <c r="FV15" s="153"/>
      <c r="FW15" s="153"/>
      <c r="FX15" s="153"/>
      <c r="FY15" s="153"/>
      <c r="FZ15" s="153"/>
      <c r="GA15" s="153"/>
      <c r="GB15" s="153"/>
      <c r="GC15" s="153"/>
      <c r="GD15" s="153"/>
      <c r="GE15" s="153"/>
      <c r="GF15" s="153"/>
      <c r="GG15" s="153"/>
      <c r="GH15" s="153"/>
      <c r="GI15" s="153"/>
      <c r="GJ15" s="153"/>
      <c r="GK15" s="153"/>
      <c r="GL15" s="153"/>
      <c r="GM15" s="153"/>
      <c r="GN15" s="153"/>
      <c r="GO15" s="153"/>
      <c r="GP15" s="153"/>
      <c r="GQ15" s="153"/>
      <c r="GR15" s="153"/>
      <c r="GS15" s="153"/>
      <c r="GT15" s="153"/>
      <c r="GU15" s="153"/>
      <c r="GV15" s="153"/>
      <c r="GW15" s="153"/>
      <c r="GX15" s="153"/>
      <c r="GY15" s="153"/>
      <c r="GZ15" s="153"/>
      <c r="HA15" s="153"/>
      <c r="HB15" s="153"/>
      <c r="HC15" s="153"/>
      <c r="HD15" s="153"/>
      <c r="HE15" s="153"/>
      <c r="HF15" s="153"/>
      <c r="HG15" s="153"/>
      <c r="HH15" s="153"/>
      <c r="HI15" s="153"/>
      <c r="HJ15" s="153"/>
      <c r="HK15" s="153"/>
      <c r="HL15" s="153"/>
      <c r="HM15" s="153"/>
      <c r="HN15" s="153"/>
      <c r="HO15" s="153"/>
      <c r="HP15" s="153"/>
      <c r="HQ15" s="153"/>
      <c r="HR15" s="153"/>
      <c r="HS15" s="153"/>
      <c r="HT15" s="153"/>
      <c r="HU15" s="153"/>
      <c r="HV15" s="153"/>
      <c r="HW15" s="153"/>
      <c r="HX15" s="153"/>
      <c r="HY15" s="153"/>
      <c r="HZ15" s="153"/>
      <c r="IA15" s="153"/>
      <c r="IB15" s="153"/>
      <c r="IC15" s="153"/>
      <c r="ID15" s="153"/>
      <c r="IE15" s="153"/>
      <c r="IF15" s="153"/>
      <c r="IG15" s="153"/>
      <c r="IH15" s="153"/>
      <c r="II15" s="153"/>
      <c r="IJ15" s="153"/>
      <c r="IK15" s="153"/>
      <c r="IL15" s="153"/>
      <c r="IM15" s="153"/>
      <c r="IN15" s="153"/>
      <c r="IO15" s="153"/>
      <c r="IP15" s="153"/>
      <c r="IQ15" s="153"/>
      <c r="IR15" s="153"/>
      <c r="IS15" s="153"/>
      <c r="IT15" s="153"/>
      <c r="IU15" s="153"/>
      <c r="IV15" s="153"/>
      <c r="IW15" s="153"/>
      <c r="IX15" s="153"/>
      <c r="IY15" s="153"/>
      <c r="IZ15" s="153"/>
      <c r="JA15" s="153"/>
      <c r="JB15" s="153"/>
      <c r="JC15" s="153"/>
      <c r="JD15" s="153"/>
      <c r="JE15" s="153"/>
      <c r="JF15" s="153"/>
      <c r="JG15" s="153"/>
      <c r="JH15" s="153"/>
      <c r="JI15" s="153"/>
      <c r="JJ15" s="153"/>
      <c r="JK15" s="153"/>
      <c r="JL15" s="153"/>
      <c r="JM15" s="153"/>
      <c r="JN15" s="153"/>
      <c r="JO15" s="153"/>
      <c r="JP15" s="153"/>
      <c r="JQ15" s="153"/>
      <c r="JR15" s="153"/>
      <c r="JS15" s="153"/>
      <c r="JT15" s="153"/>
      <c r="JU15" s="153"/>
      <c r="JV15" s="153"/>
      <c r="JW15" s="153"/>
      <c r="JX15" s="153"/>
      <c r="JY15" s="153"/>
      <c r="JZ15" s="153"/>
      <c r="KA15" s="153"/>
      <c r="KB15" s="153"/>
      <c r="KC15" s="153"/>
    </row>
    <row r="16" spans="2:289" x14ac:dyDescent="0.25">
      <c r="B16" s="180" t="s">
        <v>14</v>
      </c>
      <c r="C16" s="191"/>
      <c r="D16" s="181"/>
      <c r="E16" s="192">
        <f>I17/E15</f>
        <v>7.7440000000000007</v>
      </c>
      <c r="F16" s="180" t="s">
        <v>11</v>
      </c>
      <c r="G16" s="181"/>
      <c r="H16" s="181"/>
      <c r="I16" s="190">
        <v>2</v>
      </c>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c r="CX16" s="179"/>
      <c r="CY16" s="179"/>
      <c r="CZ16" s="179"/>
      <c r="DA16" s="179"/>
      <c r="DB16" s="179"/>
      <c r="DC16" s="179"/>
      <c r="DD16" s="179"/>
      <c r="DE16" s="179"/>
      <c r="DF16" s="179"/>
      <c r="DG16" s="179"/>
      <c r="DH16" s="179"/>
      <c r="DI16" s="179"/>
      <c r="DJ16" s="179"/>
      <c r="DK16" s="179"/>
      <c r="DL16" s="179"/>
      <c r="DM16" s="179"/>
      <c r="DN16" s="179"/>
      <c r="DO16" s="179"/>
      <c r="DP16" s="179"/>
      <c r="DQ16" s="179"/>
      <c r="DR16" s="179"/>
      <c r="DS16" s="179"/>
      <c r="DT16" s="179"/>
      <c r="DU16" s="179"/>
      <c r="DV16" s="179"/>
      <c r="DW16" s="179"/>
      <c r="DX16" s="179"/>
      <c r="DY16" s="179"/>
      <c r="DZ16" s="179"/>
      <c r="EA16" s="179"/>
      <c r="EB16" s="179"/>
      <c r="EC16" s="179"/>
      <c r="ED16" s="179"/>
      <c r="EE16" s="179"/>
      <c r="EF16" s="179"/>
      <c r="EG16" s="179"/>
      <c r="EH16" s="179"/>
      <c r="EI16" s="179"/>
      <c r="EJ16" s="179"/>
      <c r="EK16" s="179"/>
      <c r="EL16" s="179"/>
      <c r="EM16" s="179"/>
      <c r="EN16" s="179"/>
      <c r="EO16" s="179"/>
      <c r="EP16" s="179"/>
      <c r="EQ16" s="179"/>
      <c r="ER16" s="179"/>
      <c r="ES16" s="179"/>
      <c r="ET16" s="179"/>
      <c r="EU16" s="153"/>
      <c r="EV16" s="153"/>
      <c r="EW16" s="153"/>
      <c r="EX16" s="153"/>
      <c r="EY16" s="153"/>
      <c r="EZ16" s="154"/>
      <c r="FA16" s="153"/>
      <c r="FB16" s="153"/>
      <c r="FC16" s="153"/>
      <c r="FD16" s="153"/>
      <c r="FE16" s="153"/>
      <c r="FF16" s="153"/>
      <c r="FG16" s="153"/>
      <c r="FH16" s="153"/>
      <c r="FI16" s="153"/>
      <c r="FJ16" s="153"/>
      <c r="FK16" s="153"/>
      <c r="FL16" s="153"/>
      <c r="FM16" s="153"/>
      <c r="FN16" s="153"/>
      <c r="FO16" s="153"/>
      <c r="FP16" s="153"/>
      <c r="FQ16" s="153"/>
      <c r="FR16" s="153"/>
      <c r="FS16" s="153"/>
      <c r="FT16" s="153"/>
      <c r="FU16" s="153"/>
      <c r="FV16" s="153"/>
      <c r="FW16" s="153"/>
      <c r="FX16" s="153"/>
      <c r="FY16" s="153"/>
      <c r="FZ16" s="153"/>
      <c r="GA16" s="153"/>
      <c r="GB16" s="153"/>
      <c r="GC16" s="153"/>
      <c r="GD16" s="153"/>
      <c r="GE16" s="153"/>
      <c r="GF16" s="153"/>
      <c r="GG16" s="153"/>
      <c r="GH16" s="153"/>
      <c r="GI16" s="153"/>
      <c r="GJ16" s="153"/>
      <c r="GK16" s="153"/>
      <c r="GL16" s="153"/>
      <c r="GM16" s="153"/>
      <c r="GN16" s="153"/>
      <c r="GO16" s="153"/>
      <c r="GP16" s="153"/>
      <c r="GQ16" s="153"/>
      <c r="GR16" s="153"/>
      <c r="GS16" s="153"/>
      <c r="GT16" s="153"/>
      <c r="GU16" s="153"/>
      <c r="GV16" s="153"/>
      <c r="GW16" s="153"/>
      <c r="GX16" s="153"/>
      <c r="GY16" s="153"/>
      <c r="GZ16" s="153"/>
      <c r="HA16" s="153"/>
      <c r="HB16" s="153"/>
      <c r="HC16" s="153"/>
      <c r="HD16" s="153"/>
      <c r="HE16" s="153"/>
      <c r="HF16" s="153"/>
      <c r="HG16" s="153"/>
      <c r="HH16" s="153"/>
      <c r="HI16" s="153"/>
      <c r="HJ16" s="153"/>
      <c r="HK16" s="153"/>
      <c r="HL16" s="153"/>
      <c r="HM16" s="153"/>
      <c r="HN16" s="153"/>
      <c r="HO16" s="153"/>
      <c r="HP16" s="153"/>
      <c r="HQ16" s="153"/>
      <c r="HR16" s="153"/>
      <c r="HS16" s="153"/>
      <c r="HT16" s="153"/>
      <c r="HU16" s="153"/>
      <c r="HV16" s="153"/>
      <c r="HW16" s="153"/>
      <c r="HX16" s="153"/>
      <c r="HY16" s="153"/>
      <c r="HZ16" s="153"/>
      <c r="IA16" s="153"/>
      <c r="IB16" s="153"/>
      <c r="IC16" s="153"/>
      <c r="ID16" s="153"/>
      <c r="IE16" s="153"/>
      <c r="IF16" s="153"/>
      <c r="IG16" s="153"/>
      <c r="IH16" s="153"/>
      <c r="II16" s="153"/>
      <c r="IJ16" s="153"/>
      <c r="IK16" s="153"/>
      <c r="IL16" s="153"/>
      <c r="IM16" s="153"/>
      <c r="IN16" s="153"/>
      <c r="IO16" s="153"/>
      <c r="IP16" s="153"/>
      <c r="IQ16" s="153"/>
      <c r="IR16" s="153"/>
      <c r="IS16" s="153"/>
      <c r="IT16" s="153"/>
      <c r="IU16" s="153"/>
      <c r="IV16" s="153"/>
      <c r="IW16" s="153"/>
      <c r="IX16" s="153"/>
      <c r="IY16" s="153"/>
      <c r="IZ16" s="153"/>
      <c r="JA16" s="153"/>
      <c r="JB16" s="153"/>
      <c r="JC16" s="153"/>
      <c r="JD16" s="153"/>
      <c r="JE16" s="153"/>
      <c r="JF16" s="153"/>
      <c r="JG16" s="153"/>
      <c r="JH16" s="153"/>
      <c r="JI16" s="153"/>
      <c r="JJ16" s="153"/>
      <c r="JK16" s="153"/>
      <c r="JL16" s="153"/>
      <c r="JM16" s="153"/>
      <c r="JN16" s="153"/>
      <c r="JO16" s="153"/>
      <c r="JP16" s="153"/>
      <c r="JQ16" s="153"/>
      <c r="JR16" s="153"/>
      <c r="JS16" s="153"/>
      <c r="JT16" s="153"/>
      <c r="JU16" s="153"/>
      <c r="JV16" s="153"/>
      <c r="JW16" s="153"/>
      <c r="JX16" s="153"/>
      <c r="JY16" s="153"/>
      <c r="JZ16" s="153"/>
      <c r="KA16" s="153"/>
      <c r="KB16" s="153"/>
      <c r="KC16" s="153"/>
    </row>
    <row r="17" spans="2:289" x14ac:dyDescent="0.25">
      <c r="B17" s="180" t="s">
        <v>12</v>
      </c>
      <c r="C17" s="180"/>
      <c r="D17" s="181"/>
      <c r="E17" s="193">
        <f>E18/C15</f>
        <v>0.22633333333333336</v>
      </c>
      <c r="F17" s="180" t="s">
        <v>13</v>
      </c>
      <c r="G17" s="181"/>
      <c r="H17" s="181"/>
      <c r="I17" s="194">
        <f>C99</f>
        <v>16</v>
      </c>
      <c r="J17" s="179"/>
      <c r="K17" s="179"/>
      <c r="L17" s="179"/>
      <c r="M17" s="179"/>
      <c r="N17" s="179"/>
      <c r="O17" s="179"/>
      <c r="P17" s="179"/>
      <c r="Q17" s="179"/>
      <c r="R17" s="179"/>
      <c r="S17" s="179"/>
      <c r="T17" s="179"/>
      <c r="U17" s="179"/>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c r="CX17" s="179"/>
      <c r="CY17" s="179"/>
      <c r="CZ17" s="179"/>
      <c r="DA17" s="179"/>
      <c r="DB17" s="179"/>
      <c r="DC17" s="179"/>
      <c r="DD17" s="179"/>
      <c r="DE17" s="179"/>
      <c r="DF17" s="179"/>
      <c r="DG17" s="179"/>
      <c r="DH17" s="179"/>
      <c r="DI17" s="179"/>
      <c r="DJ17" s="179"/>
      <c r="DK17" s="179"/>
      <c r="DL17" s="179"/>
      <c r="DM17" s="179"/>
      <c r="DN17" s="179"/>
      <c r="DO17" s="179"/>
      <c r="DP17" s="179"/>
      <c r="DQ17" s="179"/>
      <c r="DR17" s="179"/>
      <c r="DS17" s="179"/>
      <c r="DT17" s="179"/>
      <c r="DU17" s="179"/>
      <c r="DV17" s="179"/>
      <c r="DW17" s="179"/>
      <c r="DX17" s="179"/>
      <c r="DY17" s="179"/>
      <c r="DZ17" s="179"/>
      <c r="EA17" s="179"/>
      <c r="EB17" s="179"/>
      <c r="EC17" s="179"/>
      <c r="ED17" s="179"/>
      <c r="EE17" s="179"/>
      <c r="EF17" s="179"/>
      <c r="EG17" s="179"/>
      <c r="EH17" s="179"/>
      <c r="EI17" s="179"/>
      <c r="EJ17" s="179"/>
      <c r="EK17" s="179"/>
      <c r="EL17" s="179"/>
      <c r="EM17" s="179"/>
      <c r="EN17" s="179"/>
      <c r="EO17" s="179"/>
      <c r="EP17" s="179"/>
      <c r="EQ17" s="179"/>
      <c r="ER17" s="179"/>
      <c r="ES17" s="179"/>
      <c r="ET17" s="179"/>
      <c r="EU17" s="153"/>
      <c r="EV17" s="153"/>
      <c r="EW17" s="153"/>
      <c r="EX17" s="153"/>
      <c r="EY17" s="153"/>
      <c r="EZ17" s="154"/>
      <c r="FA17" s="153"/>
      <c r="FB17" s="153"/>
      <c r="FC17" s="153"/>
      <c r="FD17" s="153"/>
      <c r="FE17" s="153"/>
      <c r="FF17" s="153"/>
      <c r="FG17" s="153"/>
      <c r="FH17" s="153"/>
      <c r="FI17" s="153"/>
      <c r="FJ17" s="153"/>
      <c r="FK17" s="153"/>
      <c r="FL17" s="153"/>
      <c r="FM17" s="153"/>
      <c r="FN17" s="153"/>
      <c r="FO17" s="153"/>
      <c r="FP17" s="153"/>
      <c r="FQ17" s="153"/>
      <c r="FR17" s="153"/>
      <c r="FS17" s="153"/>
      <c r="FT17" s="153"/>
      <c r="FU17" s="153"/>
      <c r="FV17" s="153"/>
      <c r="FW17" s="153"/>
      <c r="FX17" s="153"/>
      <c r="FY17" s="153"/>
      <c r="FZ17" s="153"/>
      <c r="GA17" s="153"/>
      <c r="GB17" s="153"/>
      <c r="GC17" s="153"/>
      <c r="GD17" s="153"/>
      <c r="GE17" s="153"/>
      <c r="GF17" s="153"/>
      <c r="GG17" s="153"/>
      <c r="GH17" s="153"/>
      <c r="GI17" s="153"/>
      <c r="GJ17" s="153"/>
      <c r="GK17" s="153"/>
      <c r="GL17" s="153"/>
      <c r="GM17" s="153"/>
      <c r="GN17" s="153"/>
      <c r="GO17" s="153"/>
      <c r="GP17" s="153"/>
      <c r="GQ17" s="153"/>
      <c r="GR17" s="153"/>
      <c r="GS17" s="153"/>
      <c r="GT17" s="153"/>
      <c r="GU17" s="153"/>
      <c r="GV17" s="153"/>
      <c r="GW17" s="153"/>
      <c r="GX17" s="153"/>
      <c r="GY17" s="153"/>
      <c r="GZ17" s="153"/>
      <c r="HA17" s="153"/>
      <c r="HB17" s="153"/>
      <c r="HC17" s="153"/>
      <c r="HD17" s="153"/>
      <c r="HE17" s="153"/>
      <c r="HF17" s="153"/>
      <c r="HG17" s="153"/>
      <c r="HH17" s="153"/>
      <c r="HI17" s="153"/>
      <c r="HJ17" s="153"/>
      <c r="HK17" s="153"/>
      <c r="HL17" s="153"/>
      <c r="HM17" s="153"/>
      <c r="HN17" s="153"/>
      <c r="HO17" s="153"/>
      <c r="HP17" s="153"/>
      <c r="HQ17" s="153"/>
      <c r="HR17" s="153"/>
      <c r="HS17" s="153"/>
      <c r="HT17" s="153"/>
      <c r="HU17" s="153"/>
      <c r="HV17" s="153"/>
      <c r="HW17" s="153"/>
      <c r="HX17" s="153"/>
      <c r="HY17" s="153"/>
      <c r="HZ17" s="153"/>
      <c r="IA17" s="153"/>
      <c r="IB17" s="153"/>
      <c r="IC17" s="153"/>
      <c r="ID17" s="153"/>
      <c r="IE17" s="153"/>
      <c r="IF17" s="153"/>
      <c r="IG17" s="153"/>
      <c r="IH17" s="153"/>
      <c r="II17" s="153"/>
      <c r="IJ17" s="153"/>
      <c r="IK17" s="153"/>
      <c r="IL17" s="153"/>
      <c r="IM17" s="153"/>
      <c r="IN17" s="153"/>
      <c r="IO17" s="153"/>
      <c r="IP17" s="153"/>
      <c r="IQ17" s="153"/>
      <c r="IR17" s="153"/>
      <c r="IS17" s="153"/>
      <c r="IT17" s="153"/>
      <c r="IU17" s="153"/>
      <c r="IV17" s="153"/>
      <c r="IW17" s="153"/>
      <c r="IX17" s="153"/>
      <c r="IY17" s="153"/>
      <c r="IZ17" s="153"/>
      <c r="JA17" s="153"/>
      <c r="JB17" s="153"/>
      <c r="JC17" s="153"/>
      <c r="JD17" s="153"/>
      <c r="JE17" s="153"/>
      <c r="JF17" s="153"/>
      <c r="JG17" s="153"/>
      <c r="JH17" s="153"/>
      <c r="JI17" s="153"/>
      <c r="JJ17" s="153"/>
      <c r="JK17" s="153"/>
      <c r="JL17" s="153"/>
      <c r="JM17" s="153"/>
      <c r="JN17" s="153"/>
      <c r="JO17" s="153"/>
      <c r="JP17" s="153"/>
      <c r="JQ17" s="153"/>
      <c r="JR17" s="153"/>
      <c r="JS17" s="153"/>
      <c r="JT17" s="153"/>
      <c r="JU17" s="153"/>
      <c r="JV17" s="153"/>
      <c r="JW17" s="153"/>
      <c r="JX17" s="153"/>
      <c r="JY17" s="153"/>
      <c r="JZ17" s="153"/>
      <c r="KA17" s="153"/>
      <c r="KB17" s="153"/>
      <c r="KC17" s="153"/>
    </row>
    <row r="18" spans="2:289" x14ac:dyDescent="0.25">
      <c r="B18" s="180" t="str">
        <f>"Gross Buildable (GBA - "&amp;Unit_Type&amp;")"</f>
        <v>Gross Buildable (GBA - SF)</v>
      </c>
      <c r="C18" s="180"/>
      <c r="D18" s="181"/>
      <c r="E18" s="195">
        <f>Units_SF_M2/0.8</f>
        <v>20370</v>
      </c>
      <c r="F18" s="180" t="str">
        <f>"Net Rentable (NRA - "&amp;Unit_Type&amp;")"</f>
        <v>Net Rentable (NRA - SF)</v>
      </c>
      <c r="G18" s="181"/>
      <c r="H18" s="196" t="str">
        <f>TEXT(Units_SF_M2/E18,"0.0%")&amp;" of GBA"</f>
        <v>80.0% of GBA</v>
      </c>
      <c r="I18" s="197">
        <f>I17*D99</f>
        <v>16296</v>
      </c>
      <c r="J18" s="179"/>
      <c r="K18" s="179"/>
      <c r="L18" s="179"/>
      <c r="M18" s="179"/>
      <c r="N18" s="179"/>
      <c r="O18" s="179"/>
      <c r="P18" s="179"/>
      <c r="Q18" s="179"/>
      <c r="R18" s="179"/>
      <c r="S18" s="179"/>
      <c r="T18" s="179"/>
      <c r="U18" s="179"/>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53"/>
      <c r="EV18" s="153"/>
      <c r="EW18" s="153"/>
      <c r="EX18" s="153"/>
      <c r="EY18" s="153"/>
      <c r="EZ18" s="154"/>
      <c r="FA18" s="153"/>
      <c r="FB18" s="153"/>
      <c r="FC18" s="153"/>
      <c r="FD18" s="153"/>
      <c r="FE18" s="153"/>
      <c r="FF18" s="153"/>
      <c r="FG18" s="153"/>
      <c r="FH18" s="153"/>
      <c r="FI18" s="153"/>
      <c r="FJ18" s="153"/>
      <c r="FK18" s="153"/>
      <c r="FL18" s="153"/>
      <c r="FM18" s="153"/>
      <c r="FN18" s="153"/>
      <c r="FO18" s="153"/>
      <c r="FP18" s="153"/>
      <c r="FQ18" s="153"/>
      <c r="FR18" s="153"/>
      <c r="FS18" s="153"/>
      <c r="FT18" s="153"/>
      <c r="FU18" s="153"/>
      <c r="FV18" s="153"/>
      <c r="FW18" s="153"/>
      <c r="FX18" s="153"/>
      <c r="FY18" s="153"/>
      <c r="FZ18" s="153"/>
      <c r="GA18" s="153"/>
      <c r="GB18" s="153"/>
      <c r="GC18" s="153"/>
      <c r="GD18" s="153"/>
      <c r="GE18" s="153"/>
      <c r="GF18" s="153"/>
      <c r="GG18" s="153"/>
      <c r="GH18" s="153"/>
      <c r="GI18" s="153"/>
      <c r="GJ18" s="153"/>
      <c r="GK18" s="153"/>
      <c r="GL18" s="153"/>
      <c r="GM18" s="153"/>
      <c r="GN18" s="153"/>
      <c r="GO18" s="153"/>
      <c r="GP18" s="153"/>
      <c r="GQ18" s="153"/>
      <c r="GR18" s="153"/>
      <c r="GS18" s="153"/>
      <c r="GT18" s="153"/>
      <c r="GU18" s="153"/>
      <c r="GV18" s="153"/>
      <c r="GW18" s="153"/>
      <c r="GX18" s="153"/>
      <c r="GY18" s="153"/>
      <c r="GZ18" s="153"/>
      <c r="HA18" s="153"/>
      <c r="HB18" s="153"/>
      <c r="HC18" s="153"/>
      <c r="HD18" s="153"/>
      <c r="HE18" s="153"/>
      <c r="HF18" s="153"/>
      <c r="HG18" s="153"/>
      <c r="HH18" s="153"/>
      <c r="HI18" s="153"/>
      <c r="HJ18" s="153"/>
      <c r="HK18" s="153"/>
      <c r="HL18" s="153"/>
      <c r="HM18" s="153"/>
      <c r="HN18" s="153"/>
      <c r="HO18" s="153"/>
      <c r="HP18" s="153"/>
      <c r="HQ18" s="153"/>
      <c r="HR18" s="153"/>
      <c r="HS18" s="153"/>
      <c r="HT18" s="153"/>
      <c r="HU18" s="153"/>
      <c r="HV18" s="153"/>
      <c r="HW18" s="153"/>
      <c r="HX18" s="153"/>
      <c r="HY18" s="153"/>
      <c r="HZ18" s="153"/>
      <c r="IA18" s="153"/>
      <c r="IB18" s="153"/>
      <c r="IC18" s="153"/>
      <c r="ID18" s="153"/>
      <c r="IE18" s="153"/>
      <c r="IF18" s="153"/>
      <c r="IG18" s="153"/>
      <c r="IH18" s="153"/>
      <c r="II18" s="153"/>
      <c r="IJ18" s="153"/>
      <c r="IK18" s="153"/>
      <c r="IL18" s="153"/>
      <c r="IM18" s="153"/>
      <c r="IN18" s="153"/>
      <c r="IO18" s="153"/>
      <c r="IP18" s="153"/>
      <c r="IQ18" s="153"/>
      <c r="IR18" s="153"/>
      <c r="IS18" s="153"/>
      <c r="IT18" s="153"/>
      <c r="IU18" s="153"/>
      <c r="IV18" s="153"/>
      <c r="IW18" s="153"/>
      <c r="IX18" s="153"/>
      <c r="IY18" s="153"/>
      <c r="IZ18" s="153"/>
      <c r="JA18" s="153"/>
      <c r="JB18" s="153"/>
      <c r="JC18" s="153"/>
      <c r="JD18" s="153"/>
      <c r="JE18" s="153"/>
      <c r="JF18" s="153"/>
      <c r="JG18" s="153"/>
      <c r="JH18" s="153"/>
      <c r="JI18" s="153"/>
      <c r="JJ18" s="153"/>
      <c r="JK18" s="153"/>
      <c r="JL18" s="153"/>
      <c r="JM18" s="153"/>
      <c r="JN18" s="153"/>
      <c r="JO18" s="153"/>
      <c r="JP18" s="153"/>
      <c r="JQ18" s="153"/>
      <c r="JR18" s="153"/>
      <c r="JS18" s="153"/>
      <c r="JT18" s="153"/>
      <c r="JU18" s="153"/>
      <c r="JV18" s="153"/>
      <c r="JW18" s="153"/>
      <c r="JX18" s="153"/>
      <c r="JY18" s="153"/>
      <c r="JZ18" s="153"/>
      <c r="KA18" s="153"/>
      <c r="KB18" s="153"/>
      <c r="KC18" s="153"/>
    </row>
    <row r="19" spans="2:289" x14ac:dyDescent="0.25">
      <c r="B19" s="180" t="s">
        <v>15</v>
      </c>
      <c r="C19" s="180"/>
      <c r="D19" s="181"/>
      <c r="E19" s="198">
        <f>SUM(I19:I20)</f>
        <v>0</v>
      </c>
      <c r="F19" s="180" t="s">
        <v>16</v>
      </c>
      <c r="G19" s="181"/>
      <c r="H19" s="180"/>
      <c r="I19" s="182">
        <v>0</v>
      </c>
      <c r="J19" s="179"/>
      <c r="K19" s="179"/>
      <c r="L19" s="179"/>
      <c r="M19" s="179"/>
      <c r="N19" s="179"/>
      <c r="O19" s="179"/>
      <c r="P19" s="179"/>
      <c r="Q19" s="179"/>
      <c r="R19" s="179"/>
      <c r="S19" s="179"/>
      <c r="T19" s="179"/>
      <c r="U19" s="179"/>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53"/>
      <c r="EV19" s="153"/>
      <c r="EW19" s="153"/>
      <c r="EX19" s="153"/>
      <c r="EY19" s="153"/>
      <c r="EZ19" s="154"/>
      <c r="FA19" s="153"/>
      <c r="FB19" s="153"/>
      <c r="FC19" s="153"/>
      <c r="FD19" s="153"/>
      <c r="FE19" s="153"/>
      <c r="FF19" s="153"/>
      <c r="FG19" s="153"/>
      <c r="FH19" s="153"/>
      <c r="FI19" s="153"/>
      <c r="FJ19" s="153"/>
      <c r="FK19" s="153"/>
      <c r="FL19" s="153"/>
      <c r="FM19" s="153"/>
      <c r="FN19" s="153"/>
      <c r="FO19" s="153"/>
      <c r="FP19" s="153"/>
      <c r="FQ19" s="153"/>
      <c r="FR19" s="153"/>
      <c r="FS19" s="153"/>
      <c r="FT19" s="153"/>
      <c r="FU19" s="153"/>
      <c r="FV19" s="153"/>
      <c r="FW19" s="153"/>
      <c r="FX19" s="153"/>
      <c r="FY19" s="153"/>
      <c r="FZ19" s="153"/>
      <c r="GA19" s="153"/>
      <c r="GB19" s="153"/>
      <c r="GC19" s="153"/>
      <c r="GD19" s="153"/>
      <c r="GE19" s="153"/>
      <c r="GF19" s="153"/>
      <c r="GG19" s="153"/>
      <c r="GH19" s="153"/>
      <c r="GI19" s="153"/>
      <c r="GJ19" s="153"/>
      <c r="GK19" s="153"/>
      <c r="GL19" s="153"/>
      <c r="GM19" s="153"/>
      <c r="GN19" s="153"/>
      <c r="GO19" s="153"/>
      <c r="GP19" s="153"/>
      <c r="GQ19" s="153"/>
      <c r="GR19" s="153"/>
      <c r="GS19" s="153"/>
      <c r="GT19" s="153"/>
      <c r="GU19" s="153"/>
      <c r="GV19" s="153"/>
      <c r="GW19" s="153"/>
      <c r="GX19" s="153"/>
      <c r="GY19" s="153"/>
      <c r="GZ19" s="153"/>
      <c r="HA19" s="153"/>
      <c r="HB19" s="153"/>
      <c r="HC19" s="153"/>
      <c r="HD19" s="153"/>
      <c r="HE19" s="153"/>
      <c r="HF19" s="153"/>
      <c r="HG19" s="153"/>
      <c r="HH19" s="153"/>
      <c r="HI19" s="153"/>
      <c r="HJ19" s="153"/>
      <c r="HK19" s="153"/>
      <c r="HL19" s="153"/>
      <c r="HM19" s="153"/>
      <c r="HN19" s="153"/>
      <c r="HO19" s="153"/>
      <c r="HP19" s="153"/>
      <c r="HQ19" s="153"/>
      <c r="HR19" s="153"/>
      <c r="HS19" s="153"/>
      <c r="HT19" s="153"/>
      <c r="HU19" s="153"/>
      <c r="HV19" s="153"/>
      <c r="HW19" s="153"/>
      <c r="HX19" s="153"/>
      <c r="HY19" s="153"/>
      <c r="HZ19" s="153"/>
      <c r="IA19" s="153"/>
      <c r="IB19" s="153"/>
      <c r="IC19" s="153"/>
      <c r="ID19" s="153"/>
      <c r="IE19" s="153"/>
      <c r="IF19" s="153"/>
      <c r="IG19" s="153"/>
      <c r="IH19" s="153"/>
      <c r="II19" s="153"/>
      <c r="IJ19" s="153"/>
      <c r="IK19" s="153"/>
      <c r="IL19" s="153"/>
      <c r="IM19" s="153"/>
      <c r="IN19" s="153"/>
      <c r="IO19" s="153"/>
      <c r="IP19" s="153"/>
      <c r="IQ19" s="153"/>
      <c r="IR19" s="153"/>
      <c r="IS19" s="153"/>
      <c r="IT19" s="153"/>
      <c r="IU19" s="153"/>
      <c r="IV19" s="153"/>
      <c r="IW19" s="153"/>
      <c r="IX19" s="153"/>
      <c r="IY19" s="153"/>
      <c r="IZ19" s="153"/>
      <c r="JA19" s="153"/>
      <c r="JB19" s="153"/>
      <c r="JC19" s="153"/>
      <c r="JD19" s="153"/>
      <c r="JE19" s="153"/>
      <c r="JF19" s="153"/>
      <c r="JG19" s="153"/>
      <c r="JH19" s="153"/>
      <c r="JI19" s="153"/>
      <c r="JJ19" s="153"/>
      <c r="JK19" s="153"/>
      <c r="JL19" s="153"/>
      <c r="JM19" s="153"/>
      <c r="JN19" s="153"/>
      <c r="JO19" s="153"/>
      <c r="JP19" s="153"/>
      <c r="JQ19" s="153"/>
      <c r="JR19" s="153"/>
      <c r="JS19" s="153"/>
      <c r="JT19" s="153"/>
      <c r="JU19" s="153"/>
      <c r="JV19" s="153"/>
      <c r="JW19" s="153"/>
      <c r="JX19" s="153"/>
      <c r="JY19" s="153"/>
      <c r="JZ19" s="153"/>
      <c r="KA19" s="153"/>
      <c r="KB19" s="153"/>
      <c r="KC19" s="153"/>
    </row>
    <row r="20" spans="2:289" x14ac:dyDescent="0.25">
      <c r="B20" s="180" t="s">
        <v>17</v>
      </c>
      <c r="C20" s="180"/>
      <c r="D20" s="181"/>
      <c r="E20" s="199">
        <f>E19/I17</f>
        <v>0</v>
      </c>
      <c r="F20" s="180" t="s">
        <v>487</v>
      </c>
      <c r="G20" s="181"/>
      <c r="H20" s="180"/>
      <c r="I20" s="182">
        <v>0</v>
      </c>
      <c r="J20" s="179"/>
      <c r="K20" s="179"/>
      <c r="L20" s="179"/>
      <c r="M20" s="179"/>
      <c r="N20" s="179"/>
      <c r="O20" s="179"/>
      <c r="P20" s="179"/>
      <c r="Q20" s="179"/>
      <c r="R20" s="179"/>
      <c r="S20" s="179"/>
      <c r="T20" s="179"/>
      <c r="U20" s="179"/>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53"/>
      <c r="EV20" s="153"/>
      <c r="EW20" s="153"/>
      <c r="EX20" s="153"/>
      <c r="EY20" s="153"/>
      <c r="EZ20" s="154"/>
      <c r="FA20" s="153"/>
      <c r="FB20" s="153"/>
      <c r="FC20" s="153"/>
      <c r="FD20" s="153"/>
      <c r="FE20" s="153"/>
      <c r="FF20" s="153"/>
      <c r="FG20" s="153"/>
      <c r="FH20" s="153"/>
      <c r="FI20" s="153"/>
      <c r="FJ20" s="153"/>
      <c r="FK20" s="153"/>
      <c r="FL20" s="153"/>
      <c r="FM20" s="153"/>
      <c r="FN20" s="153"/>
      <c r="FO20" s="153"/>
      <c r="FP20" s="153"/>
      <c r="FQ20" s="153"/>
      <c r="FR20" s="153"/>
      <c r="FS20" s="153"/>
      <c r="FT20" s="153"/>
      <c r="FU20" s="153"/>
      <c r="FV20" s="153"/>
      <c r="FW20" s="153"/>
      <c r="FX20" s="153"/>
      <c r="FY20" s="153"/>
      <c r="FZ20" s="153"/>
      <c r="GA20" s="153"/>
      <c r="GB20" s="153"/>
      <c r="GC20" s="153"/>
      <c r="GD20" s="153"/>
      <c r="GE20" s="153"/>
      <c r="GF20" s="153"/>
      <c r="GG20" s="153"/>
      <c r="GH20" s="153"/>
      <c r="GI20" s="153"/>
      <c r="GJ20" s="153"/>
      <c r="GK20" s="153"/>
      <c r="GL20" s="153"/>
      <c r="GM20" s="153"/>
      <c r="GN20" s="153"/>
      <c r="GO20" s="153"/>
      <c r="GP20" s="153"/>
      <c r="GQ20" s="153"/>
      <c r="GR20" s="153"/>
      <c r="GS20" s="153"/>
      <c r="GT20" s="153"/>
      <c r="GU20" s="153"/>
      <c r="GV20" s="153"/>
      <c r="GW20" s="153"/>
      <c r="GX20" s="153"/>
      <c r="GY20" s="153"/>
      <c r="GZ20" s="153"/>
      <c r="HA20" s="153"/>
      <c r="HB20" s="153"/>
      <c r="HC20" s="153"/>
      <c r="HD20" s="153"/>
      <c r="HE20" s="153"/>
      <c r="HF20" s="153"/>
      <c r="HG20" s="153"/>
      <c r="HH20" s="153"/>
      <c r="HI20" s="153"/>
      <c r="HJ20" s="153"/>
      <c r="HK20" s="153"/>
      <c r="HL20" s="153"/>
      <c r="HM20" s="153"/>
      <c r="HN20" s="153"/>
      <c r="HO20" s="153"/>
      <c r="HP20" s="153"/>
      <c r="HQ20" s="153"/>
      <c r="HR20" s="153"/>
      <c r="HS20" s="153"/>
      <c r="HT20" s="153"/>
      <c r="HU20" s="153"/>
      <c r="HV20" s="153"/>
      <c r="HW20" s="153"/>
      <c r="HX20" s="153"/>
      <c r="HY20" s="153"/>
      <c r="HZ20" s="153"/>
      <c r="IA20" s="153"/>
      <c r="IB20" s="153"/>
      <c r="IC20" s="153"/>
      <c r="ID20" s="153"/>
      <c r="IE20" s="153"/>
      <c r="IF20" s="153"/>
      <c r="IG20" s="153"/>
      <c r="IH20" s="153"/>
      <c r="II20" s="153"/>
      <c r="IJ20" s="153"/>
      <c r="IK20" s="153"/>
      <c r="IL20" s="153"/>
      <c r="IM20" s="153"/>
      <c r="IN20" s="153"/>
      <c r="IO20" s="153"/>
      <c r="IP20" s="153"/>
      <c r="IQ20" s="153"/>
      <c r="IR20" s="153"/>
      <c r="IS20" s="153"/>
      <c r="IT20" s="153"/>
      <c r="IU20" s="153"/>
      <c r="IV20" s="153"/>
      <c r="IW20" s="153"/>
      <c r="IX20" s="153"/>
      <c r="IY20" s="153"/>
      <c r="IZ20" s="153"/>
      <c r="JA20" s="153"/>
      <c r="JB20" s="153"/>
      <c r="JC20" s="153"/>
      <c r="JD20" s="153"/>
      <c r="JE20" s="153"/>
      <c r="JF20" s="153"/>
      <c r="JG20" s="153"/>
      <c r="JH20" s="153"/>
      <c r="JI20" s="153"/>
      <c r="JJ20" s="153"/>
      <c r="JK20" s="153"/>
      <c r="JL20" s="153"/>
      <c r="JM20" s="153"/>
      <c r="JN20" s="153"/>
      <c r="JO20" s="153"/>
      <c r="JP20" s="153"/>
      <c r="JQ20" s="153"/>
      <c r="JR20" s="153"/>
      <c r="JS20" s="153"/>
      <c r="JT20" s="153"/>
      <c r="JU20" s="153"/>
      <c r="JV20" s="153"/>
      <c r="JW20" s="153"/>
      <c r="JX20" s="153"/>
      <c r="JY20" s="153"/>
      <c r="JZ20" s="153"/>
      <c r="KA20" s="153"/>
      <c r="KB20" s="153"/>
      <c r="KC20" s="153"/>
    </row>
    <row r="21" spans="2:289" ht="4.9000000000000004" customHeight="1" x14ac:dyDescent="0.25">
      <c r="B21" s="542"/>
      <c r="C21" s="542"/>
      <c r="D21" s="542"/>
      <c r="E21" s="542"/>
      <c r="F21" s="542"/>
      <c r="G21" s="542"/>
      <c r="H21" s="542"/>
      <c r="I21" s="542"/>
      <c r="J21" s="546"/>
      <c r="K21" s="546"/>
      <c r="L21" s="546"/>
      <c r="M21" s="546"/>
      <c r="N21" s="546"/>
      <c r="O21" s="546"/>
      <c r="P21" s="546"/>
      <c r="Q21" s="546"/>
      <c r="R21" s="546"/>
      <c r="S21" s="546"/>
      <c r="T21" s="546"/>
      <c r="U21" s="546"/>
      <c r="V21" s="546"/>
      <c r="W21" s="546"/>
      <c r="X21" s="546"/>
      <c r="Y21" s="546"/>
      <c r="Z21" s="546"/>
      <c r="AA21" s="546"/>
      <c r="AB21" s="546"/>
      <c r="AC21" s="546"/>
      <c r="AD21" s="546"/>
      <c r="AE21" s="546"/>
      <c r="AF21" s="546"/>
      <c r="AG21" s="546"/>
      <c r="AH21" s="546"/>
      <c r="AI21" s="546"/>
      <c r="AJ21" s="546"/>
      <c r="AK21" s="546"/>
      <c r="AL21" s="546"/>
      <c r="AM21" s="546"/>
      <c r="AN21" s="546"/>
      <c r="AO21" s="546"/>
      <c r="AP21" s="546"/>
      <c r="AQ21" s="546"/>
      <c r="AR21" s="546"/>
      <c r="AS21" s="546"/>
      <c r="AT21" s="546"/>
      <c r="AU21" s="546"/>
      <c r="AV21" s="546"/>
      <c r="AW21" s="546"/>
      <c r="AX21" s="546"/>
      <c r="AY21" s="546"/>
      <c r="AZ21" s="546"/>
      <c r="BA21" s="546"/>
      <c r="BB21" s="546"/>
      <c r="BC21" s="546"/>
      <c r="BD21" s="546"/>
      <c r="BE21" s="546"/>
      <c r="BF21" s="546"/>
      <c r="BG21" s="546"/>
      <c r="BH21" s="546"/>
      <c r="BI21" s="546"/>
      <c r="BJ21" s="546"/>
      <c r="BK21" s="546"/>
      <c r="BL21" s="546"/>
      <c r="BM21" s="546"/>
      <c r="BN21" s="546"/>
      <c r="BO21" s="546"/>
      <c r="BP21" s="546"/>
      <c r="BQ21" s="546"/>
      <c r="BR21" s="546"/>
      <c r="BS21" s="546"/>
      <c r="BT21" s="546"/>
      <c r="BU21" s="546"/>
      <c r="BV21" s="546"/>
      <c r="BW21" s="546"/>
      <c r="BX21" s="546"/>
      <c r="BY21" s="546"/>
      <c r="BZ21" s="546"/>
      <c r="CA21" s="546"/>
      <c r="CB21" s="546"/>
      <c r="CC21" s="546"/>
      <c r="CD21" s="546"/>
      <c r="CE21" s="546"/>
      <c r="CF21" s="546"/>
      <c r="CG21" s="546"/>
      <c r="CH21" s="546"/>
      <c r="CI21" s="546"/>
      <c r="CJ21" s="546"/>
      <c r="CK21" s="546"/>
      <c r="CL21" s="546"/>
      <c r="CM21" s="546"/>
      <c r="CN21" s="546"/>
      <c r="CO21" s="546"/>
      <c r="CP21" s="546"/>
      <c r="CQ21" s="546"/>
      <c r="CR21" s="546"/>
      <c r="CS21" s="546"/>
      <c r="CT21" s="546"/>
      <c r="CU21" s="546"/>
      <c r="CV21" s="546"/>
      <c r="CW21" s="546"/>
      <c r="CX21" s="546"/>
      <c r="CY21" s="546"/>
      <c r="CZ21" s="546"/>
      <c r="DA21" s="546"/>
      <c r="DB21" s="546"/>
      <c r="DC21" s="546"/>
      <c r="DD21" s="546"/>
      <c r="DE21" s="546"/>
      <c r="DF21" s="546"/>
      <c r="DG21" s="546"/>
      <c r="DH21" s="546"/>
      <c r="DI21" s="546"/>
      <c r="DJ21" s="546"/>
      <c r="DK21" s="546"/>
      <c r="DL21" s="546"/>
      <c r="DM21" s="546"/>
      <c r="DN21" s="546"/>
      <c r="DO21" s="546"/>
      <c r="DP21" s="546"/>
      <c r="DQ21" s="546"/>
      <c r="DR21" s="546"/>
      <c r="DS21" s="546"/>
      <c r="DT21" s="546"/>
      <c r="DU21" s="546"/>
      <c r="DV21" s="546"/>
      <c r="DW21" s="546"/>
      <c r="DX21" s="546"/>
      <c r="DY21" s="546"/>
      <c r="DZ21" s="546"/>
      <c r="EA21" s="546"/>
      <c r="EB21" s="546"/>
      <c r="EC21" s="546"/>
      <c r="ED21" s="546"/>
      <c r="EE21" s="546"/>
      <c r="EF21" s="546"/>
      <c r="EG21" s="546"/>
      <c r="EH21" s="546"/>
      <c r="EI21" s="546"/>
      <c r="EJ21" s="546"/>
      <c r="EK21" s="546"/>
      <c r="EL21" s="546"/>
      <c r="EM21" s="546"/>
      <c r="EN21" s="546"/>
      <c r="EO21" s="546"/>
      <c r="EP21" s="546"/>
      <c r="EQ21" s="546"/>
      <c r="ER21" s="546"/>
      <c r="ES21" s="546"/>
      <c r="ET21" s="546"/>
      <c r="EU21" s="546"/>
      <c r="EV21" s="546"/>
      <c r="EW21" s="546"/>
      <c r="EX21" s="546"/>
      <c r="EY21" s="546"/>
      <c r="EZ21" s="550"/>
      <c r="FA21" s="546"/>
      <c r="FB21" s="546"/>
      <c r="FC21" s="546"/>
      <c r="FD21" s="546"/>
      <c r="FE21" s="546"/>
      <c r="FF21" s="546"/>
      <c r="FG21" s="546"/>
      <c r="FH21" s="546"/>
      <c r="FI21" s="546"/>
      <c r="FJ21" s="546"/>
      <c r="FK21" s="546"/>
      <c r="FL21" s="546"/>
      <c r="FM21" s="546"/>
      <c r="FN21" s="546"/>
      <c r="FO21" s="546"/>
      <c r="FP21" s="546"/>
      <c r="FQ21" s="546"/>
      <c r="FR21" s="546"/>
      <c r="FS21" s="546"/>
      <c r="FT21" s="546"/>
      <c r="FU21" s="546"/>
      <c r="FV21" s="546"/>
      <c r="FW21" s="546"/>
      <c r="FX21" s="546"/>
      <c r="FY21" s="546"/>
      <c r="FZ21" s="546"/>
      <c r="GA21" s="546"/>
      <c r="GB21" s="546"/>
      <c r="GC21" s="546"/>
      <c r="GD21" s="546"/>
      <c r="GE21" s="546"/>
      <c r="GF21" s="546"/>
      <c r="GG21" s="546"/>
      <c r="GH21" s="546"/>
      <c r="GI21" s="546"/>
      <c r="GJ21" s="546"/>
      <c r="GK21" s="546"/>
      <c r="GL21" s="546"/>
      <c r="GM21" s="546"/>
      <c r="GN21" s="546"/>
      <c r="GO21" s="546"/>
      <c r="GP21" s="546"/>
      <c r="GQ21" s="546"/>
      <c r="GR21" s="546"/>
      <c r="GS21" s="546"/>
      <c r="GT21" s="546"/>
      <c r="GU21" s="546"/>
      <c r="GV21" s="546"/>
      <c r="GW21" s="546"/>
      <c r="GX21" s="546"/>
      <c r="GY21" s="546"/>
      <c r="GZ21" s="546"/>
      <c r="HA21" s="546"/>
      <c r="HB21" s="546"/>
      <c r="HC21" s="546"/>
      <c r="HD21" s="546"/>
      <c r="HE21" s="546"/>
      <c r="HF21" s="546"/>
      <c r="HG21" s="546"/>
      <c r="HH21" s="546"/>
      <c r="HI21" s="546"/>
      <c r="HJ21" s="546"/>
      <c r="HK21" s="546"/>
      <c r="HL21" s="546"/>
      <c r="HM21" s="546"/>
      <c r="HN21" s="546"/>
      <c r="HO21" s="546"/>
      <c r="HP21" s="546"/>
      <c r="HQ21" s="546"/>
      <c r="HR21" s="546"/>
      <c r="HS21" s="546"/>
      <c r="HT21" s="546"/>
      <c r="HU21" s="546"/>
      <c r="HV21" s="546"/>
      <c r="HW21" s="546"/>
      <c r="HX21" s="546"/>
      <c r="HY21" s="546"/>
      <c r="HZ21" s="546"/>
      <c r="IA21" s="546"/>
      <c r="IB21" s="546"/>
      <c r="IC21" s="546"/>
      <c r="ID21" s="546"/>
      <c r="IE21" s="546"/>
      <c r="IF21" s="546"/>
      <c r="IG21" s="546"/>
      <c r="IH21" s="546"/>
      <c r="II21" s="546"/>
      <c r="IJ21" s="546"/>
      <c r="IK21" s="546"/>
      <c r="IL21" s="546"/>
      <c r="IM21" s="546"/>
      <c r="IN21" s="546"/>
      <c r="IO21" s="546"/>
      <c r="IP21" s="546"/>
      <c r="IQ21" s="546"/>
      <c r="IR21" s="546"/>
      <c r="IS21" s="546"/>
      <c r="IT21" s="546"/>
      <c r="IU21" s="546"/>
      <c r="IV21" s="546"/>
      <c r="IW21" s="546"/>
      <c r="IX21" s="546"/>
      <c r="IY21" s="546"/>
      <c r="IZ21" s="546"/>
      <c r="JA21" s="546"/>
      <c r="JB21" s="546"/>
      <c r="JC21" s="546"/>
      <c r="JD21" s="546"/>
      <c r="JE21" s="546"/>
      <c r="JF21" s="546"/>
      <c r="JG21" s="546"/>
      <c r="JH21" s="546"/>
      <c r="JI21" s="546"/>
      <c r="JJ21" s="546"/>
      <c r="JK21" s="546"/>
      <c r="JL21" s="546"/>
      <c r="JM21" s="546"/>
      <c r="JN21" s="546"/>
      <c r="JO21" s="546"/>
      <c r="JP21" s="546"/>
      <c r="JQ21" s="546"/>
      <c r="JR21" s="546"/>
      <c r="JS21" s="546"/>
      <c r="JT21" s="546"/>
      <c r="JU21" s="546"/>
      <c r="JV21" s="546"/>
      <c r="JW21" s="546"/>
      <c r="JX21" s="546"/>
      <c r="JY21" s="546"/>
      <c r="JZ21" s="546"/>
      <c r="KA21" s="546"/>
      <c r="KB21" s="546"/>
      <c r="KC21" s="546"/>
    </row>
    <row r="22" spans="2:289" x14ac:dyDescent="0.25">
      <c r="B22" s="547" t="s">
        <v>572</v>
      </c>
      <c r="C22" s="548"/>
      <c r="D22" s="548"/>
      <c r="E22" s="548"/>
      <c r="F22" s="548"/>
      <c r="G22" s="548"/>
      <c r="H22" s="548"/>
      <c r="I22" s="548"/>
      <c r="J22" s="200"/>
      <c r="K22" s="200"/>
      <c r="L22" s="200"/>
      <c r="M22" s="200"/>
      <c r="N22" s="200"/>
      <c r="O22" s="200"/>
      <c r="P22" s="200" t="s">
        <v>462</v>
      </c>
      <c r="Q22" s="201">
        <v>0</v>
      </c>
      <c r="R22" s="201">
        <f t="shared" ref="R22:CC22" si="10">Q22+1</f>
        <v>1</v>
      </c>
      <c r="S22" s="201">
        <f t="shared" si="10"/>
        <v>2</v>
      </c>
      <c r="T22" s="201">
        <f t="shared" si="10"/>
        <v>3</v>
      </c>
      <c r="U22" s="201">
        <f t="shared" si="10"/>
        <v>4</v>
      </c>
      <c r="V22" s="201">
        <f t="shared" si="10"/>
        <v>5</v>
      </c>
      <c r="W22" s="201">
        <f t="shared" si="10"/>
        <v>6</v>
      </c>
      <c r="X22" s="201">
        <f t="shared" si="10"/>
        <v>7</v>
      </c>
      <c r="Y22" s="201">
        <f t="shared" si="10"/>
        <v>8</v>
      </c>
      <c r="Z22" s="201">
        <f t="shared" si="10"/>
        <v>9</v>
      </c>
      <c r="AA22" s="201">
        <f t="shared" si="10"/>
        <v>10</v>
      </c>
      <c r="AB22" s="201">
        <f t="shared" si="10"/>
        <v>11</v>
      </c>
      <c r="AC22" s="201">
        <f t="shared" si="10"/>
        <v>12</v>
      </c>
      <c r="AD22" s="201">
        <f t="shared" si="10"/>
        <v>13</v>
      </c>
      <c r="AE22" s="201">
        <f t="shared" si="10"/>
        <v>14</v>
      </c>
      <c r="AF22" s="201">
        <f t="shared" si="10"/>
        <v>15</v>
      </c>
      <c r="AG22" s="201">
        <f t="shared" si="10"/>
        <v>16</v>
      </c>
      <c r="AH22" s="201">
        <f t="shared" si="10"/>
        <v>17</v>
      </c>
      <c r="AI22" s="201">
        <f t="shared" si="10"/>
        <v>18</v>
      </c>
      <c r="AJ22" s="201">
        <f t="shared" si="10"/>
        <v>19</v>
      </c>
      <c r="AK22" s="201">
        <f t="shared" si="10"/>
        <v>20</v>
      </c>
      <c r="AL22" s="201">
        <f t="shared" si="10"/>
        <v>21</v>
      </c>
      <c r="AM22" s="201">
        <f t="shared" si="10"/>
        <v>22</v>
      </c>
      <c r="AN22" s="201">
        <f t="shared" si="10"/>
        <v>23</v>
      </c>
      <c r="AO22" s="201">
        <f t="shared" si="10"/>
        <v>24</v>
      </c>
      <c r="AP22" s="201">
        <f t="shared" si="10"/>
        <v>25</v>
      </c>
      <c r="AQ22" s="201">
        <f t="shared" si="10"/>
        <v>26</v>
      </c>
      <c r="AR22" s="201">
        <f t="shared" si="10"/>
        <v>27</v>
      </c>
      <c r="AS22" s="201">
        <f t="shared" si="10"/>
        <v>28</v>
      </c>
      <c r="AT22" s="201">
        <f t="shared" si="10"/>
        <v>29</v>
      </c>
      <c r="AU22" s="201">
        <f t="shared" si="10"/>
        <v>30</v>
      </c>
      <c r="AV22" s="201">
        <f t="shared" si="10"/>
        <v>31</v>
      </c>
      <c r="AW22" s="201">
        <f t="shared" si="10"/>
        <v>32</v>
      </c>
      <c r="AX22" s="201">
        <f t="shared" si="10"/>
        <v>33</v>
      </c>
      <c r="AY22" s="201">
        <f t="shared" si="10"/>
        <v>34</v>
      </c>
      <c r="AZ22" s="201">
        <f t="shared" si="10"/>
        <v>35</v>
      </c>
      <c r="BA22" s="201">
        <f t="shared" si="10"/>
        <v>36</v>
      </c>
      <c r="BB22" s="201">
        <f t="shared" si="10"/>
        <v>37</v>
      </c>
      <c r="BC22" s="201">
        <f t="shared" si="10"/>
        <v>38</v>
      </c>
      <c r="BD22" s="201">
        <f t="shared" si="10"/>
        <v>39</v>
      </c>
      <c r="BE22" s="201">
        <f t="shared" si="10"/>
        <v>40</v>
      </c>
      <c r="BF22" s="201">
        <f t="shared" si="10"/>
        <v>41</v>
      </c>
      <c r="BG22" s="201">
        <f t="shared" si="10"/>
        <v>42</v>
      </c>
      <c r="BH22" s="201">
        <f t="shared" si="10"/>
        <v>43</v>
      </c>
      <c r="BI22" s="201">
        <f t="shared" si="10"/>
        <v>44</v>
      </c>
      <c r="BJ22" s="201">
        <f t="shared" si="10"/>
        <v>45</v>
      </c>
      <c r="BK22" s="201">
        <f t="shared" si="10"/>
        <v>46</v>
      </c>
      <c r="BL22" s="201">
        <f t="shared" si="10"/>
        <v>47</v>
      </c>
      <c r="BM22" s="201">
        <f t="shared" si="10"/>
        <v>48</v>
      </c>
      <c r="BN22" s="201">
        <f t="shared" si="10"/>
        <v>49</v>
      </c>
      <c r="BO22" s="201">
        <f t="shared" si="10"/>
        <v>50</v>
      </c>
      <c r="BP22" s="201">
        <f t="shared" si="10"/>
        <v>51</v>
      </c>
      <c r="BQ22" s="201">
        <f t="shared" si="10"/>
        <v>52</v>
      </c>
      <c r="BR22" s="201">
        <f t="shared" si="10"/>
        <v>53</v>
      </c>
      <c r="BS22" s="201">
        <f t="shared" si="10"/>
        <v>54</v>
      </c>
      <c r="BT22" s="201">
        <f t="shared" si="10"/>
        <v>55</v>
      </c>
      <c r="BU22" s="201">
        <f t="shared" si="10"/>
        <v>56</v>
      </c>
      <c r="BV22" s="201">
        <f t="shared" si="10"/>
        <v>57</v>
      </c>
      <c r="BW22" s="201">
        <f t="shared" si="10"/>
        <v>58</v>
      </c>
      <c r="BX22" s="201">
        <f t="shared" si="10"/>
        <v>59</v>
      </c>
      <c r="BY22" s="201">
        <f t="shared" si="10"/>
        <v>60</v>
      </c>
      <c r="BZ22" s="201">
        <f t="shared" si="10"/>
        <v>61</v>
      </c>
      <c r="CA22" s="201">
        <f t="shared" si="10"/>
        <v>62</v>
      </c>
      <c r="CB22" s="201">
        <f t="shared" si="10"/>
        <v>63</v>
      </c>
      <c r="CC22" s="201">
        <f t="shared" si="10"/>
        <v>64</v>
      </c>
      <c r="CD22" s="201">
        <f t="shared" ref="CD22:EO22" si="11">CC22+1</f>
        <v>65</v>
      </c>
      <c r="CE22" s="201">
        <f t="shared" si="11"/>
        <v>66</v>
      </c>
      <c r="CF22" s="201">
        <f t="shared" si="11"/>
        <v>67</v>
      </c>
      <c r="CG22" s="201">
        <f t="shared" si="11"/>
        <v>68</v>
      </c>
      <c r="CH22" s="201">
        <f t="shared" si="11"/>
        <v>69</v>
      </c>
      <c r="CI22" s="201">
        <f t="shared" si="11"/>
        <v>70</v>
      </c>
      <c r="CJ22" s="201">
        <f t="shared" si="11"/>
        <v>71</v>
      </c>
      <c r="CK22" s="201">
        <f t="shared" si="11"/>
        <v>72</v>
      </c>
      <c r="CL22" s="201">
        <f t="shared" si="11"/>
        <v>73</v>
      </c>
      <c r="CM22" s="201">
        <f t="shared" si="11"/>
        <v>74</v>
      </c>
      <c r="CN22" s="201">
        <f t="shared" si="11"/>
        <v>75</v>
      </c>
      <c r="CO22" s="201">
        <f t="shared" si="11"/>
        <v>76</v>
      </c>
      <c r="CP22" s="201">
        <f t="shared" si="11"/>
        <v>77</v>
      </c>
      <c r="CQ22" s="201">
        <f t="shared" si="11"/>
        <v>78</v>
      </c>
      <c r="CR22" s="201">
        <f t="shared" si="11"/>
        <v>79</v>
      </c>
      <c r="CS22" s="201">
        <f t="shared" si="11"/>
        <v>80</v>
      </c>
      <c r="CT22" s="201">
        <f t="shared" si="11"/>
        <v>81</v>
      </c>
      <c r="CU22" s="201">
        <f t="shared" si="11"/>
        <v>82</v>
      </c>
      <c r="CV22" s="201">
        <f t="shared" si="11"/>
        <v>83</v>
      </c>
      <c r="CW22" s="201">
        <f t="shared" si="11"/>
        <v>84</v>
      </c>
      <c r="CX22" s="201">
        <f t="shared" si="11"/>
        <v>85</v>
      </c>
      <c r="CY22" s="201">
        <f t="shared" si="11"/>
        <v>86</v>
      </c>
      <c r="CZ22" s="201">
        <f t="shared" si="11"/>
        <v>87</v>
      </c>
      <c r="DA22" s="201">
        <f t="shared" si="11"/>
        <v>88</v>
      </c>
      <c r="DB22" s="201">
        <f t="shared" si="11"/>
        <v>89</v>
      </c>
      <c r="DC22" s="201">
        <f t="shared" si="11"/>
        <v>90</v>
      </c>
      <c r="DD22" s="201">
        <f t="shared" si="11"/>
        <v>91</v>
      </c>
      <c r="DE22" s="201">
        <f t="shared" si="11"/>
        <v>92</v>
      </c>
      <c r="DF22" s="201">
        <f t="shared" si="11"/>
        <v>93</v>
      </c>
      <c r="DG22" s="201">
        <f t="shared" si="11"/>
        <v>94</v>
      </c>
      <c r="DH22" s="201">
        <f t="shared" si="11"/>
        <v>95</v>
      </c>
      <c r="DI22" s="201">
        <f t="shared" si="11"/>
        <v>96</v>
      </c>
      <c r="DJ22" s="201">
        <f t="shared" si="11"/>
        <v>97</v>
      </c>
      <c r="DK22" s="201">
        <f t="shared" si="11"/>
        <v>98</v>
      </c>
      <c r="DL22" s="201">
        <f t="shared" si="11"/>
        <v>99</v>
      </c>
      <c r="DM22" s="201">
        <f t="shared" si="11"/>
        <v>100</v>
      </c>
      <c r="DN22" s="201">
        <f t="shared" si="11"/>
        <v>101</v>
      </c>
      <c r="DO22" s="201">
        <f t="shared" si="11"/>
        <v>102</v>
      </c>
      <c r="DP22" s="201">
        <f t="shared" si="11"/>
        <v>103</v>
      </c>
      <c r="DQ22" s="201">
        <f t="shared" si="11"/>
        <v>104</v>
      </c>
      <c r="DR22" s="201">
        <f t="shared" si="11"/>
        <v>105</v>
      </c>
      <c r="DS22" s="201">
        <f t="shared" si="11"/>
        <v>106</v>
      </c>
      <c r="DT22" s="201">
        <f t="shared" si="11"/>
        <v>107</v>
      </c>
      <c r="DU22" s="201">
        <f t="shared" si="11"/>
        <v>108</v>
      </c>
      <c r="DV22" s="201">
        <f t="shared" si="11"/>
        <v>109</v>
      </c>
      <c r="DW22" s="201">
        <f t="shared" si="11"/>
        <v>110</v>
      </c>
      <c r="DX22" s="201">
        <f t="shared" si="11"/>
        <v>111</v>
      </c>
      <c r="DY22" s="201">
        <f t="shared" si="11"/>
        <v>112</v>
      </c>
      <c r="DZ22" s="201">
        <f t="shared" si="11"/>
        <v>113</v>
      </c>
      <c r="EA22" s="201">
        <f t="shared" si="11"/>
        <v>114</v>
      </c>
      <c r="EB22" s="201">
        <f t="shared" si="11"/>
        <v>115</v>
      </c>
      <c r="EC22" s="201">
        <f t="shared" si="11"/>
        <v>116</v>
      </c>
      <c r="ED22" s="201">
        <f t="shared" si="11"/>
        <v>117</v>
      </c>
      <c r="EE22" s="201">
        <f t="shared" si="11"/>
        <v>118</v>
      </c>
      <c r="EF22" s="201">
        <f t="shared" si="11"/>
        <v>119</v>
      </c>
      <c r="EG22" s="201">
        <f t="shared" si="11"/>
        <v>120</v>
      </c>
      <c r="EH22" s="201">
        <f t="shared" si="11"/>
        <v>121</v>
      </c>
      <c r="EI22" s="201">
        <f t="shared" si="11"/>
        <v>122</v>
      </c>
      <c r="EJ22" s="201">
        <f t="shared" si="11"/>
        <v>123</v>
      </c>
      <c r="EK22" s="201">
        <f t="shared" si="11"/>
        <v>124</v>
      </c>
      <c r="EL22" s="201">
        <f t="shared" si="11"/>
        <v>125</v>
      </c>
      <c r="EM22" s="201">
        <f t="shared" si="11"/>
        <v>126</v>
      </c>
      <c r="EN22" s="201">
        <f t="shared" si="11"/>
        <v>127</v>
      </c>
      <c r="EO22" s="201">
        <f t="shared" si="11"/>
        <v>128</v>
      </c>
      <c r="EP22" s="201">
        <f>EO22+1</f>
        <v>129</v>
      </c>
      <c r="EQ22" s="201">
        <f>EP22+1</f>
        <v>130</v>
      </c>
      <c r="ER22" s="201">
        <f>EQ22+1</f>
        <v>131</v>
      </c>
      <c r="ES22" s="201">
        <f>ER22+1</f>
        <v>132</v>
      </c>
      <c r="ET22" s="158"/>
      <c r="EU22" s="202" t="s">
        <v>51</v>
      </c>
      <c r="EV22" s="203"/>
      <c r="EW22" s="204"/>
      <c r="EX22" s="204"/>
      <c r="EY22" s="204"/>
      <c r="EZ22" s="204"/>
      <c r="FA22" s="205">
        <f>Q22</f>
        <v>0</v>
      </c>
      <c r="FB22" s="205">
        <f t="shared" ref="FB22:HM23" si="12">R22</f>
        <v>1</v>
      </c>
      <c r="FC22" s="205">
        <f t="shared" si="12"/>
        <v>2</v>
      </c>
      <c r="FD22" s="205">
        <f t="shared" si="12"/>
        <v>3</v>
      </c>
      <c r="FE22" s="205">
        <f t="shared" si="12"/>
        <v>4</v>
      </c>
      <c r="FF22" s="205">
        <f t="shared" si="12"/>
        <v>5</v>
      </c>
      <c r="FG22" s="205">
        <f t="shared" si="12"/>
        <v>6</v>
      </c>
      <c r="FH22" s="205">
        <f t="shared" si="12"/>
        <v>7</v>
      </c>
      <c r="FI22" s="205">
        <f t="shared" si="12"/>
        <v>8</v>
      </c>
      <c r="FJ22" s="205">
        <f t="shared" si="12"/>
        <v>9</v>
      </c>
      <c r="FK22" s="205">
        <f t="shared" si="12"/>
        <v>10</v>
      </c>
      <c r="FL22" s="205">
        <f t="shared" si="12"/>
        <v>11</v>
      </c>
      <c r="FM22" s="205">
        <f t="shared" si="12"/>
        <v>12</v>
      </c>
      <c r="FN22" s="205">
        <f t="shared" si="12"/>
        <v>13</v>
      </c>
      <c r="FO22" s="205">
        <f t="shared" si="12"/>
        <v>14</v>
      </c>
      <c r="FP22" s="205">
        <f t="shared" si="12"/>
        <v>15</v>
      </c>
      <c r="FQ22" s="205">
        <f t="shared" si="12"/>
        <v>16</v>
      </c>
      <c r="FR22" s="205">
        <f t="shared" si="12"/>
        <v>17</v>
      </c>
      <c r="FS22" s="205">
        <f t="shared" si="12"/>
        <v>18</v>
      </c>
      <c r="FT22" s="205">
        <f t="shared" si="12"/>
        <v>19</v>
      </c>
      <c r="FU22" s="205">
        <f t="shared" si="12"/>
        <v>20</v>
      </c>
      <c r="FV22" s="205">
        <f t="shared" si="12"/>
        <v>21</v>
      </c>
      <c r="FW22" s="205">
        <f t="shared" si="12"/>
        <v>22</v>
      </c>
      <c r="FX22" s="205">
        <f t="shared" si="12"/>
        <v>23</v>
      </c>
      <c r="FY22" s="205">
        <f t="shared" si="12"/>
        <v>24</v>
      </c>
      <c r="FZ22" s="205">
        <f t="shared" si="12"/>
        <v>25</v>
      </c>
      <c r="GA22" s="205">
        <f t="shared" si="12"/>
        <v>26</v>
      </c>
      <c r="GB22" s="205">
        <f t="shared" si="12"/>
        <v>27</v>
      </c>
      <c r="GC22" s="205">
        <f t="shared" si="12"/>
        <v>28</v>
      </c>
      <c r="GD22" s="205">
        <f t="shared" si="12"/>
        <v>29</v>
      </c>
      <c r="GE22" s="205">
        <f t="shared" si="12"/>
        <v>30</v>
      </c>
      <c r="GF22" s="205">
        <f t="shared" si="12"/>
        <v>31</v>
      </c>
      <c r="GG22" s="205">
        <f t="shared" si="12"/>
        <v>32</v>
      </c>
      <c r="GH22" s="205">
        <f t="shared" si="12"/>
        <v>33</v>
      </c>
      <c r="GI22" s="205">
        <f t="shared" si="12"/>
        <v>34</v>
      </c>
      <c r="GJ22" s="205">
        <f t="shared" si="12"/>
        <v>35</v>
      </c>
      <c r="GK22" s="205">
        <f t="shared" si="12"/>
        <v>36</v>
      </c>
      <c r="GL22" s="205">
        <f t="shared" si="12"/>
        <v>37</v>
      </c>
      <c r="GM22" s="205">
        <f t="shared" si="12"/>
        <v>38</v>
      </c>
      <c r="GN22" s="205">
        <f t="shared" si="12"/>
        <v>39</v>
      </c>
      <c r="GO22" s="205">
        <f t="shared" si="12"/>
        <v>40</v>
      </c>
      <c r="GP22" s="205">
        <f t="shared" si="12"/>
        <v>41</v>
      </c>
      <c r="GQ22" s="205">
        <f t="shared" si="12"/>
        <v>42</v>
      </c>
      <c r="GR22" s="205">
        <f t="shared" si="12"/>
        <v>43</v>
      </c>
      <c r="GS22" s="205">
        <f t="shared" si="12"/>
        <v>44</v>
      </c>
      <c r="GT22" s="205">
        <f t="shared" si="12"/>
        <v>45</v>
      </c>
      <c r="GU22" s="205">
        <f t="shared" si="12"/>
        <v>46</v>
      </c>
      <c r="GV22" s="205">
        <f t="shared" si="12"/>
        <v>47</v>
      </c>
      <c r="GW22" s="205">
        <f t="shared" si="12"/>
        <v>48</v>
      </c>
      <c r="GX22" s="205">
        <f t="shared" si="12"/>
        <v>49</v>
      </c>
      <c r="GY22" s="205">
        <f t="shared" si="12"/>
        <v>50</v>
      </c>
      <c r="GZ22" s="205">
        <f t="shared" si="12"/>
        <v>51</v>
      </c>
      <c r="HA22" s="205">
        <f t="shared" si="12"/>
        <v>52</v>
      </c>
      <c r="HB22" s="205">
        <f t="shared" si="12"/>
        <v>53</v>
      </c>
      <c r="HC22" s="205">
        <f t="shared" si="12"/>
        <v>54</v>
      </c>
      <c r="HD22" s="205">
        <f t="shared" si="12"/>
        <v>55</v>
      </c>
      <c r="HE22" s="205">
        <f t="shared" si="12"/>
        <v>56</v>
      </c>
      <c r="HF22" s="205">
        <f t="shared" si="12"/>
        <v>57</v>
      </c>
      <c r="HG22" s="205">
        <f t="shared" si="12"/>
        <v>58</v>
      </c>
      <c r="HH22" s="205">
        <f t="shared" si="12"/>
        <v>59</v>
      </c>
      <c r="HI22" s="205">
        <f t="shared" si="12"/>
        <v>60</v>
      </c>
      <c r="HJ22" s="205">
        <f t="shared" si="12"/>
        <v>61</v>
      </c>
      <c r="HK22" s="205">
        <f t="shared" si="12"/>
        <v>62</v>
      </c>
      <c r="HL22" s="205">
        <f t="shared" si="12"/>
        <v>63</v>
      </c>
      <c r="HM22" s="205">
        <f t="shared" si="12"/>
        <v>64</v>
      </c>
      <c r="HN22" s="205">
        <f t="shared" ref="HN22:JY23" si="13">CD22</f>
        <v>65</v>
      </c>
      <c r="HO22" s="205">
        <f t="shared" si="13"/>
        <v>66</v>
      </c>
      <c r="HP22" s="205">
        <f t="shared" si="13"/>
        <v>67</v>
      </c>
      <c r="HQ22" s="205">
        <f t="shared" si="13"/>
        <v>68</v>
      </c>
      <c r="HR22" s="205">
        <f t="shared" si="13"/>
        <v>69</v>
      </c>
      <c r="HS22" s="205">
        <f t="shared" si="13"/>
        <v>70</v>
      </c>
      <c r="HT22" s="205">
        <f t="shared" si="13"/>
        <v>71</v>
      </c>
      <c r="HU22" s="205">
        <f t="shared" si="13"/>
        <v>72</v>
      </c>
      <c r="HV22" s="205">
        <f t="shared" si="13"/>
        <v>73</v>
      </c>
      <c r="HW22" s="205">
        <f t="shared" si="13"/>
        <v>74</v>
      </c>
      <c r="HX22" s="205">
        <f t="shared" si="13"/>
        <v>75</v>
      </c>
      <c r="HY22" s="205">
        <f t="shared" si="13"/>
        <v>76</v>
      </c>
      <c r="HZ22" s="205">
        <f t="shared" si="13"/>
        <v>77</v>
      </c>
      <c r="IA22" s="205">
        <f t="shared" si="13"/>
        <v>78</v>
      </c>
      <c r="IB22" s="205">
        <f t="shared" si="13"/>
        <v>79</v>
      </c>
      <c r="IC22" s="205">
        <f t="shared" si="13"/>
        <v>80</v>
      </c>
      <c r="ID22" s="205">
        <f t="shared" si="13"/>
        <v>81</v>
      </c>
      <c r="IE22" s="205">
        <f t="shared" si="13"/>
        <v>82</v>
      </c>
      <c r="IF22" s="205">
        <f t="shared" si="13"/>
        <v>83</v>
      </c>
      <c r="IG22" s="205">
        <f t="shared" si="13"/>
        <v>84</v>
      </c>
      <c r="IH22" s="205">
        <f t="shared" si="13"/>
        <v>85</v>
      </c>
      <c r="II22" s="205">
        <f t="shared" si="13"/>
        <v>86</v>
      </c>
      <c r="IJ22" s="205">
        <f t="shared" si="13"/>
        <v>87</v>
      </c>
      <c r="IK22" s="205">
        <f t="shared" si="13"/>
        <v>88</v>
      </c>
      <c r="IL22" s="205">
        <f t="shared" si="13"/>
        <v>89</v>
      </c>
      <c r="IM22" s="205">
        <f t="shared" si="13"/>
        <v>90</v>
      </c>
      <c r="IN22" s="205">
        <f t="shared" si="13"/>
        <v>91</v>
      </c>
      <c r="IO22" s="205">
        <f t="shared" si="13"/>
        <v>92</v>
      </c>
      <c r="IP22" s="205">
        <f t="shared" si="13"/>
        <v>93</v>
      </c>
      <c r="IQ22" s="205">
        <f t="shared" si="13"/>
        <v>94</v>
      </c>
      <c r="IR22" s="205">
        <f t="shared" si="13"/>
        <v>95</v>
      </c>
      <c r="IS22" s="205">
        <f t="shared" si="13"/>
        <v>96</v>
      </c>
      <c r="IT22" s="205">
        <f t="shared" si="13"/>
        <v>97</v>
      </c>
      <c r="IU22" s="205">
        <f t="shared" si="13"/>
        <v>98</v>
      </c>
      <c r="IV22" s="205">
        <f t="shared" si="13"/>
        <v>99</v>
      </c>
      <c r="IW22" s="205">
        <f t="shared" si="13"/>
        <v>100</v>
      </c>
      <c r="IX22" s="205">
        <f t="shared" si="13"/>
        <v>101</v>
      </c>
      <c r="IY22" s="205">
        <f t="shared" si="13"/>
        <v>102</v>
      </c>
      <c r="IZ22" s="205">
        <f t="shared" si="13"/>
        <v>103</v>
      </c>
      <c r="JA22" s="205">
        <f t="shared" si="13"/>
        <v>104</v>
      </c>
      <c r="JB22" s="205">
        <f t="shared" si="13"/>
        <v>105</v>
      </c>
      <c r="JC22" s="205">
        <f t="shared" si="13"/>
        <v>106</v>
      </c>
      <c r="JD22" s="205">
        <f t="shared" si="13"/>
        <v>107</v>
      </c>
      <c r="JE22" s="205">
        <f t="shared" si="13"/>
        <v>108</v>
      </c>
      <c r="JF22" s="205">
        <f t="shared" si="13"/>
        <v>109</v>
      </c>
      <c r="JG22" s="205">
        <f t="shared" si="13"/>
        <v>110</v>
      </c>
      <c r="JH22" s="205">
        <f t="shared" si="13"/>
        <v>111</v>
      </c>
      <c r="JI22" s="205">
        <f t="shared" si="13"/>
        <v>112</v>
      </c>
      <c r="JJ22" s="205">
        <f t="shared" si="13"/>
        <v>113</v>
      </c>
      <c r="JK22" s="205">
        <f t="shared" si="13"/>
        <v>114</v>
      </c>
      <c r="JL22" s="205">
        <f t="shared" si="13"/>
        <v>115</v>
      </c>
      <c r="JM22" s="205">
        <f t="shared" si="13"/>
        <v>116</v>
      </c>
      <c r="JN22" s="205">
        <f t="shared" si="13"/>
        <v>117</v>
      </c>
      <c r="JO22" s="205">
        <f t="shared" si="13"/>
        <v>118</v>
      </c>
      <c r="JP22" s="205">
        <f t="shared" si="13"/>
        <v>119</v>
      </c>
      <c r="JQ22" s="205">
        <f t="shared" si="13"/>
        <v>120</v>
      </c>
      <c r="JR22" s="205">
        <f t="shared" si="13"/>
        <v>121</v>
      </c>
      <c r="JS22" s="205">
        <f t="shared" si="13"/>
        <v>122</v>
      </c>
      <c r="JT22" s="205">
        <f t="shared" si="13"/>
        <v>123</v>
      </c>
      <c r="JU22" s="205">
        <f t="shared" si="13"/>
        <v>124</v>
      </c>
      <c r="JV22" s="205">
        <f t="shared" si="13"/>
        <v>125</v>
      </c>
      <c r="JW22" s="205">
        <f t="shared" si="13"/>
        <v>126</v>
      </c>
      <c r="JX22" s="205">
        <f t="shared" si="13"/>
        <v>127</v>
      </c>
      <c r="JY22" s="205">
        <f t="shared" si="13"/>
        <v>128</v>
      </c>
      <c r="JZ22" s="205">
        <f t="shared" ref="JZ22:KC23" si="14">EP22</f>
        <v>129</v>
      </c>
      <c r="KA22" s="205">
        <f t="shared" si="14"/>
        <v>130</v>
      </c>
      <c r="KB22" s="205">
        <f t="shared" si="14"/>
        <v>131</v>
      </c>
      <c r="KC22" s="205">
        <f t="shared" si="14"/>
        <v>132</v>
      </c>
    </row>
    <row r="23" spans="2:289" x14ac:dyDescent="0.25">
      <c r="B23" s="371" t="s">
        <v>28</v>
      </c>
      <c r="C23" s="369"/>
      <c r="D23" s="369"/>
      <c r="E23" s="369"/>
      <c r="F23" s="369"/>
      <c r="G23" s="564" t="str">
        <f>TEXT(Units_SF_M2,"#,##0")&amp;" NRA"</f>
        <v>16,296 NRA</v>
      </c>
      <c r="H23" s="565">
        <f>Units</f>
        <v>16</v>
      </c>
      <c r="I23" s="566"/>
      <c r="J23" s="160"/>
      <c r="K23" s="160"/>
      <c r="L23" s="160"/>
      <c r="M23" s="160"/>
      <c r="N23" s="160"/>
      <c r="O23" s="160"/>
      <c r="P23" s="160" t="s">
        <v>463</v>
      </c>
      <c r="Q23" s="206">
        <f>EOMONTH(E13,-1)</f>
        <v>45688</v>
      </c>
      <c r="R23" s="206">
        <f>EOMONTH(Q23,1)</f>
        <v>45716</v>
      </c>
      <c r="S23" s="206">
        <f t="shared" ref="S23:CD23" si="15">EOMONTH(R23,1)</f>
        <v>45747</v>
      </c>
      <c r="T23" s="206">
        <f t="shared" si="15"/>
        <v>45777</v>
      </c>
      <c r="U23" s="206">
        <f t="shared" si="15"/>
        <v>45808</v>
      </c>
      <c r="V23" s="206">
        <f t="shared" si="15"/>
        <v>45838</v>
      </c>
      <c r="W23" s="206">
        <f t="shared" si="15"/>
        <v>45869</v>
      </c>
      <c r="X23" s="206">
        <f t="shared" si="15"/>
        <v>45900</v>
      </c>
      <c r="Y23" s="206">
        <f t="shared" si="15"/>
        <v>45930</v>
      </c>
      <c r="Z23" s="206">
        <f t="shared" si="15"/>
        <v>45961</v>
      </c>
      <c r="AA23" s="206">
        <f t="shared" si="15"/>
        <v>45991</v>
      </c>
      <c r="AB23" s="206">
        <f t="shared" si="15"/>
        <v>46022</v>
      </c>
      <c r="AC23" s="206">
        <f t="shared" si="15"/>
        <v>46053</v>
      </c>
      <c r="AD23" s="206">
        <f t="shared" si="15"/>
        <v>46081</v>
      </c>
      <c r="AE23" s="206">
        <f t="shared" si="15"/>
        <v>46112</v>
      </c>
      <c r="AF23" s="206">
        <f t="shared" si="15"/>
        <v>46142</v>
      </c>
      <c r="AG23" s="206">
        <f t="shared" si="15"/>
        <v>46173</v>
      </c>
      <c r="AH23" s="206">
        <f t="shared" si="15"/>
        <v>46203</v>
      </c>
      <c r="AI23" s="206">
        <f t="shared" si="15"/>
        <v>46234</v>
      </c>
      <c r="AJ23" s="206">
        <f t="shared" si="15"/>
        <v>46265</v>
      </c>
      <c r="AK23" s="206">
        <f t="shared" si="15"/>
        <v>46295</v>
      </c>
      <c r="AL23" s="206">
        <f t="shared" si="15"/>
        <v>46326</v>
      </c>
      <c r="AM23" s="206">
        <f t="shared" si="15"/>
        <v>46356</v>
      </c>
      <c r="AN23" s="206">
        <f t="shared" si="15"/>
        <v>46387</v>
      </c>
      <c r="AO23" s="206">
        <f t="shared" si="15"/>
        <v>46418</v>
      </c>
      <c r="AP23" s="206">
        <f t="shared" si="15"/>
        <v>46446</v>
      </c>
      <c r="AQ23" s="206">
        <f t="shared" si="15"/>
        <v>46477</v>
      </c>
      <c r="AR23" s="206">
        <f t="shared" si="15"/>
        <v>46507</v>
      </c>
      <c r="AS23" s="206">
        <f t="shared" si="15"/>
        <v>46538</v>
      </c>
      <c r="AT23" s="206">
        <f t="shared" si="15"/>
        <v>46568</v>
      </c>
      <c r="AU23" s="206">
        <f t="shared" si="15"/>
        <v>46599</v>
      </c>
      <c r="AV23" s="206">
        <f t="shared" si="15"/>
        <v>46630</v>
      </c>
      <c r="AW23" s="206">
        <f t="shared" si="15"/>
        <v>46660</v>
      </c>
      <c r="AX23" s="206">
        <f t="shared" si="15"/>
        <v>46691</v>
      </c>
      <c r="AY23" s="206">
        <f t="shared" si="15"/>
        <v>46721</v>
      </c>
      <c r="AZ23" s="206">
        <f t="shared" si="15"/>
        <v>46752</v>
      </c>
      <c r="BA23" s="206">
        <f t="shared" si="15"/>
        <v>46783</v>
      </c>
      <c r="BB23" s="206">
        <f t="shared" si="15"/>
        <v>46812</v>
      </c>
      <c r="BC23" s="206">
        <f t="shared" si="15"/>
        <v>46843</v>
      </c>
      <c r="BD23" s="206">
        <f t="shared" si="15"/>
        <v>46873</v>
      </c>
      <c r="BE23" s="206">
        <f t="shared" si="15"/>
        <v>46904</v>
      </c>
      <c r="BF23" s="206">
        <f t="shared" si="15"/>
        <v>46934</v>
      </c>
      <c r="BG23" s="206">
        <f t="shared" si="15"/>
        <v>46965</v>
      </c>
      <c r="BH23" s="206">
        <f t="shared" si="15"/>
        <v>46996</v>
      </c>
      <c r="BI23" s="206">
        <f t="shared" si="15"/>
        <v>47026</v>
      </c>
      <c r="BJ23" s="206">
        <f t="shared" si="15"/>
        <v>47057</v>
      </c>
      <c r="BK23" s="206">
        <f t="shared" si="15"/>
        <v>47087</v>
      </c>
      <c r="BL23" s="206">
        <f t="shared" si="15"/>
        <v>47118</v>
      </c>
      <c r="BM23" s="206">
        <f t="shared" si="15"/>
        <v>47149</v>
      </c>
      <c r="BN23" s="206">
        <f t="shared" si="15"/>
        <v>47177</v>
      </c>
      <c r="BO23" s="206">
        <f t="shared" si="15"/>
        <v>47208</v>
      </c>
      <c r="BP23" s="206">
        <f t="shared" si="15"/>
        <v>47238</v>
      </c>
      <c r="BQ23" s="206">
        <f t="shared" si="15"/>
        <v>47269</v>
      </c>
      <c r="BR23" s="206">
        <f t="shared" si="15"/>
        <v>47299</v>
      </c>
      <c r="BS23" s="206">
        <f t="shared" si="15"/>
        <v>47330</v>
      </c>
      <c r="BT23" s="206">
        <f t="shared" si="15"/>
        <v>47361</v>
      </c>
      <c r="BU23" s="206">
        <f t="shared" si="15"/>
        <v>47391</v>
      </c>
      <c r="BV23" s="206">
        <f t="shared" si="15"/>
        <v>47422</v>
      </c>
      <c r="BW23" s="206">
        <f t="shared" si="15"/>
        <v>47452</v>
      </c>
      <c r="BX23" s="206">
        <f t="shared" si="15"/>
        <v>47483</v>
      </c>
      <c r="BY23" s="206">
        <f t="shared" si="15"/>
        <v>47514</v>
      </c>
      <c r="BZ23" s="206">
        <f t="shared" si="15"/>
        <v>47542</v>
      </c>
      <c r="CA23" s="206">
        <f t="shared" si="15"/>
        <v>47573</v>
      </c>
      <c r="CB23" s="206">
        <f t="shared" si="15"/>
        <v>47603</v>
      </c>
      <c r="CC23" s="206">
        <f t="shared" si="15"/>
        <v>47634</v>
      </c>
      <c r="CD23" s="206">
        <f t="shared" si="15"/>
        <v>47664</v>
      </c>
      <c r="CE23" s="206">
        <f t="shared" ref="CE23:EP23" si="16">EOMONTH(CD23,1)</f>
        <v>47695</v>
      </c>
      <c r="CF23" s="206">
        <f t="shared" si="16"/>
        <v>47726</v>
      </c>
      <c r="CG23" s="206">
        <f t="shared" si="16"/>
        <v>47756</v>
      </c>
      <c r="CH23" s="206">
        <f t="shared" si="16"/>
        <v>47787</v>
      </c>
      <c r="CI23" s="206">
        <f t="shared" si="16"/>
        <v>47817</v>
      </c>
      <c r="CJ23" s="206">
        <f t="shared" si="16"/>
        <v>47848</v>
      </c>
      <c r="CK23" s="206">
        <f t="shared" si="16"/>
        <v>47879</v>
      </c>
      <c r="CL23" s="206">
        <f t="shared" si="16"/>
        <v>47907</v>
      </c>
      <c r="CM23" s="206">
        <f t="shared" si="16"/>
        <v>47938</v>
      </c>
      <c r="CN23" s="206">
        <f t="shared" si="16"/>
        <v>47968</v>
      </c>
      <c r="CO23" s="206">
        <f t="shared" si="16"/>
        <v>47999</v>
      </c>
      <c r="CP23" s="206">
        <f t="shared" si="16"/>
        <v>48029</v>
      </c>
      <c r="CQ23" s="206">
        <f t="shared" si="16"/>
        <v>48060</v>
      </c>
      <c r="CR23" s="206">
        <f t="shared" si="16"/>
        <v>48091</v>
      </c>
      <c r="CS23" s="206">
        <f t="shared" si="16"/>
        <v>48121</v>
      </c>
      <c r="CT23" s="206">
        <f t="shared" si="16"/>
        <v>48152</v>
      </c>
      <c r="CU23" s="206">
        <f t="shared" si="16"/>
        <v>48182</v>
      </c>
      <c r="CV23" s="206">
        <f t="shared" si="16"/>
        <v>48213</v>
      </c>
      <c r="CW23" s="206">
        <f t="shared" si="16"/>
        <v>48244</v>
      </c>
      <c r="CX23" s="206">
        <f t="shared" si="16"/>
        <v>48273</v>
      </c>
      <c r="CY23" s="206">
        <f t="shared" si="16"/>
        <v>48304</v>
      </c>
      <c r="CZ23" s="206">
        <f t="shared" si="16"/>
        <v>48334</v>
      </c>
      <c r="DA23" s="206">
        <f t="shared" si="16"/>
        <v>48365</v>
      </c>
      <c r="DB23" s="206">
        <f t="shared" si="16"/>
        <v>48395</v>
      </c>
      <c r="DC23" s="206">
        <f t="shared" si="16"/>
        <v>48426</v>
      </c>
      <c r="DD23" s="206">
        <f t="shared" si="16"/>
        <v>48457</v>
      </c>
      <c r="DE23" s="206">
        <f t="shared" si="16"/>
        <v>48487</v>
      </c>
      <c r="DF23" s="206">
        <f t="shared" si="16"/>
        <v>48518</v>
      </c>
      <c r="DG23" s="206">
        <f t="shared" si="16"/>
        <v>48548</v>
      </c>
      <c r="DH23" s="206">
        <f t="shared" si="16"/>
        <v>48579</v>
      </c>
      <c r="DI23" s="206">
        <f t="shared" si="16"/>
        <v>48610</v>
      </c>
      <c r="DJ23" s="206">
        <f t="shared" si="16"/>
        <v>48638</v>
      </c>
      <c r="DK23" s="206">
        <f t="shared" si="16"/>
        <v>48669</v>
      </c>
      <c r="DL23" s="206">
        <f t="shared" si="16"/>
        <v>48699</v>
      </c>
      <c r="DM23" s="206">
        <f t="shared" si="16"/>
        <v>48730</v>
      </c>
      <c r="DN23" s="206">
        <f t="shared" si="16"/>
        <v>48760</v>
      </c>
      <c r="DO23" s="206">
        <f t="shared" si="16"/>
        <v>48791</v>
      </c>
      <c r="DP23" s="206">
        <f t="shared" si="16"/>
        <v>48822</v>
      </c>
      <c r="DQ23" s="206">
        <f t="shared" si="16"/>
        <v>48852</v>
      </c>
      <c r="DR23" s="206">
        <f t="shared" si="16"/>
        <v>48883</v>
      </c>
      <c r="DS23" s="206">
        <f t="shared" si="16"/>
        <v>48913</v>
      </c>
      <c r="DT23" s="206">
        <f t="shared" si="16"/>
        <v>48944</v>
      </c>
      <c r="DU23" s="206">
        <f t="shared" si="16"/>
        <v>48975</v>
      </c>
      <c r="DV23" s="206">
        <f t="shared" si="16"/>
        <v>49003</v>
      </c>
      <c r="DW23" s="206">
        <f t="shared" si="16"/>
        <v>49034</v>
      </c>
      <c r="DX23" s="206">
        <f t="shared" si="16"/>
        <v>49064</v>
      </c>
      <c r="DY23" s="206">
        <f t="shared" si="16"/>
        <v>49095</v>
      </c>
      <c r="DZ23" s="206">
        <f t="shared" si="16"/>
        <v>49125</v>
      </c>
      <c r="EA23" s="206">
        <f t="shared" si="16"/>
        <v>49156</v>
      </c>
      <c r="EB23" s="206">
        <f t="shared" si="16"/>
        <v>49187</v>
      </c>
      <c r="EC23" s="206">
        <f t="shared" si="16"/>
        <v>49217</v>
      </c>
      <c r="ED23" s="206">
        <f t="shared" si="16"/>
        <v>49248</v>
      </c>
      <c r="EE23" s="206">
        <f t="shared" si="16"/>
        <v>49278</v>
      </c>
      <c r="EF23" s="206">
        <f t="shared" si="16"/>
        <v>49309</v>
      </c>
      <c r="EG23" s="206">
        <f t="shared" si="16"/>
        <v>49340</v>
      </c>
      <c r="EH23" s="206">
        <f t="shared" si="16"/>
        <v>49368</v>
      </c>
      <c r="EI23" s="206">
        <f t="shared" si="16"/>
        <v>49399</v>
      </c>
      <c r="EJ23" s="206">
        <f t="shared" si="16"/>
        <v>49429</v>
      </c>
      <c r="EK23" s="206">
        <f t="shared" si="16"/>
        <v>49460</v>
      </c>
      <c r="EL23" s="206">
        <f t="shared" si="16"/>
        <v>49490</v>
      </c>
      <c r="EM23" s="206">
        <f t="shared" si="16"/>
        <v>49521</v>
      </c>
      <c r="EN23" s="206">
        <f t="shared" si="16"/>
        <v>49552</v>
      </c>
      <c r="EO23" s="206">
        <f t="shared" si="16"/>
        <v>49582</v>
      </c>
      <c r="EP23" s="206">
        <f t="shared" si="16"/>
        <v>49613</v>
      </c>
      <c r="EQ23" s="206">
        <f>EOMONTH(EP23,1)</f>
        <v>49643</v>
      </c>
      <c r="ER23" s="206">
        <f>EOMONTH(EQ23,1)</f>
        <v>49674</v>
      </c>
      <c r="ES23" s="206">
        <f>EOMONTH(ER23,1)</f>
        <v>49705</v>
      </c>
      <c r="EU23" s="207" t="s">
        <v>44</v>
      </c>
      <c r="EV23" s="207" t="s">
        <v>52</v>
      </c>
      <c r="EW23" s="207" t="s">
        <v>53</v>
      </c>
      <c r="EX23" s="207" t="s">
        <v>54</v>
      </c>
      <c r="EY23" s="207" t="s">
        <v>55</v>
      </c>
      <c r="EZ23" s="207" t="s">
        <v>56</v>
      </c>
      <c r="FA23" s="208">
        <f>Q23</f>
        <v>45688</v>
      </c>
      <c r="FB23" s="208">
        <f t="shared" si="12"/>
        <v>45716</v>
      </c>
      <c r="FC23" s="208">
        <f t="shared" si="12"/>
        <v>45747</v>
      </c>
      <c r="FD23" s="208">
        <f t="shared" si="12"/>
        <v>45777</v>
      </c>
      <c r="FE23" s="208">
        <f t="shared" si="12"/>
        <v>45808</v>
      </c>
      <c r="FF23" s="208">
        <f t="shared" si="12"/>
        <v>45838</v>
      </c>
      <c r="FG23" s="208">
        <f t="shared" si="12"/>
        <v>45869</v>
      </c>
      <c r="FH23" s="208">
        <f t="shared" si="12"/>
        <v>45900</v>
      </c>
      <c r="FI23" s="208">
        <f t="shared" si="12"/>
        <v>45930</v>
      </c>
      <c r="FJ23" s="208">
        <f t="shared" si="12"/>
        <v>45961</v>
      </c>
      <c r="FK23" s="208">
        <f t="shared" si="12"/>
        <v>45991</v>
      </c>
      <c r="FL23" s="208">
        <f t="shared" si="12"/>
        <v>46022</v>
      </c>
      <c r="FM23" s="208">
        <f t="shared" si="12"/>
        <v>46053</v>
      </c>
      <c r="FN23" s="208">
        <f t="shared" si="12"/>
        <v>46081</v>
      </c>
      <c r="FO23" s="208">
        <f t="shared" si="12"/>
        <v>46112</v>
      </c>
      <c r="FP23" s="208">
        <f t="shared" si="12"/>
        <v>46142</v>
      </c>
      <c r="FQ23" s="208">
        <f t="shared" si="12"/>
        <v>46173</v>
      </c>
      <c r="FR23" s="208">
        <f t="shared" si="12"/>
        <v>46203</v>
      </c>
      <c r="FS23" s="208">
        <f t="shared" si="12"/>
        <v>46234</v>
      </c>
      <c r="FT23" s="208">
        <f t="shared" si="12"/>
        <v>46265</v>
      </c>
      <c r="FU23" s="208">
        <f t="shared" si="12"/>
        <v>46295</v>
      </c>
      <c r="FV23" s="208">
        <f t="shared" si="12"/>
        <v>46326</v>
      </c>
      <c r="FW23" s="208">
        <f t="shared" si="12"/>
        <v>46356</v>
      </c>
      <c r="FX23" s="208">
        <f t="shared" si="12"/>
        <v>46387</v>
      </c>
      <c r="FY23" s="208">
        <f t="shared" si="12"/>
        <v>46418</v>
      </c>
      <c r="FZ23" s="208">
        <f t="shared" si="12"/>
        <v>46446</v>
      </c>
      <c r="GA23" s="208">
        <f t="shared" si="12"/>
        <v>46477</v>
      </c>
      <c r="GB23" s="208">
        <f t="shared" si="12"/>
        <v>46507</v>
      </c>
      <c r="GC23" s="208">
        <f t="shared" si="12"/>
        <v>46538</v>
      </c>
      <c r="GD23" s="208">
        <f t="shared" si="12"/>
        <v>46568</v>
      </c>
      <c r="GE23" s="208">
        <f t="shared" si="12"/>
        <v>46599</v>
      </c>
      <c r="GF23" s="208">
        <f t="shared" si="12"/>
        <v>46630</v>
      </c>
      <c r="GG23" s="208">
        <f t="shared" si="12"/>
        <v>46660</v>
      </c>
      <c r="GH23" s="208">
        <f t="shared" si="12"/>
        <v>46691</v>
      </c>
      <c r="GI23" s="208">
        <f t="shared" si="12"/>
        <v>46721</v>
      </c>
      <c r="GJ23" s="208">
        <f t="shared" si="12"/>
        <v>46752</v>
      </c>
      <c r="GK23" s="208">
        <f t="shared" si="12"/>
        <v>46783</v>
      </c>
      <c r="GL23" s="208">
        <f t="shared" si="12"/>
        <v>46812</v>
      </c>
      <c r="GM23" s="208">
        <f t="shared" si="12"/>
        <v>46843</v>
      </c>
      <c r="GN23" s="208">
        <f t="shared" si="12"/>
        <v>46873</v>
      </c>
      <c r="GO23" s="208">
        <f t="shared" si="12"/>
        <v>46904</v>
      </c>
      <c r="GP23" s="208">
        <f t="shared" si="12"/>
        <v>46934</v>
      </c>
      <c r="GQ23" s="208">
        <f t="shared" si="12"/>
        <v>46965</v>
      </c>
      <c r="GR23" s="208">
        <f t="shared" si="12"/>
        <v>46996</v>
      </c>
      <c r="GS23" s="208">
        <f t="shared" si="12"/>
        <v>47026</v>
      </c>
      <c r="GT23" s="208">
        <f t="shared" si="12"/>
        <v>47057</v>
      </c>
      <c r="GU23" s="208">
        <f t="shared" si="12"/>
        <v>47087</v>
      </c>
      <c r="GV23" s="208">
        <f t="shared" si="12"/>
        <v>47118</v>
      </c>
      <c r="GW23" s="208">
        <f t="shared" si="12"/>
        <v>47149</v>
      </c>
      <c r="GX23" s="208">
        <f t="shared" si="12"/>
        <v>47177</v>
      </c>
      <c r="GY23" s="208">
        <f t="shared" si="12"/>
        <v>47208</v>
      </c>
      <c r="GZ23" s="208">
        <f t="shared" si="12"/>
        <v>47238</v>
      </c>
      <c r="HA23" s="208">
        <f t="shared" si="12"/>
        <v>47269</v>
      </c>
      <c r="HB23" s="208">
        <f t="shared" si="12"/>
        <v>47299</v>
      </c>
      <c r="HC23" s="208">
        <f t="shared" si="12"/>
        <v>47330</v>
      </c>
      <c r="HD23" s="208">
        <f t="shared" si="12"/>
        <v>47361</v>
      </c>
      <c r="HE23" s="208">
        <f t="shared" si="12"/>
        <v>47391</v>
      </c>
      <c r="HF23" s="208">
        <f t="shared" si="12"/>
        <v>47422</v>
      </c>
      <c r="HG23" s="208">
        <f t="shared" si="12"/>
        <v>47452</v>
      </c>
      <c r="HH23" s="208">
        <f t="shared" si="12"/>
        <v>47483</v>
      </c>
      <c r="HI23" s="208">
        <f t="shared" si="12"/>
        <v>47514</v>
      </c>
      <c r="HJ23" s="208">
        <f t="shared" si="12"/>
        <v>47542</v>
      </c>
      <c r="HK23" s="208">
        <f t="shared" si="12"/>
        <v>47573</v>
      </c>
      <c r="HL23" s="208">
        <f t="shared" si="12"/>
        <v>47603</v>
      </c>
      <c r="HM23" s="208">
        <f t="shared" si="12"/>
        <v>47634</v>
      </c>
      <c r="HN23" s="208">
        <f t="shared" si="13"/>
        <v>47664</v>
      </c>
      <c r="HO23" s="208">
        <f t="shared" si="13"/>
        <v>47695</v>
      </c>
      <c r="HP23" s="208">
        <f t="shared" si="13"/>
        <v>47726</v>
      </c>
      <c r="HQ23" s="208">
        <f t="shared" si="13"/>
        <v>47756</v>
      </c>
      <c r="HR23" s="208">
        <f t="shared" si="13"/>
        <v>47787</v>
      </c>
      <c r="HS23" s="208">
        <f t="shared" si="13"/>
        <v>47817</v>
      </c>
      <c r="HT23" s="208">
        <f t="shared" si="13"/>
        <v>47848</v>
      </c>
      <c r="HU23" s="208">
        <f t="shared" si="13"/>
        <v>47879</v>
      </c>
      <c r="HV23" s="208">
        <f t="shared" si="13"/>
        <v>47907</v>
      </c>
      <c r="HW23" s="208">
        <f t="shared" si="13"/>
        <v>47938</v>
      </c>
      <c r="HX23" s="208">
        <f t="shared" si="13"/>
        <v>47968</v>
      </c>
      <c r="HY23" s="208">
        <f t="shared" si="13"/>
        <v>47999</v>
      </c>
      <c r="HZ23" s="208">
        <f t="shared" si="13"/>
        <v>48029</v>
      </c>
      <c r="IA23" s="208">
        <f t="shared" si="13"/>
        <v>48060</v>
      </c>
      <c r="IB23" s="208">
        <f t="shared" si="13"/>
        <v>48091</v>
      </c>
      <c r="IC23" s="208">
        <f t="shared" si="13"/>
        <v>48121</v>
      </c>
      <c r="ID23" s="208">
        <f t="shared" si="13"/>
        <v>48152</v>
      </c>
      <c r="IE23" s="208">
        <f t="shared" si="13"/>
        <v>48182</v>
      </c>
      <c r="IF23" s="208">
        <f t="shared" si="13"/>
        <v>48213</v>
      </c>
      <c r="IG23" s="208">
        <f t="shared" si="13"/>
        <v>48244</v>
      </c>
      <c r="IH23" s="208">
        <f t="shared" si="13"/>
        <v>48273</v>
      </c>
      <c r="II23" s="208">
        <f t="shared" si="13"/>
        <v>48304</v>
      </c>
      <c r="IJ23" s="208">
        <f t="shared" si="13"/>
        <v>48334</v>
      </c>
      <c r="IK23" s="208">
        <f t="shared" si="13"/>
        <v>48365</v>
      </c>
      <c r="IL23" s="208">
        <f t="shared" si="13"/>
        <v>48395</v>
      </c>
      <c r="IM23" s="208">
        <f t="shared" si="13"/>
        <v>48426</v>
      </c>
      <c r="IN23" s="208">
        <f t="shared" si="13"/>
        <v>48457</v>
      </c>
      <c r="IO23" s="208">
        <f t="shared" si="13"/>
        <v>48487</v>
      </c>
      <c r="IP23" s="208">
        <f t="shared" si="13"/>
        <v>48518</v>
      </c>
      <c r="IQ23" s="208">
        <f t="shared" si="13"/>
        <v>48548</v>
      </c>
      <c r="IR23" s="208">
        <f t="shared" si="13"/>
        <v>48579</v>
      </c>
      <c r="IS23" s="208">
        <f t="shared" si="13"/>
        <v>48610</v>
      </c>
      <c r="IT23" s="208">
        <f t="shared" si="13"/>
        <v>48638</v>
      </c>
      <c r="IU23" s="208">
        <f t="shared" si="13"/>
        <v>48669</v>
      </c>
      <c r="IV23" s="208">
        <f t="shared" si="13"/>
        <v>48699</v>
      </c>
      <c r="IW23" s="208">
        <f t="shared" si="13"/>
        <v>48730</v>
      </c>
      <c r="IX23" s="208">
        <f t="shared" si="13"/>
        <v>48760</v>
      </c>
      <c r="IY23" s="208">
        <f t="shared" si="13"/>
        <v>48791</v>
      </c>
      <c r="IZ23" s="208">
        <f t="shared" si="13"/>
        <v>48822</v>
      </c>
      <c r="JA23" s="208">
        <f t="shared" si="13"/>
        <v>48852</v>
      </c>
      <c r="JB23" s="208">
        <f t="shared" si="13"/>
        <v>48883</v>
      </c>
      <c r="JC23" s="208">
        <f t="shared" si="13"/>
        <v>48913</v>
      </c>
      <c r="JD23" s="208">
        <f t="shared" si="13"/>
        <v>48944</v>
      </c>
      <c r="JE23" s="208">
        <f t="shared" si="13"/>
        <v>48975</v>
      </c>
      <c r="JF23" s="208">
        <f t="shared" si="13"/>
        <v>49003</v>
      </c>
      <c r="JG23" s="208">
        <f t="shared" si="13"/>
        <v>49034</v>
      </c>
      <c r="JH23" s="208">
        <f t="shared" si="13"/>
        <v>49064</v>
      </c>
      <c r="JI23" s="208">
        <f t="shared" si="13"/>
        <v>49095</v>
      </c>
      <c r="JJ23" s="208">
        <f t="shared" si="13"/>
        <v>49125</v>
      </c>
      <c r="JK23" s="208">
        <f t="shared" si="13"/>
        <v>49156</v>
      </c>
      <c r="JL23" s="208">
        <f t="shared" si="13"/>
        <v>49187</v>
      </c>
      <c r="JM23" s="208">
        <f t="shared" si="13"/>
        <v>49217</v>
      </c>
      <c r="JN23" s="208">
        <f t="shared" si="13"/>
        <v>49248</v>
      </c>
      <c r="JO23" s="208">
        <f t="shared" si="13"/>
        <v>49278</v>
      </c>
      <c r="JP23" s="208">
        <f t="shared" si="13"/>
        <v>49309</v>
      </c>
      <c r="JQ23" s="208">
        <f t="shared" si="13"/>
        <v>49340</v>
      </c>
      <c r="JR23" s="208">
        <f t="shared" si="13"/>
        <v>49368</v>
      </c>
      <c r="JS23" s="208">
        <f t="shared" si="13"/>
        <v>49399</v>
      </c>
      <c r="JT23" s="208">
        <f t="shared" si="13"/>
        <v>49429</v>
      </c>
      <c r="JU23" s="208">
        <f t="shared" si="13"/>
        <v>49460</v>
      </c>
      <c r="JV23" s="208">
        <f t="shared" si="13"/>
        <v>49490</v>
      </c>
      <c r="JW23" s="208">
        <f t="shared" si="13"/>
        <v>49521</v>
      </c>
      <c r="JX23" s="208">
        <f t="shared" si="13"/>
        <v>49552</v>
      </c>
      <c r="JY23" s="208">
        <f t="shared" si="13"/>
        <v>49582</v>
      </c>
      <c r="JZ23" s="208">
        <f t="shared" si="14"/>
        <v>49613</v>
      </c>
      <c r="KA23" s="208">
        <f t="shared" si="14"/>
        <v>49643</v>
      </c>
      <c r="KB23" s="208">
        <f t="shared" si="14"/>
        <v>49674</v>
      </c>
      <c r="KC23" s="208">
        <f t="shared" si="14"/>
        <v>49705</v>
      </c>
    </row>
    <row r="24" spans="2:289" x14ac:dyDescent="0.25">
      <c r="B24" s="209" t="s">
        <v>29</v>
      </c>
      <c r="C24" s="210"/>
      <c r="D24" s="210" t="s">
        <v>20</v>
      </c>
      <c r="E24" s="210" t="s">
        <v>21</v>
      </c>
      <c r="F24" s="210" t="s">
        <v>23</v>
      </c>
      <c r="G24" s="211" t="str">
        <f>"/RENTABLE "&amp;Unit_Type</f>
        <v>/RENTABLE SF</v>
      </c>
      <c r="H24" s="211" t="s">
        <v>38</v>
      </c>
      <c r="I24" s="210" t="s">
        <v>22</v>
      </c>
      <c r="J24" s="157"/>
      <c r="K24" s="157"/>
      <c r="L24" s="157"/>
      <c r="M24" s="157"/>
      <c r="N24" s="157"/>
      <c r="O24" s="157"/>
      <c r="P24" s="157" t="s">
        <v>107</v>
      </c>
      <c r="Q24" s="212">
        <f ca="1">SUM($Q$59:Q59)/Project_Cost_Total</f>
        <v>0.20366023444309181</v>
      </c>
      <c r="R24" s="213">
        <f ca="1">SUM($Q$59:R59)/Project_Cost_Total</f>
        <v>0.20783021792194387</v>
      </c>
      <c r="S24" s="213">
        <f ca="1">SUM($Q$59:S59)/Project_Cost_Total</f>
        <v>0.22083098125458595</v>
      </c>
      <c r="T24" s="213">
        <f ca="1">SUM($Q$59:T59)/Project_Cost_Total</f>
        <v>0.25463469943812878</v>
      </c>
      <c r="U24" s="213">
        <f ca="1">SUM($Q$59:U59)/Project_Cost_Total</f>
        <v>0.32456910132720074</v>
      </c>
      <c r="V24" s="213">
        <f ca="1">SUM($Q$59:V59)/Project_Cost_Total</f>
        <v>0.43837823310518093</v>
      </c>
      <c r="W24" s="213">
        <f ca="1">SUM($Q$59:W59)/Project_Cost_Total</f>
        <v>0.58394240849871515</v>
      </c>
      <c r="X24" s="213">
        <f ca="1">SUM($Q$59:X59)/Project_Cost_Total</f>
        <v>0.73022369049469382</v>
      </c>
      <c r="Y24" s="213">
        <f ca="1">SUM($Q$59:Y59)/Project_Cost_Total</f>
        <v>0.84628876046570622</v>
      </c>
      <c r="Z24" s="213">
        <f ca="1">SUM($Q$59:Z59)/Project_Cost_Total</f>
        <v>0.91944630946423556</v>
      </c>
      <c r="AA24" s="213">
        <f ca="1">SUM($Q$59:AA59)/Project_Cost_Total</f>
        <v>0.95708282099889008</v>
      </c>
      <c r="AB24" s="213">
        <f ca="1">SUM($Q$59:AB59)/Project_Cost_Total</f>
        <v>0.97423001527876596</v>
      </c>
      <c r="AC24" s="213">
        <f ca="1">SUM($Q$59:AC59)/Project_Cost_Total</f>
        <v>0.98268932299051759</v>
      </c>
      <c r="AD24" s="213">
        <f ca="1">SUM($Q$59:AD59)/Project_Cost_Total</f>
        <v>0.99130874722760431</v>
      </c>
      <c r="AE24" s="213">
        <f ca="1">SUM($Q$59:AE59)/Project_Cost_Total</f>
        <v>1.0000000000000002</v>
      </c>
      <c r="AF24" s="213">
        <f ca="1">SUM($Q$59:AF59)/Project_Cost_Total</f>
        <v>1.0000000000000002</v>
      </c>
      <c r="AG24" s="213">
        <f ca="1">SUM($Q$59:AG59)/Project_Cost_Total</f>
        <v>1.0000000000000002</v>
      </c>
      <c r="AH24" s="213">
        <f ca="1">SUM($Q$59:AH59)/Project_Cost_Total</f>
        <v>1.0000000000000002</v>
      </c>
      <c r="AI24" s="213">
        <f ca="1">SUM($Q$59:AI59)/Project_Cost_Total</f>
        <v>1.0000000000000002</v>
      </c>
      <c r="AJ24" s="213">
        <f ca="1">SUM($Q$59:AJ59)/Project_Cost_Total</f>
        <v>1.0000000000000002</v>
      </c>
      <c r="AK24" s="213">
        <f ca="1">SUM($Q$59:AK59)/Project_Cost_Total</f>
        <v>1.0000000000000002</v>
      </c>
      <c r="AL24" s="213">
        <f ca="1">SUM($Q$59:AL59)/Project_Cost_Total</f>
        <v>1.0000000000000002</v>
      </c>
      <c r="AM24" s="213">
        <f ca="1">SUM($Q$59:AM59)/Project_Cost_Total</f>
        <v>1.0000000000000002</v>
      </c>
      <c r="AN24" s="213">
        <f ca="1">SUM($Q$59:AN59)/Project_Cost_Total</f>
        <v>1.0000000000000002</v>
      </c>
      <c r="AO24" s="213">
        <f ca="1">SUM($Q$59:AO59)/Project_Cost_Total</f>
        <v>1.0000000000000002</v>
      </c>
      <c r="AP24" s="213">
        <f ca="1">SUM($Q$59:AP59)/Project_Cost_Total</f>
        <v>1.0000000000000002</v>
      </c>
      <c r="AQ24" s="213">
        <f ca="1">SUM($Q$59:AQ59)/Project_Cost_Total</f>
        <v>1.0000000000000002</v>
      </c>
      <c r="AR24" s="213">
        <f ca="1">SUM($Q$59:AR59)/Project_Cost_Total</f>
        <v>1.0000000000000002</v>
      </c>
      <c r="AS24" s="213">
        <f ca="1">SUM($Q$59:AS59)/Project_Cost_Total</f>
        <v>1.0000000000000002</v>
      </c>
      <c r="AT24" s="213">
        <f ca="1">SUM($Q$59:AT59)/Project_Cost_Total</f>
        <v>1.0000000000000002</v>
      </c>
      <c r="AU24" s="213">
        <f ca="1">SUM($Q$59:AU59)/Project_Cost_Total</f>
        <v>1.0000000000000002</v>
      </c>
      <c r="AV24" s="213">
        <f ca="1">SUM($Q$59:AV59)/Project_Cost_Total</f>
        <v>1.0000000000000002</v>
      </c>
      <c r="AW24" s="213">
        <f ca="1">SUM($Q$59:AW59)/Project_Cost_Total</f>
        <v>1.0000000000000002</v>
      </c>
      <c r="AX24" s="213">
        <f ca="1">SUM($Q$59:AX59)/Project_Cost_Total</f>
        <v>1.0000000000000002</v>
      </c>
      <c r="AY24" s="213">
        <f ca="1">SUM($Q$59:AY59)/Project_Cost_Total</f>
        <v>1.0000000000000002</v>
      </c>
      <c r="AZ24" s="213">
        <f ca="1">SUM($Q$59:AZ59)/Project_Cost_Total</f>
        <v>1.0000000000000002</v>
      </c>
      <c r="BA24" s="213">
        <f ca="1">SUM($Q$59:BA59)/Project_Cost_Total</f>
        <v>1.0000000000000002</v>
      </c>
      <c r="BB24" s="213">
        <f ca="1">SUM($Q$59:BB59)/Project_Cost_Total</f>
        <v>1.0000000000000002</v>
      </c>
      <c r="BC24" s="213">
        <f ca="1">SUM($Q$59:BC59)/Project_Cost_Total</f>
        <v>1.0000000000000002</v>
      </c>
      <c r="BD24" s="213">
        <f ca="1">SUM($Q$59:BD59)/Project_Cost_Total</f>
        <v>1.0000000000000002</v>
      </c>
      <c r="BE24" s="213">
        <f ca="1">SUM($Q$59:BE59)/Project_Cost_Total</f>
        <v>1.0000000000000002</v>
      </c>
      <c r="BF24" s="213">
        <f ca="1">SUM($Q$59:BF59)/Project_Cost_Total</f>
        <v>1.0000000000000002</v>
      </c>
      <c r="BG24" s="213">
        <f ca="1">SUM($Q$59:BG59)/Project_Cost_Total</f>
        <v>1.0000000000000002</v>
      </c>
      <c r="BH24" s="213">
        <f ca="1">SUM($Q$59:BH59)/Project_Cost_Total</f>
        <v>1.0000000000000002</v>
      </c>
      <c r="BI24" s="213">
        <f ca="1">SUM($Q$59:BI59)/Project_Cost_Total</f>
        <v>1.0000000000000002</v>
      </c>
      <c r="BJ24" s="213">
        <f ca="1">SUM($Q$59:BJ59)/Project_Cost_Total</f>
        <v>1.0000000000000002</v>
      </c>
      <c r="BK24" s="213">
        <f ca="1">SUM($Q$59:BK59)/Project_Cost_Total</f>
        <v>1.0000000000000002</v>
      </c>
      <c r="BL24" s="213">
        <f ca="1">SUM($Q$59:BL59)/Project_Cost_Total</f>
        <v>1.0000000000000002</v>
      </c>
      <c r="BM24" s="213">
        <f ca="1">SUM($Q$59:BM59)/Project_Cost_Total</f>
        <v>1.0000000000000002</v>
      </c>
      <c r="BN24" s="213">
        <f ca="1">SUM($Q$59:BN59)/Project_Cost_Total</f>
        <v>1.0000000000000002</v>
      </c>
      <c r="BO24" s="213">
        <f ca="1">SUM($Q$59:BO59)/Project_Cost_Total</f>
        <v>1.0000000000000002</v>
      </c>
      <c r="BP24" s="213">
        <f ca="1">SUM($Q$59:BP59)/Project_Cost_Total</f>
        <v>1.0000000000000002</v>
      </c>
      <c r="BQ24" s="213">
        <f ca="1">SUM($Q$59:BQ59)/Project_Cost_Total</f>
        <v>1.0000000000000002</v>
      </c>
      <c r="BR24" s="213">
        <f ca="1">SUM($Q$59:BR59)/Project_Cost_Total</f>
        <v>1.0000000000000002</v>
      </c>
      <c r="BS24" s="213">
        <f ca="1">SUM($Q$59:BS59)/Project_Cost_Total</f>
        <v>1.0000000000000002</v>
      </c>
      <c r="BT24" s="213">
        <f ca="1">SUM($Q$59:BT59)/Project_Cost_Total</f>
        <v>1.0000000000000002</v>
      </c>
      <c r="BU24" s="213">
        <f ca="1">SUM($Q$59:BU59)/Project_Cost_Total</f>
        <v>1.0000000000000002</v>
      </c>
      <c r="BV24" s="213">
        <f ca="1">SUM($Q$59:BV59)/Project_Cost_Total</f>
        <v>1.0000000000000002</v>
      </c>
      <c r="BW24" s="213">
        <f ca="1">SUM($Q$59:BW59)/Project_Cost_Total</f>
        <v>1.0000000000000002</v>
      </c>
      <c r="BX24" s="213">
        <f ca="1">SUM($Q$59:BX59)/Project_Cost_Total</f>
        <v>1.0000000000000002</v>
      </c>
      <c r="BY24" s="213">
        <f ca="1">SUM($Q$59:BY59)/Project_Cost_Total</f>
        <v>1.0000000000000002</v>
      </c>
      <c r="BZ24" s="213">
        <f ca="1">SUM($Q$59:BZ59)/Project_Cost_Total</f>
        <v>1.0000000000000002</v>
      </c>
      <c r="CA24" s="213">
        <f ca="1">SUM($Q$59:CA59)/Project_Cost_Total</f>
        <v>1.0000000000000002</v>
      </c>
      <c r="CB24" s="213">
        <f ca="1">SUM($Q$59:CB59)/Project_Cost_Total</f>
        <v>1.0000000000000002</v>
      </c>
      <c r="CC24" s="213">
        <f ca="1">SUM($Q$59:CC59)/Project_Cost_Total</f>
        <v>1.0000000000000002</v>
      </c>
      <c r="CD24" s="213">
        <f ca="1">SUM($Q$59:CD59)/Project_Cost_Total</f>
        <v>1.0000000000000002</v>
      </c>
      <c r="CE24" s="213">
        <f ca="1">SUM($Q$59:CE59)/Project_Cost_Total</f>
        <v>1.0000000000000002</v>
      </c>
      <c r="CF24" s="213">
        <f ca="1">SUM($Q$59:CF59)/Project_Cost_Total</f>
        <v>1.0000000000000002</v>
      </c>
      <c r="CG24" s="213">
        <f ca="1">SUM($Q$59:CG59)/Project_Cost_Total</f>
        <v>1.0000000000000002</v>
      </c>
      <c r="CH24" s="213">
        <f ca="1">SUM($Q$59:CH59)/Project_Cost_Total</f>
        <v>1.0000000000000002</v>
      </c>
      <c r="CI24" s="213">
        <f ca="1">SUM($Q$59:CI59)/Project_Cost_Total</f>
        <v>1.0000000000000002</v>
      </c>
      <c r="CJ24" s="213">
        <f ca="1">SUM($Q$59:CJ59)/Project_Cost_Total</f>
        <v>1.0000000000000002</v>
      </c>
      <c r="CK24" s="213">
        <f ca="1">SUM($Q$59:CK59)/Project_Cost_Total</f>
        <v>1.0000000000000002</v>
      </c>
      <c r="CL24" s="213">
        <f ca="1">SUM($Q$59:CL59)/Project_Cost_Total</f>
        <v>1.0000000000000002</v>
      </c>
      <c r="CM24" s="213">
        <f ca="1">SUM($Q$59:CM59)/Project_Cost_Total</f>
        <v>1.0000000000000002</v>
      </c>
      <c r="CN24" s="213">
        <f ca="1">SUM($Q$59:CN59)/Project_Cost_Total</f>
        <v>1.0000000000000002</v>
      </c>
      <c r="CO24" s="213">
        <f ca="1">SUM($Q$59:CO59)/Project_Cost_Total</f>
        <v>1.0000000000000002</v>
      </c>
      <c r="CP24" s="213">
        <f ca="1">SUM($Q$59:CP59)/Project_Cost_Total</f>
        <v>1.0000000000000002</v>
      </c>
      <c r="CQ24" s="213">
        <f ca="1">SUM($Q$59:CQ59)/Project_Cost_Total</f>
        <v>1.0000000000000002</v>
      </c>
      <c r="CR24" s="213">
        <f ca="1">SUM($Q$59:CR59)/Project_Cost_Total</f>
        <v>1.0000000000000002</v>
      </c>
      <c r="CS24" s="213">
        <f ca="1">SUM($Q$59:CS59)/Project_Cost_Total</f>
        <v>1.0000000000000002</v>
      </c>
      <c r="CT24" s="213">
        <f ca="1">SUM($Q$59:CT59)/Project_Cost_Total</f>
        <v>1.0000000000000002</v>
      </c>
      <c r="CU24" s="213">
        <f ca="1">SUM($Q$59:CU59)/Project_Cost_Total</f>
        <v>1.0000000000000002</v>
      </c>
      <c r="CV24" s="213">
        <f ca="1">SUM($Q$59:CV59)/Project_Cost_Total</f>
        <v>1.0000000000000002</v>
      </c>
      <c r="CW24" s="213">
        <f ca="1">SUM($Q$59:CW59)/Project_Cost_Total</f>
        <v>1.0000000000000002</v>
      </c>
      <c r="CX24" s="213">
        <f ca="1">SUM($Q$59:CX59)/Project_Cost_Total</f>
        <v>1.0000000000000002</v>
      </c>
      <c r="CY24" s="213">
        <f ca="1">SUM($Q$59:CY59)/Project_Cost_Total</f>
        <v>1.0000000000000002</v>
      </c>
      <c r="CZ24" s="213">
        <f ca="1">SUM($Q$59:CZ59)/Project_Cost_Total</f>
        <v>1.0000000000000002</v>
      </c>
      <c r="DA24" s="213">
        <f ca="1">SUM($Q$59:DA59)/Project_Cost_Total</f>
        <v>1.0000000000000002</v>
      </c>
      <c r="DB24" s="213">
        <f ca="1">SUM($Q$59:DB59)/Project_Cost_Total</f>
        <v>1.0000000000000002</v>
      </c>
      <c r="DC24" s="213">
        <f ca="1">SUM($Q$59:DC59)/Project_Cost_Total</f>
        <v>1.0000000000000002</v>
      </c>
      <c r="DD24" s="213">
        <f ca="1">SUM($Q$59:DD59)/Project_Cost_Total</f>
        <v>1.0000000000000002</v>
      </c>
      <c r="DE24" s="213">
        <f ca="1">SUM($Q$59:DE59)/Project_Cost_Total</f>
        <v>1.0000000000000002</v>
      </c>
      <c r="DF24" s="213">
        <f ca="1">SUM($Q$59:DF59)/Project_Cost_Total</f>
        <v>1.0000000000000002</v>
      </c>
      <c r="DG24" s="213">
        <f ca="1">SUM($Q$59:DG59)/Project_Cost_Total</f>
        <v>1.0000000000000002</v>
      </c>
      <c r="DH24" s="213">
        <f ca="1">SUM($Q$59:DH59)/Project_Cost_Total</f>
        <v>1.0000000000000002</v>
      </c>
      <c r="DI24" s="213">
        <f ca="1">SUM($Q$59:DI59)/Project_Cost_Total</f>
        <v>1.0000000000000002</v>
      </c>
      <c r="DJ24" s="213">
        <f ca="1">SUM($Q$59:DJ59)/Project_Cost_Total</f>
        <v>1.0000000000000002</v>
      </c>
      <c r="DK24" s="213">
        <f ca="1">SUM($Q$59:DK59)/Project_Cost_Total</f>
        <v>1.0000000000000002</v>
      </c>
      <c r="DL24" s="213">
        <f ca="1">SUM($Q$59:DL59)/Project_Cost_Total</f>
        <v>1.0000000000000002</v>
      </c>
      <c r="DM24" s="213">
        <f ca="1">SUM($Q$59:DM59)/Project_Cost_Total</f>
        <v>1.0000000000000002</v>
      </c>
      <c r="DN24" s="213">
        <f ca="1">SUM($Q$59:DN59)/Project_Cost_Total</f>
        <v>1.0000000000000002</v>
      </c>
      <c r="DO24" s="213">
        <f ca="1">SUM($Q$59:DO59)/Project_Cost_Total</f>
        <v>1.0000000000000002</v>
      </c>
      <c r="DP24" s="213">
        <f ca="1">SUM($Q$59:DP59)/Project_Cost_Total</f>
        <v>1.0000000000000002</v>
      </c>
      <c r="DQ24" s="213">
        <f ca="1">SUM($Q$59:DQ59)/Project_Cost_Total</f>
        <v>1.0000000000000002</v>
      </c>
      <c r="DR24" s="213">
        <f ca="1">SUM($Q$59:DR59)/Project_Cost_Total</f>
        <v>1.0000000000000002</v>
      </c>
      <c r="DS24" s="213">
        <f ca="1">SUM($Q$59:DS59)/Project_Cost_Total</f>
        <v>1.0000000000000002</v>
      </c>
      <c r="DT24" s="213">
        <f ca="1">SUM($Q$59:DT59)/Project_Cost_Total</f>
        <v>1.0000000000000002</v>
      </c>
      <c r="DU24" s="213">
        <f ca="1">SUM($Q$59:DU59)/Project_Cost_Total</f>
        <v>1.0000000000000002</v>
      </c>
      <c r="DV24" s="213">
        <f ca="1">SUM($Q$59:DV59)/Project_Cost_Total</f>
        <v>1.0000000000000002</v>
      </c>
      <c r="DW24" s="213">
        <f ca="1">SUM($Q$59:DW59)/Project_Cost_Total</f>
        <v>1.0000000000000002</v>
      </c>
      <c r="DX24" s="213">
        <f ca="1">SUM($Q$59:DX59)/Project_Cost_Total</f>
        <v>1.0000000000000002</v>
      </c>
      <c r="DY24" s="213">
        <f ca="1">SUM($Q$59:DY59)/Project_Cost_Total</f>
        <v>1.0000000000000002</v>
      </c>
      <c r="DZ24" s="213">
        <f ca="1">SUM($Q$59:DZ59)/Project_Cost_Total</f>
        <v>1.0000000000000002</v>
      </c>
      <c r="EA24" s="213">
        <f ca="1">SUM($Q$59:EA59)/Project_Cost_Total</f>
        <v>1.0000000000000002</v>
      </c>
      <c r="EB24" s="213">
        <f ca="1">SUM($Q$59:EB59)/Project_Cost_Total</f>
        <v>1.0000000000000002</v>
      </c>
      <c r="EC24" s="213">
        <f ca="1">SUM($Q$59:EC59)/Project_Cost_Total</f>
        <v>1.0000000000000002</v>
      </c>
      <c r="ED24" s="213">
        <f ca="1">SUM($Q$59:ED59)/Project_Cost_Total</f>
        <v>1.0000000000000002</v>
      </c>
      <c r="EE24" s="213">
        <f ca="1">SUM($Q$59:EE59)/Project_Cost_Total</f>
        <v>1.0000000000000002</v>
      </c>
      <c r="EF24" s="213">
        <f ca="1">SUM($Q$59:EF59)/Project_Cost_Total</f>
        <v>1.0000000000000002</v>
      </c>
      <c r="EG24" s="213">
        <f ca="1">SUM($Q$59:EG59)/Project_Cost_Total</f>
        <v>1.0000000000000002</v>
      </c>
      <c r="EH24" s="213">
        <f ca="1">SUM($Q$59:EH59)/Project_Cost_Total</f>
        <v>1.0000000000000002</v>
      </c>
      <c r="EI24" s="213">
        <f ca="1">SUM($Q$59:EI59)/Project_Cost_Total</f>
        <v>1.0000000000000002</v>
      </c>
      <c r="EJ24" s="213">
        <f ca="1">SUM($Q$59:EJ59)/Project_Cost_Total</f>
        <v>1.0000000000000002</v>
      </c>
      <c r="EK24" s="213">
        <f ca="1">SUM($Q$59:EK59)/Project_Cost_Total</f>
        <v>1.0000000000000002</v>
      </c>
      <c r="EL24" s="213">
        <f ca="1">SUM($Q$59:EL59)/Project_Cost_Total</f>
        <v>1.0000000000000002</v>
      </c>
      <c r="EM24" s="213">
        <f ca="1">SUM($Q$59:EM59)/Project_Cost_Total</f>
        <v>1.0000000000000002</v>
      </c>
      <c r="EN24" s="213">
        <f ca="1">SUM($Q$59:EN59)/Project_Cost_Total</f>
        <v>1.0000000000000002</v>
      </c>
      <c r="EO24" s="213">
        <f ca="1">SUM($Q$59:EO59)/Project_Cost_Total</f>
        <v>1.0000000000000002</v>
      </c>
      <c r="EP24" s="213">
        <f ca="1">SUM($Q$59:EP59)/Project_Cost_Total</f>
        <v>1.0000000000000002</v>
      </c>
      <c r="EQ24" s="213">
        <f ca="1">SUM($Q$59:EQ59)/Project_Cost_Total</f>
        <v>1.0000000000000002</v>
      </c>
      <c r="ER24" s="213">
        <f ca="1">SUM($Q$59:ER59)/Project_Cost_Total</f>
        <v>1.0000000000000002</v>
      </c>
      <c r="ES24" s="213">
        <f ca="1">SUM($Q$59:ES59)/Project_Cost_Total</f>
        <v>1.0000000000000002</v>
      </c>
      <c r="EU24" s="153"/>
      <c r="EV24" s="153"/>
      <c r="EW24" s="153"/>
      <c r="EX24" s="153"/>
      <c r="EY24" s="153"/>
      <c r="EZ24" s="154"/>
      <c r="FA24" s="153"/>
      <c r="FB24" s="153"/>
      <c r="FC24" s="153"/>
      <c r="FD24" s="153"/>
      <c r="FE24" s="153"/>
      <c r="FF24" s="153"/>
      <c r="FG24" s="153"/>
      <c r="FH24" s="153"/>
      <c r="FI24" s="153"/>
      <c r="FJ24" s="153"/>
      <c r="FK24" s="153"/>
      <c r="FL24" s="153"/>
      <c r="FM24" s="153"/>
      <c r="FN24" s="153"/>
      <c r="FO24" s="153"/>
      <c r="FP24" s="153"/>
      <c r="FQ24" s="153"/>
      <c r="FR24" s="153"/>
      <c r="FS24" s="153"/>
      <c r="FT24" s="153"/>
      <c r="FU24" s="153"/>
      <c r="FV24" s="153"/>
      <c r="FW24" s="153"/>
      <c r="FX24" s="153"/>
      <c r="FY24" s="153"/>
      <c r="FZ24" s="153"/>
      <c r="GA24" s="153"/>
      <c r="GB24" s="153"/>
      <c r="GC24" s="153"/>
      <c r="GD24" s="153"/>
      <c r="GE24" s="153"/>
      <c r="GF24" s="153"/>
      <c r="GG24" s="153"/>
      <c r="GH24" s="153"/>
      <c r="GI24" s="153"/>
      <c r="GJ24" s="153"/>
      <c r="GK24" s="153"/>
      <c r="GL24" s="153"/>
      <c r="GM24" s="153"/>
      <c r="GN24" s="153"/>
      <c r="GO24" s="153"/>
      <c r="GP24" s="153"/>
      <c r="GQ24" s="153"/>
      <c r="GR24" s="153"/>
      <c r="GS24" s="153"/>
      <c r="GT24" s="153"/>
      <c r="GU24" s="153"/>
      <c r="GV24" s="153"/>
      <c r="GW24" s="153"/>
      <c r="GX24" s="153"/>
      <c r="GY24" s="153"/>
      <c r="GZ24" s="153"/>
      <c r="HA24" s="153"/>
      <c r="HB24" s="153"/>
      <c r="HC24" s="153"/>
      <c r="HD24" s="153"/>
      <c r="HE24" s="153"/>
      <c r="HF24" s="153"/>
      <c r="HG24" s="153"/>
      <c r="HH24" s="153"/>
      <c r="HI24" s="153"/>
      <c r="HJ24" s="153"/>
      <c r="HK24" s="153"/>
      <c r="HL24" s="153"/>
      <c r="HM24" s="153"/>
      <c r="HN24" s="153"/>
      <c r="HO24" s="153"/>
      <c r="HP24" s="153"/>
      <c r="HQ24" s="153"/>
      <c r="HR24" s="153"/>
      <c r="HS24" s="153"/>
      <c r="HT24" s="153"/>
      <c r="HU24" s="153"/>
      <c r="HV24" s="153"/>
      <c r="HW24" s="153"/>
      <c r="HX24" s="153"/>
      <c r="HY24" s="153"/>
      <c r="HZ24" s="153"/>
      <c r="IA24" s="153"/>
      <c r="IB24" s="153"/>
      <c r="IC24" s="153"/>
      <c r="ID24" s="153"/>
      <c r="IE24" s="153"/>
      <c r="IF24" s="153"/>
      <c r="IG24" s="153"/>
      <c r="IH24" s="153"/>
      <c r="II24" s="153"/>
      <c r="IJ24" s="153"/>
      <c r="IK24" s="153"/>
      <c r="IL24" s="153"/>
      <c r="IM24" s="153"/>
      <c r="IN24" s="153"/>
      <c r="IO24" s="153"/>
      <c r="IP24" s="153"/>
      <c r="IQ24" s="153"/>
      <c r="IR24" s="153"/>
      <c r="IS24" s="153"/>
      <c r="IT24" s="153"/>
      <c r="IU24" s="153"/>
      <c r="IV24" s="153"/>
      <c r="IW24" s="153"/>
      <c r="IX24" s="153"/>
      <c r="IY24" s="153"/>
      <c r="IZ24" s="153"/>
      <c r="JA24" s="153"/>
      <c r="JB24" s="153"/>
      <c r="JC24" s="153"/>
      <c r="JD24" s="153"/>
      <c r="JE24" s="153"/>
      <c r="JF24" s="153"/>
      <c r="JG24" s="153"/>
      <c r="JH24" s="153"/>
      <c r="JI24" s="153"/>
      <c r="JJ24" s="153"/>
      <c r="JK24" s="153"/>
      <c r="JL24" s="153"/>
      <c r="JM24" s="153"/>
      <c r="JN24" s="153"/>
      <c r="JO24" s="153"/>
      <c r="JP24" s="153"/>
      <c r="JQ24" s="153"/>
      <c r="JR24" s="153"/>
      <c r="JS24" s="153"/>
      <c r="JT24" s="153"/>
      <c r="JU24" s="153"/>
      <c r="JV24" s="153"/>
      <c r="JW24" s="153"/>
      <c r="JX24" s="153"/>
      <c r="JY24" s="153"/>
      <c r="JZ24" s="153"/>
      <c r="KA24" s="153"/>
      <c r="KB24" s="153"/>
      <c r="KC24" s="153"/>
    </row>
    <row r="25" spans="2:289" x14ac:dyDescent="0.25">
      <c r="B25" s="180" t="s">
        <v>30</v>
      </c>
      <c r="C25" s="196"/>
      <c r="D25" s="196"/>
      <c r="E25" s="196"/>
      <c r="F25" s="196"/>
      <c r="G25" s="196"/>
      <c r="H25" s="196"/>
      <c r="I25" s="196"/>
      <c r="J25" s="157"/>
      <c r="K25" s="157"/>
      <c r="L25" s="157"/>
      <c r="M25" s="157"/>
      <c r="N25" s="157"/>
      <c r="O25" s="157"/>
      <c r="P25" s="157" t="s">
        <v>396</v>
      </c>
      <c r="Q25" s="212">
        <f ca="1">Q24</f>
        <v>0.20366023444309181</v>
      </c>
      <c r="R25" s="213">
        <f ca="1">R24-Q24</f>
        <v>4.1699834788520573E-3</v>
      </c>
      <c r="S25" s="213">
        <f t="shared" ref="S25:CD25" ca="1" si="17">S24-R24</f>
        <v>1.3000763332642079E-2</v>
      </c>
      <c r="T25" s="213">
        <f t="shared" ca="1" si="17"/>
        <v>3.380371818354283E-2</v>
      </c>
      <c r="U25" s="213">
        <f t="shared" ca="1" si="17"/>
        <v>6.9934401889071962E-2</v>
      </c>
      <c r="V25" s="213">
        <f t="shared" ca="1" si="17"/>
        <v>0.11380913177798019</v>
      </c>
      <c r="W25" s="213">
        <f t="shared" ca="1" si="17"/>
        <v>0.14556417539353422</v>
      </c>
      <c r="X25" s="213">
        <f t="shared" ca="1" si="17"/>
        <v>0.14628128199597867</v>
      </c>
      <c r="Y25" s="213">
        <f t="shared" ca="1" si="17"/>
        <v>0.1160650699710124</v>
      </c>
      <c r="Z25" s="213">
        <f t="shared" ca="1" si="17"/>
        <v>7.3157548998529331E-2</v>
      </c>
      <c r="AA25" s="213">
        <f t="shared" ca="1" si="17"/>
        <v>3.7636511534654526E-2</v>
      </c>
      <c r="AB25" s="213">
        <f t="shared" ca="1" si="17"/>
        <v>1.7147194279875877E-2</v>
      </c>
      <c r="AC25" s="213">
        <f t="shared" ca="1" si="17"/>
        <v>8.4593077117516291E-3</v>
      </c>
      <c r="AD25" s="213">
        <f t="shared" ca="1" si="17"/>
        <v>8.6194242370867258E-3</v>
      </c>
      <c r="AE25" s="213">
        <f t="shared" ca="1" si="17"/>
        <v>8.6912527723959077E-3</v>
      </c>
      <c r="AF25" s="213">
        <f t="shared" ca="1" si="17"/>
        <v>0</v>
      </c>
      <c r="AG25" s="213">
        <f t="shared" ca="1" si="17"/>
        <v>0</v>
      </c>
      <c r="AH25" s="213">
        <f t="shared" ca="1" si="17"/>
        <v>0</v>
      </c>
      <c r="AI25" s="213">
        <f t="shared" ca="1" si="17"/>
        <v>0</v>
      </c>
      <c r="AJ25" s="213">
        <f t="shared" ca="1" si="17"/>
        <v>0</v>
      </c>
      <c r="AK25" s="213">
        <f t="shared" ca="1" si="17"/>
        <v>0</v>
      </c>
      <c r="AL25" s="213">
        <f t="shared" ca="1" si="17"/>
        <v>0</v>
      </c>
      <c r="AM25" s="213">
        <f t="shared" ca="1" si="17"/>
        <v>0</v>
      </c>
      <c r="AN25" s="213">
        <f t="shared" ca="1" si="17"/>
        <v>0</v>
      </c>
      <c r="AO25" s="213">
        <f t="shared" ca="1" si="17"/>
        <v>0</v>
      </c>
      <c r="AP25" s="213">
        <f t="shared" ca="1" si="17"/>
        <v>0</v>
      </c>
      <c r="AQ25" s="213">
        <f t="shared" ca="1" si="17"/>
        <v>0</v>
      </c>
      <c r="AR25" s="213">
        <f t="shared" ca="1" si="17"/>
        <v>0</v>
      </c>
      <c r="AS25" s="213">
        <f t="shared" ca="1" si="17"/>
        <v>0</v>
      </c>
      <c r="AT25" s="213">
        <f t="shared" ca="1" si="17"/>
        <v>0</v>
      </c>
      <c r="AU25" s="213">
        <f t="shared" ca="1" si="17"/>
        <v>0</v>
      </c>
      <c r="AV25" s="213">
        <f t="shared" ca="1" si="17"/>
        <v>0</v>
      </c>
      <c r="AW25" s="213">
        <f t="shared" ca="1" si="17"/>
        <v>0</v>
      </c>
      <c r="AX25" s="213">
        <f t="shared" ca="1" si="17"/>
        <v>0</v>
      </c>
      <c r="AY25" s="213">
        <f t="shared" ca="1" si="17"/>
        <v>0</v>
      </c>
      <c r="AZ25" s="213">
        <f t="shared" ca="1" si="17"/>
        <v>0</v>
      </c>
      <c r="BA25" s="213">
        <f t="shared" ca="1" si="17"/>
        <v>0</v>
      </c>
      <c r="BB25" s="213">
        <f t="shared" ca="1" si="17"/>
        <v>0</v>
      </c>
      <c r="BC25" s="213">
        <f t="shared" ca="1" si="17"/>
        <v>0</v>
      </c>
      <c r="BD25" s="213">
        <f t="shared" ca="1" si="17"/>
        <v>0</v>
      </c>
      <c r="BE25" s="213">
        <f t="shared" ca="1" si="17"/>
        <v>0</v>
      </c>
      <c r="BF25" s="213">
        <f t="shared" ca="1" si="17"/>
        <v>0</v>
      </c>
      <c r="BG25" s="213">
        <f t="shared" ca="1" si="17"/>
        <v>0</v>
      </c>
      <c r="BH25" s="213">
        <f t="shared" ca="1" si="17"/>
        <v>0</v>
      </c>
      <c r="BI25" s="213">
        <f t="shared" ca="1" si="17"/>
        <v>0</v>
      </c>
      <c r="BJ25" s="213">
        <f t="shared" ca="1" si="17"/>
        <v>0</v>
      </c>
      <c r="BK25" s="213">
        <f t="shared" ca="1" si="17"/>
        <v>0</v>
      </c>
      <c r="BL25" s="213">
        <f t="shared" ca="1" si="17"/>
        <v>0</v>
      </c>
      <c r="BM25" s="213">
        <f t="shared" ca="1" si="17"/>
        <v>0</v>
      </c>
      <c r="BN25" s="213">
        <f t="shared" ca="1" si="17"/>
        <v>0</v>
      </c>
      <c r="BO25" s="213">
        <f t="shared" ca="1" si="17"/>
        <v>0</v>
      </c>
      <c r="BP25" s="213">
        <f t="shared" ca="1" si="17"/>
        <v>0</v>
      </c>
      <c r="BQ25" s="213">
        <f t="shared" ca="1" si="17"/>
        <v>0</v>
      </c>
      <c r="BR25" s="213">
        <f t="shared" ca="1" si="17"/>
        <v>0</v>
      </c>
      <c r="BS25" s="213">
        <f t="shared" ca="1" si="17"/>
        <v>0</v>
      </c>
      <c r="BT25" s="213">
        <f t="shared" ca="1" si="17"/>
        <v>0</v>
      </c>
      <c r="BU25" s="213">
        <f t="shared" ca="1" si="17"/>
        <v>0</v>
      </c>
      <c r="BV25" s="213">
        <f t="shared" ca="1" si="17"/>
        <v>0</v>
      </c>
      <c r="BW25" s="213">
        <f t="shared" ca="1" si="17"/>
        <v>0</v>
      </c>
      <c r="BX25" s="213">
        <f t="shared" ca="1" si="17"/>
        <v>0</v>
      </c>
      <c r="BY25" s="213">
        <f t="shared" ca="1" si="17"/>
        <v>0</v>
      </c>
      <c r="BZ25" s="213">
        <f t="shared" ca="1" si="17"/>
        <v>0</v>
      </c>
      <c r="CA25" s="213">
        <f t="shared" ca="1" si="17"/>
        <v>0</v>
      </c>
      <c r="CB25" s="213">
        <f t="shared" ca="1" si="17"/>
        <v>0</v>
      </c>
      <c r="CC25" s="213">
        <f t="shared" ca="1" si="17"/>
        <v>0</v>
      </c>
      <c r="CD25" s="213">
        <f t="shared" ca="1" si="17"/>
        <v>0</v>
      </c>
      <c r="CE25" s="213">
        <f t="shared" ref="CE25:EP25" ca="1" si="18">CE24-CD24</f>
        <v>0</v>
      </c>
      <c r="CF25" s="213">
        <f t="shared" ca="1" si="18"/>
        <v>0</v>
      </c>
      <c r="CG25" s="213">
        <f t="shared" ca="1" si="18"/>
        <v>0</v>
      </c>
      <c r="CH25" s="213">
        <f t="shared" ca="1" si="18"/>
        <v>0</v>
      </c>
      <c r="CI25" s="213">
        <f t="shared" ca="1" si="18"/>
        <v>0</v>
      </c>
      <c r="CJ25" s="213">
        <f t="shared" ca="1" si="18"/>
        <v>0</v>
      </c>
      <c r="CK25" s="213">
        <f t="shared" ca="1" si="18"/>
        <v>0</v>
      </c>
      <c r="CL25" s="213">
        <f t="shared" ca="1" si="18"/>
        <v>0</v>
      </c>
      <c r="CM25" s="213">
        <f t="shared" ca="1" si="18"/>
        <v>0</v>
      </c>
      <c r="CN25" s="213">
        <f t="shared" ca="1" si="18"/>
        <v>0</v>
      </c>
      <c r="CO25" s="213">
        <f t="shared" ca="1" si="18"/>
        <v>0</v>
      </c>
      <c r="CP25" s="213">
        <f t="shared" ca="1" si="18"/>
        <v>0</v>
      </c>
      <c r="CQ25" s="213">
        <f t="shared" ca="1" si="18"/>
        <v>0</v>
      </c>
      <c r="CR25" s="213">
        <f t="shared" ca="1" si="18"/>
        <v>0</v>
      </c>
      <c r="CS25" s="213">
        <f t="shared" ca="1" si="18"/>
        <v>0</v>
      </c>
      <c r="CT25" s="213">
        <f t="shared" ca="1" si="18"/>
        <v>0</v>
      </c>
      <c r="CU25" s="213">
        <f t="shared" ca="1" si="18"/>
        <v>0</v>
      </c>
      <c r="CV25" s="213">
        <f t="shared" ca="1" si="18"/>
        <v>0</v>
      </c>
      <c r="CW25" s="213">
        <f t="shared" ca="1" si="18"/>
        <v>0</v>
      </c>
      <c r="CX25" s="213">
        <f t="shared" ca="1" si="18"/>
        <v>0</v>
      </c>
      <c r="CY25" s="213">
        <f t="shared" ca="1" si="18"/>
        <v>0</v>
      </c>
      <c r="CZ25" s="213">
        <f t="shared" ca="1" si="18"/>
        <v>0</v>
      </c>
      <c r="DA25" s="213">
        <f t="shared" ca="1" si="18"/>
        <v>0</v>
      </c>
      <c r="DB25" s="213">
        <f t="shared" ca="1" si="18"/>
        <v>0</v>
      </c>
      <c r="DC25" s="213">
        <f t="shared" ca="1" si="18"/>
        <v>0</v>
      </c>
      <c r="DD25" s="213">
        <f t="shared" ca="1" si="18"/>
        <v>0</v>
      </c>
      <c r="DE25" s="213">
        <f t="shared" ca="1" si="18"/>
        <v>0</v>
      </c>
      <c r="DF25" s="213">
        <f t="shared" ca="1" si="18"/>
        <v>0</v>
      </c>
      <c r="DG25" s="213">
        <f t="shared" ca="1" si="18"/>
        <v>0</v>
      </c>
      <c r="DH25" s="213">
        <f t="shared" ca="1" si="18"/>
        <v>0</v>
      </c>
      <c r="DI25" s="213">
        <f t="shared" ca="1" si="18"/>
        <v>0</v>
      </c>
      <c r="DJ25" s="213">
        <f t="shared" ca="1" si="18"/>
        <v>0</v>
      </c>
      <c r="DK25" s="213">
        <f t="shared" ca="1" si="18"/>
        <v>0</v>
      </c>
      <c r="DL25" s="213">
        <f t="shared" ca="1" si="18"/>
        <v>0</v>
      </c>
      <c r="DM25" s="213">
        <f t="shared" ca="1" si="18"/>
        <v>0</v>
      </c>
      <c r="DN25" s="213">
        <f t="shared" ca="1" si="18"/>
        <v>0</v>
      </c>
      <c r="DO25" s="213">
        <f t="shared" ca="1" si="18"/>
        <v>0</v>
      </c>
      <c r="DP25" s="213">
        <f t="shared" ca="1" si="18"/>
        <v>0</v>
      </c>
      <c r="DQ25" s="213">
        <f t="shared" ca="1" si="18"/>
        <v>0</v>
      </c>
      <c r="DR25" s="213">
        <f t="shared" ca="1" si="18"/>
        <v>0</v>
      </c>
      <c r="DS25" s="213">
        <f t="shared" ca="1" si="18"/>
        <v>0</v>
      </c>
      <c r="DT25" s="213">
        <f t="shared" ca="1" si="18"/>
        <v>0</v>
      </c>
      <c r="DU25" s="213">
        <f t="shared" ca="1" si="18"/>
        <v>0</v>
      </c>
      <c r="DV25" s="213">
        <f t="shared" ca="1" si="18"/>
        <v>0</v>
      </c>
      <c r="DW25" s="213">
        <f t="shared" ca="1" si="18"/>
        <v>0</v>
      </c>
      <c r="DX25" s="213">
        <f t="shared" ca="1" si="18"/>
        <v>0</v>
      </c>
      <c r="DY25" s="213">
        <f t="shared" ca="1" si="18"/>
        <v>0</v>
      </c>
      <c r="DZ25" s="213">
        <f t="shared" ca="1" si="18"/>
        <v>0</v>
      </c>
      <c r="EA25" s="213">
        <f t="shared" ca="1" si="18"/>
        <v>0</v>
      </c>
      <c r="EB25" s="213">
        <f t="shared" ca="1" si="18"/>
        <v>0</v>
      </c>
      <c r="EC25" s="213">
        <f t="shared" ca="1" si="18"/>
        <v>0</v>
      </c>
      <c r="ED25" s="213">
        <f t="shared" ca="1" si="18"/>
        <v>0</v>
      </c>
      <c r="EE25" s="213">
        <f t="shared" ca="1" si="18"/>
        <v>0</v>
      </c>
      <c r="EF25" s="213">
        <f t="shared" ca="1" si="18"/>
        <v>0</v>
      </c>
      <c r="EG25" s="213">
        <f t="shared" ca="1" si="18"/>
        <v>0</v>
      </c>
      <c r="EH25" s="213">
        <f t="shared" ca="1" si="18"/>
        <v>0</v>
      </c>
      <c r="EI25" s="213">
        <f t="shared" ca="1" si="18"/>
        <v>0</v>
      </c>
      <c r="EJ25" s="213">
        <f t="shared" ca="1" si="18"/>
        <v>0</v>
      </c>
      <c r="EK25" s="213">
        <f t="shared" ca="1" si="18"/>
        <v>0</v>
      </c>
      <c r="EL25" s="213">
        <f t="shared" ca="1" si="18"/>
        <v>0</v>
      </c>
      <c r="EM25" s="213">
        <f t="shared" ca="1" si="18"/>
        <v>0</v>
      </c>
      <c r="EN25" s="213">
        <f t="shared" ca="1" si="18"/>
        <v>0</v>
      </c>
      <c r="EO25" s="213">
        <f t="shared" ca="1" si="18"/>
        <v>0</v>
      </c>
      <c r="EP25" s="213">
        <f t="shared" ca="1" si="18"/>
        <v>0</v>
      </c>
      <c r="EQ25" s="213">
        <f ca="1">EQ24-EP24</f>
        <v>0</v>
      </c>
      <c r="ER25" s="213">
        <f ca="1">ER24-EQ24</f>
        <v>0</v>
      </c>
      <c r="ES25" s="213">
        <f ca="1">ES24-ER24</f>
        <v>0</v>
      </c>
      <c r="EU25" s="153"/>
      <c r="EV25" s="153"/>
      <c r="EW25" s="153"/>
      <c r="EX25" s="153"/>
      <c r="EY25" s="153"/>
      <c r="EZ25" s="154"/>
      <c r="FA25" s="153"/>
      <c r="FB25" s="153"/>
      <c r="FC25" s="153"/>
      <c r="FD25" s="153"/>
      <c r="FE25" s="153"/>
      <c r="FF25" s="153"/>
      <c r="FG25" s="153"/>
      <c r="FH25" s="153"/>
      <c r="FI25" s="153"/>
      <c r="FJ25" s="153"/>
      <c r="FK25" s="153"/>
      <c r="FL25" s="153"/>
      <c r="FM25" s="153"/>
      <c r="FN25" s="153"/>
      <c r="FO25" s="153"/>
      <c r="FP25" s="153"/>
      <c r="FQ25" s="153"/>
      <c r="FR25" s="153"/>
      <c r="FS25" s="153"/>
      <c r="FT25" s="153"/>
      <c r="FU25" s="153"/>
      <c r="FV25" s="153"/>
      <c r="FW25" s="153"/>
      <c r="FX25" s="153"/>
      <c r="FY25" s="153"/>
      <c r="FZ25" s="153"/>
      <c r="GA25" s="153"/>
      <c r="GB25" s="153"/>
      <c r="GC25" s="153"/>
      <c r="GD25" s="153"/>
      <c r="GE25" s="153"/>
      <c r="GF25" s="153"/>
      <c r="GG25" s="153"/>
      <c r="GH25" s="153"/>
      <c r="GI25" s="153"/>
      <c r="GJ25" s="153"/>
      <c r="GK25" s="153"/>
      <c r="GL25" s="153"/>
      <c r="GM25" s="153"/>
      <c r="GN25" s="153"/>
      <c r="GO25" s="153"/>
      <c r="GP25" s="153"/>
      <c r="GQ25" s="153"/>
      <c r="GR25" s="153"/>
      <c r="GS25" s="153"/>
      <c r="GT25" s="153"/>
      <c r="GU25" s="153"/>
      <c r="GV25" s="153"/>
      <c r="GW25" s="153"/>
      <c r="GX25" s="153"/>
      <c r="GY25" s="153"/>
      <c r="GZ25" s="153"/>
      <c r="HA25" s="153"/>
      <c r="HB25" s="153"/>
      <c r="HC25" s="153"/>
      <c r="HD25" s="153"/>
      <c r="HE25" s="153"/>
      <c r="HF25" s="153"/>
      <c r="HG25" s="153"/>
      <c r="HH25" s="153"/>
      <c r="HI25" s="153"/>
      <c r="HJ25" s="153"/>
      <c r="HK25" s="153"/>
      <c r="HL25" s="153"/>
      <c r="HM25" s="153"/>
      <c r="HN25" s="153"/>
      <c r="HO25" s="153"/>
      <c r="HP25" s="153"/>
      <c r="HQ25" s="153"/>
      <c r="HR25" s="153"/>
      <c r="HS25" s="153"/>
      <c r="HT25" s="153"/>
      <c r="HU25" s="153"/>
      <c r="HV25" s="153"/>
      <c r="HW25" s="153"/>
      <c r="HX25" s="153"/>
      <c r="HY25" s="153"/>
      <c r="HZ25" s="153"/>
      <c r="IA25" s="153"/>
      <c r="IB25" s="153"/>
      <c r="IC25" s="153"/>
      <c r="ID25" s="153"/>
      <c r="IE25" s="153"/>
      <c r="IF25" s="153"/>
      <c r="IG25" s="153"/>
      <c r="IH25" s="153"/>
      <c r="II25" s="153"/>
      <c r="IJ25" s="153"/>
      <c r="IK25" s="153"/>
      <c r="IL25" s="153"/>
      <c r="IM25" s="153"/>
      <c r="IN25" s="153"/>
      <c r="IO25" s="153"/>
      <c r="IP25" s="153"/>
      <c r="IQ25" s="153"/>
      <c r="IR25" s="153"/>
      <c r="IS25" s="153"/>
      <c r="IT25" s="153"/>
      <c r="IU25" s="153"/>
      <c r="IV25" s="153"/>
      <c r="IW25" s="153"/>
      <c r="IX25" s="153"/>
      <c r="IY25" s="153"/>
      <c r="IZ25" s="153"/>
      <c r="JA25" s="153"/>
      <c r="JB25" s="153"/>
      <c r="JC25" s="153"/>
      <c r="JD25" s="153"/>
      <c r="JE25" s="153"/>
      <c r="JF25" s="153"/>
      <c r="JG25" s="153"/>
      <c r="JH25" s="153"/>
      <c r="JI25" s="153"/>
      <c r="JJ25" s="153"/>
      <c r="JK25" s="153"/>
      <c r="JL25" s="153"/>
      <c r="JM25" s="153"/>
      <c r="JN25" s="153"/>
      <c r="JO25" s="153"/>
      <c r="JP25" s="153"/>
      <c r="JQ25" s="153"/>
      <c r="JR25" s="153"/>
      <c r="JS25" s="153"/>
      <c r="JT25" s="153"/>
      <c r="JU25" s="153"/>
      <c r="JV25" s="153"/>
      <c r="JW25" s="153"/>
      <c r="JX25" s="153"/>
      <c r="JY25" s="153"/>
      <c r="JZ25" s="153"/>
      <c r="KA25" s="153"/>
      <c r="KB25" s="153"/>
      <c r="KC25" s="153"/>
    </row>
    <row r="26" spans="2:289" x14ac:dyDescent="0.25">
      <c r="B26" s="214" t="s">
        <v>30</v>
      </c>
      <c r="C26" s="196"/>
      <c r="D26" s="215">
        <v>0</v>
      </c>
      <c r="E26" s="215">
        <f t="shared" ref="E26:E27" si="19">D26</f>
        <v>0</v>
      </c>
      <c r="F26" s="216" t="s">
        <v>26</v>
      </c>
      <c r="G26" s="217">
        <f>I26/Units_SF_M2</f>
        <v>30.682376043200787</v>
      </c>
      <c r="H26" s="218">
        <f>I26/Units</f>
        <v>31250</v>
      </c>
      <c r="I26" s="219">
        <v>500000</v>
      </c>
      <c r="K26" s="152" t="s">
        <v>867</v>
      </c>
      <c r="P26" s="152" t="str">
        <f t="shared" ref="P26:P31" si="20">IF(ROUND(SUM(Q26:ES26),0)=ROUND(I26,0),"","Incomplete")</f>
        <v/>
      </c>
      <c r="Q26" s="220">
        <f t="shared" ref="Q26:Z30" si="21">AND(Q$22&gt;=$D26,Q$22&lt;=$E26)*IF(OR($F26="Straight-Line",$F26="Detail"),$I26/$EX26,FA26)</f>
        <v>500000</v>
      </c>
      <c r="R26" s="220">
        <f t="shared" si="21"/>
        <v>0</v>
      </c>
      <c r="S26" s="220">
        <f t="shared" si="21"/>
        <v>0</v>
      </c>
      <c r="T26" s="220">
        <f t="shared" si="21"/>
        <v>0</v>
      </c>
      <c r="U26" s="220">
        <f t="shared" si="21"/>
        <v>0</v>
      </c>
      <c r="V26" s="220">
        <f t="shared" si="21"/>
        <v>0</v>
      </c>
      <c r="W26" s="220">
        <f t="shared" si="21"/>
        <v>0</v>
      </c>
      <c r="X26" s="220">
        <f t="shared" si="21"/>
        <v>0</v>
      </c>
      <c r="Y26" s="220">
        <f t="shared" si="21"/>
        <v>0</v>
      </c>
      <c r="Z26" s="220">
        <f t="shared" si="21"/>
        <v>0</v>
      </c>
      <c r="AA26" s="220">
        <f t="shared" ref="AA26:AJ30" si="22">AND(AA$22&gt;=$D26,AA$22&lt;=$E26)*IF(OR($F26="Straight-Line",$F26="Detail"),$I26/$EX26,FK26)</f>
        <v>0</v>
      </c>
      <c r="AB26" s="220">
        <f t="shared" si="22"/>
        <v>0</v>
      </c>
      <c r="AC26" s="220">
        <f t="shared" si="22"/>
        <v>0</v>
      </c>
      <c r="AD26" s="220">
        <f t="shared" si="22"/>
        <v>0</v>
      </c>
      <c r="AE26" s="220">
        <f t="shared" si="22"/>
        <v>0</v>
      </c>
      <c r="AF26" s="220">
        <f t="shared" si="22"/>
        <v>0</v>
      </c>
      <c r="AG26" s="220">
        <f t="shared" si="22"/>
        <v>0</v>
      </c>
      <c r="AH26" s="220">
        <f t="shared" si="22"/>
        <v>0</v>
      </c>
      <c r="AI26" s="220">
        <f t="shared" si="22"/>
        <v>0</v>
      </c>
      <c r="AJ26" s="220">
        <f t="shared" si="22"/>
        <v>0</v>
      </c>
      <c r="AK26" s="220">
        <f t="shared" ref="AK26:AT30" si="23">AND(AK$22&gt;=$D26,AK$22&lt;=$E26)*IF(OR($F26="Straight-Line",$F26="Detail"),$I26/$EX26,FU26)</f>
        <v>0</v>
      </c>
      <c r="AL26" s="220">
        <f t="shared" si="23"/>
        <v>0</v>
      </c>
      <c r="AM26" s="220">
        <f t="shared" si="23"/>
        <v>0</v>
      </c>
      <c r="AN26" s="220">
        <f t="shared" si="23"/>
        <v>0</v>
      </c>
      <c r="AO26" s="220">
        <f t="shared" si="23"/>
        <v>0</v>
      </c>
      <c r="AP26" s="220">
        <f t="shared" si="23"/>
        <v>0</v>
      </c>
      <c r="AQ26" s="220">
        <f t="shared" si="23"/>
        <v>0</v>
      </c>
      <c r="AR26" s="220">
        <f t="shared" si="23"/>
        <v>0</v>
      </c>
      <c r="AS26" s="220">
        <f t="shared" si="23"/>
        <v>0</v>
      </c>
      <c r="AT26" s="220">
        <f t="shared" si="23"/>
        <v>0</v>
      </c>
      <c r="AU26" s="220">
        <f t="shared" ref="AU26:BD30" si="24">AND(AU$22&gt;=$D26,AU$22&lt;=$E26)*IF(OR($F26="Straight-Line",$F26="Detail"),$I26/$EX26,GE26)</f>
        <v>0</v>
      </c>
      <c r="AV26" s="220">
        <f t="shared" si="24"/>
        <v>0</v>
      </c>
      <c r="AW26" s="220">
        <f t="shared" si="24"/>
        <v>0</v>
      </c>
      <c r="AX26" s="220">
        <f t="shared" si="24"/>
        <v>0</v>
      </c>
      <c r="AY26" s="220">
        <f t="shared" si="24"/>
        <v>0</v>
      </c>
      <c r="AZ26" s="220">
        <f t="shared" si="24"/>
        <v>0</v>
      </c>
      <c r="BA26" s="220">
        <f t="shared" si="24"/>
        <v>0</v>
      </c>
      <c r="BB26" s="220">
        <f t="shared" si="24"/>
        <v>0</v>
      </c>
      <c r="BC26" s="220">
        <f t="shared" si="24"/>
        <v>0</v>
      </c>
      <c r="BD26" s="220">
        <f t="shared" si="24"/>
        <v>0</v>
      </c>
      <c r="BE26" s="220">
        <f t="shared" ref="BE26:BN30" si="25">AND(BE$22&gt;=$D26,BE$22&lt;=$E26)*IF(OR($F26="Straight-Line",$F26="Detail"),$I26/$EX26,GO26)</f>
        <v>0</v>
      </c>
      <c r="BF26" s="220">
        <f t="shared" si="25"/>
        <v>0</v>
      </c>
      <c r="BG26" s="220">
        <f t="shared" si="25"/>
        <v>0</v>
      </c>
      <c r="BH26" s="220">
        <f t="shared" si="25"/>
        <v>0</v>
      </c>
      <c r="BI26" s="220">
        <f t="shared" si="25"/>
        <v>0</v>
      </c>
      <c r="BJ26" s="220">
        <f t="shared" si="25"/>
        <v>0</v>
      </c>
      <c r="BK26" s="220">
        <f t="shared" si="25"/>
        <v>0</v>
      </c>
      <c r="BL26" s="220">
        <f t="shared" si="25"/>
        <v>0</v>
      </c>
      <c r="BM26" s="220">
        <f t="shared" si="25"/>
        <v>0</v>
      </c>
      <c r="BN26" s="220">
        <f t="shared" si="25"/>
        <v>0</v>
      </c>
      <c r="BO26" s="220">
        <f t="shared" ref="BO26:BX30" si="26">AND(BO$22&gt;=$D26,BO$22&lt;=$E26)*IF(OR($F26="Straight-Line",$F26="Detail"),$I26/$EX26,GY26)</f>
        <v>0</v>
      </c>
      <c r="BP26" s="220">
        <f t="shared" si="26"/>
        <v>0</v>
      </c>
      <c r="BQ26" s="220">
        <f t="shared" si="26"/>
        <v>0</v>
      </c>
      <c r="BR26" s="220">
        <f t="shared" si="26"/>
        <v>0</v>
      </c>
      <c r="BS26" s="220">
        <f t="shared" si="26"/>
        <v>0</v>
      </c>
      <c r="BT26" s="220">
        <f t="shared" si="26"/>
        <v>0</v>
      </c>
      <c r="BU26" s="220">
        <f t="shared" si="26"/>
        <v>0</v>
      </c>
      <c r="BV26" s="220">
        <f t="shared" si="26"/>
        <v>0</v>
      </c>
      <c r="BW26" s="220">
        <f t="shared" si="26"/>
        <v>0</v>
      </c>
      <c r="BX26" s="220">
        <f t="shared" si="26"/>
        <v>0</v>
      </c>
      <c r="BY26" s="220">
        <f t="shared" ref="BY26:CH30" si="27">AND(BY$22&gt;=$D26,BY$22&lt;=$E26)*IF(OR($F26="Straight-Line",$F26="Detail"),$I26/$EX26,HI26)</f>
        <v>0</v>
      </c>
      <c r="BZ26" s="220">
        <f t="shared" si="27"/>
        <v>0</v>
      </c>
      <c r="CA26" s="220">
        <f t="shared" si="27"/>
        <v>0</v>
      </c>
      <c r="CB26" s="220">
        <f t="shared" si="27"/>
        <v>0</v>
      </c>
      <c r="CC26" s="220">
        <f t="shared" si="27"/>
        <v>0</v>
      </c>
      <c r="CD26" s="220">
        <f t="shared" si="27"/>
        <v>0</v>
      </c>
      <c r="CE26" s="220">
        <f t="shared" si="27"/>
        <v>0</v>
      </c>
      <c r="CF26" s="220">
        <f t="shared" si="27"/>
        <v>0</v>
      </c>
      <c r="CG26" s="220">
        <f t="shared" si="27"/>
        <v>0</v>
      </c>
      <c r="CH26" s="220">
        <f t="shared" si="27"/>
        <v>0</v>
      </c>
      <c r="CI26" s="220">
        <f t="shared" ref="CI26:CR30" si="28">AND(CI$22&gt;=$D26,CI$22&lt;=$E26)*IF(OR($F26="Straight-Line",$F26="Detail"),$I26/$EX26,HS26)</f>
        <v>0</v>
      </c>
      <c r="CJ26" s="220">
        <f t="shared" si="28"/>
        <v>0</v>
      </c>
      <c r="CK26" s="220">
        <f t="shared" si="28"/>
        <v>0</v>
      </c>
      <c r="CL26" s="220">
        <f t="shared" si="28"/>
        <v>0</v>
      </c>
      <c r="CM26" s="220">
        <f t="shared" si="28"/>
        <v>0</v>
      </c>
      <c r="CN26" s="220">
        <f t="shared" si="28"/>
        <v>0</v>
      </c>
      <c r="CO26" s="220">
        <f t="shared" si="28"/>
        <v>0</v>
      </c>
      <c r="CP26" s="220">
        <f t="shared" si="28"/>
        <v>0</v>
      </c>
      <c r="CQ26" s="220">
        <f t="shared" si="28"/>
        <v>0</v>
      </c>
      <c r="CR26" s="220">
        <f t="shared" si="28"/>
        <v>0</v>
      </c>
      <c r="CS26" s="220">
        <f t="shared" ref="CS26:DB30" si="29">AND(CS$22&gt;=$D26,CS$22&lt;=$E26)*IF(OR($F26="Straight-Line",$F26="Detail"),$I26/$EX26,IC26)</f>
        <v>0</v>
      </c>
      <c r="CT26" s="220">
        <f t="shared" si="29"/>
        <v>0</v>
      </c>
      <c r="CU26" s="220">
        <f t="shared" si="29"/>
        <v>0</v>
      </c>
      <c r="CV26" s="220">
        <f t="shared" si="29"/>
        <v>0</v>
      </c>
      <c r="CW26" s="220">
        <f t="shared" si="29"/>
        <v>0</v>
      </c>
      <c r="CX26" s="220">
        <f t="shared" si="29"/>
        <v>0</v>
      </c>
      <c r="CY26" s="220">
        <f t="shared" si="29"/>
        <v>0</v>
      </c>
      <c r="CZ26" s="220">
        <f t="shared" si="29"/>
        <v>0</v>
      </c>
      <c r="DA26" s="220">
        <f t="shared" si="29"/>
        <v>0</v>
      </c>
      <c r="DB26" s="220">
        <f t="shared" si="29"/>
        <v>0</v>
      </c>
      <c r="DC26" s="220">
        <f t="shared" ref="DC26:DL30" si="30">AND(DC$22&gt;=$D26,DC$22&lt;=$E26)*IF(OR($F26="Straight-Line",$F26="Detail"),$I26/$EX26,IM26)</f>
        <v>0</v>
      </c>
      <c r="DD26" s="220">
        <f t="shared" si="30"/>
        <v>0</v>
      </c>
      <c r="DE26" s="220">
        <f t="shared" si="30"/>
        <v>0</v>
      </c>
      <c r="DF26" s="220">
        <f t="shared" si="30"/>
        <v>0</v>
      </c>
      <c r="DG26" s="220">
        <f t="shared" si="30"/>
        <v>0</v>
      </c>
      <c r="DH26" s="220">
        <f t="shared" si="30"/>
        <v>0</v>
      </c>
      <c r="DI26" s="220">
        <f t="shared" si="30"/>
        <v>0</v>
      </c>
      <c r="DJ26" s="220">
        <f t="shared" si="30"/>
        <v>0</v>
      </c>
      <c r="DK26" s="220">
        <f t="shared" si="30"/>
        <v>0</v>
      </c>
      <c r="DL26" s="220">
        <f t="shared" si="30"/>
        <v>0</v>
      </c>
      <c r="DM26" s="220">
        <f t="shared" ref="DM26:DV30" si="31">AND(DM$22&gt;=$D26,DM$22&lt;=$E26)*IF(OR($F26="Straight-Line",$F26="Detail"),$I26/$EX26,IW26)</f>
        <v>0</v>
      </c>
      <c r="DN26" s="220">
        <f t="shared" si="31"/>
        <v>0</v>
      </c>
      <c r="DO26" s="220">
        <f t="shared" si="31"/>
        <v>0</v>
      </c>
      <c r="DP26" s="220">
        <f t="shared" si="31"/>
        <v>0</v>
      </c>
      <c r="DQ26" s="220">
        <f t="shared" si="31"/>
        <v>0</v>
      </c>
      <c r="DR26" s="220">
        <f t="shared" si="31"/>
        <v>0</v>
      </c>
      <c r="DS26" s="220">
        <f t="shared" si="31"/>
        <v>0</v>
      </c>
      <c r="DT26" s="220">
        <f t="shared" si="31"/>
        <v>0</v>
      </c>
      <c r="DU26" s="220">
        <f t="shared" si="31"/>
        <v>0</v>
      </c>
      <c r="DV26" s="220">
        <f t="shared" si="31"/>
        <v>0</v>
      </c>
      <c r="DW26" s="220">
        <f t="shared" ref="DW26:EF30" si="32">AND(DW$22&gt;=$D26,DW$22&lt;=$E26)*IF(OR($F26="Straight-Line",$F26="Detail"),$I26/$EX26,JG26)</f>
        <v>0</v>
      </c>
      <c r="DX26" s="220">
        <f t="shared" si="32"/>
        <v>0</v>
      </c>
      <c r="DY26" s="220">
        <f t="shared" si="32"/>
        <v>0</v>
      </c>
      <c r="DZ26" s="220">
        <f t="shared" si="32"/>
        <v>0</v>
      </c>
      <c r="EA26" s="220">
        <f t="shared" si="32"/>
        <v>0</v>
      </c>
      <c r="EB26" s="220">
        <f t="shared" si="32"/>
        <v>0</v>
      </c>
      <c r="EC26" s="220">
        <f t="shared" si="32"/>
        <v>0</v>
      </c>
      <c r="ED26" s="220">
        <f t="shared" si="32"/>
        <v>0</v>
      </c>
      <c r="EE26" s="220">
        <f t="shared" si="32"/>
        <v>0</v>
      </c>
      <c r="EF26" s="220">
        <f t="shared" si="32"/>
        <v>0</v>
      </c>
      <c r="EG26" s="220">
        <f t="shared" ref="EG26:EP30" si="33">AND(EG$22&gt;=$D26,EG$22&lt;=$E26)*IF(OR($F26="Straight-Line",$F26="Detail"),$I26/$EX26,JQ26)</f>
        <v>0</v>
      </c>
      <c r="EH26" s="220">
        <f t="shared" si="33"/>
        <v>0</v>
      </c>
      <c r="EI26" s="220">
        <f t="shared" si="33"/>
        <v>0</v>
      </c>
      <c r="EJ26" s="220">
        <f t="shared" si="33"/>
        <v>0</v>
      </c>
      <c r="EK26" s="220">
        <f t="shared" si="33"/>
        <v>0</v>
      </c>
      <c r="EL26" s="220">
        <f t="shared" si="33"/>
        <v>0</v>
      </c>
      <c r="EM26" s="220">
        <f t="shared" si="33"/>
        <v>0</v>
      </c>
      <c r="EN26" s="220">
        <f t="shared" si="33"/>
        <v>0</v>
      </c>
      <c r="EO26" s="220">
        <f t="shared" si="33"/>
        <v>0</v>
      </c>
      <c r="EP26" s="220">
        <f t="shared" si="33"/>
        <v>0</v>
      </c>
      <c r="EQ26" s="220">
        <f t="shared" ref="EQ26:ES30" si="34">AND(EQ$22&gt;=$D26,EQ$22&lt;=$E26)*IF(OR($F26="Straight-Line",$F26="Detail"),$I26/$EX26,KA26)</f>
        <v>0</v>
      </c>
      <c r="ER26" s="220">
        <f t="shared" si="34"/>
        <v>0</v>
      </c>
      <c r="ES26" s="220">
        <f t="shared" si="34"/>
        <v>0</v>
      </c>
      <c r="EU26" s="221">
        <f>I26</f>
        <v>500000</v>
      </c>
      <c r="EV26" s="222">
        <f>INDEX($Q$23:$ES$23,1,$D26+1)</f>
        <v>45688</v>
      </c>
      <c r="EW26" s="222">
        <f>INDEX($Q$23:$ES$23,1,$E26+1)</f>
        <v>45688</v>
      </c>
      <c r="EX26" s="221">
        <f>+E26-D26+1</f>
        <v>1</v>
      </c>
      <c r="EY26" s="153" t="str">
        <f>F26</f>
        <v>Straight-Line</v>
      </c>
      <c r="EZ26" s="223">
        <f>EX26/Scurve_Dist</f>
        <v>0.16666666666666666</v>
      </c>
      <c r="FA26" s="221">
        <f>AND($EY26="S-Curve",FA$23&gt;=$EV26,FA$23&lt;=$EW26)*(_xlfn.NORM.DIST((YEAR(FA$23)-YEAR($EV26))*12+MONTH(FA$23)-MONTH($EV26)+1,$EX26/2,$EZ26,TRUE)-_xlfn.NORM.DIST((YEAR(FA$23)-YEAR($EV26))*12+MONTH(FA$23)-MONTH($EV26),$EX26/2,$EZ26,TRUE))/(1-2*_xlfn.NORM.DIST(0,$EX26/2,$EZ26,TRUE))*$EU26</f>
        <v>0</v>
      </c>
      <c r="FB26" s="221">
        <f t="shared" ref="FB26:HM27" si="35">AND($EY26="S-Curve",FB$23&gt;=$EV26,FB$23&lt;=$EW26)*(_xlfn.NORM.DIST((YEAR(FB$23)-YEAR($EV26))*12+MONTH(FB$23)-MONTH($EV26)+1,$EX26/2,$EZ26,TRUE)-_xlfn.NORM.DIST((YEAR(FB$23)-YEAR($EV26))*12+MONTH(FB$23)-MONTH($EV26),$EX26/2,$EZ26,TRUE))/(1-2*_xlfn.NORM.DIST(0,$EX26/2,$EZ26,TRUE))*$EU26</f>
        <v>0</v>
      </c>
      <c r="FC26" s="221">
        <f t="shared" si="35"/>
        <v>0</v>
      </c>
      <c r="FD26" s="221">
        <f t="shared" si="35"/>
        <v>0</v>
      </c>
      <c r="FE26" s="221">
        <f t="shared" si="35"/>
        <v>0</v>
      </c>
      <c r="FF26" s="221">
        <f t="shared" si="35"/>
        <v>0</v>
      </c>
      <c r="FG26" s="221">
        <f t="shared" si="35"/>
        <v>0</v>
      </c>
      <c r="FH26" s="221">
        <f t="shared" si="35"/>
        <v>0</v>
      </c>
      <c r="FI26" s="221">
        <f t="shared" si="35"/>
        <v>0</v>
      </c>
      <c r="FJ26" s="221">
        <f t="shared" si="35"/>
        <v>0</v>
      </c>
      <c r="FK26" s="221">
        <f t="shared" si="35"/>
        <v>0</v>
      </c>
      <c r="FL26" s="221">
        <f t="shared" si="35"/>
        <v>0</v>
      </c>
      <c r="FM26" s="221">
        <f t="shared" si="35"/>
        <v>0</v>
      </c>
      <c r="FN26" s="221">
        <f t="shared" si="35"/>
        <v>0</v>
      </c>
      <c r="FO26" s="221">
        <f t="shared" si="35"/>
        <v>0</v>
      </c>
      <c r="FP26" s="221">
        <f t="shared" si="35"/>
        <v>0</v>
      </c>
      <c r="FQ26" s="221">
        <f t="shared" si="35"/>
        <v>0</v>
      </c>
      <c r="FR26" s="221">
        <f t="shared" si="35"/>
        <v>0</v>
      </c>
      <c r="FS26" s="221">
        <f t="shared" si="35"/>
        <v>0</v>
      </c>
      <c r="FT26" s="221">
        <f t="shared" si="35"/>
        <v>0</v>
      </c>
      <c r="FU26" s="221">
        <f t="shared" si="35"/>
        <v>0</v>
      </c>
      <c r="FV26" s="221">
        <f t="shared" si="35"/>
        <v>0</v>
      </c>
      <c r="FW26" s="221">
        <f t="shared" si="35"/>
        <v>0</v>
      </c>
      <c r="FX26" s="221">
        <f t="shared" si="35"/>
        <v>0</v>
      </c>
      <c r="FY26" s="221">
        <f t="shared" si="35"/>
        <v>0</v>
      </c>
      <c r="FZ26" s="221">
        <f t="shared" si="35"/>
        <v>0</v>
      </c>
      <c r="GA26" s="221">
        <f t="shared" si="35"/>
        <v>0</v>
      </c>
      <c r="GB26" s="221">
        <f t="shared" si="35"/>
        <v>0</v>
      </c>
      <c r="GC26" s="221">
        <f t="shared" si="35"/>
        <v>0</v>
      </c>
      <c r="GD26" s="221">
        <f t="shared" si="35"/>
        <v>0</v>
      </c>
      <c r="GE26" s="221">
        <f t="shared" si="35"/>
        <v>0</v>
      </c>
      <c r="GF26" s="221">
        <f t="shared" si="35"/>
        <v>0</v>
      </c>
      <c r="GG26" s="221">
        <f t="shared" si="35"/>
        <v>0</v>
      </c>
      <c r="GH26" s="221">
        <f t="shared" si="35"/>
        <v>0</v>
      </c>
      <c r="GI26" s="221">
        <f t="shared" si="35"/>
        <v>0</v>
      </c>
      <c r="GJ26" s="221">
        <f t="shared" si="35"/>
        <v>0</v>
      </c>
      <c r="GK26" s="221">
        <f t="shared" si="35"/>
        <v>0</v>
      </c>
      <c r="GL26" s="221">
        <f t="shared" si="35"/>
        <v>0</v>
      </c>
      <c r="GM26" s="221">
        <f t="shared" si="35"/>
        <v>0</v>
      </c>
      <c r="GN26" s="221">
        <f t="shared" si="35"/>
        <v>0</v>
      </c>
      <c r="GO26" s="221">
        <f t="shared" si="35"/>
        <v>0</v>
      </c>
      <c r="GP26" s="221">
        <f t="shared" si="35"/>
        <v>0</v>
      </c>
      <c r="GQ26" s="221">
        <f t="shared" si="35"/>
        <v>0</v>
      </c>
      <c r="GR26" s="221">
        <f t="shared" si="35"/>
        <v>0</v>
      </c>
      <c r="GS26" s="221">
        <f t="shared" si="35"/>
        <v>0</v>
      </c>
      <c r="GT26" s="221">
        <f t="shared" si="35"/>
        <v>0</v>
      </c>
      <c r="GU26" s="221">
        <f t="shared" si="35"/>
        <v>0</v>
      </c>
      <c r="GV26" s="221">
        <f t="shared" si="35"/>
        <v>0</v>
      </c>
      <c r="GW26" s="221">
        <f t="shared" si="35"/>
        <v>0</v>
      </c>
      <c r="GX26" s="221">
        <f t="shared" si="35"/>
        <v>0</v>
      </c>
      <c r="GY26" s="221">
        <f t="shared" si="35"/>
        <v>0</v>
      </c>
      <c r="GZ26" s="221">
        <f t="shared" si="35"/>
        <v>0</v>
      </c>
      <c r="HA26" s="221">
        <f t="shared" si="35"/>
        <v>0</v>
      </c>
      <c r="HB26" s="221">
        <f t="shared" si="35"/>
        <v>0</v>
      </c>
      <c r="HC26" s="221">
        <f t="shared" si="35"/>
        <v>0</v>
      </c>
      <c r="HD26" s="221">
        <f t="shared" si="35"/>
        <v>0</v>
      </c>
      <c r="HE26" s="221">
        <f t="shared" si="35"/>
        <v>0</v>
      </c>
      <c r="HF26" s="221">
        <f t="shared" si="35"/>
        <v>0</v>
      </c>
      <c r="HG26" s="221">
        <f t="shared" si="35"/>
        <v>0</v>
      </c>
      <c r="HH26" s="221">
        <f t="shared" si="35"/>
        <v>0</v>
      </c>
      <c r="HI26" s="221">
        <f t="shared" si="35"/>
        <v>0</v>
      </c>
      <c r="HJ26" s="221">
        <f t="shared" si="35"/>
        <v>0</v>
      </c>
      <c r="HK26" s="221">
        <f t="shared" si="35"/>
        <v>0</v>
      </c>
      <c r="HL26" s="221">
        <f t="shared" si="35"/>
        <v>0</v>
      </c>
      <c r="HM26" s="221">
        <f t="shared" si="35"/>
        <v>0</v>
      </c>
      <c r="HN26" s="221">
        <f t="shared" ref="HN26:JY27" si="36">AND($EY26="S-Curve",HN$23&gt;=$EV26,HN$23&lt;=$EW26)*(_xlfn.NORM.DIST((YEAR(HN$23)-YEAR($EV26))*12+MONTH(HN$23)-MONTH($EV26)+1,$EX26/2,$EZ26,TRUE)-_xlfn.NORM.DIST((YEAR(HN$23)-YEAR($EV26))*12+MONTH(HN$23)-MONTH($EV26),$EX26/2,$EZ26,TRUE))/(1-2*_xlfn.NORM.DIST(0,$EX26/2,$EZ26,TRUE))*$EU26</f>
        <v>0</v>
      </c>
      <c r="HO26" s="221">
        <f t="shared" si="36"/>
        <v>0</v>
      </c>
      <c r="HP26" s="221">
        <f t="shared" si="36"/>
        <v>0</v>
      </c>
      <c r="HQ26" s="221">
        <f t="shared" si="36"/>
        <v>0</v>
      </c>
      <c r="HR26" s="221">
        <f t="shared" si="36"/>
        <v>0</v>
      </c>
      <c r="HS26" s="221">
        <f t="shared" si="36"/>
        <v>0</v>
      </c>
      <c r="HT26" s="221">
        <f t="shared" si="36"/>
        <v>0</v>
      </c>
      <c r="HU26" s="221">
        <f t="shared" si="36"/>
        <v>0</v>
      </c>
      <c r="HV26" s="221">
        <f t="shared" si="36"/>
        <v>0</v>
      </c>
      <c r="HW26" s="221">
        <f t="shared" si="36"/>
        <v>0</v>
      </c>
      <c r="HX26" s="221">
        <f t="shared" si="36"/>
        <v>0</v>
      </c>
      <c r="HY26" s="221">
        <f t="shared" si="36"/>
        <v>0</v>
      </c>
      <c r="HZ26" s="221">
        <f t="shared" si="36"/>
        <v>0</v>
      </c>
      <c r="IA26" s="221">
        <f t="shared" si="36"/>
        <v>0</v>
      </c>
      <c r="IB26" s="221">
        <f t="shared" si="36"/>
        <v>0</v>
      </c>
      <c r="IC26" s="221">
        <f t="shared" si="36"/>
        <v>0</v>
      </c>
      <c r="ID26" s="221">
        <f t="shared" si="36"/>
        <v>0</v>
      </c>
      <c r="IE26" s="221">
        <f t="shared" si="36"/>
        <v>0</v>
      </c>
      <c r="IF26" s="221">
        <f t="shared" si="36"/>
        <v>0</v>
      </c>
      <c r="IG26" s="221">
        <f t="shared" si="36"/>
        <v>0</v>
      </c>
      <c r="IH26" s="221">
        <f t="shared" si="36"/>
        <v>0</v>
      </c>
      <c r="II26" s="221">
        <f t="shared" si="36"/>
        <v>0</v>
      </c>
      <c r="IJ26" s="221">
        <f t="shared" si="36"/>
        <v>0</v>
      </c>
      <c r="IK26" s="221">
        <f t="shared" si="36"/>
        <v>0</v>
      </c>
      <c r="IL26" s="221">
        <f t="shared" si="36"/>
        <v>0</v>
      </c>
      <c r="IM26" s="221">
        <f t="shared" si="36"/>
        <v>0</v>
      </c>
      <c r="IN26" s="221">
        <f t="shared" si="36"/>
        <v>0</v>
      </c>
      <c r="IO26" s="221">
        <f t="shared" si="36"/>
        <v>0</v>
      </c>
      <c r="IP26" s="221">
        <f t="shared" si="36"/>
        <v>0</v>
      </c>
      <c r="IQ26" s="221">
        <f t="shared" si="36"/>
        <v>0</v>
      </c>
      <c r="IR26" s="221">
        <f t="shared" si="36"/>
        <v>0</v>
      </c>
      <c r="IS26" s="221">
        <f t="shared" si="36"/>
        <v>0</v>
      </c>
      <c r="IT26" s="221">
        <f t="shared" si="36"/>
        <v>0</v>
      </c>
      <c r="IU26" s="221">
        <f t="shared" si="36"/>
        <v>0</v>
      </c>
      <c r="IV26" s="221">
        <f t="shared" si="36"/>
        <v>0</v>
      </c>
      <c r="IW26" s="221">
        <f t="shared" si="36"/>
        <v>0</v>
      </c>
      <c r="IX26" s="221">
        <f t="shared" si="36"/>
        <v>0</v>
      </c>
      <c r="IY26" s="221">
        <f t="shared" si="36"/>
        <v>0</v>
      </c>
      <c r="IZ26" s="221">
        <f t="shared" si="36"/>
        <v>0</v>
      </c>
      <c r="JA26" s="221">
        <f t="shared" si="36"/>
        <v>0</v>
      </c>
      <c r="JB26" s="221">
        <f t="shared" si="36"/>
        <v>0</v>
      </c>
      <c r="JC26" s="221">
        <f t="shared" si="36"/>
        <v>0</v>
      </c>
      <c r="JD26" s="221">
        <f t="shared" si="36"/>
        <v>0</v>
      </c>
      <c r="JE26" s="221">
        <f t="shared" si="36"/>
        <v>0</v>
      </c>
      <c r="JF26" s="221">
        <f t="shared" si="36"/>
        <v>0</v>
      </c>
      <c r="JG26" s="221">
        <f t="shared" si="36"/>
        <v>0</v>
      </c>
      <c r="JH26" s="221">
        <f t="shared" si="36"/>
        <v>0</v>
      </c>
      <c r="JI26" s="221">
        <f t="shared" si="36"/>
        <v>0</v>
      </c>
      <c r="JJ26" s="221">
        <f t="shared" si="36"/>
        <v>0</v>
      </c>
      <c r="JK26" s="221">
        <f t="shared" si="36"/>
        <v>0</v>
      </c>
      <c r="JL26" s="221">
        <f t="shared" si="36"/>
        <v>0</v>
      </c>
      <c r="JM26" s="221">
        <f t="shared" si="36"/>
        <v>0</v>
      </c>
      <c r="JN26" s="221">
        <f t="shared" si="36"/>
        <v>0</v>
      </c>
      <c r="JO26" s="221">
        <f t="shared" si="36"/>
        <v>0</v>
      </c>
      <c r="JP26" s="221">
        <f t="shared" si="36"/>
        <v>0</v>
      </c>
      <c r="JQ26" s="221">
        <f t="shared" si="36"/>
        <v>0</v>
      </c>
      <c r="JR26" s="221">
        <f t="shared" si="36"/>
        <v>0</v>
      </c>
      <c r="JS26" s="221">
        <f t="shared" si="36"/>
        <v>0</v>
      </c>
      <c r="JT26" s="221">
        <f t="shared" si="36"/>
        <v>0</v>
      </c>
      <c r="JU26" s="221">
        <f t="shared" si="36"/>
        <v>0</v>
      </c>
      <c r="JV26" s="221">
        <f t="shared" si="36"/>
        <v>0</v>
      </c>
      <c r="JW26" s="221">
        <f t="shared" si="36"/>
        <v>0</v>
      </c>
      <c r="JX26" s="221">
        <f t="shared" si="36"/>
        <v>0</v>
      </c>
      <c r="JY26" s="221">
        <f t="shared" si="36"/>
        <v>0</v>
      </c>
      <c r="JZ26" s="221">
        <f t="shared" ref="JZ26:KC30" si="37">AND($EY26="S-Curve",JZ$23&gt;=$EV26,JZ$23&lt;=$EW26)*(_xlfn.NORM.DIST((YEAR(JZ$23)-YEAR($EV26))*12+MONTH(JZ$23)-MONTH($EV26)+1,$EX26/2,$EZ26,TRUE)-_xlfn.NORM.DIST((YEAR(JZ$23)-YEAR($EV26))*12+MONTH(JZ$23)-MONTH($EV26),$EX26/2,$EZ26,TRUE))/(1-2*_xlfn.NORM.DIST(0,$EX26/2,$EZ26,TRUE))*$EU26</f>
        <v>0</v>
      </c>
      <c r="KA26" s="221">
        <f t="shared" si="37"/>
        <v>0</v>
      </c>
      <c r="KB26" s="221">
        <f t="shared" si="37"/>
        <v>0</v>
      </c>
      <c r="KC26" s="221">
        <f t="shared" si="37"/>
        <v>0</v>
      </c>
    </row>
    <row r="27" spans="2:289" x14ac:dyDescent="0.25">
      <c r="B27" s="214" t="s">
        <v>31</v>
      </c>
      <c r="C27" s="196"/>
      <c r="D27" s="215">
        <v>0</v>
      </c>
      <c r="E27" s="215">
        <f t="shared" si="19"/>
        <v>0</v>
      </c>
      <c r="F27" s="216" t="s">
        <v>26</v>
      </c>
      <c r="G27" s="217">
        <f>I27/Units_SF_M2</f>
        <v>0</v>
      </c>
      <c r="H27" s="218">
        <f>I27/Units</f>
        <v>0</v>
      </c>
      <c r="I27" s="219">
        <v>0</v>
      </c>
      <c r="P27" s="152" t="str">
        <f t="shared" si="20"/>
        <v/>
      </c>
      <c r="Q27" s="220">
        <f t="shared" si="21"/>
        <v>0</v>
      </c>
      <c r="R27" s="220">
        <f t="shared" si="21"/>
        <v>0</v>
      </c>
      <c r="S27" s="220">
        <f t="shared" si="21"/>
        <v>0</v>
      </c>
      <c r="T27" s="220">
        <f t="shared" si="21"/>
        <v>0</v>
      </c>
      <c r="U27" s="220">
        <f t="shared" si="21"/>
        <v>0</v>
      </c>
      <c r="V27" s="220">
        <f t="shared" si="21"/>
        <v>0</v>
      </c>
      <c r="W27" s="220">
        <f t="shared" si="21"/>
        <v>0</v>
      </c>
      <c r="X27" s="220">
        <f t="shared" si="21"/>
        <v>0</v>
      </c>
      <c r="Y27" s="220">
        <f t="shared" si="21"/>
        <v>0</v>
      </c>
      <c r="Z27" s="220">
        <f t="shared" si="21"/>
        <v>0</v>
      </c>
      <c r="AA27" s="220">
        <f t="shared" si="22"/>
        <v>0</v>
      </c>
      <c r="AB27" s="220">
        <f t="shared" si="22"/>
        <v>0</v>
      </c>
      <c r="AC27" s="220">
        <f t="shared" si="22"/>
        <v>0</v>
      </c>
      <c r="AD27" s="220">
        <f t="shared" si="22"/>
        <v>0</v>
      </c>
      <c r="AE27" s="220">
        <f t="shared" si="22"/>
        <v>0</v>
      </c>
      <c r="AF27" s="220">
        <f t="shared" si="22"/>
        <v>0</v>
      </c>
      <c r="AG27" s="220">
        <f t="shared" si="22"/>
        <v>0</v>
      </c>
      <c r="AH27" s="220">
        <f t="shared" si="22"/>
        <v>0</v>
      </c>
      <c r="AI27" s="220">
        <f t="shared" si="22"/>
        <v>0</v>
      </c>
      <c r="AJ27" s="220">
        <f t="shared" si="22"/>
        <v>0</v>
      </c>
      <c r="AK27" s="220">
        <f t="shared" si="23"/>
        <v>0</v>
      </c>
      <c r="AL27" s="220">
        <f t="shared" si="23"/>
        <v>0</v>
      </c>
      <c r="AM27" s="220">
        <f t="shared" si="23"/>
        <v>0</v>
      </c>
      <c r="AN27" s="220">
        <f t="shared" si="23"/>
        <v>0</v>
      </c>
      <c r="AO27" s="220">
        <f t="shared" si="23"/>
        <v>0</v>
      </c>
      <c r="AP27" s="220">
        <f t="shared" si="23"/>
        <v>0</v>
      </c>
      <c r="AQ27" s="220">
        <f t="shared" si="23"/>
        <v>0</v>
      </c>
      <c r="AR27" s="220">
        <f t="shared" si="23"/>
        <v>0</v>
      </c>
      <c r="AS27" s="220">
        <f t="shared" si="23"/>
        <v>0</v>
      </c>
      <c r="AT27" s="220">
        <f t="shared" si="23"/>
        <v>0</v>
      </c>
      <c r="AU27" s="220">
        <f t="shared" si="24"/>
        <v>0</v>
      </c>
      <c r="AV27" s="220">
        <f t="shared" si="24"/>
        <v>0</v>
      </c>
      <c r="AW27" s="220">
        <f t="shared" si="24"/>
        <v>0</v>
      </c>
      <c r="AX27" s="220">
        <f t="shared" si="24"/>
        <v>0</v>
      </c>
      <c r="AY27" s="220">
        <f t="shared" si="24"/>
        <v>0</v>
      </c>
      <c r="AZ27" s="220">
        <f t="shared" si="24"/>
        <v>0</v>
      </c>
      <c r="BA27" s="220">
        <f t="shared" si="24"/>
        <v>0</v>
      </c>
      <c r="BB27" s="220">
        <f t="shared" si="24"/>
        <v>0</v>
      </c>
      <c r="BC27" s="220">
        <f t="shared" si="24"/>
        <v>0</v>
      </c>
      <c r="BD27" s="220">
        <f t="shared" si="24"/>
        <v>0</v>
      </c>
      <c r="BE27" s="220">
        <f t="shared" si="25"/>
        <v>0</v>
      </c>
      <c r="BF27" s="220">
        <f t="shared" si="25"/>
        <v>0</v>
      </c>
      <c r="BG27" s="220">
        <f t="shared" si="25"/>
        <v>0</v>
      </c>
      <c r="BH27" s="220">
        <f t="shared" si="25"/>
        <v>0</v>
      </c>
      <c r="BI27" s="220">
        <f t="shared" si="25"/>
        <v>0</v>
      </c>
      <c r="BJ27" s="220">
        <f t="shared" si="25"/>
        <v>0</v>
      </c>
      <c r="BK27" s="220">
        <f t="shared" si="25"/>
        <v>0</v>
      </c>
      <c r="BL27" s="220">
        <f t="shared" si="25"/>
        <v>0</v>
      </c>
      <c r="BM27" s="220">
        <f t="shared" si="25"/>
        <v>0</v>
      </c>
      <c r="BN27" s="220">
        <f t="shared" si="25"/>
        <v>0</v>
      </c>
      <c r="BO27" s="220">
        <f t="shared" si="26"/>
        <v>0</v>
      </c>
      <c r="BP27" s="220">
        <f t="shared" si="26"/>
        <v>0</v>
      </c>
      <c r="BQ27" s="220">
        <f t="shared" si="26"/>
        <v>0</v>
      </c>
      <c r="BR27" s="220">
        <f t="shared" si="26"/>
        <v>0</v>
      </c>
      <c r="BS27" s="220">
        <f t="shared" si="26"/>
        <v>0</v>
      </c>
      <c r="BT27" s="220">
        <f t="shared" si="26"/>
        <v>0</v>
      </c>
      <c r="BU27" s="220">
        <f t="shared" si="26"/>
        <v>0</v>
      </c>
      <c r="BV27" s="220">
        <f t="shared" si="26"/>
        <v>0</v>
      </c>
      <c r="BW27" s="220">
        <f t="shared" si="26"/>
        <v>0</v>
      </c>
      <c r="BX27" s="220">
        <f t="shared" si="26"/>
        <v>0</v>
      </c>
      <c r="BY27" s="220">
        <f t="shared" si="27"/>
        <v>0</v>
      </c>
      <c r="BZ27" s="220">
        <f t="shared" si="27"/>
        <v>0</v>
      </c>
      <c r="CA27" s="220">
        <f t="shared" si="27"/>
        <v>0</v>
      </c>
      <c r="CB27" s="220">
        <f t="shared" si="27"/>
        <v>0</v>
      </c>
      <c r="CC27" s="220">
        <f t="shared" si="27"/>
        <v>0</v>
      </c>
      <c r="CD27" s="220">
        <f t="shared" si="27"/>
        <v>0</v>
      </c>
      <c r="CE27" s="220">
        <f t="shared" si="27"/>
        <v>0</v>
      </c>
      <c r="CF27" s="220">
        <f t="shared" si="27"/>
        <v>0</v>
      </c>
      <c r="CG27" s="220">
        <f t="shared" si="27"/>
        <v>0</v>
      </c>
      <c r="CH27" s="220">
        <f t="shared" si="27"/>
        <v>0</v>
      </c>
      <c r="CI27" s="220">
        <f t="shared" si="28"/>
        <v>0</v>
      </c>
      <c r="CJ27" s="220">
        <f t="shared" si="28"/>
        <v>0</v>
      </c>
      <c r="CK27" s="220">
        <f t="shared" si="28"/>
        <v>0</v>
      </c>
      <c r="CL27" s="220">
        <f t="shared" si="28"/>
        <v>0</v>
      </c>
      <c r="CM27" s="220">
        <f t="shared" si="28"/>
        <v>0</v>
      </c>
      <c r="CN27" s="220">
        <f t="shared" si="28"/>
        <v>0</v>
      </c>
      <c r="CO27" s="220">
        <f t="shared" si="28"/>
        <v>0</v>
      </c>
      <c r="CP27" s="220">
        <f t="shared" si="28"/>
        <v>0</v>
      </c>
      <c r="CQ27" s="220">
        <f t="shared" si="28"/>
        <v>0</v>
      </c>
      <c r="CR27" s="220">
        <f t="shared" si="28"/>
        <v>0</v>
      </c>
      <c r="CS27" s="220">
        <f t="shared" si="29"/>
        <v>0</v>
      </c>
      <c r="CT27" s="220">
        <f t="shared" si="29"/>
        <v>0</v>
      </c>
      <c r="CU27" s="220">
        <f t="shared" si="29"/>
        <v>0</v>
      </c>
      <c r="CV27" s="220">
        <f t="shared" si="29"/>
        <v>0</v>
      </c>
      <c r="CW27" s="220">
        <f t="shared" si="29"/>
        <v>0</v>
      </c>
      <c r="CX27" s="220">
        <f t="shared" si="29"/>
        <v>0</v>
      </c>
      <c r="CY27" s="220">
        <f t="shared" si="29"/>
        <v>0</v>
      </c>
      <c r="CZ27" s="220">
        <f t="shared" si="29"/>
        <v>0</v>
      </c>
      <c r="DA27" s="220">
        <f t="shared" si="29"/>
        <v>0</v>
      </c>
      <c r="DB27" s="220">
        <f t="shared" si="29"/>
        <v>0</v>
      </c>
      <c r="DC27" s="220">
        <f t="shared" si="30"/>
        <v>0</v>
      </c>
      <c r="DD27" s="220">
        <f t="shared" si="30"/>
        <v>0</v>
      </c>
      <c r="DE27" s="220">
        <f t="shared" si="30"/>
        <v>0</v>
      </c>
      <c r="DF27" s="220">
        <f t="shared" si="30"/>
        <v>0</v>
      </c>
      <c r="DG27" s="220">
        <f t="shared" si="30"/>
        <v>0</v>
      </c>
      <c r="DH27" s="220">
        <f t="shared" si="30"/>
        <v>0</v>
      </c>
      <c r="DI27" s="220">
        <f t="shared" si="30"/>
        <v>0</v>
      </c>
      <c r="DJ27" s="220">
        <f t="shared" si="30"/>
        <v>0</v>
      </c>
      <c r="DK27" s="220">
        <f t="shared" si="30"/>
        <v>0</v>
      </c>
      <c r="DL27" s="220">
        <f t="shared" si="30"/>
        <v>0</v>
      </c>
      <c r="DM27" s="220">
        <f t="shared" si="31"/>
        <v>0</v>
      </c>
      <c r="DN27" s="220">
        <f t="shared" si="31"/>
        <v>0</v>
      </c>
      <c r="DO27" s="220">
        <f t="shared" si="31"/>
        <v>0</v>
      </c>
      <c r="DP27" s="220">
        <f t="shared" si="31"/>
        <v>0</v>
      </c>
      <c r="DQ27" s="220">
        <f t="shared" si="31"/>
        <v>0</v>
      </c>
      <c r="DR27" s="220">
        <f t="shared" si="31"/>
        <v>0</v>
      </c>
      <c r="DS27" s="220">
        <f t="shared" si="31"/>
        <v>0</v>
      </c>
      <c r="DT27" s="220">
        <f t="shared" si="31"/>
        <v>0</v>
      </c>
      <c r="DU27" s="220">
        <f t="shared" si="31"/>
        <v>0</v>
      </c>
      <c r="DV27" s="220">
        <f t="shared" si="31"/>
        <v>0</v>
      </c>
      <c r="DW27" s="220">
        <f t="shared" si="32"/>
        <v>0</v>
      </c>
      <c r="DX27" s="220">
        <f t="shared" si="32"/>
        <v>0</v>
      </c>
      <c r="DY27" s="220">
        <f t="shared" si="32"/>
        <v>0</v>
      </c>
      <c r="DZ27" s="220">
        <f t="shared" si="32"/>
        <v>0</v>
      </c>
      <c r="EA27" s="220">
        <f t="shared" si="32"/>
        <v>0</v>
      </c>
      <c r="EB27" s="220">
        <f t="shared" si="32"/>
        <v>0</v>
      </c>
      <c r="EC27" s="220">
        <f t="shared" si="32"/>
        <v>0</v>
      </c>
      <c r="ED27" s="220">
        <f t="shared" si="32"/>
        <v>0</v>
      </c>
      <c r="EE27" s="220">
        <f t="shared" si="32"/>
        <v>0</v>
      </c>
      <c r="EF27" s="220">
        <f t="shared" si="32"/>
        <v>0</v>
      </c>
      <c r="EG27" s="220">
        <f t="shared" si="33"/>
        <v>0</v>
      </c>
      <c r="EH27" s="220">
        <f t="shared" si="33"/>
        <v>0</v>
      </c>
      <c r="EI27" s="220">
        <f t="shared" si="33"/>
        <v>0</v>
      </c>
      <c r="EJ27" s="220">
        <f t="shared" si="33"/>
        <v>0</v>
      </c>
      <c r="EK27" s="220">
        <f t="shared" si="33"/>
        <v>0</v>
      </c>
      <c r="EL27" s="220">
        <f t="shared" si="33"/>
        <v>0</v>
      </c>
      <c r="EM27" s="220">
        <f t="shared" si="33"/>
        <v>0</v>
      </c>
      <c r="EN27" s="220">
        <f t="shared" si="33"/>
        <v>0</v>
      </c>
      <c r="EO27" s="220">
        <f t="shared" si="33"/>
        <v>0</v>
      </c>
      <c r="EP27" s="220">
        <f t="shared" si="33"/>
        <v>0</v>
      </c>
      <c r="EQ27" s="220">
        <f t="shared" si="34"/>
        <v>0</v>
      </c>
      <c r="ER27" s="220">
        <f t="shared" si="34"/>
        <v>0</v>
      </c>
      <c r="ES27" s="220">
        <f t="shared" si="34"/>
        <v>0</v>
      </c>
      <c r="EU27" s="221">
        <f>I27</f>
        <v>0</v>
      </c>
      <c r="EV27" s="222">
        <f>INDEX($Q$23:$ES$23,1,$D27+1)</f>
        <v>45688</v>
      </c>
      <c r="EW27" s="222">
        <f>INDEX($Q$23:$ES$23,1,$E27+1)</f>
        <v>45688</v>
      </c>
      <c r="EX27" s="221">
        <f>+E27-D27+1</f>
        <v>1</v>
      </c>
      <c r="EY27" s="153" t="str">
        <f>F27</f>
        <v>Straight-Line</v>
      </c>
      <c r="EZ27" s="223">
        <f>EX27/Scurve_Dist</f>
        <v>0.16666666666666666</v>
      </c>
      <c r="FA27" s="221">
        <f>AND($EY27="S-Curve",FA$23&gt;=$EV27,FA$23&lt;=$EW27)*(_xlfn.NORM.DIST((YEAR(FA$23)-YEAR($EV27))*12+MONTH(FA$23)-MONTH($EV27)+1,$EX27/2,$EZ27,TRUE)-_xlfn.NORM.DIST((YEAR(FA$23)-YEAR($EV27))*12+MONTH(FA$23)-MONTH($EV27),$EX27/2,$EZ27,TRUE))/(1-2*_xlfn.NORM.DIST(0,$EX27/2,$EZ27,TRUE))*$EU27</f>
        <v>0</v>
      </c>
      <c r="FB27" s="221">
        <f t="shared" si="35"/>
        <v>0</v>
      </c>
      <c r="FC27" s="221">
        <f t="shared" si="35"/>
        <v>0</v>
      </c>
      <c r="FD27" s="221">
        <f t="shared" si="35"/>
        <v>0</v>
      </c>
      <c r="FE27" s="221">
        <f t="shared" si="35"/>
        <v>0</v>
      </c>
      <c r="FF27" s="221">
        <f t="shared" si="35"/>
        <v>0</v>
      </c>
      <c r="FG27" s="221">
        <f t="shared" si="35"/>
        <v>0</v>
      </c>
      <c r="FH27" s="221">
        <f t="shared" si="35"/>
        <v>0</v>
      </c>
      <c r="FI27" s="221">
        <f t="shared" si="35"/>
        <v>0</v>
      </c>
      <c r="FJ27" s="221">
        <f t="shared" si="35"/>
        <v>0</v>
      </c>
      <c r="FK27" s="221">
        <f t="shared" si="35"/>
        <v>0</v>
      </c>
      <c r="FL27" s="221">
        <f t="shared" si="35"/>
        <v>0</v>
      </c>
      <c r="FM27" s="221">
        <f t="shared" si="35"/>
        <v>0</v>
      </c>
      <c r="FN27" s="221">
        <f t="shared" si="35"/>
        <v>0</v>
      </c>
      <c r="FO27" s="221">
        <f t="shared" si="35"/>
        <v>0</v>
      </c>
      <c r="FP27" s="221">
        <f t="shared" si="35"/>
        <v>0</v>
      </c>
      <c r="FQ27" s="221">
        <f t="shared" si="35"/>
        <v>0</v>
      </c>
      <c r="FR27" s="221">
        <f t="shared" si="35"/>
        <v>0</v>
      </c>
      <c r="FS27" s="221">
        <f t="shared" si="35"/>
        <v>0</v>
      </c>
      <c r="FT27" s="221">
        <f t="shared" si="35"/>
        <v>0</v>
      </c>
      <c r="FU27" s="221">
        <f t="shared" si="35"/>
        <v>0</v>
      </c>
      <c r="FV27" s="221">
        <f t="shared" si="35"/>
        <v>0</v>
      </c>
      <c r="FW27" s="221">
        <f t="shared" si="35"/>
        <v>0</v>
      </c>
      <c r="FX27" s="221">
        <f t="shared" si="35"/>
        <v>0</v>
      </c>
      <c r="FY27" s="221">
        <f t="shared" si="35"/>
        <v>0</v>
      </c>
      <c r="FZ27" s="221">
        <f t="shared" si="35"/>
        <v>0</v>
      </c>
      <c r="GA27" s="221">
        <f t="shared" si="35"/>
        <v>0</v>
      </c>
      <c r="GB27" s="221">
        <f t="shared" si="35"/>
        <v>0</v>
      </c>
      <c r="GC27" s="221">
        <f t="shared" si="35"/>
        <v>0</v>
      </c>
      <c r="GD27" s="221">
        <f t="shared" si="35"/>
        <v>0</v>
      </c>
      <c r="GE27" s="221">
        <f t="shared" si="35"/>
        <v>0</v>
      </c>
      <c r="GF27" s="221">
        <f t="shared" si="35"/>
        <v>0</v>
      </c>
      <c r="GG27" s="221">
        <f t="shared" si="35"/>
        <v>0</v>
      </c>
      <c r="GH27" s="221">
        <f t="shared" si="35"/>
        <v>0</v>
      </c>
      <c r="GI27" s="221">
        <f t="shared" si="35"/>
        <v>0</v>
      </c>
      <c r="GJ27" s="221">
        <f t="shared" si="35"/>
        <v>0</v>
      </c>
      <c r="GK27" s="221">
        <f t="shared" si="35"/>
        <v>0</v>
      </c>
      <c r="GL27" s="221">
        <f t="shared" si="35"/>
        <v>0</v>
      </c>
      <c r="GM27" s="221">
        <f t="shared" si="35"/>
        <v>0</v>
      </c>
      <c r="GN27" s="221">
        <f t="shared" si="35"/>
        <v>0</v>
      </c>
      <c r="GO27" s="221">
        <f t="shared" si="35"/>
        <v>0</v>
      </c>
      <c r="GP27" s="221">
        <f t="shared" si="35"/>
        <v>0</v>
      </c>
      <c r="GQ27" s="221">
        <f t="shared" si="35"/>
        <v>0</v>
      </c>
      <c r="GR27" s="221">
        <f t="shared" si="35"/>
        <v>0</v>
      </c>
      <c r="GS27" s="221">
        <f t="shared" si="35"/>
        <v>0</v>
      </c>
      <c r="GT27" s="221">
        <f t="shared" si="35"/>
        <v>0</v>
      </c>
      <c r="GU27" s="221">
        <f t="shared" si="35"/>
        <v>0</v>
      </c>
      <c r="GV27" s="221">
        <f t="shared" si="35"/>
        <v>0</v>
      </c>
      <c r="GW27" s="221">
        <f t="shared" si="35"/>
        <v>0</v>
      </c>
      <c r="GX27" s="221">
        <f t="shared" si="35"/>
        <v>0</v>
      </c>
      <c r="GY27" s="221">
        <f t="shared" si="35"/>
        <v>0</v>
      </c>
      <c r="GZ27" s="221">
        <f t="shared" si="35"/>
        <v>0</v>
      </c>
      <c r="HA27" s="221">
        <f t="shared" si="35"/>
        <v>0</v>
      </c>
      <c r="HB27" s="221">
        <f t="shared" si="35"/>
        <v>0</v>
      </c>
      <c r="HC27" s="221">
        <f t="shared" si="35"/>
        <v>0</v>
      </c>
      <c r="HD27" s="221">
        <f t="shared" si="35"/>
        <v>0</v>
      </c>
      <c r="HE27" s="221">
        <f t="shared" si="35"/>
        <v>0</v>
      </c>
      <c r="HF27" s="221">
        <f t="shared" si="35"/>
        <v>0</v>
      </c>
      <c r="HG27" s="221">
        <f t="shared" si="35"/>
        <v>0</v>
      </c>
      <c r="HH27" s="221">
        <f t="shared" si="35"/>
        <v>0</v>
      </c>
      <c r="HI27" s="221">
        <f t="shared" si="35"/>
        <v>0</v>
      </c>
      <c r="HJ27" s="221">
        <f t="shared" si="35"/>
        <v>0</v>
      </c>
      <c r="HK27" s="221">
        <f t="shared" si="35"/>
        <v>0</v>
      </c>
      <c r="HL27" s="221">
        <f t="shared" si="35"/>
        <v>0</v>
      </c>
      <c r="HM27" s="221">
        <f t="shared" ref="FB27:HM30" si="38">AND($EY27="S-Curve",HM$23&gt;=$EV27,HM$23&lt;=$EW27)*(_xlfn.NORM.DIST((YEAR(HM$23)-YEAR($EV27))*12+MONTH(HM$23)-MONTH($EV27)+1,$EX27/2,$EZ27,TRUE)-_xlfn.NORM.DIST((YEAR(HM$23)-YEAR($EV27))*12+MONTH(HM$23)-MONTH($EV27),$EX27/2,$EZ27,TRUE))/(1-2*_xlfn.NORM.DIST(0,$EX27/2,$EZ27,TRUE))*$EU27</f>
        <v>0</v>
      </c>
      <c r="HN27" s="221">
        <f t="shared" si="36"/>
        <v>0</v>
      </c>
      <c r="HO27" s="221">
        <f t="shared" si="36"/>
        <v>0</v>
      </c>
      <c r="HP27" s="221">
        <f t="shared" si="36"/>
        <v>0</v>
      </c>
      <c r="HQ27" s="221">
        <f t="shared" si="36"/>
        <v>0</v>
      </c>
      <c r="HR27" s="221">
        <f t="shared" si="36"/>
        <v>0</v>
      </c>
      <c r="HS27" s="221">
        <f t="shared" si="36"/>
        <v>0</v>
      </c>
      <c r="HT27" s="221">
        <f t="shared" si="36"/>
        <v>0</v>
      </c>
      <c r="HU27" s="221">
        <f t="shared" si="36"/>
        <v>0</v>
      </c>
      <c r="HV27" s="221">
        <f t="shared" si="36"/>
        <v>0</v>
      </c>
      <c r="HW27" s="221">
        <f t="shared" si="36"/>
        <v>0</v>
      </c>
      <c r="HX27" s="221">
        <f t="shared" si="36"/>
        <v>0</v>
      </c>
      <c r="HY27" s="221">
        <f t="shared" si="36"/>
        <v>0</v>
      </c>
      <c r="HZ27" s="221">
        <f t="shared" si="36"/>
        <v>0</v>
      </c>
      <c r="IA27" s="221">
        <f t="shared" si="36"/>
        <v>0</v>
      </c>
      <c r="IB27" s="221">
        <f t="shared" si="36"/>
        <v>0</v>
      </c>
      <c r="IC27" s="221">
        <f t="shared" si="36"/>
        <v>0</v>
      </c>
      <c r="ID27" s="221">
        <f t="shared" si="36"/>
        <v>0</v>
      </c>
      <c r="IE27" s="221">
        <f t="shared" si="36"/>
        <v>0</v>
      </c>
      <c r="IF27" s="221">
        <f t="shared" si="36"/>
        <v>0</v>
      </c>
      <c r="IG27" s="221">
        <f t="shared" si="36"/>
        <v>0</v>
      </c>
      <c r="IH27" s="221">
        <f t="shared" si="36"/>
        <v>0</v>
      </c>
      <c r="II27" s="221">
        <f t="shared" si="36"/>
        <v>0</v>
      </c>
      <c r="IJ27" s="221">
        <f t="shared" si="36"/>
        <v>0</v>
      </c>
      <c r="IK27" s="221">
        <f t="shared" si="36"/>
        <v>0</v>
      </c>
      <c r="IL27" s="221">
        <f t="shared" si="36"/>
        <v>0</v>
      </c>
      <c r="IM27" s="221">
        <f t="shared" si="36"/>
        <v>0</v>
      </c>
      <c r="IN27" s="221">
        <f t="shared" si="36"/>
        <v>0</v>
      </c>
      <c r="IO27" s="221">
        <f t="shared" si="36"/>
        <v>0</v>
      </c>
      <c r="IP27" s="221">
        <f t="shared" si="36"/>
        <v>0</v>
      </c>
      <c r="IQ27" s="221">
        <f t="shared" si="36"/>
        <v>0</v>
      </c>
      <c r="IR27" s="221">
        <f t="shared" si="36"/>
        <v>0</v>
      </c>
      <c r="IS27" s="221">
        <f t="shared" si="36"/>
        <v>0</v>
      </c>
      <c r="IT27" s="221">
        <f t="shared" si="36"/>
        <v>0</v>
      </c>
      <c r="IU27" s="221">
        <f t="shared" si="36"/>
        <v>0</v>
      </c>
      <c r="IV27" s="221">
        <f t="shared" si="36"/>
        <v>0</v>
      </c>
      <c r="IW27" s="221">
        <f t="shared" si="36"/>
        <v>0</v>
      </c>
      <c r="IX27" s="221">
        <f t="shared" si="36"/>
        <v>0</v>
      </c>
      <c r="IY27" s="221">
        <f t="shared" si="36"/>
        <v>0</v>
      </c>
      <c r="IZ27" s="221">
        <f t="shared" si="36"/>
        <v>0</v>
      </c>
      <c r="JA27" s="221">
        <f t="shared" si="36"/>
        <v>0</v>
      </c>
      <c r="JB27" s="221">
        <f t="shared" si="36"/>
        <v>0</v>
      </c>
      <c r="JC27" s="221">
        <f t="shared" si="36"/>
        <v>0</v>
      </c>
      <c r="JD27" s="221">
        <f t="shared" si="36"/>
        <v>0</v>
      </c>
      <c r="JE27" s="221">
        <f t="shared" si="36"/>
        <v>0</v>
      </c>
      <c r="JF27" s="221">
        <f t="shared" si="36"/>
        <v>0</v>
      </c>
      <c r="JG27" s="221">
        <f t="shared" si="36"/>
        <v>0</v>
      </c>
      <c r="JH27" s="221">
        <f t="shared" si="36"/>
        <v>0</v>
      </c>
      <c r="JI27" s="221">
        <f t="shared" si="36"/>
        <v>0</v>
      </c>
      <c r="JJ27" s="221">
        <f t="shared" si="36"/>
        <v>0</v>
      </c>
      <c r="JK27" s="221">
        <f t="shared" si="36"/>
        <v>0</v>
      </c>
      <c r="JL27" s="221">
        <f t="shared" si="36"/>
        <v>0</v>
      </c>
      <c r="JM27" s="221">
        <f t="shared" si="36"/>
        <v>0</v>
      </c>
      <c r="JN27" s="221">
        <f t="shared" si="36"/>
        <v>0</v>
      </c>
      <c r="JO27" s="221">
        <f t="shared" si="36"/>
        <v>0</v>
      </c>
      <c r="JP27" s="221">
        <f t="shared" si="36"/>
        <v>0</v>
      </c>
      <c r="JQ27" s="221">
        <f t="shared" si="36"/>
        <v>0</v>
      </c>
      <c r="JR27" s="221">
        <f t="shared" si="36"/>
        <v>0</v>
      </c>
      <c r="JS27" s="221">
        <f t="shared" si="36"/>
        <v>0</v>
      </c>
      <c r="JT27" s="221">
        <f t="shared" si="36"/>
        <v>0</v>
      </c>
      <c r="JU27" s="221">
        <f t="shared" si="36"/>
        <v>0</v>
      </c>
      <c r="JV27" s="221">
        <f t="shared" si="36"/>
        <v>0</v>
      </c>
      <c r="JW27" s="221">
        <f t="shared" si="36"/>
        <v>0</v>
      </c>
      <c r="JX27" s="221">
        <f t="shared" si="36"/>
        <v>0</v>
      </c>
      <c r="JY27" s="221">
        <f t="shared" ref="HN27:JY30" si="39">AND($EY27="S-Curve",JY$23&gt;=$EV27,JY$23&lt;=$EW27)*(_xlfn.NORM.DIST((YEAR(JY$23)-YEAR($EV27))*12+MONTH(JY$23)-MONTH($EV27)+1,$EX27/2,$EZ27,TRUE)-_xlfn.NORM.DIST((YEAR(JY$23)-YEAR($EV27))*12+MONTH(JY$23)-MONTH($EV27),$EX27/2,$EZ27,TRUE))/(1-2*_xlfn.NORM.DIST(0,$EX27/2,$EZ27,TRUE))*$EU27</f>
        <v>0</v>
      </c>
      <c r="JZ27" s="221">
        <f t="shared" si="37"/>
        <v>0</v>
      </c>
      <c r="KA27" s="221">
        <f t="shared" si="37"/>
        <v>0</v>
      </c>
      <c r="KB27" s="221">
        <f t="shared" si="37"/>
        <v>0</v>
      </c>
      <c r="KC27" s="221">
        <f t="shared" si="37"/>
        <v>0</v>
      </c>
    </row>
    <row r="28" spans="2:289" x14ac:dyDescent="0.25">
      <c r="B28" s="214" t="s">
        <v>856</v>
      </c>
      <c r="C28" s="196"/>
      <c r="D28" s="215">
        <v>0</v>
      </c>
      <c r="E28" s="215">
        <f t="shared" ref="E28" si="40">D28</f>
        <v>0</v>
      </c>
      <c r="F28" s="216" t="s">
        <v>26</v>
      </c>
      <c r="G28" s="217">
        <f>I28/Units_SF_M2</f>
        <v>0</v>
      </c>
      <c r="H28" s="218">
        <f>I28/Units</f>
        <v>0</v>
      </c>
      <c r="I28" s="219">
        <v>0</v>
      </c>
      <c r="P28" s="152" t="str">
        <f t="shared" si="20"/>
        <v/>
      </c>
      <c r="Q28" s="220">
        <f t="shared" si="21"/>
        <v>0</v>
      </c>
      <c r="R28" s="220">
        <f t="shared" si="21"/>
        <v>0</v>
      </c>
      <c r="S28" s="220">
        <f t="shared" si="21"/>
        <v>0</v>
      </c>
      <c r="T28" s="220">
        <f t="shared" si="21"/>
        <v>0</v>
      </c>
      <c r="U28" s="220">
        <f t="shared" si="21"/>
        <v>0</v>
      </c>
      <c r="V28" s="220">
        <f t="shared" si="21"/>
        <v>0</v>
      </c>
      <c r="W28" s="220">
        <f t="shared" si="21"/>
        <v>0</v>
      </c>
      <c r="X28" s="220">
        <f t="shared" si="21"/>
        <v>0</v>
      </c>
      <c r="Y28" s="220">
        <f t="shared" si="21"/>
        <v>0</v>
      </c>
      <c r="Z28" s="220">
        <f t="shared" si="21"/>
        <v>0</v>
      </c>
      <c r="AA28" s="220">
        <f t="shared" si="22"/>
        <v>0</v>
      </c>
      <c r="AB28" s="220">
        <f t="shared" si="22"/>
        <v>0</v>
      </c>
      <c r="AC28" s="220">
        <f t="shared" si="22"/>
        <v>0</v>
      </c>
      <c r="AD28" s="220">
        <f t="shared" si="22"/>
        <v>0</v>
      </c>
      <c r="AE28" s="220">
        <f t="shared" si="22"/>
        <v>0</v>
      </c>
      <c r="AF28" s="220">
        <f t="shared" si="22"/>
        <v>0</v>
      </c>
      <c r="AG28" s="220">
        <f t="shared" si="22"/>
        <v>0</v>
      </c>
      <c r="AH28" s="220">
        <f t="shared" si="22"/>
        <v>0</v>
      </c>
      <c r="AI28" s="220">
        <f t="shared" si="22"/>
        <v>0</v>
      </c>
      <c r="AJ28" s="220">
        <f t="shared" si="22"/>
        <v>0</v>
      </c>
      <c r="AK28" s="220">
        <f t="shared" si="23"/>
        <v>0</v>
      </c>
      <c r="AL28" s="220">
        <f t="shared" si="23"/>
        <v>0</v>
      </c>
      <c r="AM28" s="220">
        <f t="shared" si="23"/>
        <v>0</v>
      </c>
      <c r="AN28" s="220">
        <f t="shared" si="23"/>
        <v>0</v>
      </c>
      <c r="AO28" s="220">
        <f t="shared" si="23"/>
        <v>0</v>
      </c>
      <c r="AP28" s="220">
        <f t="shared" si="23"/>
        <v>0</v>
      </c>
      <c r="AQ28" s="220">
        <f t="shared" si="23"/>
        <v>0</v>
      </c>
      <c r="AR28" s="220">
        <f t="shared" si="23"/>
        <v>0</v>
      </c>
      <c r="AS28" s="220">
        <f t="shared" si="23"/>
        <v>0</v>
      </c>
      <c r="AT28" s="220">
        <f t="shared" si="23"/>
        <v>0</v>
      </c>
      <c r="AU28" s="220">
        <f t="shared" si="24"/>
        <v>0</v>
      </c>
      <c r="AV28" s="220">
        <f t="shared" si="24"/>
        <v>0</v>
      </c>
      <c r="AW28" s="220">
        <f t="shared" si="24"/>
        <v>0</v>
      </c>
      <c r="AX28" s="220">
        <f t="shared" si="24"/>
        <v>0</v>
      </c>
      <c r="AY28" s="220">
        <f t="shared" si="24"/>
        <v>0</v>
      </c>
      <c r="AZ28" s="220">
        <f t="shared" si="24"/>
        <v>0</v>
      </c>
      <c r="BA28" s="220">
        <f t="shared" si="24"/>
        <v>0</v>
      </c>
      <c r="BB28" s="220">
        <f t="shared" si="24"/>
        <v>0</v>
      </c>
      <c r="BC28" s="220">
        <f t="shared" si="24"/>
        <v>0</v>
      </c>
      <c r="BD28" s="220">
        <f t="shared" si="24"/>
        <v>0</v>
      </c>
      <c r="BE28" s="220">
        <f t="shared" si="25"/>
        <v>0</v>
      </c>
      <c r="BF28" s="220">
        <f t="shared" si="25"/>
        <v>0</v>
      </c>
      <c r="BG28" s="220">
        <f t="shared" si="25"/>
        <v>0</v>
      </c>
      <c r="BH28" s="220">
        <f t="shared" si="25"/>
        <v>0</v>
      </c>
      <c r="BI28" s="220">
        <f t="shared" si="25"/>
        <v>0</v>
      </c>
      <c r="BJ28" s="220">
        <f t="shared" si="25"/>
        <v>0</v>
      </c>
      <c r="BK28" s="220">
        <f t="shared" si="25"/>
        <v>0</v>
      </c>
      <c r="BL28" s="220">
        <f t="shared" si="25"/>
        <v>0</v>
      </c>
      <c r="BM28" s="220">
        <f t="shared" si="25"/>
        <v>0</v>
      </c>
      <c r="BN28" s="220">
        <f t="shared" si="25"/>
        <v>0</v>
      </c>
      <c r="BO28" s="220">
        <f t="shared" si="26"/>
        <v>0</v>
      </c>
      <c r="BP28" s="220">
        <f t="shared" si="26"/>
        <v>0</v>
      </c>
      <c r="BQ28" s="220">
        <f t="shared" si="26"/>
        <v>0</v>
      </c>
      <c r="BR28" s="220">
        <f t="shared" si="26"/>
        <v>0</v>
      </c>
      <c r="BS28" s="220">
        <f t="shared" si="26"/>
        <v>0</v>
      </c>
      <c r="BT28" s="220">
        <f t="shared" si="26"/>
        <v>0</v>
      </c>
      <c r="BU28" s="220">
        <f t="shared" si="26"/>
        <v>0</v>
      </c>
      <c r="BV28" s="220">
        <f t="shared" si="26"/>
        <v>0</v>
      </c>
      <c r="BW28" s="220">
        <f t="shared" si="26"/>
        <v>0</v>
      </c>
      <c r="BX28" s="220">
        <f t="shared" si="26"/>
        <v>0</v>
      </c>
      <c r="BY28" s="220">
        <f t="shared" si="27"/>
        <v>0</v>
      </c>
      <c r="BZ28" s="220">
        <f t="shared" si="27"/>
        <v>0</v>
      </c>
      <c r="CA28" s="220">
        <f t="shared" si="27"/>
        <v>0</v>
      </c>
      <c r="CB28" s="220">
        <f t="shared" si="27"/>
        <v>0</v>
      </c>
      <c r="CC28" s="220">
        <f t="shared" si="27"/>
        <v>0</v>
      </c>
      <c r="CD28" s="220">
        <f t="shared" si="27"/>
        <v>0</v>
      </c>
      <c r="CE28" s="220">
        <f t="shared" si="27"/>
        <v>0</v>
      </c>
      <c r="CF28" s="220">
        <f t="shared" si="27"/>
        <v>0</v>
      </c>
      <c r="CG28" s="220">
        <f t="shared" si="27"/>
        <v>0</v>
      </c>
      <c r="CH28" s="220">
        <f t="shared" si="27"/>
        <v>0</v>
      </c>
      <c r="CI28" s="220">
        <f t="shared" si="28"/>
        <v>0</v>
      </c>
      <c r="CJ28" s="220">
        <f t="shared" si="28"/>
        <v>0</v>
      </c>
      <c r="CK28" s="220">
        <f t="shared" si="28"/>
        <v>0</v>
      </c>
      <c r="CL28" s="220">
        <f t="shared" si="28"/>
        <v>0</v>
      </c>
      <c r="CM28" s="220">
        <f t="shared" si="28"/>
        <v>0</v>
      </c>
      <c r="CN28" s="220">
        <f t="shared" si="28"/>
        <v>0</v>
      </c>
      <c r="CO28" s="220">
        <f t="shared" si="28"/>
        <v>0</v>
      </c>
      <c r="CP28" s="220">
        <f t="shared" si="28"/>
        <v>0</v>
      </c>
      <c r="CQ28" s="220">
        <f t="shared" si="28"/>
        <v>0</v>
      </c>
      <c r="CR28" s="220">
        <f t="shared" si="28"/>
        <v>0</v>
      </c>
      <c r="CS28" s="220">
        <f t="shared" si="29"/>
        <v>0</v>
      </c>
      <c r="CT28" s="220">
        <f t="shared" si="29"/>
        <v>0</v>
      </c>
      <c r="CU28" s="220">
        <f t="shared" si="29"/>
        <v>0</v>
      </c>
      <c r="CV28" s="220">
        <f t="shared" si="29"/>
        <v>0</v>
      </c>
      <c r="CW28" s="220">
        <f t="shared" si="29"/>
        <v>0</v>
      </c>
      <c r="CX28" s="220">
        <f t="shared" si="29"/>
        <v>0</v>
      </c>
      <c r="CY28" s="220">
        <f t="shared" si="29"/>
        <v>0</v>
      </c>
      <c r="CZ28" s="220">
        <f t="shared" si="29"/>
        <v>0</v>
      </c>
      <c r="DA28" s="220">
        <f t="shared" si="29"/>
        <v>0</v>
      </c>
      <c r="DB28" s="220">
        <f t="shared" si="29"/>
        <v>0</v>
      </c>
      <c r="DC28" s="220">
        <f t="shared" si="30"/>
        <v>0</v>
      </c>
      <c r="DD28" s="220">
        <f t="shared" si="30"/>
        <v>0</v>
      </c>
      <c r="DE28" s="220">
        <f t="shared" si="30"/>
        <v>0</v>
      </c>
      <c r="DF28" s="220">
        <f t="shared" si="30"/>
        <v>0</v>
      </c>
      <c r="DG28" s="220">
        <f t="shared" si="30"/>
        <v>0</v>
      </c>
      <c r="DH28" s="220">
        <f t="shared" si="30"/>
        <v>0</v>
      </c>
      <c r="DI28" s="220">
        <f t="shared" si="30"/>
        <v>0</v>
      </c>
      <c r="DJ28" s="220">
        <f t="shared" si="30"/>
        <v>0</v>
      </c>
      <c r="DK28" s="220">
        <f t="shared" si="30"/>
        <v>0</v>
      </c>
      <c r="DL28" s="220">
        <f t="shared" si="30"/>
        <v>0</v>
      </c>
      <c r="DM28" s="220">
        <f t="shared" si="31"/>
        <v>0</v>
      </c>
      <c r="DN28" s="220">
        <f t="shared" si="31"/>
        <v>0</v>
      </c>
      <c r="DO28" s="220">
        <f t="shared" si="31"/>
        <v>0</v>
      </c>
      <c r="DP28" s="220">
        <f t="shared" si="31"/>
        <v>0</v>
      </c>
      <c r="DQ28" s="220">
        <f t="shared" si="31"/>
        <v>0</v>
      </c>
      <c r="DR28" s="220">
        <f t="shared" si="31"/>
        <v>0</v>
      </c>
      <c r="DS28" s="220">
        <f t="shared" si="31"/>
        <v>0</v>
      </c>
      <c r="DT28" s="220">
        <f t="shared" si="31"/>
        <v>0</v>
      </c>
      <c r="DU28" s="220">
        <f t="shared" si="31"/>
        <v>0</v>
      </c>
      <c r="DV28" s="220">
        <f t="shared" si="31"/>
        <v>0</v>
      </c>
      <c r="DW28" s="220">
        <f t="shared" si="32"/>
        <v>0</v>
      </c>
      <c r="DX28" s="220">
        <f t="shared" si="32"/>
        <v>0</v>
      </c>
      <c r="DY28" s="220">
        <f t="shared" si="32"/>
        <v>0</v>
      </c>
      <c r="DZ28" s="220">
        <f t="shared" si="32"/>
        <v>0</v>
      </c>
      <c r="EA28" s="220">
        <f t="shared" si="32"/>
        <v>0</v>
      </c>
      <c r="EB28" s="220">
        <f t="shared" si="32"/>
        <v>0</v>
      </c>
      <c r="EC28" s="220">
        <f t="shared" si="32"/>
        <v>0</v>
      </c>
      <c r="ED28" s="220">
        <f t="shared" si="32"/>
        <v>0</v>
      </c>
      <c r="EE28" s="220">
        <f t="shared" si="32"/>
        <v>0</v>
      </c>
      <c r="EF28" s="220">
        <f t="shared" si="32"/>
        <v>0</v>
      </c>
      <c r="EG28" s="220">
        <f t="shared" si="33"/>
        <v>0</v>
      </c>
      <c r="EH28" s="220">
        <f t="shared" si="33"/>
        <v>0</v>
      </c>
      <c r="EI28" s="220">
        <f t="shared" si="33"/>
        <v>0</v>
      </c>
      <c r="EJ28" s="220">
        <f t="shared" si="33"/>
        <v>0</v>
      </c>
      <c r="EK28" s="220">
        <f t="shared" si="33"/>
        <v>0</v>
      </c>
      <c r="EL28" s="220">
        <f t="shared" si="33"/>
        <v>0</v>
      </c>
      <c r="EM28" s="220">
        <f t="shared" si="33"/>
        <v>0</v>
      </c>
      <c r="EN28" s="220">
        <f t="shared" si="33"/>
        <v>0</v>
      </c>
      <c r="EO28" s="220">
        <f t="shared" si="33"/>
        <v>0</v>
      </c>
      <c r="EP28" s="220">
        <f t="shared" si="33"/>
        <v>0</v>
      </c>
      <c r="EQ28" s="220">
        <f t="shared" si="34"/>
        <v>0</v>
      </c>
      <c r="ER28" s="220">
        <f t="shared" si="34"/>
        <v>0</v>
      </c>
      <c r="ES28" s="220">
        <f t="shared" si="34"/>
        <v>0</v>
      </c>
      <c r="EU28" s="221">
        <f>I28</f>
        <v>0</v>
      </c>
      <c r="EV28" s="222">
        <f>INDEX($Q$23:$ES$23,1,$D28+1)</f>
        <v>45688</v>
      </c>
      <c r="EW28" s="222">
        <f>INDEX($Q$23:$ES$23,1,$E28+1)</f>
        <v>45688</v>
      </c>
      <c r="EX28" s="221">
        <f>+E28-D28+1</f>
        <v>1</v>
      </c>
      <c r="EY28" s="153" t="str">
        <f>F28</f>
        <v>Straight-Line</v>
      </c>
      <c r="EZ28" s="223">
        <f>EX28/Scurve_Dist</f>
        <v>0.16666666666666666</v>
      </c>
      <c r="FA28" s="221">
        <f>AND($EY28="S-Curve",FA$23&gt;=$EV28,FA$23&lt;=$EW28)*(_xlfn.NORM.DIST((YEAR(FA$23)-YEAR($EV28))*12+MONTH(FA$23)-MONTH($EV28)+1,$EX28/2,$EZ28,TRUE)-_xlfn.NORM.DIST((YEAR(FA$23)-YEAR($EV28))*12+MONTH(FA$23)-MONTH($EV28),$EX28/2,$EZ28,TRUE))/(1-2*_xlfn.NORM.DIST(0,$EX28/2,$EZ28,TRUE))*$EU28</f>
        <v>0</v>
      </c>
      <c r="FB28" s="221">
        <f t="shared" si="38"/>
        <v>0</v>
      </c>
      <c r="FC28" s="221">
        <f t="shared" si="38"/>
        <v>0</v>
      </c>
      <c r="FD28" s="221">
        <f t="shared" si="38"/>
        <v>0</v>
      </c>
      <c r="FE28" s="221">
        <f t="shared" si="38"/>
        <v>0</v>
      </c>
      <c r="FF28" s="221">
        <f t="shared" si="38"/>
        <v>0</v>
      </c>
      <c r="FG28" s="221">
        <f t="shared" si="38"/>
        <v>0</v>
      </c>
      <c r="FH28" s="221">
        <f t="shared" si="38"/>
        <v>0</v>
      </c>
      <c r="FI28" s="221">
        <f t="shared" si="38"/>
        <v>0</v>
      </c>
      <c r="FJ28" s="221">
        <f t="shared" si="38"/>
        <v>0</v>
      </c>
      <c r="FK28" s="221">
        <f t="shared" si="38"/>
        <v>0</v>
      </c>
      <c r="FL28" s="221">
        <f t="shared" si="38"/>
        <v>0</v>
      </c>
      <c r="FM28" s="221">
        <f t="shared" si="38"/>
        <v>0</v>
      </c>
      <c r="FN28" s="221">
        <f t="shared" si="38"/>
        <v>0</v>
      </c>
      <c r="FO28" s="221">
        <f t="shared" si="38"/>
        <v>0</v>
      </c>
      <c r="FP28" s="221">
        <f t="shared" si="38"/>
        <v>0</v>
      </c>
      <c r="FQ28" s="221">
        <f t="shared" si="38"/>
        <v>0</v>
      </c>
      <c r="FR28" s="221">
        <f t="shared" si="38"/>
        <v>0</v>
      </c>
      <c r="FS28" s="221">
        <f t="shared" si="38"/>
        <v>0</v>
      </c>
      <c r="FT28" s="221">
        <f t="shared" si="38"/>
        <v>0</v>
      </c>
      <c r="FU28" s="221">
        <f t="shared" si="38"/>
        <v>0</v>
      </c>
      <c r="FV28" s="221">
        <f t="shared" si="38"/>
        <v>0</v>
      </c>
      <c r="FW28" s="221">
        <f t="shared" si="38"/>
        <v>0</v>
      </c>
      <c r="FX28" s="221">
        <f t="shared" si="38"/>
        <v>0</v>
      </c>
      <c r="FY28" s="221">
        <f t="shared" si="38"/>
        <v>0</v>
      </c>
      <c r="FZ28" s="221">
        <f t="shared" si="38"/>
        <v>0</v>
      </c>
      <c r="GA28" s="221">
        <f t="shared" si="38"/>
        <v>0</v>
      </c>
      <c r="GB28" s="221">
        <f t="shared" si="38"/>
        <v>0</v>
      </c>
      <c r="GC28" s="221">
        <f t="shared" si="38"/>
        <v>0</v>
      </c>
      <c r="GD28" s="221">
        <f t="shared" si="38"/>
        <v>0</v>
      </c>
      <c r="GE28" s="221">
        <f t="shared" si="38"/>
        <v>0</v>
      </c>
      <c r="GF28" s="221">
        <f t="shared" si="38"/>
        <v>0</v>
      </c>
      <c r="GG28" s="221">
        <f t="shared" si="38"/>
        <v>0</v>
      </c>
      <c r="GH28" s="221">
        <f t="shared" si="38"/>
        <v>0</v>
      </c>
      <c r="GI28" s="221">
        <f t="shared" si="38"/>
        <v>0</v>
      </c>
      <c r="GJ28" s="221">
        <f t="shared" si="38"/>
        <v>0</v>
      </c>
      <c r="GK28" s="221">
        <f t="shared" si="38"/>
        <v>0</v>
      </c>
      <c r="GL28" s="221">
        <f t="shared" si="38"/>
        <v>0</v>
      </c>
      <c r="GM28" s="221">
        <f t="shared" si="38"/>
        <v>0</v>
      </c>
      <c r="GN28" s="221">
        <f t="shared" si="38"/>
        <v>0</v>
      </c>
      <c r="GO28" s="221">
        <f t="shared" si="38"/>
        <v>0</v>
      </c>
      <c r="GP28" s="221">
        <f t="shared" si="38"/>
        <v>0</v>
      </c>
      <c r="GQ28" s="221">
        <f t="shared" si="38"/>
        <v>0</v>
      </c>
      <c r="GR28" s="221">
        <f t="shared" si="38"/>
        <v>0</v>
      </c>
      <c r="GS28" s="221">
        <f t="shared" si="38"/>
        <v>0</v>
      </c>
      <c r="GT28" s="221">
        <f t="shared" si="38"/>
        <v>0</v>
      </c>
      <c r="GU28" s="221">
        <f t="shared" si="38"/>
        <v>0</v>
      </c>
      <c r="GV28" s="221">
        <f t="shared" si="38"/>
        <v>0</v>
      </c>
      <c r="GW28" s="221">
        <f t="shared" si="38"/>
        <v>0</v>
      </c>
      <c r="GX28" s="221">
        <f t="shared" si="38"/>
        <v>0</v>
      </c>
      <c r="GY28" s="221">
        <f t="shared" si="38"/>
        <v>0</v>
      </c>
      <c r="GZ28" s="221">
        <f t="shared" si="38"/>
        <v>0</v>
      </c>
      <c r="HA28" s="221">
        <f t="shared" si="38"/>
        <v>0</v>
      </c>
      <c r="HB28" s="221">
        <f t="shared" si="38"/>
        <v>0</v>
      </c>
      <c r="HC28" s="221">
        <f t="shared" si="38"/>
        <v>0</v>
      </c>
      <c r="HD28" s="221">
        <f t="shared" si="38"/>
        <v>0</v>
      </c>
      <c r="HE28" s="221">
        <f t="shared" si="38"/>
        <v>0</v>
      </c>
      <c r="HF28" s="221">
        <f t="shared" si="38"/>
        <v>0</v>
      </c>
      <c r="HG28" s="221">
        <f t="shared" si="38"/>
        <v>0</v>
      </c>
      <c r="HH28" s="221">
        <f t="shared" si="38"/>
        <v>0</v>
      </c>
      <c r="HI28" s="221">
        <f t="shared" si="38"/>
        <v>0</v>
      </c>
      <c r="HJ28" s="221">
        <f t="shared" si="38"/>
        <v>0</v>
      </c>
      <c r="HK28" s="221">
        <f t="shared" si="38"/>
        <v>0</v>
      </c>
      <c r="HL28" s="221">
        <f t="shared" si="38"/>
        <v>0</v>
      </c>
      <c r="HM28" s="221">
        <f t="shared" si="38"/>
        <v>0</v>
      </c>
      <c r="HN28" s="221">
        <f t="shared" si="39"/>
        <v>0</v>
      </c>
      <c r="HO28" s="221">
        <f t="shared" si="39"/>
        <v>0</v>
      </c>
      <c r="HP28" s="221">
        <f t="shared" si="39"/>
        <v>0</v>
      </c>
      <c r="HQ28" s="221">
        <f t="shared" si="39"/>
        <v>0</v>
      </c>
      <c r="HR28" s="221">
        <f t="shared" si="39"/>
        <v>0</v>
      </c>
      <c r="HS28" s="221">
        <f t="shared" si="39"/>
        <v>0</v>
      </c>
      <c r="HT28" s="221">
        <f t="shared" si="39"/>
        <v>0</v>
      </c>
      <c r="HU28" s="221">
        <f t="shared" si="39"/>
        <v>0</v>
      </c>
      <c r="HV28" s="221">
        <f t="shared" si="39"/>
        <v>0</v>
      </c>
      <c r="HW28" s="221">
        <f t="shared" si="39"/>
        <v>0</v>
      </c>
      <c r="HX28" s="221">
        <f t="shared" si="39"/>
        <v>0</v>
      </c>
      <c r="HY28" s="221">
        <f t="shared" si="39"/>
        <v>0</v>
      </c>
      <c r="HZ28" s="221">
        <f t="shared" si="39"/>
        <v>0</v>
      </c>
      <c r="IA28" s="221">
        <f t="shared" si="39"/>
        <v>0</v>
      </c>
      <c r="IB28" s="221">
        <f t="shared" si="39"/>
        <v>0</v>
      </c>
      <c r="IC28" s="221">
        <f t="shared" si="39"/>
        <v>0</v>
      </c>
      <c r="ID28" s="221">
        <f t="shared" si="39"/>
        <v>0</v>
      </c>
      <c r="IE28" s="221">
        <f t="shared" si="39"/>
        <v>0</v>
      </c>
      <c r="IF28" s="221">
        <f t="shared" si="39"/>
        <v>0</v>
      </c>
      <c r="IG28" s="221">
        <f t="shared" si="39"/>
        <v>0</v>
      </c>
      <c r="IH28" s="221">
        <f t="shared" si="39"/>
        <v>0</v>
      </c>
      <c r="II28" s="221">
        <f t="shared" si="39"/>
        <v>0</v>
      </c>
      <c r="IJ28" s="221">
        <f t="shared" si="39"/>
        <v>0</v>
      </c>
      <c r="IK28" s="221">
        <f t="shared" si="39"/>
        <v>0</v>
      </c>
      <c r="IL28" s="221">
        <f t="shared" si="39"/>
        <v>0</v>
      </c>
      <c r="IM28" s="221">
        <f t="shared" si="39"/>
        <v>0</v>
      </c>
      <c r="IN28" s="221">
        <f t="shared" si="39"/>
        <v>0</v>
      </c>
      <c r="IO28" s="221">
        <f t="shared" si="39"/>
        <v>0</v>
      </c>
      <c r="IP28" s="221">
        <f t="shared" si="39"/>
        <v>0</v>
      </c>
      <c r="IQ28" s="221">
        <f t="shared" si="39"/>
        <v>0</v>
      </c>
      <c r="IR28" s="221">
        <f t="shared" si="39"/>
        <v>0</v>
      </c>
      <c r="IS28" s="221">
        <f t="shared" si="39"/>
        <v>0</v>
      </c>
      <c r="IT28" s="221">
        <f t="shared" si="39"/>
        <v>0</v>
      </c>
      <c r="IU28" s="221">
        <f t="shared" si="39"/>
        <v>0</v>
      </c>
      <c r="IV28" s="221">
        <f t="shared" si="39"/>
        <v>0</v>
      </c>
      <c r="IW28" s="221">
        <f t="shared" si="39"/>
        <v>0</v>
      </c>
      <c r="IX28" s="221">
        <f t="shared" si="39"/>
        <v>0</v>
      </c>
      <c r="IY28" s="221">
        <f t="shared" si="39"/>
        <v>0</v>
      </c>
      <c r="IZ28" s="221">
        <f t="shared" si="39"/>
        <v>0</v>
      </c>
      <c r="JA28" s="221">
        <f t="shared" si="39"/>
        <v>0</v>
      </c>
      <c r="JB28" s="221">
        <f t="shared" si="39"/>
        <v>0</v>
      </c>
      <c r="JC28" s="221">
        <f t="shared" si="39"/>
        <v>0</v>
      </c>
      <c r="JD28" s="221">
        <f t="shared" si="39"/>
        <v>0</v>
      </c>
      <c r="JE28" s="221">
        <f t="shared" si="39"/>
        <v>0</v>
      </c>
      <c r="JF28" s="221">
        <f t="shared" si="39"/>
        <v>0</v>
      </c>
      <c r="JG28" s="221">
        <f t="shared" si="39"/>
        <v>0</v>
      </c>
      <c r="JH28" s="221">
        <f t="shared" si="39"/>
        <v>0</v>
      </c>
      <c r="JI28" s="221">
        <f t="shared" si="39"/>
        <v>0</v>
      </c>
      <c r="JJ28" s="221">
        <f t="shared" si="39"/>
        <v>0</v>
      </c>
      <c r="JK28" s="221">
        <f t="shared" si="39"/>
        <v>0</v>
      </c>
      <c r="JL28" s="221">
        <f t="shared" si="39"/>
        <v>0</v>
      </c>
      <c r="JM28" s="221">
        <f t="shared" si="39"/>
        <v>0</v>
      </c>
      <c r="JN28" s="221">
        <f t="shared" si="39"/>
        <v>0</v>
      </c>
      <c r="JO28" s="221">
        <f t="shared" si="39"/>
        <v>0</v>
      </c>
      <c r="JP28" s="221">
        <f t="shared" si="39"/>
        <v>0</v>
      </c>
      <c r="JQ28" s="221">
        <f t="shared" si="39"/>
        <v>0</v>
      </c>
      <c r="JR28" s="221">
        <f t="shared" si="39"/>
        <v>0</v>
      </c>
      <c r="JS28" s="221">
        <f t="shared" si="39"/>
        <v>0</v>
      </c>
      <c r="JT28" s="221">
        <f t="shared" si="39"/>
        <v>0</v>
      </c>
      <c r="JU28" s="221">
        <f t="shared" si="39"/>
        <v>0</v>
      </c>
      <c r="JV28" s="221">
        <f t="shared" si="39"/>
        <v>0</v>
      </c>
      <c r="JW28" s="221">
        <f t="shared" si="39"/>
        <v>0</v>
      </c>
      <c r="JX28" s="221">
        <f t="shared" si="39"/>
        <v>0</v>
      </c>
      <c r="JY28" s="221">
        <f t="shared" si="39"/>
        <v>0</v>
      </c>
      <c r="JZ28" s="221">
        <f t="shared" si="37"/>
        <v>0</v>
      </c>
      <c r="KA28" s="221">
        <f t="shared" si="37"/>
        <v>0</v>
      </c>
      <c r="KB28" s="221">
        <f t="shared" si="37"/>
        <v>0</v>
      </c>
      <c r="KC28" s="221">
        <f t="shared" si="37"/>
        <v>0</v>
      </c>
    </row>
    <row r="29" spans="2:289" x14ac:dyDescent="0.25">
      <c r="B29" s="214" t="s">
        <v>911</v>
      </c>
      <c r="C29" s="196"/>
      <c r="D29" s="215">
        <v>0</v>
      </c>
      <c r="E29" s="215">
        <v>0</v>
      </c>
      <c r="F29" s="216" t="s">
        <v>26</v>
      </c>
      <c r="G29" s="217">
        <f>I29/Units_SF_M2</f>
        <v>0</v>
      </c>
      <c r="H29" s="218">
        <f>I29/Units</f>
        <v>0</v>
      </c>
      <c r="I29" s="219">
        <v>0</v>
      </c>
      <c r="P29" s="152" t="str">
        <f t="shared" si="20"/>
        <v/>
      </c>
      <c r="Q29" s="220">
        <f t="shared" ref="Q29" si="41">AND(Q$22&gt;=$D29,Q$22&lt;=$E29)*IF(OR($F29="Straight-Line",$F29="Detail"),$I29/$EX29,FA29)</f>
        <v>0</v>
      </c>
      <c r="R29" s="220">
        <f t="shared" ref="R29" si="42">AND(R$22&gt;=$D29,R$22&lt;=$E29)*IF(OR($F29="Straight-Line",$F29="Detail"),$I29/$EX29,FB29)</f>
        <v>0</v>
      </c>
      <c r="S29" s="220">
        <f t="shared" ref="S29" si="43">AND(S$22&gt;=$D29,S$22&lt;=$E29)*IF(OR($F29="Straight-Line",$F29="Detail"),$I29/$EX29,FC29)</f>
        <v>0</v>
      </c>
      <c r="T29" s="220">
        <f t="shared" ref="T29" si="44">AND(T$22&gt;=$D29,T$22&lt;=$E29)*IF(OR($F29="Straight-Line",$F29="Detail"),$I29/$EX29,FD29)</f>
        <v>0</v>
      </c>
      <c r="U29" s="220">
        <f t="shared" ref="U29" si="45">AND(U$22&gt;=$D29,U$22&lt;=$E29)*IF(OR($F29="Straight-Line",$F29="Detail"),$I29/$EX29,FE29)</f>
        <v>0</v>
      </c>
      <c r="V29" s="220">
        <f t="shared" ref="V29" si="46">AND(V$22&gt;=$D29,V$22&lt;=$E29)*IF(OR($F29="Straight-Line",$F29="Detail"),$I29/$EX29,FF29)</f>
        <v>0</v>
      </c>
      <c r="W29" s="220">
        <f t="shared" ref="W29" si="47">AND(W$22&gt;=$D29,W$22&lt;=$E29)*IF(OR($F29="Straight-Line",$F29="Detail"),$I29/$EX29,FG29)</f>
        <v>0</v>
      </c>
      <c r="X29" s="220">
        <f t="shared" ref="X29" si="48">AND(X$22&gt;=$D29,X$22&lt;=$E29)*IF(OR($F29="Straight-Line",$F29="Detail"),$I29/$EX29,FH29)</f>
        <v>0</v>
      </c>
      <c r="Y29" s="220">
        <f t="shared" ref="Y29" si="49">AND(Y$22&gt;=$D29,Y$22&lt;=$E29)*IF(OR($F29="Straight-Line",$F29="Detail"),$I29/$EX29,FI29)</f>
        <v>0</v>
      </c>
      <c r="Z29" s="220">
        <f t="shared" ref="Z29" si="50">AND(Z$22&gt;=$D29,Z$22&lt;=$E29)*IF(OR($F29="Straight-Line",$F29="Detail"),$I29/$EX29,FJ29)</f>
        <v>0</v>
      </c>
      <c r="AA29" s="220">
        <f t="shared" ref="AA29" si="51">AND(AA$22&gt;=$D29,AA$22&lt;=$E29)*IF(OR($F29="Straight-Line",$F29="Detail"),$I29/$EX29,FK29)</f>
        <v>0</v>
      </c>
      <c r="AB29" s="220">
        <f t="shared" ref="AB29" si="52">AND(AB$22&gt;=$D29,AB$22&lt;=$E29)*IF(OR($F29="Straight-Line",$F29="Detail"),$I29/$EX29,FL29)</f>
        <v>0</v>
      </c>
      <c r="AC29" s="220">
        <f t="shared" ref="AC29" si="53">AND(AC$22&gt;=$D29,AC$22&lt;=$E29)*IF(OR($F29="Straight-Line",$F29="Detail"),$I29/$EX29,FM29)</f>
        <v>0</v>
      </c>
      <c r="AD29" s="220">
        <f t="shared" ref="AD29" si="54">AND(AD$22&gt;=$D29,AD$22&lt;=$E29)*IF(OR($F29="Straight-Line",$F29="Detail"),$I29/$EX29,FN29)</f>
        <v>0</v>
      </c>
      <c r="AE29" s="220">
        <f t="shared" ref="AE29" si="55">AND(AE$22&gt;=$D29,AE$22&lt;=$E29)*IF(OR($F29="Straight-Line",$F29="Detail"),$I29/$EX29,FO29)</f>
        <v>0</v>
      </c>
      <c r="AF29" s="220">
        <f t="shared" ref="AF29" si="56">AND(AF$22&gt;=$D29,AF$22&lt;=$E29)*IF(OR($F29="Straight-Line",$F29="Detail"),$I29/$EX29,FP29)</f>
        <v>0</v>
      </c>
      <c r="AG29" s="220">
        <f t="shared" ref="AG29" si="57">AND(AG$22&gt;=$D29,AG$22&lt;=$E29)*IF(OR($F29="Straight-Line",$F29="Detail"),$I29/$EX29,FQ29)</f>
        <v>0</v>
      </c>
      <c r="AH29" s="220">
        <f t="shared" ref="AH29" si="58">AND(AH$22&gt;=$D29,AH$22&lt;=$E29)*IF(OR($F29="Straight-Line",$F29="Detail"),$I29/$EX29,FR29)</f>
        <v>0</v>
      </c>
      <c r="AI29" s="220">
        <f t="shared" ref="AI29" si="59">AND(AI$22&gt;=$D29,AI$22&lt;=$E29)*IF(OR($F29="Straight-Line",$F29="Detail"),$I29/$EX29,FS29)</f>
        <v>0</v>
      </c>
      <c r="AJ29" s="220">
        <f t="shared" ref="AJ29" si="60">AND(AJ$22&gt;=$D29,AJ$22&lt;=$E29)*IF(OR($F29="Straight-Line",$F29="Detail"),$I29/$EX29,FT29)</f>
        <v>0</v>
      </c>
      <c r="AK29" s="220">
        <f t="shared" ref="AK29" si="61">AND(AK$22&gt;=$D29,AK$22&lt;=$E29)*IF(OR($F29="Straight-Line",$F29="Detail"),$I29/$EX29,FU29)</f>
        <v>0</v>
      </c>
      <c r="AL29" s="220">
        <f t="shared" ref="AL29" si="62">AND(AL$22&gt;=$D29,AL$22&lt;=$E29)*IF(OR($F29="Straight-Line",$F29="Detail"),$I29/$EX29,FV29)</f>
        <v>0</v>
      </c>
      <c r="AM29" s="220">
        <f t="shared" ref="AM29" si="63">AND(AM$22&gt;=$D29,AM$22&lt;=$E29)*IF(OR($F29="Straight-Line",$F29="Detail"),$I29/$EX29,FW29)</f>
        <v>0</v>
      </c>
      <c r="AN29" s="220">
        <f t="shared" ref="AN29" si="64">AND(AN$22&gt;=$D29,AN$22&lt;=$E29)*IF(OR($F29="Straight-Line",$F29="Detail"),$I29/$EX29,FX29)</f>
        <v>0</v>
      </c>
      <c r="AO29" s="220">
        <f t="shared" ref="AO29" si="65">AND(AO$22&gt;=$D29,AO$22&lt;=$E29)*IF(OR($F29="Straight-Line",$F29="Detail"),$I29/$EX29,FY29)</f>
        <v>0</v>
      </c>
      <c r="AP29" s="220">
        <f t="shared" ref="AP29" si="66">AND(AP$22&gt;=$D29,AP$22&lt;=$E29)*IF(OR($F29="Straight-Line",$F29="Detail"),$I29/$EX29,FZ29)</f>
        <v>0</v>
      </c>
      <c r="AQ29" s="220">
        <f t="shared" ref="AQ29" si="67">AND(AQ$22&gt;=$D29,AQ$22&lt;=$E29)*IF(OR($F29="Straight-Line",$F29="Detail"),$I29/$EX29,GA29)</f>
        <v>0</v>
      </c>
      <c r="AR29" s="220">
        <f t="shared" ref="AR29" si="68">AND(AR$22&gt;=$D29,AR$22&lt;=$E29)*IF(OR($F29="Straight-Line",$F29="Detail"),$I29/$EX29,GB29)</f>
        <v>0</v>
      </c>
      <c r="AS29" s="220">
        <f t="shared" ref="AS29" si="69">AND(AS$22&gt;=$D29,AS$22&lt;=$E29)*IF(OR($F29="Straight-Line",$F29="Detail"),$I29/$EX29,GC29)</f>
        <v>0</v>
      </c>
      <c r="AT29" s="220">
        <f t="shared" ref="AT29" si="70">AND(AT$22&gt;=$D29,AT$22&lt;=$E29)*IF(OR($F29="Straight-Line",$F29="Detail"),$I29/$EX29,GD29)</f>
        <v>0</v>
      </c>
      <c r="AU29" s="220">
        <f t="shared" ref="AU29" si="71">AND(AU$22&gt;=$D29,AU$22&lt;=$E29)*IF(OR($F29="Straight-Line",$F29="Detail"),$I29/$EX29,GE29)</f>
        <v>0</v>
      </c>
      <c r="AV29" s="220">
        <f t="shared" ref="AV29" si="72">AND(AV$22&gt;=$D29,AV$22&lt;=$E29)*IF(OR($F29="Straight-Line",$F29="Detail"),$I29/$EX29,GF29)</f>
        <v>0</v>
      </c>
      <c r="AW29" s="220">
        <f t="shared" ref="AW29" si="73">AND(AW$22&gt;=$D29,AW$22&lt;=$E29)*IF(OR($F29="Straight-Line",$F29="Detail"),$I29/$EX29,GG29)</f>
        <v>0</v>
      </c>
      <c r="AX29" s="220">
        <f t="shared" ref="AX29" si="74">AND(AX$22&gt;=$D29,AX$22&lt;=$E29)*IF(OR($F29="Straight-Line",$F29="Detail"),$I29/$EX29,GH29)</f>
        <v>0</v>
      </c>
      <c r="AY29" s="220">
        <f t="shared" ref="AY29" si="75">AND(AY$22&gt;=$D29,AY$22&lt;=$E29)*IF(OR($F29="Straight-Line",$F29="Detail"),$I29/$EX29,GI29)</f>
        <v>0</v>
      </c>
      <c r="AZ29" s="220">
        <f t="shared" ref="AZ29" si="76">AND(AZ$22&gt;=$D29,AZ$22&lt;=$E29)*IF(OR($F29="Straight-Line",$F29="Detail"),$I29/$EX29,GJ29)</f>
        <v>0</v>
      </c>
      <c r="BA29" s="220">
        <f t="shared" ref="BA29" si="77">AND(BA$22&gt;=$D29,BA$22&lt;=$E29)*IF(OR($F29="Straight-Line",$F29="Detail"),$I29/$EX29,GK29)</f>
        <v>0</v>
      </c>
      <c r="BB29" s="220">
        <f t="shared" ref="BB29" si="78">AND(BB$22&gt;=$D29,BB$22&lt;=$E29)*IF(OR($F29="Straight-Line",$F29="Detail"),$I29/$EX29,GL29)</f>
        <v>0</v>
      </c>
      <c r="BC29" s="220">
        <f t="shared" ref="BC29" si="79">AND(BC$22&gt;=$D29,BC$22&lt;=$E29)*IF(OR($F29="Straight-Line",$F29="Detail"),$I29/$EX29,GM29)</f>
        <v>0</v>
      </c>
      <c r="BD29" s="220">
        <f t="shared" ref="BD29" si="80">AND(BD$22&gt;=$D29,BD$22&lt;=$E29)*IF(OR($F29="Straight-Line",$F29="Detail"),$I29/$EX29,GN29)</f>
        <v>0</v>
      </c>
      <c r="BE29" s="220">
        <f t="shared" ref="BE29" si="81">AND(BE$22&gt;=$D29,BE$22&lt;=$E29)*IF(OR($F29="Straight-Line",$F29="Detail"),$I29/$EX29,GO29)</f>
        <v>0</v>
      </c>
      <c r="BF29" s="220">
        <f t="shared" ref="BF29" si="82">AND(BF$22&gt;=$D29,BF$22&lt;=$E29)*IF(OR($F29="Straight-Line",$F29="Detail"),$I29/$EX29,GP29)</f>
        <v>0</v>
      </c>
      <c r="BG29" s="220">
        <f t="shared" ref="BG29" si="83">AND(BG$22&gt;=$D29,BG$22&lt;=$E29)*IF(OR($F29="Straight-Line",$F29="Detail"),$I29/$EX29,GQ29)</f>
        <v>0</v>
      </c>
      <c r="BH29" s="220">
        <f t="shared" ref="BH29" si="84">AND(BH$22&gt;=$D29,BH$22&lt;=$E29)*IF(OR($F29="Straight-Line",$F29="Detail"),$I29/$EX29,GR29)</f>
        <v>0</v>
      </c>
      <c r="BI29" s="220">
        <f t="shared" ref="BI29" si="85">AND(BI$22&gt;=$D29,BI$22&lt;=$E29)*IF(OR($F29="Straight-Line",$F29="Detail"),$I29/$EX29,GS29)</f>
        <v>0</v>
      </c>
      <c r="BJ29" s="220">
        <f t="shared" ref="BJ29" si="86">AND(BJ$22&gt;=$D29,BJ$22&lt;=$E29)*IF(OR($F29="Straight-Line",$F29="Detail"),$I29/$EX29,GT29)</f>
        <v>0</v>
      </c>
      <c r="BK29" s="220">
        <f t="shared" ref="BK29" si="87">AND(BK$22&gt;=$D29,BK$22&lt;=$E29)*IF(OR($F29="Straight-Line",$F29="Detail"),$I29/$EX29,GU29)</f>
        <v>0</v>
      </c>
      <c r="BL29" s="220">
        <f t="shared" ref="BL29" si="88">AND(BL$22&gt;=$D29,BL$22&lt;=$E29)*IF(OR($F29="Straight-Line",$F29="Detail"),$I29/$EX29,GV29)</f>
        <v>0</v>
      </c>
      <c r="BM29" s="220">
        <f t="shared" ref="BM29" si="89">AND(BM$22&gt;=$D29,BM$22&lt;=$E29)*IF(OR($F29="Straight-Line",$F29="Detail"),$I29/$EX29,GW29)</f>
        <v>0</v>
      </c>
      <c r="BN29" s="220">
        <f t="shared" ref="BN29" si="90">AND(BN$22&gt;=$D29,BN$22&lt;=$E29)*IF(OR($F29="Straight-Line",$F29="Detail"),$I29/$EX29,GX29)</f>
        <v>0</v>
      </c>
      <c r="BO29" s="220">
        <f t="shared" ref="BO29" si="91">AND(BO$22&gt;=$D29,BO$22&lt;=$E29)*IF(OR($F29="Straight-Line",$F29="Detail"),$I29/$EX29,GY29)</f>
        <v>0</v>
      </c>
      <c r="BP29" s="220">
        <f t="shared" ref="BP29" si="92">AND(BP$22&gt;=$D29,BP$22&lt;=$E29)*IF(OR($F29="Straight-Line",$F29="Detail"),$I29/$EX29,GZ29)</f>
        <v>0</v>
      </c>
      <c r="BQ29" s="220">
        <f t="shared" ref="BQ29" si="93">AND(BQ$22&gt;=$D29,BQ$22&lt;=$E29)*IF(OR($F29="Straight-Line",$F29="Detail"),$I29/$EX29,HA29)</f>
        <v>0</v>
      </c>
      <c r="BR29" s="220">
        <f t="shared" ref="BR29" si="94">AND(BR$22&gt;=$D29,BR$22&lt;=$E29)*IF(OR($F29="Straight-Line",$F29="Detail"),$I29/$EX29,HB29)</f>
        <v>0</v>
      </c>
      <c r="BS29" s="220">
        <f t="shared" ref="BS29" si="95">AND(BS$22&gt;=$D29,BS$22&lt;=$E29)*IF(OR($F29="Straight-Line",$F29="Detail"),$I29/$EX29,HC29)</f>
        <v>0</v>
      </c>
      <c r="BT29" s="220">
        <f t="shared" ref="BT29" si="96">AND(BT$22&gt;=$D29,BT$22&lt;=$E29)*IF(OR($F29="Straight-Line",$F29="Detail"),$I29/$EX29,HD29)</f>
        <v>0</v>
      </c>
      <c r="BU29" s="220">
        <f t="shared" ref="BU29" si="97">AND(BU$22&gt;=$D29,BU$22&lt;=$E29)*IF(OR($F29="Straight-Line",$F29="Detail"),$I29/$EX29,HE29)</f>
        <v>0</v>
      </c>
      <c r="BV29" s="220">
        <f t="shared" ref="BV29" si="98">AND(BV$22&gt;=$D29,BV$22&lt;=$E29)*IF(OR($F29="Straight-Line",$F29="Detail"),$I29/$EX29,HF29)</f>
        <v>0</v>
      </c>
      <c r="BW29" s="220">
        <f t="shared" ref="BW29" si="99">AND(BW$22&gt;=$D29,BW$22&lt;=$E29)*IF(OR($F29="Straight-Line",$F29="Detail"),$I29/$EX29,HG29)</f>
        <v>0</v>
      </c>
      <c r="BX29" s="220">
        <f t="shared" ref="BX29" si="100">AND(BX$22&gt;=$D29,BX$22&lt;=$E29)*IF(OR($F29="Straight-Line",$F29="Detail"),$I29/$EX29,HH29)</f>
        <v>0</v>
      </c>
      <c r="BY29" s="220">
        <f t="shared" ref="BY29" si="101">AND(BY$22&gt;=$D29,BY$22&lt;=$E29)*IF(OR($F29="Straight-Line",$F29="Detail"),$I29/$EX29,HI29)</f>
        <v>0</v>
      </c>
      <c r="BZ29" s="220">
        <f t="shared" ref="BZ29" si="102">AND(BZ$22&gt;=$D29,BZ$22&lt;=$E29)*IF(OR($F29="Straight-Line",$F29="Detail"),$I29/$EX29,HJ29)</f>
        <v>0</v>
      </c>
      <c r="CA29" s="220">
        <f t="shared" ref="CA29" si="103">AND(CA$22&gt;=$D29,CA$22&lt;=$E29)*IF(OR($F29="Straight-Line",$F29="Detail"),$I29/$EX29,HK29)</f>
        <v>0</v>
      </c>
      <c r="CB29" s="220">
        <f t="shared" ref="CB29" si="104">AND(CB$22&gt;=$D29,CB$22&lt;=$E29)*IF(OR($F29="Straight-Line",$F29="Detail"),$I29/$EX29,HL29)</f>
        <v>0</v>
      </c>
      <c r="CC29" s="220">
        <f t="shared" ref="CC29" si="105">AND(CC$22&gt;=$D29,CC$22&lt;=$E29)*IF(OR($F29="Straight-Line",$F29="Detail"),$I29/$EX29,HM29)</f>
        <v>0</v>
      </c>
      <c r="CD29" s="220">
        <f t="shared" ref="CD29" si="106">AND(CD$22&gt;=$D29,CD$22&lt;=$E29)*IF(OR($F29="Straight-Line",$F29="Detail"),$I29/$EX29,HN29)</f>
        <v>0</v>
      </c>
      <c r="CE29" s="220">
        <f t="shared" ref="CE29" si="107">AND(CE$22&gt;=$D29,CE$22&lt;=$E29)*IF(OR($F29="Straight-Line",$F29="Detail"),$I29/$EX29,HO29)</f>
        <v>0</v>
      </c>
      <c r="CF29" s="220">
        <f t="shared" ref="CF29" si="108">AND(CF$22&gt;=$D29,CF$22&lt;=$E29)*IF(OR($F29="Straight-Line",$F29="Detail"),$I29/$EX29,HP29)</f>
        <v>0</v>
      </c>
      <c r="CG29" s="220">
        <f t="shared" ref="CG29" si="109">AND(CG$22&gt;=$D29,CG$22&lt;=$E29)*IF(OR($F29="Straight-Line",$F29="Detail"),$I29/$EX29,HQ29)</f>
        <v>0</v>
      </c>
      <c r="CH29" s="220">
        <f t="shared" ref="CH29" si="110">AND(CH$22&gt;=$D29,CH$22&lt;=$E29)*IF(OR($F29="Straight-Line",$F29="Detail"),$I29/$EX29,HR29)</f>
        <v>0</v>
      </c>
      <c r="CI29" s="220">
        <f t="shared" ref="CI29" si="111">AND(CI$22&gt;=$D29,CI$22&lt;=$E29)*IF(OR($F29="Straight-Line",$F29="Detail"),$I29/$EX29,HS29)</f>
        <v>0</v>
      </c>
      <c r="CJ29" s="220">
        <f t="shared" ref="CJ29" si="112">AND(CJ$22&gt;=$D29,CJ$22&lt;=$E29)*IF(OR($F29="Straight-Line",$F29="Detail"),$I29/$EX29,HT29)</f>
        <v>0</v>
      </c>
      <c r="CK29" s="220">
        <f t="shared" ref="CK29" si="113">AND(CK$22&gt;=$D29,CK$22&lt;=$E29)*IF(OR($F29="Straight-Line",$F29="Detail"),$I29/$EX29,HU29)</f>
        <v>0</v>
      </c>
      <c r="CL29" s="220">
        <f t="shared" ref="CL29" si="114">AND(CL$22&gt;=$D29,CL$22&lt;=$E29)*IF(OR($F29="Straight-Line",$F29="Detail"),$I29/$EX29,HV29)</f>
        <v>0</v>
      </c>
      <c r="CM29" s="220">
        <f t="shared" ref="CM29" si="115">AND(CM$22&gt;=$D29,CM$22&lt;=$E29)*IF(OR($F29="Straight-Line",$F29="Detail"),$I29/$EX29,HW29)</f>
        <v>0</v>
      </c>
      <c r="CN29" s="220">
        <f t="shared" ref="CN29" si="116">AND(CN$22&gt;=$D29,CN$22&lt;=$E29)*IF(OR($F29="Straight-Line",$F29="Detail"),$I29/$EX29,HX29)</f>
        <v>0</v>
      </c>
      <c r="CO29" s="220">
        <f t="shared" ref="CO29" si="117">AND(CO$22&gt;=$D29,CO$22&lt;=$E29)*IF(OR($F29="Straight-Line",$F29="Detail"),$I29/$EX29,HY29)</f>
        <v>0</v>
      </c>
      <c r="CP29" s="220">
        <f t="shared" ref="CP29" si="118">AND(CP$22&gt;=$D29,CP$22&lt;=$E29)*IF(OR($F29="Straight-Line",$F29="Detail"),$I29/$EX29,HZ29)</f>
        <v>0</v>
      </c>
      <c r="CQ29" s="220">
        <f t="shared" ref="CQ29" si="119">AND(CQ$22&gt;=$D29,CQ$22&lt;=$E29)*IF(OR($F29="Straight-Line",$F29="Detail"),$I29/$EX29,IA29)</f>
        <v>0</v>
      </c>
      <c r="CR29" s="220">
        <f t="shared" ref="CR29" si="120">AND(CR$22&gt;=$D29,CR$22&lt;=$E29)*IF(OR($F29="Straight-Line",$F29="Detail"),$I29/$EX29,IB29)</f>
        <v>0</v>
      </c>
      <c r="CS29" s="220">
        <f t="shared" ref="CS29" si="121">AND(CS$22&gt;=$D29,CS$22&lt;=$E29)*IF(OR($F29="Straight-Line",$F29="Detail"),$I29/$EX29,IC29)</f>
        <v>0</v>
      </c>
      <c r="CT29" s="220">
        <f t="shared" ref="CT29" si="122">AND(CT$22&gt;=$D29,CT$22&lt;=$E29)*IF(OR($F29="Straight-Line",$F29="Detail"),$I29/$EX29,ID29)</f>
        <v>0</v>
      </c>
      <c r="CU29" s="220">
        <f t="shared" ref="CU29" si="123">AND(CU$22&gt;=$D29,CU$22&lt;=$E29)*IF(OR($F29="Straight-Line",$F29="Detail"),$I29/$EX29,IE29)</f>
        <v>0</v>
      </c>
      <c r="CV29" s="220">
        <f t="shared" ref="CV29" si="124">AND(CV$22&gt;=$D29,CV$22&lt;=$E29)*IF(OR($F29="Straight-Line",$F29="Detail"),$I29/$EX29,IF29)</f>
        <v>0</v>
      </c>
      <c r="CW29" s="220">
        <f t="shared" ref="CW29" si="125">AND(CW$22&gt;=$D29,CW$22&lt;=$E29)*IF(OR($F29="Straight-Line",$F29="Detail"),$I29/$EX29,IG29)</f>
        <v>0</v>
      </c>
      <c r="CX29" s="220">
        <f t="shared" ref="CX29" si="126">AND(CX$22&gt;=$D29,CX$22&lt;=$E29)*IF(OR($F29="Straight-Line",$F29="Detail"),$I29/$EX29,IH29)</f>
        <v>0</v>
      </c>
      <c r="CY29" s="220">
        <f t="shared" ref="CY29" si="127">AND(CY$22&gt;=$D29,CY$22&lt;=$E29)*IF(OR($F29="Straight-Line",$F29="Detail"),$I29/$EX29,II29)</f>
        <v>0</v>
      </c>
      <c r="CZ29" s="220">
        <f t="shared" ref="CZ29" si="128">AND(CZ$22&gt;=$D29,CZ$22&lt;=$E29)*IF(OR($F29="Straight-Line",$F29="Detail"),$I29/$EX29,IJ29)</f>
        <v>0</v>
      </c>
      <c r="DA29" s="220">
        <f t="shared" ref="DA29" si="129">AND(DA$22&gt;=$D29,DA$22&lt;=$E29)*IF(OR($F29="Straight-Line",$F29="Detail"),$I29/$EX29,IK29)</f>
        <v>0</v>
      </c>
      <c r="DB29" s="220">
        <f t="shared" ref="DB29" si="130">AND(DB$22&gt;=$D29,DB$22&lt;=$E29)*IF(OR($F29="Straight-Line",$F29="Detail"),$I29/$EX29,IL29)</f>
        <v>0</v>
      </c>
      <c r="DC29" s="220">
        <f t="shared" ref="DC29" si="131">AND(DC$22&gt;=$D29,DC$22&lt;=$E29)*IF(OR($F29="Straight-Line",$F29="Detail"),$I29/$EX29,IM29)</f>
        <v>0</v>
      </c>
      <c r="DD29" s="220">
        <f t="shared" ref="DD29" si="132">AND(DD$22&gt;=$D29,DD$22&lt;=$E29)*IF(OR($F29="Straight-Line",$F29="Detail"),$I29/$EX29,IN29)</f>
        <v>0</v>
      </c>
      <c r="DE29" s="220">
        <f t="shared" ref="DE29" si="133">AND(DE$22&gt;=$D29,DE$22&lt;=$E29)*IF(OR($F29="Straight-Line",$F29="Detail"),$I29/$EX29,IO29)</f>
        <v>0</v>
      </c>
      <c r="DF29" s="220">
        <f t="shared" ref="DF29" si="134">AND(DF$22&gt;=$D29,DF$22&lt;=$E29)*IF(OR($F29="Straight-Line",$F29="Detail"),$I29/$EX29,IP29)</f>
        <v>0</v>
      </c>
      <c r="DG29" s="220">
        <f t="shared" ref="DG29" si="135">AND(DG$22&gt;=$D29,DG$22&lt;=$E29)*IF(OR($F29="Straight-Line",$F29="Detail"),$I29/$EX29,IQ29)</f>
        <v>0</v>
      </c>
      <c r="DH29" s="220">
        <f t="shared" ref="DH29" si="136">AND(DH$22&gt;=$D29,DH$22&lt;=$E29)*IF(OR($F29="Straight-Line",$F29="Detail"),$I29/$EX29,IR29)</f>
        <v>0</v>
      </c>
      <c r="DI29" s="220">
        <f t="shared" ref="DI29" si="137">AND(DI$22&gt;=$D29,DI$22&lt;=$E29)*IF(OR($F29="Straight-Line",$F29="Detail"),$I29/$EX29,IS29)</f>
        <v>0</v>
      </c>
      <c r="DJ29" s="220">
        <f t="shared" ref="DJ29" si="138">AND(DJ$22&gt;=$D29,DJ$22&lt;=$E29)*IF(OR($F29="Straight-Line",$F29="Detail"),$I29/$EX29,IT29)</f>
        <v>0</v>
      </c>
      <c r="DK29" s="220">
        <f t="shared" ref="DK29" si="139">AND(DK$22&gt;=$D29,DK$22&lt;=$E29)*IF(OR($F29="Straight-Line",$F29="Detail"),$I29/$EX29,IU29)</f>
        <v>0</v>
      </c>
      <c r="DL29" s="220">
        <f t="shared" ref="DL29" si="140">AND(DL$22&gt;=$D29,DL$22&lt;=$E29)*IF(OR($F29="Straight-Line",$F29="Detail"),$I29/$EX29,IV29)</f>
        <v>0</v>
      </c>
      <c r="DM29" s="220">
        <f t="shared" ref="DM29" si="141">AND(DM$22&gt;=$D29,DM$22&lt;=$E29)*IF(OR($F29="Straight-Line",$F29="Detail"),$I29/$EX29,IW29)</f>
        <v>0</v>
      </c>
      <c r="DN29" s="220">
        <f t="shared" ref="DN29" si="142">AND(DN$22&gt;=$D29,DN$22&lt;=$E29)*IF(OR($F29="Straight-Line",$F29="Detail"),$I29/$EX29,IX29)</f>
        <v>0</v>
      </c>
      <c r="DO29" s="220">
        <f t="shared" ref="DO29" si="143">AND(DO$22&gt;=$D29,DO$22&lt;=$E29)*IF(OR($F29="Straight-Line",$F29="Detail"),$I29/$EX29,IY29)</f>
        <v>0</v>
      </c>
      <c r="DP29" s="220">
        <f t="shared" ref="DP29" si="144">AND(DP$22&gt;=$D29,DP$22&lt;=$E29)*IF(OR($F29="Straight-Line",$F29="Detail"),$I29/$EX29,IZ29)</f>
        <v>0</v>
      </c>
      <c r="DQ29" s="220">
        <f t="shared" ref="DQ29" si="145">AND(DQ$22&gt;=$D29,DQ$22&lt;=$E29)*IF(OR($F29="Straight-Line",$F29="Detail"),$I29/$EX29,JA29)</f>
        <v>0</v>
      </c>
      <c r="DR29" s="220">
        <f t="shared" ref="DR29" si="146">AND(DR$22&gt;=$D29,DR$22&lt;=$E29)*IF(OR($F29="Straight-Line",$F29="Detail"),$I29/$EX29,JB29)</f>
        <v>0</v>
      </c>
      <c r="DS29" s="220">
        <f t="shared" ref="DS29" si="147">AND(DS$22&gt;=$D29,DS$22&lt;=$E29)*IF(OR($F29="Straight-Line",$F29="Detail"),$I29/$EX29,JC29)</f>
        <v>0</v>
      </c>
      <c r="DT29" s="220">
        <f t="shared" ref="DT29" si="148">AND(DT$22&gt;=$D29,DT$22&lt;=$E29)*IF(OR($F29="Straight-Line",$F29="Detail"),$I29/$EX29,JD29)</f>
        <v>0</v>
      </c>
      <c r="DU29" s="220">
        <f t="shared" ref="DU29" si="149">AND(DU$22&gt;=$D29,DU$22&lt;=$E29)*IF(OR($F29="Straight-Line",$F29="Detail"),$I29/$EX29,JE29)</f>
        <v>0</v>
      </c>
      <c r="DV29" s="220">
        <f t="shared" ref="DV29" si="150">AND(DV$22&gt;=$D29,DV$22&lt;=$E29)*IF(OR($F29="Straight-Line",$F29="Detail"),$I29/$EX29,JF29)</f>
        <v>0</v>
      </c>
      <c r="DW29" s="220">
        <f t="shared" ref="DW29" si="151">AND(DW$22&gt;=$D29,DW$22&lt;=$E29)*IF(OR($F29="Straight-Line",$F29="Detail"),$I29/$EX29,JG29)</f>
        <v>0</v>
      </c>
      <c r="DX29" s="220">
        <f t="shared" ref="DX29" si="152">AND(DX$22&gt;=$D29,DX$22&lt;=$E29)*IF(OR($F29="Straight-Line",$F29="Detail"),$I29/$EX29,JH29)</f>
        <v>0</v>
      </c>
      <c r="DY29" s="220">
        <f t="shared" ref="DY29" si="153">AND(DY$22&gt;=$D29,DY$22&lt;=$E29)*IF(OR($F29="Straight-Line",$F29="Detail"),$I29/$EX29,JI29)</f>
        <v>0</v>
      </c>
      <c r="DZ29" s="220">
        <f t="shared" ref="DZ29" si="154">AND(DZ$22&gt;=$D29,DZ$22&lt;=$E29)*IF(OR($F29="Straight-Line",$F29="Detail"),$I29/$EX29,JJ29)</f>
        <v>0</v>
      </c>
      <c r="EA29" s="220">
        <f t="shared" ref="EA29" si="155">AND(EA$22&gt;=$D29,EA$22&lt;=$E29)*IF(OR($F29="Straight-Line",$F29="Detail"),$I29/$EX29,JK29)</f>
        <v>0</v>
      </c>
      <c r="EB29" s="220">
        <f t="shared" ref="EB29" si="156">AND(EB$22&gt;=$D29,EB$22&lt;=$E29)*IF(OR($F29="Straight-Line",$F29="Detail"),$I29/$EX29,JL29)</f>
        <v>0</v>
      </c>
      <c r="EC29" s="220">
        <f t="shared" ref="EC29" si="157">AND(EC$22&gt;=$D29,EC$22&lt;=$E29)*IF(OR($F29="Straight-Line",$F29="Detail"),$I29/$EX29,JM29)</f>
        <v>0</v>
      </c>
      <c r="ED29" s="220">
        <f t="shared" ref="ED29" si="158">AND(ED$22&gt;=$D29,ED$22&lt;=$E29)*IF(OR($F29="Straight-Line",$F29="Detail"),$I29/$EX29,JN29)</f>
        <v>0</v>
      </c>
      <c r="EE29" s="220">
        <f t="shared" ref="EE29" si="159">AND(EE$22&gt;=$D29,EE$22&lt;=$E29)*IF(OR($F29="Straight-Line",$F29="Detail"),$I29/$EX29,JO29)</f>
        <v>0</v>
      </c>
      <c r="EF29" s="220">
        <f t="shared" ref="EF29" si="160">AND(EF$22&gt;=$D29,EF$22&lt;=$E29)*IF(OR($F29="Straight-Line",$F29="Detail"),$I29/$EX29,JP29)</f>
        <v>0</v>
      </c>
      <c r="EG29" s="220">
        <f t="shared" ref="EG29" si="161">AND(EG$22&gt;=$D29,EG$22&lt;=$E29)*IF(OR($F29="Straight-Line",$F29="Detail"),$I29/$EX29,JQ29)</f>
        <v>0</v>
      </c>
      <c r="EH29" s="220">
        <f t="shared" ref="EH29" si="162">AND(EH$22&gt;=$D29,EH$22&lt;=$E29)*IF(OR($F29="Straight-Line",$F29="Detail"),$I29/$EX29,JR29)</f>
        <v>0</v>
      </c>
      <c r="EI29" s="220">
        <f t="shared" ref="EI29" si="163">AND(EI$22&gt;=$D29,EI$22&lt;=$E29)*IF(OR($F29="Straight-Line",$F29="Detail"),$I29/$EX29,JS29)</f>
        <v>0</v>
      </c>
      <c r="EJ29" s="220">
        <f t="shared" ref="EJ29" si="164">AND(EJ$22&gt;=$D29,EJ$22&lt;=$E29)*IF(OR($F29="Straight-Line",$F29="Detail"),$I29/$EX29,JT29)</f>
        <v>0</v>
      </c>
      <c r="EK29" s="220">
        <f t="shared" ref="EK29" si="165">AND(EK$22&gt;=$D29,EK$22&lt;=$E29)*IF(OR($F29="Straight-Line",$F29="Detail"),$I29/$EX29,JU29)</f>
        <v>0</v>
      </c>
      <c r="EL29" s="220">
        <f t="shared" ref="EL29" si="166">AND(EL$22&gt;=$D29,EL$22&lt;=$E29)*IF(OR($F29="Straight-Line",$F29="Detail"),$I29/$EX29,JV29)</f>
        <v>0</v>
      </c>
      <c r="EM29" s="220">
        <f t="shared" ref="EM29" si="167">AND(EM$22&gt;=$D29,EM$22&lt;=$E29)*IF(OR($F29="Straight-Line",$F29="Detail"),$I29/$EX29,JW29)</f>
        <v>0</v>
      </c>
      <c r="EN29" s="220">
        <f t="shared" ref="EN29" si="168">AND(EN$22&gt;=$D29,EN$22&lt;=$E29)*IF(OR($F29="Straight-Line",$F29="Detail"),$I29/$EX29,JX29)</f>
        <v>0</v>
      </c>
      <c r="EO29" s="220">
        <f t="shared" ref="EO29" si="169">AND(EO$22&gt;=$D29,EO$22&lt;=$E29)*IF(OR($F29="Straight-Line",$F29="Detail"),$I29/$EX29,JY29)</f>
        <v>0</v>
      </c>
      <c r="EP29" s="220">
        <f t="shared" ref="EP29" si="170">AND(EP$22&gt;=$D29,EP$22&lt;=$E29)*IF(OR($F29="Straight-Line",$F29="Detail"),$I29/$EX29,JZ29)</f>
        <v>0</v>
      </c>
      <c r="EQ29" s="220">
        <f t="shared" ref="EQ29" si="171">AND(EQ$22&gt;=$D29,EQ$22&lt;=$E29)*IF(OR($F29="Straight-Line",$F29="Detail"),$I29/$EX29,KA29)</f>
        <v>0</v>
      </c>
      <c r="ER29" s="220">
        <f t="shared" ref="ER29" si="172">AND(ER$22&gt;=$D29,ER$22&lt;=$E29)*IF(OR($F29="Straight-Line",$F29="Detail"),$I29/$EX29,KB29)</f>
        <v>0</v>
      </c>
      <c r="ES29" s="220">
        <f t="shared" ref="ES29" si="173">AND(ES$22&gt;=$D29,ES$22&lt;=$E29)*IF(OR($F29="Straight-Line",$F29="Detail"),$I29/$EX29,KC29)</f>
        <v>0</v>
      </c>
      <c r="EU29" s="221">
        <f>I29</f>
        <v>0</v>
      </c>
      <c r="EV29" s="222">
        <f>INDEX($Q$23:$ES$23,1,$D29+1)</f>
        <v>45688</v>
      </c>
      <c r="EW29" s="222">
        <f>INDEX($Q$23:$ES$23,1,$E29+1)</f>
        <v>45688</v>
      </c>
      <c r="EX29" s="221">
        <f>+E29-D29+1</f>
        <v>1</v>
      </c>
      <c r="EY29" s="153" t="str">
        <f>F29</f>
        <v>Straight-Line</v>
      </c>
      <c r="EZ29" s="223">
        <f>EX29/Scurve_Dist</f>
        <v>0.16666666666666666</v>
      </c>
      <c r="FA29" s="221">
        <f>AND($EY29="S-Curve",FA$23&gt;=$EV29,FA$23&lt;=$EW29)*(_xlfn.NORM.DIST((YEAR(FA$23)-YEAR($EV29))*12+MONTH(FA$23)-MONTH($EV29)+1,$EX29/2,$EZ29,TRUE)-_xlfn.NORM.DIST((YEAR(FA$23)-YEAR($EV29))*12+MONTH(FA$23)-MONTH($EV29),$EX29/2,$EZ29,TRUE))/(1-2*_xlfn.NORM.DIST(0,$EX29/2,$EZ29,TRUE))*$EU29</f>
        <v>0</v>
      </c>
      <c r="FB29" s="221">
        <f t="shared" si="38"/>
        <v>0</v>
      </c>
      <c r="FC29" s="221">
        <f t="shared" si="38"/>
        <v>0</v>
      </c>
      <c r="FD29" s="221">
        <f t="shared" si="38"/>
        <v>0</v>
      </c>
      <c r="FE29" s="221">
        <f t="shared" si="38"/>
        <v>0</v>
      </c>
      <c r="FF29" s="221">
        <f t="shared" si="38"/>
        <v>0</v>
      </c>
      <c r="FG29" s="221">
        <f t="shared" si="38"/>
        <v>0</v>
      </c>
      <c r="FH29" s="221">
        <f t="shared" si="38"/>
        <v>0</v>
      </c>
      <c r="FI29" s="221">
        <f t="shared" si="38"/>
        <v>0</v>
      </c>
      <c r="FJ29" s="221">
        <f t="shared" si="38"/>
        <v>0</v>
      </c>
      <c r="FK29" s="221">
        <f t="shared" si="38"/>
        <v>0</v>
      </c>
      <c r="FL29" s="221">
        <f t="shared" si="38"/>
        <v>0</v>
      </c>
      <c r="FM29" s="221">
        <f t="shared" si="38"/>
        <v>0</v>
      </c>
      <c r="FN29" s="221">
        <f t="shared" si="38"/>
        <v>0</v>
      </c>
      <c r="FO29" s="221">
        <f t="shared" si="38"/>
        <v>0</v>
      </c>
      <c r="FP29" s="221">
        <f t="shared" si="38"/>
        <v>0</v>
      </c>
      <c r="FQ29" s="221">
        <f t="shared" si="38"/>
        <v>0</v>
      </c>
      <c r="FR29" s="221">
        <f t="shared" si="38"/>
        <v>0</v>
      </c>
      <c r="FS29" s="221">
        <f t="shared" si="38"/>
        <v>0</v>
      </c>
      <c r="FT29" s="221">
        <f t="shared" si="38"/>
        <v>0</v>
      </c>
      <c r="FU29" s="221">
        <f t="shared" si="38"/>
        <v>0</v>
      </c>
      <c r="FV29" s="221">
        <f t="shared" si="38"/>
        <v>0</v>
      </c>
      <c r="FW29" s="221">
        <f t="shared" si="38"/>
        <v>0</v>
      </c>
      <c r="FX29" s="221">
        <f t="shared" si="38"/>
        <v>0</v>
      </c>
      <c r="FY29" s="221">
        <f t="shared" si="38"/>
        <v>0</v>
      </c>
      <c r="FZ29" s="221">
        <f t="shared" si="38"/>
        <v>0</v>
      </c>
      <c r="GA29" s="221">
        <f t="shared" si="38"/>
        <v>0</v>
      </c>
      <c r="GB29" s="221">
        <f t="shared" si="38"/>
        <v>0</v>
      </c>
      <c r="GC29" s="221">
        <f t="shared" si="38"/>
        <v>0</v>
      </c>
      <c r="GD29" s="221">
        <f t="shared" si="38"/>
        <v>0</v>
      </c>
      <c r="GE29" s="221">
        <f t="shared" si="38"/>
        <v>0</v>
      </c>
      <c r="GF29" s="221">
        <f t="shared" si="38"/>
        <v>0</v>
      </c>
      <c r="GG29" s="221">
        <f t="shared" si="38"/>
        <v>0</v>
      </c>
      <c r="GH29" s="221">
        <f t="shared" si="38"/>
        <v>0</v>
      </c>
      <c r="GI29" s="221">
        <f t="shared" si="38"/>
        <v>0</v>
      </c>
      <c r="GJ29" s="221">
        <f t="shared" si="38"/>
        <v>0</v>
      </c>
      <c r="GK29" s="221">
        <f t="shared" si="38"/>
        <v>0</v>
      </c>
      <c r="GL29" s="221">
        <f t="shared" si="38"/>
        <v>0</v>
      </c>
      <c r="GM29" s="221">
        <f t="shared" si="38"/>
        <v>0</v>
      </c>
      <c r="GN29" s="221">
        <f t="shared" si="38"/>
        <v>0</v>
      </c>
      <c r="GO29" s="221">
        <f t="shared" si="38"/>
        <v>0</v>
      </c>
      <c r="GP29" s="221">
        <f t="shared" si="38"/>
        <v>0</v>
      </c>
      <c r="GQ29" s="221">
        <f t="shared" si="38"/>
        <v>0</v>
      </c>
      <c r="GR29" s="221">
        <f t="shared" si="38"/>
        <v>0</v>
      </c>
      <c r="GS29" s="221">
        <f t="shared" si="38"/>
        <v>0</v>
      </c>
      <c r="GT29" s="221">
        <f t="shared" si="38"/>
        <v>0</v>
      </c>
      <c r="GU29" s="221">
        <f t="shared" si="38"/>
        <v>0</v>
      </c>
      <c r="GV29" s="221">
        <f t="shared" si="38"/>
        <v>0</v>
      </c>
      <c r="GW29" s="221">
        <f t="shared" si="38"/>
        <v>0</v>
      </c>
      <c r="GX29" s="221">
        <f t="shared" si="38"/>
        <v>0</v>
      </c>
      <c r="GY29" s="221">
        <f t="shared" si="38"/>
        <v>0</v>
      </c>
      <c r="GZ29" s="221">
        <f t="shared" si="38"/>
        <v>0</v>
      </c>
      <c r="HA29" s="221">
        <f t="shared" si="38"/>
        <v>0</v>
      </c>
      <c r="HB29" s="221">
        <f t="shared" si="38"/>
        <v>0</v>
      </c>
      <c r="HC29" s="221">
        <f t="shared" si="38"/>
        <v>0</v>
      </c>
      <c r="HD29" s="221">
        <f t="shared" si="38"/>
        <v>0</v>
      </c>
      <c r="HE29" s="221">
        <f t="shared" si="38"/>
        <v>0</v>
      </c>
      <c r="HF29" s="221">
        <f t="shared" si="38"/>
        <v>0</v>
      </c>
      <c r="HG29" s="221">
        <f t="shared" si="38"/>
        <v>0</v>
      </c>
      <c r="HH29" s="221">
        <f t="shared" si="38"/>
        <v>0</v>
      </c>
      <c r="HI29" s="221">
        <f t="shared" si="38"/>
        <v>0</v>
      </c>
      <c r="HJ29" s="221">
        <f t="shared" si="38"/>
        <v>0</v>
      </c>
      <c r="HK29" s="221">
        <f t="shared" si="38"/>
        <v>0</v>
      </c>
      <c r="HL29" s="221">
        <f t="shared" si="38"/>
        <v>0</v>
      </c>
      <c r="HM29" s="221">
        <f t="shared" si="38"/>
        <v>0</v>
      </c>
      <c r="HN29" s="221">
        <f t="shared" si="39"/>
        <v>0</v>
      </c>
      <c r="HO29" s="221">
        <f t="shared" si="39"/>
        <v>0</v>
      </c>
      <c r="HP29" s="221">
        <f t="shared" si="39"/>
        <v>0</v>
      </c>
      <c r="HQ29" s="221">
        <f t="shared" si="39"/>
        <v>0</v>
      </c>
      <c r="HR29" s="221">
        <f t="shared" si="39"/>
        <v>0</v>
      </c>
      <c r="HS29" s="221">
        <f t="shared" si="39"/>
        <v>0</v>
      </c>
      <c r="HT29" s="221">
        <f t="shared" si="39"/>
        <v>0</v>
      </c>
      <c r="HU29" s="221">
        <f t="shared" si="39"/>
        <v>0</v>
      </c>
      <c r="HV29" s="221">
        <f t="shared" si="39"/>
        <v>0</v>
      </c>
      <c r="HW29" s="221">
        <f t="shared" si="39"/>
        <v>0</v>
      </c>
      <c r="HX29" s="221">
        <f t="shared" si="39"/>
        <v>0</v>
      </c>
      <c r="HY29" s="221">
        <f t="shared" si="39"/>
        <v>0</v>
      </c>
      <c r="HZ29" s="221">
        <f t="shared" si="39"/>
        <v>0</v>
      </c>
      <c r="IA29" s="221">
        <f t="shared" si="39"/>
        <v>0</v>
      </c>
      <c r="IB29" s="221">
        <f t="shared" si="39"/>
        <v>0</v>
      </c>
      <c r="IC29" s="221">
        <f t="shared" si="39"/>
        <v>0</v>
      </c>
      <c r="ID29" s="221">
        <f t="shared" si="39"/>
        <v>0</v>
      </c>
      <c r="IE29" s="221">
        <f t="shared" si="39"/>
        <v>0</v>
      </c>
      <c r="IF29" s="221">
        <f t="shared" si="39"/>
        <v>0</v>
      </c>
      <c r="IG29" s="221">
        <f t="shared" si="39"/>
        <v>0</v>
      </c>
      <c r="IH29" s="221">
        <f t="shared" si="39"/>
        <v>0</v>
      </c>
      <c r="II29" s="221">
        <f t="shared" si="39"/>
        <v>0</v>
      </c>
      <c r="IJ29" s="221">
        <f t="shared" si="39"/>
        <v>0</v>
      </c>
      <c r="IK29" s="221">
        <f t="shared" si="39"/>
        <v>0</v>
      </c>
      <c r="IL29" s="221">
        <f t="shared" si="39"/>
        <v>0</v>
      </c>
      <c r="IM29" s="221">
        <f t="shared" si="39"/>
        <v>0</v>
      </c>
      <c r="IN29" s="221">
        <f t="shared" si="39"/>
        <v>0</v>
      </c>
      <c r="IO29" s="221">
        <f t="shared" si="39"/>
        <v>0</v>
      </c>
      <c r="IP29" s="221">
        <f t="shared" si="39"/>
        <v>0</v>
      </c>
      <c r="IQ29" s="221">
        <f t="shared" si="39"/>
        <v>0</v>
      </c>
      <c r="IR29" s="221">
        <f t="shared" si="39"/>
        <v>0</v>
      </c>
      <c r="IS29" s="221">
        <f t="shared" si="39"/>
        <v>0</v>
      </c>
      <c r="IT29" s="221">
        <f t="shared" si="39"/>
        <v>0</v>
      </c>
      <c r="IU29" s="221">
        <f t="shared" si="39"/>
        <v>0</v>
      </c>
      <c r="IV29" s="221">
        <f t="shared" si="39"/>
        <v>0</v>
      </c>
      <c r="IW29" s="221">
        <f t="shared" si="39"/>
        <v>0</v>
      </c>
      <c r="IX29" s="221">
        <f t="shared" si="39"/>
        <v>0</v>
      </c>
      <c r="IY29" s="221">
        <f t="shared" si="39"/>
        <v>0</v>
      </c>
      <c r="IZ29" s="221">
        <f t="shared" si="39"/>
        <v>0</v>
      </c>
      <c r="JA29" s="221">
        <f t="shared" si="39"/>
        <v>0</v>
      </c>
      <c r="JB29" s="221">
        <f t="shared" si="39"/>
        <v>0</v>
      </c>
      <c r="JC29" s="221">
        <f t="shared" si="39"/>
        <v>0</v>
      </c>
      <c r="JD29" s="221">
        <f t="shared" si="39"/>
        <v>0</v>
      </c>
      <c r="JE29" s="221">
        <f t="shared" si="39"/>
        <v>0</v>
      </c>
      <c r="JF29" s="221">
        <f t="shared" si="39"/>
        <v>0</v>
      </c>
      <c r="JG29" s="221">
        <f t="shared" si="39"/>
        <v>0</v>
      </c>
      <c r="JH29" s="221">
        <f t="shared" si="39"/>
        <v>0</v>
      </c>
      <c r="JI29" s="221">
        <f t="shared" si="39"/>
        <v>0</v>
      </c>
      <c r="JJ29" s="221">
        <f t="shared" si="39"/>
        <v>0</v>
      </c>
      <c r="JK29" s="221">
        <f t="shared" si="39"/>
        <v>0</v>
      </c>
      <c r="JL29" s="221">
        <f t="shared" si="39"/>
        <v>0</v>
      </c>
      <c r="JM29" s="221">
        <f t="shared" si="39"/>
        <v>0</v>
      </c>
      <c r="JN29" s="221">
        <f t="shared" si="39"/>
        <v>0</v>
      </c>
      <c r="JO29" s="221">
        <f t="shared" si="39"/>
        <v>0</v>
      </c>
      <c r="JP29" s="221">
        <f t="shared" si="39"/>
        <v>0</v>
      </c>
      <c r="JQ29" s="221">
        <f t="shared" si="39"/>
        <v>0</v>
      </c>
      <c r="JR29" s="221">
        <f t="shared" si="39"/>
        <v>0</v>
      </c>
      <c r="JS29" s="221">
        <f t="shared" si="39"/>
        <v>0</v>
      </c>
      <c r="JT29" s="221">
        <f t="shared" si="39"/>
        <v>0</v>
      </c>
      <c r="JU29" s="221">
        <f t="shared" si="39"/>
        <v>0</v>
      </c>
      <c r="JV29" s="221">
        <f t="shared" si="39"/>
        <v>0</v>
      </c>
      <c r="JW29" s="221">
        <f t="shared" si="39"/>
        <v>0</v>
      </c>
      <c r="JX29" s="221">
        <f t="shared" si="39"/>
        <v>0</v>
      </c>
      <c r="JY29" s="221">
        <f t="shared" si="39"/>
        <v>0</v>
      </c>
      <c r="JZ29" s="221">
        <f t="shared" si="37"/>
        <v>0</v>
      </c>
      <c r="KA29" s="221">
        <f t="shared" si="37"/>
        <v>0</v>
      </c>
      <c r="KB29" s="221">
        <f t="shared" si="37"/>
        <v>0</v>
      </c>
      <c r="KC29" s="221">
        <f t="shared" si="37"/>
        <v>0</v>
      </c>
    </row>
    <row r="30" spans="2:289" ht="16.5" x14ac:dyDescent="0.35">
      <c r="B30" s="214" t="s">
        <v>453</v>
      </c>
      <c r="C30" s="196"/>
      <c r="D30" s="215">
        <v>0</v>
      </c>
      <c r="E30" s="215">
        <v>0</v>
      </c>
      <c r="F30" s="216" t="s">
        <v>26</v>
      </c>
      <c r="G30" s="224">
        <f>I30/Units_SF_M2</f>
        <v>0</v>
      </c>
      <c r="H30" s="224">
        <f>I30/Units</f>
        <v>0</v>
      </c>
      <c r="I30" s="225">
        <v>0</v>
      </c>
      <c r="P30" s="152" t="str">
        <f t="shared" si="20"/>
        <v/>
      </c>
      <c r="Q30" s="226">
        <f t="shared" si="21"/>
        <v>0</v>
      </c>
      <c r="R30" s="226">
        <f t="shared" si="21"/>
        <v>0</v>
      </c>
      <c r="S30" s="226">
        <f t="shared" si="21"/>
        <v>0</v>
      </c>
      <c r="T30" s="226">
        <f t="shared" si="21"/>
        <v>0</v>
      </c>
      <c r="U30" s="226">
        <f t="shared" si="21"/>
        <v>0</v>
      </c>
      <c r="V30" s="226">
        <f t="shared" si="21"/>
        <v>0</v>
      </c>
      <c r="W30" s="226">
        <f t="shared" si="21"/>
        <v>0</v>
      </c>
      <c r="X30" s="226">
        <f t="shared" si="21"/>
        <v>0</v>
      </c>
      <c r="Y30" s="226">
        <f t="shared" si="21"/>
        <v>0</v>
      </c>
      <c r="Z30" s="226">
        <f t="shared" si="21"/>
        <v>0</v>
      </c>
      <c r="AA30" s="226">
        <f t="shared" si="22"/>
        <v>0</v>
      </c>
      <c r="AB30" s="226">
        <f t="shared" si="22"/>
        <v>0</v>
      </c>
      <c r="AC30" s="226">
        <f t="shared" si="22"/>
        <v>0</v>
      </c>
      <c r="AD30" s="226">
        <f t="shared" si="22"/>
        <v>0</v>
      </c>
      <c r="AE30" s="226">
        <f t="shared" si="22"/>
        <v>0</v>
      </c>
      <c r="AF30" s="226">
        <f t="shared" si="22"/>
        <v>0</v>
      </c>
      <c r="AG30" s="226">
        <f t="shared" si="22"/>
        <v>0</v>
      </c>
      <c r="AH30" s="226">
        <f t="shared" si="22"/>
        <v>0</v>
      </c>
      <c r="AI30" s="226">
        <f t="shared" si="22"/>
        <v>0</v>
      </c>
      <c r="AJ30" s="226">
        <f t="shared" si="22"/>
        <v>0</v>
      </c>
      <c r="AK30" s="226">
        <f t="shared" si="23"/>
        <v>0</v>
      </c>
      <c r="AL30" s="226">
        <f t="shared" si="23"/>
        <v>0</v>
      </c>
      <c r="AM30" s="226">
        <f t="shared" si="23"/>
        <v>0</v>
      </c>
      <c r="AN30" s="226">
        <f t="shared" si="23"/>
        <v>0</v>
      </c>
      <c r="AO30" s="226">
        <f t="shared" si="23"/>
        <v>0</v>
      </c>
      <c r="AP30" s="226">
        <f t="shared" si="23"/>
        <v>0</v>
      </c>
      <c r="AQ30" s="226">
        <f t="shared" si="23"/>
        <v>0</v>
      </c>
      <c r="AR30" s="226">
        <f t="shared" si="23"/>
        <v>0</v>
      </c>
      <c r="AS30" s="226">
        <f t="shared" si="23"/>
        <v>0</v>
      </c>
      <c r="AT30" s="226">
        <f t="shared" si="23"/>
        <v>0</v>
      </c>
      <c r="AU30" s="226">
        <f t="shared" si="24"/>
        <v>0</v>
      </c>
      <c r="AV30" s="226">
        <f t="shared" si="24"/>
        <v>0</v>
      </c>
      <c r="AW30" s="226">
        <f t="shared" si="24"/>
        <v>0</v>
      </c>
      <c r="AX30" s="226">
        <f t="shared" si="24"/>
        <v>0</v>
      </c>
      <c r="AY30" s="226">
        <f t="shared" si="24"/>
        <v>0</v>
      </c>
      <c r="AZ30" s="226">
        <f t="shared" si="24"/>
        <v>0</v>
      </c>
      <c r="BA30" s="226">
        <f t="shared" si="24"/>
        <v>0</v>
      </c>
      <c r="BB30" s="226">
        <f t="shared" si="24"/>
        <v>0</v>
      </c>
      <c r="BC30" s="226">
        <f t="shared" si="24"/>
        <v>0</v>
      </c>
      <c r="BD30" s="226">
        <f t="shared" si="24"/>
        <v>0</v>
      </c>
      <c r="BE30" s="226">
        <f t="shared" si="25"/>
        <v>0</v>
      </c>
      <c r="BF30" s="226">
        <f t="shared" si="25"/>
        <v>0</v>
      </c>
      <c r="BG30" s="226">
        <f t="shared" si="25"/>
        <v>0</v>
      </c>
      <c r="BH30" s="226">
        <f t="shared" si="25"/>
        <v>0</v>
      </c>
      <c r="BI30" s="226">
        <f t="shared" si="25"/>
        <v>0</v>
      </c>
      <c r="BJ30" s="226">
        <f t="shared" si="25"/>
        <v>0</v>
      </c>
      <c r="BK30" s="226">
        <f t="shared" si="25"/>
        <v>0</v>
      </c>
      <c r="BL30" s="226">
        <f t="shared" si="25"/>
        <v>0</v>
      </c>
      <c r="BM30" s="226">
        <f t="shared" si="25"/>
        <v>0</v>
      </c>
      <c r="BN30" s="226">
        <f t="shared" si="25"/>
        <v>0</v>
      </c>
      <c r="BO30" s="226">
        <f t="shared" si="26"/>
        <v>0</v>
      </c>
      <c r="BP30" s="226">
        <f t="shared" si="26"/>
        <v>0</v>
      </c>
      <c r="BQ30" s="226">
        <f t="shared" si="26"/>
        <v>0</v>
      </c>
      <c r="BR30" s="226">
        <f t="shared" si="26"/>
        <v>0</v>
      </c>
      <c r="BS30" s="226">
        <f t="shared" si="26"/>
        <v>0</v>
      </c>
      <c r="BT30" s="226">
        <f t="shared" si="26"/>
        <v>0</v>
      </c>
      <c r="BU30" s="226">
        <f t="shared" si="26"/>
        <v>0</v>
      </c>
      <c r="BV30" s="226">
        <f t="shared" si="26"/>
        <v>0</v>
      </c>
      <c r="BW30" s="226">
        <f t="shared" si="26"/>
        <v>0</v>
      </c>
      <c r="BX30" s="226">
        <f t="shared" si="26"/>
        <v>0</v>
      </c>
      <c r="BY30" s="226">
        <f t="shared" si="27"/>
        <v>0</v>
      </c>
      <c r="BZ30" s="226">
        <f t="shared" si="27"/>
        <v>0</v>
      </c>
      <c r="CA30" s="226">
        <f t="shared" si="27"/>
        <v>0</v>
      </c>
      <c r="CB30" s="226">
        <f t="shared" si="27"/>
        <v>0</v>
      </c>
      <c r="CC30" s="226">
        <f t="shared" si="27"/>
        <v>0</v>
      </c>
      <c r="CD30" s="226">
        <f t="shared" si="27"/>
        <v>0</v>
      </c>
      <c r="CE30" s="226">
        <f t="shared" si="27"/>
        <v>0</v>
      </c>
      <c r="CF30" s="226">
        <f t="shared" si="27"/>
        <v>0</v>
      </c>
      <c r="CG30" s="226">
        <f t="shared" si="27"/>
        <v>0</v>
      </c>
      <c r="CH30" s="226">
        <f t="shared" si="27"/>
        <v>0</v>
      </c>
      <c r="CI30" s="226">
        <f t="shared" si="28"/>
        <v>0</v>
      </c>
      <c r="CJ30" s="226">
        <f t="shared" si="28"/>
        <v>0</v>
      </c>
      <c r="CK30" s="226">
        <f t="shared" si="28"/>
        <v>0</v>
      </c>
      <c r="CL30" s="226">
        <f t="shared" si="28"/>
        <v>0</v>
      </c>
      <c r="CM30" s="226">
        <f t="shared" si="28"/>
        <v>0</v>
      </c>
      <c r="CN30" s="226">
        <f t="shared" si="28"/>
        <v>0</v>
      </c>
      <c r="CO30" s="226">
        <f t="shared" si="28"/>
        <v>0</v>
      </c>
      <c r="CP30" s="226">
        <f t="shared" si="28"/>
        <v>0</v>
      </c>
      <c r="CQ30" s="226">
        <f t="shared" si="28"/>
        <v>0</v>
      </c>
      <c r="CR30" s="226">
        <f t="shared" si="28"/>
        <v>0</v>
      </c>
      <c r="CS30" s="226">
        <f t="shared" si="29"/>
        <v>0</v>
      </c>
      <c r="CT30" s="226">
        <f t="shared" si="29"/>
        <v>0</v>
      </c>
      <c r="CU30" s="226">
        <f t="shared" si="29"/>
        <v>0</v>
      </c>
      <c r="CV30" s="226">
        <f t="shared" si="29"/>
        <v>0</v>
      </c>
      <c r="CW30" s="226">
        <f t="shared" si="29"/>
        <v>0</v>
      </c>
      <c r="CX30" s="226">
        <f t="shared" si="29"/>
        <v>0</v>
      </c>
      <c r="CY30" s="226">
        <f t="shared" si="29"/>
        <v>0</v>
      </c>
      <c r="CZ30" s="226">
        <f t="shared" si="29"/>
        <v>0</v>
      </c>
      <c r="DA30" s="226">
        <f t="shared" si="29"/>
        <v>0</v>
      </c>
      <c r="DB30" s="226">
        <f t="shared" si="29"/>
        <v>0</v>
      </c>
      <c r="DC30" s="226">
        <f t="shared" si="30"/>
        <v>0</v>
      </c>
      <c r="DD30" s="226">
        <f t="shared" si="30"/>
        <v>0</v>
      </c>
      <c r="DE30" s="226">
        <f t="shared" si="30"/>
        <v>0</v>
      </c>
      <c r="DF30" s="226">
        <f t="shared" si="30"/>
        <v>0</v>
      </c>
      <c r="DG30" s="226">
        <f t="shared" si="30"/>
        <v>0</v>
      </c>
      <c r="DH30" s="226">
        <f t="shared" si="30"/>
        <v>0</v>
      </c>
      <c r="DI30" s="226">
        <f t="shared" si="30"/>
        <v>0</v>
      </c>
      <c r="DJ30" s="226">
        <f t="shared" si="30"/>
        <v>0</v>
      </c>
      <c r="DK30" s="226">
        <f t="shared" si="30"/>
        <v>0</v>
      </c>
      <c r="DL30" s="226">
        <f t="shared" si="30"/>
        <v>0</v>
      </c>
      <c r="DM30" s="226">
        <f t="shared" si="31"/>
        <v>0</v>
      </c>
      <c r="DN30" s="226">
        <f t="shared" si="31"/>
        <v>0</v>
      </c>
      <c r="DO30" s="226">
        <f t="shared" si="31"/>
        <v>0</v>
      </c>
      <c r="DP30" s="226">
        <f t="shared" si="31"/>
        <v>0</v>
      </c>
      <c r="DQ30" s="226">
        <f t="shared" si="31"/>
        <v>0</v>
      </c>
      <c r="DR30" s="226">
        <f t="shared" si="31"/>
        <v>0</v>
      </c>
      <c r="DS30" s="226">
        <f t="shared" si="31"/>
        <v>0</v>
      </c>
      <c r="DT30" s="226">
        <f t="shared" si="31"/>
        <v>0</v>
      </c>
      <c r="DU30" s="226">
        <f t="shared" si="31"/>
        <v>0</v>
      </c>
      <c r="DV30" s="226">
        <f t="shared" si="31"/>
        <v>0</v>
      </c>
      <c r="DW30" s="226">
        <f t="shared" si="32"/>
        <v>0</v>
      </c>
      <c r="DX30" s="226">
        <f t="shared" si="32"/>
        <v>0</v>
      </c>
      <c r="DY30" s="226">
        <f t="shared" si="32"/>
        <v>0</v>
      </c>
      <c r="DZ30" s="226">
        <f t="shared" si="32"/>
        <v>0</v>
      </c>
      <c r="EA30" s="226">
        <f t="shared" si="32"/>
        <v>0</v>
      </c>
      <c r="EB30" s="226">
        <f t="shared" si="32"/>
        <v>0</v>
      </c>
      <c r="EC30" s="226">
        <f t="shared" si="32"/>
        <v>0</v>
      </c>
      <c r="ED30" s="226">
        <f t="shared" si="32"/>
        <v>0</v>
      </c>
      <c r="EE30" s="226">
        <f t="shared" si="32"/>
        <v>0</v>
      </c>
      <c r="EF30" s="226">
        <f t="shared" si="32"/>
        <v>0</v>
      </c>
      <c r="EG30" s="226">
        <f t="shared" si="33"/>
        <v>0</v>
      </c>
      <c r="EH30" s="226">
        <f t="shared" si="33"/>
        <v>0</v>
      </c>
      <c r="EI30" s="226">
        <f t="shared" si="33"/>
        <v>0</v>
      </c>
      <c r="EJ30" s="226">
        <f t="shared" si="33"/>
        <v>0</v>
      </c>
      <c r="EK30" s="226">
        <f t="shared" si="33"/>
        <v>0</v>
      </c>
      <c r="EL30" s="226">
        <f t="shared" si="33"/>
        <v>0</v>
      </c>
      <c r="EM30" s="226">
        <f t="shared" si="33"/>
        <v>0</v>
      </c>
      <c r="EN30" s="226">
        <f t="shared" si="33"/>
        <v>0</v>
      </c>
      <c r="EO30" s="226">
        <f t="shared" si="33"/>
        <v>0</v>
      </c>
      <c r="EP30" s="226">
        <f t="shared" si="33"/>
        <v>0</v>
      </c>
      <c r="EQ30" s="226">
        <f t="shared" si="34"/>
        <v>0</v>
      </c>
      <c r="ER30" s="226">
        <f t="shared" si="34"/>
        <v>0</v>
      </c>
      <c r="ES30" s="226">
        <f t="shared" si="34"/>
        <v>0</v>
      </c>
      <c r="EU30" s="221">
        <f>I30</f>
        <v>0</v>
      </c>
      <c r="EV30" s="222">
        <f>INDEX($Q$23:$ES$23,1,$D30+1)</f>
        <v>45688</v>
      </c>
      <c r="EW30" s="222">
        <f>INDEX($Q$23:$ES$23,1,$E30+1)</f>
        <v>45688</v>
      </c>
      <c r="EX30" s="221">
        <f>+E30-D30+1</f>
        <v>1</v>
      </c>
      <c r="EY30" s="153" t="str">
        <f>F30</f>
        <v>Straight-Line</v>
      </c>
      <c r="EZ30" s="223">
        <f>EX30/Scurve_Dist</f>
        <v>0.16666666666666666</v>
      </c>
      <c r="FA30" s="221">
        <f>AND($EY30="S-Curve",FA$23&gt;=$EV30,FA$23&lt;=$EW30)*(_xlfn.NORM.DIST((YEAR(FA$23)-YEAR($EV30))*12+MONTH(FA$23)-MONTH($EV30)+1,$EX30/2,$EZ30,TRUE)-_xlfn.NORM.DIST((YEAR(FA$23)-YEAR($EV30))*12+MONTH(FA$23)-MONTH($EV30),$EX30/2,$EZ30,TRUE))/(1-2*_xlfn.NORM.DIST(0,$EX30/2,$EZ30,TRUE))*$EU30</f>
        <v>0</v>
      </c>
      <c r="FB30" s="221">
        <f t="shared" si="38"/>
        <v>0</v>
      </c>
      <c r="FC30" s="221">
        <f t="shared" si="38"/>
        <v>0</v>
      </c>
      <c r="FD30" s="221">
        <f t="shared" si="38"/>
        <v>0</v>
      </c>
      <c r="FE30" s="221">
        <f t="shared" si="38"/>
        <v>0</v>
      </c>
      <c r="FF30" s="221">
        <f t="shared" si="38"/>
        <v>0</v>
      </c>
      <c r="FG30" s="221">
        <f t="shared" si="38"/>
        <v>0</v>
      </c>
      <c r="FH30" s="221">
        <f t="shared" si="38"/>
        <v>0</v>
      </c>
      <c r="FI30" s="221">
        <f t="shared" si="38"/>
        <v>0</v>
      </c>
      <c r="FJ30" s="221">
        <f t="shared" si="38"/>
        <v>0</v>
      </c>
      <c r="FK30" s="221">
        <f t="shared" si="38"/>
        <v>0</v>
      </c>
      <c r="FL30" s="221">
        <f t="shared" si="38"/>
        <v>0</v>
      </c>
      <c r="FM30" s="221">
        <f t="shared" si="38"/>
        <v>0</v>
      </c>
      <c r="FN30" s="221">
        <f t="shared" si="38"/>
        <v>0</v>
      </c>
      <c r="FO30" s="221">
        <f t="shared" si="38"/>
        <v>0</v>
      </c>
      <c r="FP30" s="221">
        <f t="shared" si="38"/>
        <v>0</v>
      </c>
      <c r="FQ30" s="221">
        <f t="shared" si="38"/>
        <v>0</v>
      </c>
      <c r="FR30" s="221">
        <f t="shared" si="38"/>
        <v>0</v>
      </c>
      <c r="FS30" s="221">
        <f t="shared" si="38"/>
        <v>0</v>
      </c>
      <c r="FT30" s="221">
        <f t="shared" si="38"/>
        <v>0</v>
      </c>
      <c r="FU30" s="221">
        <f t="shared" si="38"/>
        <v>0</v>
      </c>
      <c r="FV30" s="221">
        <f t="shared" si="38"/>
        <v>0</v>
      </c>
      <c r="FW30" s="221">
        <f t="shared" si="38"/>
        <v>0</v>
      </c>
      <c r="FX30" s="221">
        <f t="shared" si="38"/>
        <v>0</v>
      </c>
      <c r="FY30" s="221">
        <f t="shared" si="38"/>
        <v>0</v>
      </c>
      <c r="FZ30" s="221">
        <f t="shared" si="38"/>
        <v>0</v>
      </c>
      <c r="GA30" s="221">
        <f t="shared" si="38"/>
        <v>0</v>
      </c>
      <c r="GB30" s="221">
        <f t="shared" si="38"/>
        <v>0</v>
      </c>
      <c r="GC30" s="221">
        <f t="shared" si="38"/>
        <v>0</v>
      </c>
      <c r="GD30" s="221">
        <f t="shared" si="38"/>
        <v>0</v>
      </c>
      <c r="GE30" s="221">
        <f t="shared" si="38"/>
        <v>0</v>
      </c>
      <c r="GF30" s="221">
        <f t="shared" si="38"/>
        <v>0</v>
      </c>
      <c r="GG30" s="221">
        <f t="shared" si="38"/>
        <v>0</v>
      </c>
      <c r="GH30" s="221">
        <f t="shared" si="38"/>
        <v>0</v>
      </c>
      <c r="GI30" s="221">
        <f t="shared" si="38"/>
        <v>0</v>
      </c>
      <c r="GJ30" s="221">
        <f t="shared" si="38"/>
        <v>0</v>
      </c>
      <c r="GK30" s="221">
        <f t="shared" si="38"/>
        <v>0</v>
      </c>
      <c r="GL30" s="221">
        <f t="shared" si="38"/>
        <v>0</v>
      </c>
      <c r="GM30" s="221">
        <f t="shared" si="38"/>
        <v>0</v>
      </c>
      <c r="GN30" s="221">
        <f t="shared" si="38"/>
        <v>0</v>
      </c>
      <c r="GO30" s="221">
        <f t="shared" si="38"/>
        <v>0</v>
      </c>
      <c r="GP30" s="221">
        <f t="shared" si="38"/>
        <v>0</v>
      </c>
      <c r="GQ30" s="221">
        <f t="shared" si="38"/>
        <v>0</v>
      </c>
      <c r="GR30" s="221">
        <f t="shared" si="38"/>
        <v>0</v>
      </c>
      <c r="GS30" s="221">
        <f t="shared" si="38"/>
        <v>0</v>
      </c>
      <c r="GT30" s="221">
        <f t="shared" si="38"/>
        <v>0</v>
      </c>
      <c r="GU30" s="221">
        <f t="shared" si="38"/>
        <v>0</v>
      </c>
      <c r="GV30" s="221">
        <f t="shared" si="38"/>
        <v>0</v>
      </c>
      <c r="GW30" s="221">
        <f t="shared" si="38"/>
        <v>0</v>
      </c>
      <c r="GX30" s="221">
        <f t="shared" si="38"/>
        <v>0</v>
      </c>
      <c r="GY30" s="221">
        <f t="shared" si="38"/>
        <v>0</v>
      </c>
      <c r="GZ30" s="221">
        <f t="shared" si="38"/>
        <v>0</v>
      </c>
      <c r="HA30" s="221">
        <f t="shared" si="38"/>
        <v>0</v>
      </c>
      <c r="HB30" s="221">
        <f t="shared" si="38"/>
        <v>0</v>
      </c>
      <c r="HC30" s="221">
        <f t="shared" si="38"/>
        <v>0</v>
      </c>
      <c r="HD30" s="221">
        <f t="shared" si="38"/>
        <v>0</v>
      </c>
      <c r="HE30" s="221">
        <f t="shared" si="38"/>
        <v>0</v>
      </c>
      <c r="HF30" s="221">
        <f t="shared" si="38"/>
        <v>0</v>
      </c>
      <c r="HG30" s="221">
        <f t="shared" si="38"/>
        <v>0</v>
      </c>
      <c r="HH30" s="221">
        <f t="shared" si="38"/>
        <v>0</v>
      </c>
      <c r="HI30" s="221">
        <f t="shared" si="38"/>
        <v>0</v>
      </c>
      <c r="HJ30" s="221">
        <f t="shared" si="38"/>
        <v>0</v>
      </c>
      <c r="HK30" s="221">
        <f t="shared" si="38"/>
        <v>0</v>
      </c>
      <c r="HL30" s="221">
        <f t="shared" si="38"/>
        <v>0</v>
      </c>
      <c r="HM30" s="221">
        <f t="shared" si="38"/>
        <v>0</v>
      </c>
      <c r="HN30" s="221">
        <f t="shared" si="39"/>
        <v>0</v>
      </c>
      <c r="HO30" s="221">
        <f t="shared" si="39"/>
        <v>0</v>
      </c>
      <c r="HP30" s="221">
        <f t="shared" si="39"/>
        <v>0</v>
      </c>
      <c r="HQ30" s="221">
        <f t="shared" si="39"/>
        <v>0</v>
      </c>
      <c r="HR30" s="221">
        <f t="shared" si="39"/>
        <v>0</v>
      </c>
      <c r="HS30" s="221">
        <f t="shared" si="39"/>
        <v>0</v>
      </c>
      <c r="HT30" s="221">
        <f t="shared" si="39"/>
        <v>0</v>
      </c>
      <c r="HU30" s="221">
        <f t="shared" si="39"/>
        <v>0</v>
      </c>
      <c r="HV30" s="221">
        <f t="shared" si="39"/>
        <v>0</v>
      </c>
      <c r="HW30" s="221">
        <f t="shared" si="39"/>
        <v>0</v>
      </c>
      <c r="HX30" s="221">
        <f t="shared" si="39"/>
        <v>0</v>
      </c>
      <c r="HY30" s="221">
        <f t="shared" si="39"/>
        <v>0</v>
      </c>
      <c r="HZ30" s="221">
        <f t="shared" si="39"/>
        <v>0</v>
      </c>
      <c r="IA30" s="221">
        <f t="shared" si="39"/>
        <v>0</v>
      </c>
      <c r="IB30" s="221">
        <f t="shared" si="39"/>
        <v>0</v>
      </c>
      <c r="IC30" s="221">
        <f t="shared" si="39"/>
        <v>0</v>
      </c>
      <c r="ID30" s="221">
        <f t="shared" si="39"/>
        <v>0</v>
      </c>
      <c r="IE30" s="221">
        <f t="shared" si="39"/>
        <v>0</v>
      </c>
      <c r="IF30" s="221">
        <f t="shared" si="39"/>
        <v>0</v>
      </c>
      <c r="IG30" s="221">
        <f t="shared" si="39"/>
        <v>0</v>
      </c>
      <c r="IH30" s="221">
        <f t="shared" si="39"/>
        <v>0</v>
      </c>
      <c r="II30" s="221">
        <f t="shared" si="39"/>
        <v>0</v>
      </c>
      <c r="IJ30" s="221">
        <f t="shared" si="39"/>
        <v>0</v>
      </c>
      <c r="IK30" s="221">
        <f t="shared" si="39"/>
        <v>0</v>
      </c>
      <c r="IL30" s="221">
        <f t="shared" si="39"/>
        <v>0</v>
      </c>
      <c r="IM30" s="221">
        <f t="shared" si="39"/>
        <v>0</v>
      </c>
      <c r="IN30" s="221">
        <f t="shared" si="39"/>
        <v>0</v>
      </c>
      <c r="IO30" s="221">
        <f t="shared" si="39"/>
        <v>0</v>
      </c>
      <c r="IP30" s="221">
        <f t="shared" si="39"/>
        <v>0</v>
      </c>
      <c r="IQ30" s="221">
        <f t="shared" si="39"/>
        <v>0</v>
      </c>
      <c r="IR30" s="221">
        <f t="shared" si="39"/>
        <v>0</v>
      </c>
      <c r="IS30" s="221">
        <f t="shared" si="39"/>
        <v>0</v>
      </c>
      <c r="IT30" s="221">
        <f t="shared" si="39"/>
        <v>0</v>
      </c>
      <c r="IU30" s="221">
        <f t="shared" si="39"/>
        <v>0</v>
      </c>
      <c r="IV30" s="221">
        <f t="shared" si="39"/>
        <v>0</v>
      </c>
      <c r="IW30" s="221">
        <f t="shared" si="39"/>
        <v>0</v>
      </c>
      <c r="IX30" s="221">
        <f t="shared" si="39"/>
        <v>0</v>
      </c>
      <c r="IY30" s="221">
        <f t="shared" si="39"/>
        <v>0</v>
      </c>
      <c r="IZ30" s="221">
        <f t="shared" si="39"/>
        <v>0</v>
      </c>
      <c r="JA30" s="221">
        <f t="shared" si="39"/>
        <v>0</v>
      </c>
      <c r="JB30" s="221">
        <f t="shared" si="39"/>
        <v>0</v>
      </c>
      <c r="JC30" s="221">
        <f t="shared" si="39"/>
        <v>0</v>
      </c>
      <c r="JD30" s="221">
        <f t="shared" si="39"/>
        <v>0</v>
      </c>
      <c r="JE30" s="221">
        <f t="shared" si="39"/>
        <v>0</v>
      </c>
      <c r="JF30" s="221">
        <f t="shared" si="39"/>
        <v>0</v>
      </c>
      <c r="JG30" s="221">
        <f t="shared" si="39"/>
        <v>0</v>
      </c>
      <c r="JH30" s="221">
        <f t="shared" si="39"/>
        <v>0</v>
      </c>
      <c r="JI30" s="221">
        <f t="shared" si="39"/>
        <v>0</v>
      </c>
      <c r="JJ30" s="221">
        <f t="shared" si="39"/>
        <v>0</v>
      </c>
      <c r="JK30" s="221">
        <f t="shared" si="39"/>
        <v>0</v>
      </c>
      <c r="JL30" s="221">
        <f t="shared" si="39"/>
        <v>0</v>
      </c>
      <c r="JM30" s="221">
        <f t="shared" si="39"/>
        <v>0</v>
      </c>
      <c r="JN30" s="221">
        <f t="shared" si="39"/>
        <v>0</v>
      </c>
      <c r="JO30" s="221">
        <f t="shared" si="39"/>
        <v>0</v>
      </c>
      <c r="JP30" s="221">
        <f t="shared" si="39"/>
        <v>0</v>
      </c>
      <c r="JQ30" s="221">
        <f t="shared" si="39"/>
        <v>0</v>
      </c>
      <c r="JR30" s="221">
        <f t="shared" si="39"/>
        <v>0</v>
      </c>
      <c r="JS30" s="221">
        <f t="shared" si="39"/>
        <v>0</v>
      </c>
      <c r="JT30" s="221">
        <f t="shared" si="39"/>
        <v>0</v>
      </c>
      <c r="JU30" s="221">
        <f t="shared" si="39"/>
        <v>0</v>
      </c>
      <c r="JV30" s="221">
        <f t="shared" si="39"/>
        <v>0</v>
      </c>
      <c r="JW30" s="221">
        <f t="shared" si="39"/>
        <v>0</v>
      </c>
      <c r="JX30" s="221">
        <f t="shared" si="39"/>
        <v>0</v>
      </c>
      <c r="JY30" s="221">
        <f t="shared" si="39"/>
        <v>0</v>
      </c>
      <c r="JZ30" s="221">
        <f t="shared" si="37"/>
        <v>0</v>
      </c>
      <c r="KA30" s="221">
        <f t="shared" si="37"/>
        <v>0</v>
      </c>
      <c r="KB30" s="221">
        <f t="shared" si="37"/>
        <v>0</v>
      </c>
      <c r="KC30" s="221">
        <f t="shared" si="37"/>
        <v>0</v>
      </c>
    </row>
    <row r="31" spans="2:289" x14ac:dyDescent="0.25">
      <c r="B31" s="227" t="s">
        <v>32</v>
      </c>
      <c r="C31" s="196"/>
      <c r="D31" s="228">
        <f>MIN(D26:D30)</f>
        <v>0</v>
      </c>
      <c r="E31" s="228">
        <f>MAX(E26:E30)</f>
        <v>0</v>
      </c>
      <c r="F31" s="216"/>
      <c r="G31" s="217">
        <f>SUM(G26:G30)</f>
        <v>30.682376043200787</v>
      </c>
      <c r="H31" s="218">
        <f>SUM(H26:H30)</f>
        <v>31250</v>
      </c>
      <c r="I31" s="229">
        <f>SUM(I26:I30)</f>
        <v>500000</v>
      </c>
      <c r="P31" s="152" t="str">
        <f t="shared" si="20"/>
        <v/>
      </c>
      <c r="Q31" s="220">
        <f t="shared" ref="Q31:AV31" si="174">SUM(Q26:Q30)</f>
        <v>500000</v>
      </c>
      <c r="R31" s="220">
        <f t="shared" si="174"/>
        <v>0</v>
      </c>
      <c r="S31" s="220">
        <f t="shared" si="174"/>
        <v>0</v>
      </c>
      <c r="T31" s="220">
        <f t="shared" si="174"/>
        <v>0</v>
      </c>
      <c r="U31" s="220">
        <f t="shared" si="174"/>
        <v>0</v>
      </c>
      <c r="V31" s="220">
        <f t="shared" si="174"/>
        <v>0</v>
      </c>
      <c r="W31" s="220">
        <f t="shared" si="174"/>
        <v>0</v>
      </c>
      <c r="X31" s="220">
        <f t="shared" si="174"/>
        <v>0</v>
      </c>
      <c r="Y31" s="220">
        <f t="shared" si="174"/>
        <v>0</v>
      </c>
      <c r="Z31" s="220">
        <f t="shared" si="174"/>
        <v>0</v>
      </c>
      <c r="AA31" s="220">
        <f t="shared" si="174"/>
        <v>0</v>
      </c>
      <c r="AB31" s="220">
        <f t="shared" si="174"/>
        <v>0</v>
      </c>
      <c r="AC31" s="220">
        <f t="shared" si="174"/>
        <v>0</v>
      </c>
      <c r="AD31" s="220">
        <f t="shared" si="174"/>
        <v>0</v>
      </c>
      <c r="AE31" s="220">
        <f t="shared" si="174"/>
        <v>0</v>
      </c>
      <c r="AF31" s="220">
        <f t="shared" si="174"/>
        <v>0</v>
      </c>
      <c r="AG31" s="220">
        <f t="shared" si="174"/>
        <v>0</v>
      </c>
      <c r="AH31" s="220">
        <f t="shared" si="174"/>
        <v>0</v>
      </c>
      <c r="AI31" s="220">
        <f t="shared" si="174"/>
        <v>0</v>
      </c>
      <c r="AJ31" s="220">
        <f t="shared" si="174"/>
        <v>0</v>
      </c>
      <c r="AK31" s="220">
        <f t="shared" si="174"/>
        <v>0</v>
      </c>
      <c r="AL31" s="220">
        <f t="shared" si="174"/>
        <v>0</v>
      </c>
      <c r="AM31" s="220">
        <f t="shared" si="174"/>
        <v>0</v>
      </c>
      <c r="AN31" s="220">
        <f t="shared" si="174"/>
        <v>0</v>
      </c>
      <c r="AO31" s="220">
        <f t="shared" si="174"/>
        <v>0</v>
      </c>
      <c r="AP31" s="220">
        <f t="shared" si="174"/>
        <v>0</v>
      </c>
      <c r="AQ31" s="220">
        <f t="shared" si="174"/>
        <v>0</v>
      </c>
      <c r="AR31" s="220">
        <f t="shared" si="174"/>
        <v>0</v>
      </c>
      <c r="AS31" s="220">
        <f t="shared" si="174"/>
        <v>0</v>
      </c>
      <c r="AT31" s="220">
        <f t="shared" si="174"/>
        <v>0</v>
      </c>
      <c r="AU31" s="220">
        <f t="shared" si="174"/>
        <v>0</v>
      </c>
      <c r="AV31" s="220">
        <f t="shared" si="174"/>
        <v>0</v>
      </c>
      <c r="AW31" s="220">
        <f t="shared" ref="AW31:CB31" si="175">SUM(AW26:AW30)</f>
        <v>0</v>
      </c>
      <c r="AX31" s="220">
        <f t="shared" si="175"/>
        <v>0</v>
      </c>
      <c r="AY31" s="220">
        <f t="shared" si="175"/>
        <v>0</v>
      </c>
      <c r="AZ31" s="220">
        <f t="shared" si="175"/>
        <v>0</v>
      </c>
      <c r="BA31" s="220">
        <f t="shared" si="175"/>
        <v>0</v>
      </c>
      <c r="BB31" s="220">
        <f t="shared" si="175"/>
        <v>0</v>
      </c>
      <c r="BC31" s="220">
        <f t="shared" si="175"/>
        <v>0</v>
      </c>
      <c r="BD31" s="220">
        <f t="shared" si="175"/>
        <v>0</v>
      </c>
      <c r="BE31" s="220">
        <f t="shared" si="175"/>
        <v>0</v>
      </c>
      <c r="BF31" s="220">
        <f t="shared" si="175"/>
        <v>0</v>
      </c>
      <c r="BG31" s="220">
        <f t="shared" si="175"/>
        <v>0</v>
      </c>
      <c r="BH31" s="220">
        <f t="shared" si="175"/>
        <v>0</v>
      </c>
      <c r="BI31" s="220">
        <f t="shared" si="175"/>
        <v>0</v>
      </c>
      <c r="BJ31" s="220">
        <f t="shared" si="175"/>
        <v>0</v>
      </c>
      <c r="BK31" s="220">
        <f t="shared" si="175"/>
        <v>0</v>
      </c>
      <c r="BL31" s="220">
        <f t="shared" si="175"/>
        <v>0</v>
      </c>
      <c r="BM31" s="220">
        <f t="shared" si="175"/>
        <v>0</v>
      </c>
      <c r="BN31" s="220">
        <f t="shared" si="175"/>
        <v>0</v>
      </c>
      <c r="BO31" s="220">
        <f t="shared" si="175"/>
        <v>0</v>
      </c>
      <c r="BP31" s="220">
        <f t="shared" si="175"/>
        <v>0</v>
      </c>
      <c r="BQ31" s="220">
        <f t="shared" si="175"/>
        <v>0</v>
      </c>
      <c r="BR31" s="220">
        <f t="shared" si="175"/>
        <v>0</v>
      </c>
      <c r="BS31" s="220">
        <f t="shared" si="175"/>
        <v>0</v>
      </c>
      <c r="BT31" s="220">
        <f t="shared" si="175"/>
        <v>0</v>
      </c>
      <c r="BU31" s="220">
        <f t="shared" si="175"/>
        <v>0</v>
      </c>
      <c r="BV31" s="220">
        <f t="shared" si="175"/>
        <v>0</v>
      </c>
      <c r="BW31" s="220">
        <f t="shared" si="175"/>
        <v>0</v>
      </c>
      <c r="BX31" s="220">
        <f t="shared" si="175"/>
        <v>0</v>
      </c>
      <c r="BY31" s="220">
        <f t="shared" si="175"/>
        <v>0</v>
      </c>
      <c r="BZ31" s="220">
        <f t="shared" si="175"/>
        <v>0</v>
      </c>
      <c r="CA31" s="220">
        <f t="shared" si="175"/>
        <v>0</v>
      </c>
      <c r="CB31" s="220">
        <f t="shared" si="175"/>
        <v>0</v>
      </c>
      <c r="CC31" s="220">
        <f t="shared" ref="CC31:DH31" si="176">SUM(CC26:CC30)</f>
        <v>0</v>
      </c>
      <c r="CD31" s="220">
        <f t="shared" si="176"/>
        <v>0</v>
      </c>
      <c r="CE31" s="220">
        <f t="shared" si="176"/>
        <v>0</v>
      </c>
      <c r="CF31" s="220">
        <f t="shared" si="176"/>
        <v>0</v>
      </c>
      <c r="CG31" s="220">
        <f t="shared" si="176"/>
        <v>0</v>
      </c>
      <c r="CH31" s="220">
        <f t="shared" si="176"/>
        <v>0</v>
      </c>
      <c r="CI31" s="220">
        <f t="shared" si="176"/>
        <v>0</v>
      </c>
      <c r="CJ31" s="220">
        <f t="shared" si="176"/>
        <v>0</v>
      </c>
      <c r="CK31" s="220">
        <f t="shared" si="176"/>
        <v>0</v>
      </c>
      <c r="CL31" s="220">
        <f t="shared" si="176"/>
        <v>0</v>
      </c>
      <c r="CM31" s="220">
        <f t="shared" si="176"/>
        <v>0</v>
      </c>
      <c r="CN31" s="220">
        <f t="shared" si="176"/>
        <v>0</v>
      </c>
      <c r="CO31" s="220">
        <f t="shared" si="176"/>
        <v>0</v>
      </c>
      <c r="CP31" s="220">
        <f t="shared" si="176"/>
        <v>0</v>
      </c>
      <c r="CQ31" s="220">
        <f t="shared" si="176"/>
        <v>0</v>
      </c>
      <c r="CR31" s="220">
        <f t="shared" si="176"/>
        <v>0</v>
      </c>
      <c r="CS31" s="220">
        <f t="shared" si="176"/>
        <v>0</v>
      </c>
      <c r="CT31" s="220">
        <f t="shared" si="176"/>
        <v>0</v>
      </c>
      <c r="CU31" s="220">
        <f t="shared" si="176"/>
        <v>0</v>
      </c>
      <c r="CV31" s="220">
        <f t="shared" si="176"/>
        <v>0</v>
      </c>
      <c r="CW31" s="220">
        <f t="shared" si="176"/>
        <v>0</v>
      </c>
      <c r="CX31" s="220">
        <f t="shared" si="176"/>
        <v>0</v>
      </c>
      <c r="CY31" s="220">
        <f t="shared" si="176"/>
        <v>0</v>
      </c>
      <c r="CZ31" s="220">
        <f t="shared" si="176"/>
        <v>0</v>
      </c>
      <c r="DA31" s="220">
        <f t="shared" si="176"/>
        <v>0</v>
      </c>
      <c r="DB31" s="220">
        <f t="shared" si="176"/>
        <v>0</v>
      </c>
      <c r="DC31" s="220">
        <f t="shared" si="176"/>
        <v>0</v>
      </c>
      <c r="DD31" s="220">
        <f t="shared" si="176"/>
        <v>0</v>
      </c>
      <c r="DE31" s="220">
        <f t="shared" si="176"/>
        <v>0</v>
      </c>
      <c r="DF31" s="220">
        <f t="shared" si="176"/>
        <v>0</v>
      </c>
      <c r="DG31" s="220">
        <f t="shared" si="176"/>
        <v>0</v>
      </c>
      <c r="DH31" s="220">
        <f t="shared" si="176"/>
        <v>0</v>
      </c>
      <c r="DI31" s="220">
        <f t="shared" ref="DI31:EN31" si="177">SUM(DI26:DI30)</f>
        <v>0</v>
      </c>
      <c r="DJ31" s="220">
        <f t="shared" si="177"/>
        <v>0</v>
      </c>
      <c r="DK31" s="220">
        <f t="shared" si="177"/>
        <v>0</v>
      </c>
      <c r="DL31" s="220">
        <f t="shared" si="177"/>
        <v>0</v>
      </c>
      <c r="DM31" s="220">
        <f t="shared" si="177"/>
        <v>0</v>
      </c>
      <c r="DN31" s="220">
        <f t="shared" si="177"/>
        <v>0</v>
      </c>
      <c r="DO31" s="220">
        <f t="shared" si="177"/>
        <v>0</v>
      </c>
      <c r="DP31" s="220">
        <f t="shared" si="177"/>
        <v>0</v>
      </c>
      <c r="DQ31" s="220">
        <f t="shared" si="177"/>
        <v>0</v>
      </c>
      <c r="DR31" s="220">
        <f t="shared" si="177"/>
        <v>0</v>
      </c>
      <c r="DS31" s="220">
        <f t="shared" si="177"/>
        <v>0</v>
      </c>
      <c r="DT31" s="220">
        <f t="shared" si="177"/>
        <v>0</v>
      </c>
      <c r="DU31" s="220">
        <f t="shared" si="177"/>
        <v>0</v>
      </c>
      <c r="DV31" s="220">
        <f t="shared" si="177"/>
        <v>0</v>
      </c>
      <c r="DW31" s="220">
        <f t="shared" si="177"/>
        <v>0</v>
      </c>
      <c r="DX31" s="220">
        <f t="shared" si="177"/>
        <v>0</v>
      </c>
      <c r="DY31" s="220">
        <f t="shared" si="177"/>
        <v>0</v>
      </c>
      <c r="DZ31" s="220">
        <f t="shared" si="177"/>
        <v>0</v>
      </c>
      <c r="EA31" s="220">
        <f t="shared" si="177"/>
        <v>0</v>
      </c>
      <c r="EB31" s="220">
        <f t="shared" si="177"/>
        <v>0</v>
      </c>
      <c r="EC31" s="220">
        <f t="shared" si="177"/>
        <v>0</v>
      </c>
      <c r="ED31" s="220">
        <f t="shared" si="177"/>
        <v>0</v>
      </c>
      <c r="EE31" s="220">
        <f t="shared" si="177"/>
        <v>0</v>
      </c>
      <c r="EF31" s="220">
        <f t="shared" si="177"/>
        <v>0</v>
      </c>
      <c r="EG31" s="220">
        <f t="shared" si="177"/>
        <v>0</v>
      </c>
      <c r="EH31" s="220">
        <f t="shared" si="177"/>
        <v>0</v>
      </c>
      <c r="EI31" s="220">
        <f t="shared" si="177"/>
        <v>0</v>
      </c>
      <c r="EJ31" s="220">
        <f t="shared" si="177"/>
        <v>0</v>
      </c>
      <c r="EK31" s="220">
        <f t="shared" si="177"/>
        <v>0</v>
      </c>
      <c r="EL31" s="220">
        <f t="shared" si="177"/>
        <v>0</v>
      </c>
      <c r="EM31" s="220">
        <f t="shared" si="177"/>
        <v>0</v>
      </c>
      <c r="EN31" s="220">
        <f t="shared" si="177"/>
        <v>0</v>
      </c>
      <c r="EO31" s="220">
        <f>SUM(EO26:EO30)</f>
        <v>0</v>
      </c>
      <c r="EP31" s="220">
        <f>SUM(EP26:EP30)</f>
        <v>0</v>
      </c>
      <c r="EQ31" s="220">
        <f>SUM(EQ26:EQ30)</f>
        <v>0</v>
      </c>
      <c r="ER31" s="220">
        <f>SUM(ER26:ER30)</f>
        <v>0</v>
      </c>
      <c r="ES31" s="220">
        <f>SUM(ES26:ES30)</f>
        <v>0</v>
      </c>
      <c r="EU31" s="154"/>
      <c r="EV31" s="154" t="s">
        <v>193</v>
      </c>
      <c r="EW31" s="230">
        <f>COUNTA($B$26:$B$30)</f>
        <v>5</v>
      </c>
      <c r="EX31" s="153"/>
      <c r="EY31" s="153"/>
      <c r="EZ31" s="223"/>
      <c r="FA31" s="153"/>
      <c r="FB31" s="153"/>
      <c r="FC31" s="153"/>
      <c r="FD31" s="153"/>
      <c r="FE31" s="153"/>
      <c r="FF31" s="153"/>
      <c r="FG31" s="153"/>
      <c r="FH31" s="153"/>
      <c r="FI31" s="153"/>
      <c r="FJ31" s="153"/>
      <c r="FK31" s="153"/>
      <c r="FL31" s="153"/>
      <c r="FM31" s="153"/>
      <c r="FN31" s="153"/>
      <c r="FO31" s="153"/>
      <c r="FP31" s="153"/>
      <c r="FQ31" s="153"/>
      <c r="FR31" s="153"/>
      <c r="FS31" s="153"/>
      <c r="FT31" s="153"/>
      <c r="FU31" s="153"/>
      <c r="FV31" s="153"/>
      <c r="FW31" s="153"/>
      <c r="FX31" s="153"/>
      <c r="FY31" s="153"/>
      <c r="FZ31" s="153"/>
      <c r="GA31" s="153"/>
      <c r="GB31" s="153"/>
      <c r="GC31" s="153"/>
      <c r="GD31" s="153"/>
      <c r="GE31" s="153"/>
      <c r="GF31" s="153"/>
      <c r="GG31" s="153"/>
      <c r="GH31" s="153"/>
      <c r="GI31" s="153"/>
      <c r="GJ31" s="153"/>
      <c r="GK31" s="153"/>
      <c r="GL31" s="153"/>
      <c r="GM31" s="153"/>
      <c r="GN31" s="153"/>
      <c r="GO31" s="153"/>
      <c r="GP31" s="153"/>
      <c r="GQ31" s="153"/>
      <c r="GR31" s="153"/>
      <c r="GS31" s="153"/>
      <c r="GT31" s="153"/>
      <c r="GU31" s="153"/>
      <c r="GV31" s="153"/>
      <c r="GW31" s="153"/>
      <c r="GX31" s="153"/>
      <c r="GY31" s="153"/>
      <c r="GZ31" s="153"/>
      <c r="HA31" s="153"/>
      <c r="HB31" s="153"/>
      <c r="HC31" s="153"/>
      <c r="HD31" s="153"/>
      <c r="HE31" s="153"/>
      <c r="HF31" s="153"/>
      <c r="HG31" s="153"/>
      <c r="HH31" s="153"/>
      <c r="HI31" s="153"/>
      <c r="HJ31" s="153"/>
      <c r="HK31" s="153"/>
      <c r="HL31" s="153"/>
      <c r="HM31" s="153"/>
      <c r="HN31" s="153"/>
      <c r="HO31" s="153"/>
      <c r="HP31" s="153"/>
      <c r="HQ31" s="153"/>
      <c r="HR31" s="153"/>
      <c r="HS31" s="153"/>
      <c r="HT31" s="153"/>
      <c r="HU31" s="153"/>
      <c r="HV31" s="153"/>
      <c r="HW31" s="153"/>
      <c r="HX31" s="153"/>
      <c r="HY31" s="153"/>
      <c r="HZ31" s="153"/>
      <c r="IA31" s="153"/>
      <c r="IB31" s="153"/>
      <c r="IC31" s="153"/>
      <c r="ID31" s="153"/>
      <c r="IE31" s="153"/>
      <c r="IF31" s="153"/>
      <c r="IG31" s="153"/>
      <c r="IH31" s="153"/>
      <c r="II31" s="153"/>
      <c r="IJ31" s="153"/>
      <c r="IK31" s="153"/>
      <c r="IL31" s="153"/>
      <c r="IM31" s="153"/>
      <c r="IN31" s="153"/>
      <c r="IO31" s="153"/>
      <c r="IP31" s="153"/>
      <c r="IQ31" s="153"/>
      <c r="IR31" s="153"/>
      <c r="IS31" s="153"/>
      <c r="IT31" s="153"/>
      <c r="IU31" s="153"/>
      <c r="IV31" s="153"/>
      <c r="IW31" s="153"/>
      <c r="IX31" s="153"/>
      <c r="IY31" s="153"/>
      <c r="IZ31" s="153"/>
      <c r="JA31" s="153"/>
      <c r="JB31" s="153"/>
      <c r="JC31" s="153"/>
      <c r="JD31" s="153"/>
      <c r="JE31" s="153"/>
      <c r="JF31" s="153"/>
      <c r="JG31" s="153"/>
      <c r="JH31" s="153"/>
      <c r="JI31" s="153"/>
      <c r="JJ31" s="153"/>
      <c r="JK31" s="153"/>
      <c r="JL31" s="153"/>
      <c r="JM31" s="153"/>
      <c r="JN31" s="153"/>
      <c r="JO31" s="153"/>
      <c r="JP31" s="153"/>
      <c r="JQ31" s="153"/>
      <c r="JR31" s="153"/>
      <c r="JS31" s="153"/>
      <c r="JT31" s="153"/>
      <c r="JU31" s="153"/>
      <c r="JV31" s="153"/>
      <c r="JW31" s="153"/>
      <c r="JX31" s="153"/>
      <c r="JY31" s="153"/>
      <c r="JZ31" s="153"/>
      <c r="KA31" s="153"/>
      <c r="KB31" s="153"/>
      <c r="KC31" s="153"/>
    </row>
    <row r="32" spans="2:289" ht="4.9000000000000004" customHeight="1" x14ac:dyDescent="0.25">
      <c r="B32" s="231"/>
      <c r="C32" s="196"/>
      <c r="D32" s="215"/>
      <c r="E32" s="215"/>
      <c r="F32" s="216"/>
      <c r="G32" s="217"/>
      <c r="H32" s="188"/>
      <c r="I32" s="232"/>
      <c r="EU32" s="153"/>
      <c r="EV32" s="153"/>
      <c r="EW32" s="153"/>
      <c r="EX32" s="153"/>
      <c r="EY32" s="153"/>
      <c r="EZ32" s="223"/>
      <c r="FA32" s="153"/>
      <c r="FB32" s="153"/>
      <c r="FC32" s="153"/>
      <c r="FD32" s="153"/>
      <c r="FE32" s="153"/>
      <c r="FF32" s="153"/>
      <c r="FG32" s="153"/>
      <c r="FH32" s="153"/>
      <c r="FI32" s="153"/>
      <c r="FJ32" s="153"/>
      <c r="FK32" s="153"/>
      <c r="FL32" s="153"/>
      <c r="FM32" s="153"/>
      <c r="FN32" s="153"/>
      <c r="FO32" s="153"/>
      <c r="FP32" s="153"/>
      <c r="FQ32" s="153"/>
      <c r="FR32" s="153"/>
      <c r="FS32" s="153"/>
      <c r="FT32" s="153"/>
      <c r="FU32" s="153"/>
      <c r="FV32" s="153"/>
      <c r="FW32" s="153"/>
      <c r="FX32" s="153"/>
      <c r="FY32" s="153"/>
      <c r="FZ32" s="153"/>
      <c r="GA32" s="153"/>
      <c r="GB32" s="153"/>
      <c r="GC32" s="153"/>
      <c r="GD32" s="153"/>
      <c r="GE32" s="153"/>
      <c r="GF32" s="153"/>
      <c r="GG32" s="153"/>
      <c r="GH32" s="153"/>
      <c r="GI32" s="153"/>
      <c r="GJ32" s="153"/>
      <c r="GK32" s="153"/>
      <c r="GL32" s="153"/>
      <c r="GM32" s="153"/>
      <c r="GN32" s="153"/>
      <c r="GO32" s="153"/>
      <c r="GP32" s="153"/>
      <c r="GQ32" s="153"/>
      <c r="GR32" s="153"/>
      <c r="GS32" s="153"/>
      <c r="GT32" s="153"/>
      <c r="GU32" s="153"/>
      <c r="GV32" s="153"/>
      <c r="GW32" s="153"/>
      <c r="GX32" s="153"/>
      <c r="GY32" s="153"/>
      <c r="GZ32" s="153"/>
      <c r="HA32" s="153"/>
      <c r="HB32" s="153"/>
      <c r="HC32" s="153"/>
      <c r="HD32" s="153"/>
      <c r="HE32" s="153"/>
      <c r="HF32" s="153"/>
      <c r="HG32" s="153"/>
      <c r="HH32" s="153"/>
      <c r="HI32" s="153"/>
      <c r="HJ32" s="153"/>
      <c r="HK32" s="153"/>
      <c r="HL32" s="153"/>
      <c r="HM32" s="153"/>
      <c r="HN32" s="153"/>
      <c r="HO32" s="153"/>
      <c r="HP32" s="153"/>
      <c r="HQ32" s="153"/>
      <c r="HR32" s="153"/>
      <c r="HS32" s="153"/>
      <c r="HT32" s="153"/>
      <c r="HU32" s="153"/>
      <c r="HV32" s="153"/>
      <c r="HW32" s="153"/>
      <c r="HX32" s="153"/>
      <c r="HY32" s="153"/>
      <c r="HZ32" s="153"/>
      <c r="IA32" s="153"/>
      <c r="IB32" s="153"/>
      <c r="IC32" s="153"/>
      <c r="ID32" s="153"/>
      <c r="IE32" s="153"/>
      <c r="IF32" s="153"/>
      <c r="IG32" s="153"/>
      <c r="IH32" s="153"/>
      <c r="II32" s="153"/>
      <c r="IJ32" s="153"/>
      <c r="IK32" s="153"/>
      <c r="IL32" s="153"/>
      <c r="IM32" s="153"/>
      <c r="IN32" s="153"/>
      <c r="IO32" s="153"/>
      <c r="IP32" s="153"/>
      <c r="IQ32" s="153"/>
      <c r="IR32" s="153"/>
      <c r="IS32" s="153"/>
      <c r="IT32" s="153"/>
      <c r="IU32" s="153"/>
      <c r="IV32" s="153"/>
      <c r="IW32" s="153"/>
      <c r="IX32" s="153"/>
      <c r="IY32" s="153"/>
      <c r="IZ32" s="153"/>
      <c r="JA32" s="153"/>
      <c r="JB32" s="153"/>
      <c r="JC32" s="153"/>
      <c r="JD32" s="153"/>
      <c r="JE32" s="153"/>
      <c r="JF32" s="153"/>
      <c r="JG32" s="153"/>
      <c r="JH32" s="153"/>
      <c r="JI32" s="153"/>
      <c r="JJ32" s="153"/>
      <c r="JK32" s="153"/>
      <c r="JL32" s="153"/>
      <c r="JM32" s="153"/>
      <c r="JN32" s="153"/>
      <c r="JO32" s="153"/>
      <c r="JP32" s="153"/>
      <c r="JQ32" s="153"/>
      <c r="JR32" s="153"/>
      <c r="JS32" s="153"/>
      <c r="JT32" s="153"/>
      <c r="JU32" s="153"/>
      <c r="JV32" s="153"/>
      <c r="JW32" s="153"/>
      <c r="JX32" s="153"/>
      <c r="JY32" s="153"/>
      <c r="JZ32" s="153"/>
      <c r="KA32" s="153"/>
      <c r="KB32" s="153"/>
      <c r="KC32" s="153"/>
    </row>
    <row r="33" spans="2:289" x14ac:dyDescent="0.25">
      <c r="B33" s="227" t="s">
        <v>24</v>
      </c>
      <c r="C33" s="196"/>
      <c r="D33" s="215"/>
      <c r="E33" s="215"/>
      <c r="F33" s="216"/>
      <c r="G33" s="217"/>
      <c r="H33" s="188"/>
      <c r="I33" s="232"/>
      <c r="EU33" s="153"/>
      <c r="EV33" s="153"/>
      <c r="EW33" s="153"/>
      <c r="EX33" s="153"/>
      <c r="EY33" s="153"/>
      <c r="EZ33" s="223"/>
      <c r="FA33" s="153"/>
      <c r="FB33" s="153"/>
      <c r="FC33" s="153"/>
      <c r="FD33" s="153"/>
      <c r="FE33" s="153"/>
      <c r="FF33" s="153"/>
      <c r="FG33" s="153"/>
      <c r="FH33" s="153"/>
      <c r="FI33" s="153"/>
      <c r="FJ33" s="153"/>
      <c r="FK33" s="153"/>
      <c r="FL33" s="153"/>
      <c r="FM33" s="153"/>
      <c r="FN33" s="153"/>
      <c r="FO33" s="153"/>
      <c r="FP33" s="153"/>
      <c r="FQ33" s="153"/>
      <c r="FR33" s="153"/>
      <c r="FS33" s="153"/>
      <c r="FT33" s="153"/>
      <c r="FU33" s="153"/>
      <c r="FV33" s="153"/>
      <c r="FW33" s="153"/>
      <c r="FX33" s="153"/>
      <c r="FY33" s="153"/>
      <c r="FZ33" s="153"/>
      <c r="GA33" s="153"/>
      <c r="GB33" s="153"/>
      <c r="GC33" s="153"/>
      <c r="GD33" s="153"/>
      <c r="GE33" s="153"/>
      <c r="GF33" s="153"/>
      <c r="GG33" s="153"/>
      <c r="GH33" s="153"/>
      <c r="GI33" s="153"/>
      <c r="GJ33" s="153"/>
      <c r="GK33" s="153"/>
      <c r="GL33" s="153"/>
      <c r="GM33" s="153"/>
      <c r="GN33" s="153"/>
      <c r="GO33" s="153"/>
      <c r="GP33" s="153"/>
      <c r="GQ33" s="153"/>
      <c r="GR33" s="153"/>
      <c r="GS33" s="153"/>
      <c r="GT33" s="153"/>
      <c r="GU33" s="153"/>
      <c r="GV33" s="153"/>
      <c r="GW33" s="153"/>
      <c r="GX33" s="153"/>
      <c r="GY33" s="153"/>
      <c r="GZ33" s="153"/>
      <c r="HA33" s="153"/>
      <c r="HB33" s="153"/>
      <c r="HC33" s="153"/>
      <c r="HD33" s="153"/>
      <c r="HE33" s="153"/>
      <c r="HF33" s="153"/>
      <c r="HG33" s="153"/>
      <c r="HH33" s="153"/>
      <c r="HI33" s="153"/>
      <c r="HJ33" s="153"/>
      <c r="HK33" s="153"/>
      <c r="HL33" s="153"/>
      <c r="HM33" s="153"/>
      <c r="HN33" s="153"/>
      <c r="HO33" s="153"/>
      <c r="HP33" s="153"/>
      <c r="HQ33" s="153"/>
      <c r="HR33" s="153"/>
      <c r="HS33" s="153"/>
      <c r="HT33" s="153"/>
      <c r="HU33" s="153"/>
      <c r="HV33" s="153"/>
      <c r="HW33" s="153"/>
      <c r="HX33" s="153"/>
      <c r="HY33" s="153"/>
      <c r="HZ33" s="153"/>
      <c r="IA33" s="153"/>
      <c r="IB33" s="153"/>
      <c r="IC33" s="153"/>
      <c r="ID33" s="153"/>
      <c r="IE33" s="153"/>
      <c r="IF33" s="153"/>
      <c r="IG33" s="153"/>
      <c r="IH33" s="153"/>
      <c r="II33" s="153"/>
      <c r="IJ33" s="153"/>
      <c r="IK33" s="153"/>
      <c r="IL33" s="153"/>
      <c r="IM33" s="153"/>
      <c r="IN33" s="153"/>
      <c r="IO33" s="153"/>
      <c r="IP33" s="153"/>
      <c r="IQ33" s="153"/>
      <c r="IR33" s="153"/>
      <c r="IS33" s="153"/>
      <c r="IT33" s="153"/>
      <c r="IU33" s="153"/>
      <c r="IV33" s="153"/>
      <c r="IW33" s="153"/>
      <c r="IX33" s="153"/>
      <c r="IY33" s="153"/>
      <c r="IZ33" s="153"/>
      <c r="JA33" s="153"/>
      <c r="JB33" s="153"/>
      <c r="JC33" s="153"/>
      <c r="JD33" s="153"/>
      <c r="JE33" s="153"/>
      <c r="JF33" s="153"/>
      <c r="JG33" s="153"/>
      <c r="JH33" s="153"/>
      <c r="JI33" s="153"/>
      <c r="JJ33" s="153"/>
      <c r="JK33" s="153"/>
      <c r="JL33" s="153"/>
      <c r="JM33" s="153"/>
      <c r="JN33" s="153"/>
      <c r="JO33" s="153"/>
      <c r="JP33" s="153"/>
      <c r="JQ33" s="153"/>
      <c r="JR33" s="153"/>
      <c r="JS33" s="153"/>
      <c r="JT33" s="153"/>
      <c r="JU33" s="153"/>
      <c r="JV33" s="153"/>
      <c r="JW33" s="153"/>
      <c r="JX33" s="153"/>
      <c r="JY33" s="153"/>
      <c r="JZ33" s="153"/>
      <c r="KA33" s="153"/>
      <c r="KB33" s="153"/>
      <c r="KC33" s="153"/>
    </row>
    <row r="34" spans="2:289" x14ac:dyDescent="0.25">
      <c r="B34" s="214" t="s">
        <v>39</v>
      </c>
      <c r="C34" s="196"/>
      <c r="D34" s="215">
        <v>1</v>
      </c>
      <c r="E34" s="215">
        <v>12</v>
      </c>
      <c r="F34" s="216" t="s">
        <v>27</v>
      </c>
      <c r="G34" s="217">
        <f>I34/Units_SF_M2</f>
        <v>147.27540500736376</v>
      </c>
      <c r="H34" s="218">
        <f>I34/Units</f>
        <v>150000</v>
      </c>
      <c r="I34" s="219">
        <v>2400000</v>
      </c>
      <c r="K34" s="152" t="s">
        <v>869</v>
      </c>
      <c r="L34" s="364"/>
      <c r="P34" s="152" t="str">
        <f>IF(ROUND(SUM(Q34:ES34),0)=ROUND(I34,0),"","Incomplete")</f>
        <v/>
      </c>
      <c r="Q34" s="220">
        <f t="shared" ref="Q34:Z37" si="178">AND(Q$22&gt;=$D34,Q$22&lt;=$E34)*IF(OR($F34="Straight-Line",$F34="Detail"),$I34/$EX34,FA34)</f>
        <v>0</v>
      </c>
      <c r="R34" s="220">
        <f t="shared" si="178"/>
        <v>11695.015663197764</v>
      </c>
      <c r="S34" s="220">
        <f t="shared" si="178"/>
        <v>39804.584153364296</v>
      </c>
      <c r="T34" s="220">
        <f t="shared" si="178"/>
        <v>106023.20740760255</v>
      </c>
      <c r="U34" s="220">
        <f t="shared" si="178"/>
        <v>221032.06789700003</v>
      </c>
      <c r="V34" s="220">
        <f t="shared" si="178"/>
        <v>360691.27639493503</v>
      </c>
      <c r="W34" s="220">
        <f t="shared" si="178"/>
        <v>460753.84848390031</v>
      </c>
      <c r="X34" s="220">
        <f t="shared" si="178"/>
        <v>460753.84848390031</v>
      </c>
      <c r="Y34" s="220">
        <f t="shared" si="178"/>
        <v>360691.27639493515</v>
      </c>
      <c r="Z34" s="220">
        <f t="shared" si="178"/>
        <v>221032.06789699991</v>
      </c>
      <c r="AA34" s="220">
        <f t="shared" ref="AA34:AJ37" si="179">AND(AA$22&gt;=$D34,AA$22&lt;=$E34)*IF(OR($F34="Straight-Line",$F34="Detail"),$I34/$EX34,FK34)</f>
        <v>106023.20740760257</v>
      </c>
      <c r="AB34" s="220">
        <f t="shared" si="179"/>
        <v>39804.584153364282</v>
      </c>
      <c r="AC34" s="220">
        <f t="shared" si="179"/>
        <v>11695.015663197802</v>
      </c>
      <c r="AD34" s="220">
        <f t="shared" si="179"/>
        <v>0</v>
      </c>
      <c r="AE34" s="220">
        <f t="shared" si="179"/>
        <v>0</v>
      </c>
      <c r="AF34" s="220">
        <f t="shared" si="179"/>
        <v>0</v>
      </c>
      <c r="AG34" s="220">
        <f t="shared" si="179"/>
        <v>0</v>
      </c>
      <c r="AH34" s="220">
        <f t="shared" si="179"/>
        <v>0</v>
      </c>
      <c r="AI34" s="220">
        <f t="shared" si="179"/>
        <v>0</v>
      </c>
      <c r="AJ34" s="220">
        <f t="shared" si="179"/>
        <v>0</v>
      </c>
      <c r="AK34" s="220">
        <f t="shared" ref="AK34:AT37" si="180">AND(AK$22&gt;=$D34,AK$22&lt;=$E34)*IF(OR($F34="Straight-Line",$F34="Detail"),$I34/$EX34,FU34)</f>
        <v>0</v>
      </c>
      <c r="AL34" s="220">
        <f t="shared" si="180"/>
        <v>0</v>
      </c>
      <c r="AM34" s="220">
        <f t="shared" si="180"/>
        <v>0</v>
      </c>
      <c r="AN34" s="220">
        <f t="shared" si="180"/>
        <v>0</v>
      </c>
      <c r="AO34" s="220">
        <f t="shared" si="180"/>
        <v>0</v>
      </c>
      <c r="AP34" s="220">
        <f t="shared" si="180"/>
        <v>0</v>
      </c>
      <c r="AQ34" s="220">
        <f t="shared" si="180"/>
        <v>0</v>
      </c>
      <c r="AR34" s="220">
        <f t="shared" si="180"/>
        <v>0</v>
      </c>
      <c r="AS34" s="220">
        <f t="shared" si="180"/>
        <v>0</v>
      </c>
      <c r="AT34" s="220">
        <f t="shared" si="180"/>
        <v>0</v>
      </c>
      <c r="AU34" s="220">
        <f t="shared" ref="AU34:BD37" si="181">AND(AU$22&gt;=$D34,AU$22&lt;=$E34)*IF(OR($F34="Straight-Line",$F34="Detail"),$I34/$EX34,GE34)</f>
        <v>0</v>
      </c>
      <c r="AV34" s="220">
        <f t="shared" si="181"/>
        <v>0</v>
      </c>
      <c r="AW34" s="220">
        <f t="shared" si="181"/>
        <v>0</v>
      </c>
      <c r="AX34" s="220">
        <f t="shared" si="181"/>
        <v>0</v>
      </c>
      <c r="AY34" s="220">
        <f t="shared" si="181"/>
        <v>0</v>
      </c>
      <c r="AZ34" s="220">
        <f t="shared" si="181"/>
        <v>0</v>
      </c>
      <c r="BA34" s="220">
        <f t="shared" si="181"/>
        <v>0</v>
      </c>
      <c r="BB34" s="220">
        <f t="shared" si="181"/>
        <v>0</v>
      </c>
      <c r="BC34" s="220">
        <f t="shared" si="181"/>
        <v>0</v>
      </c>
      <c r="BD34" s="220">
        <f t="shared" si="181"/>
        <v>0</v>
      </c>
      <c r="BE34" s="220">
        <f t="shared" ref="BE34:BN37" si="182">AND(BE$22&gt;=$D34,BE$22&lt;=$E34)*IF(OR($F34="Straight-Line",$F34="Detail"),$I34/$EX34,GO34)</f>
        <v>0</v>
      </c>
      <c r="BF34" s="220">
        <f t="shared" si="182"/>
        <v>0</v>
      </c>
      <c r="BG34" s="220">
        <f t="shared" si="182"/>
        <v>0</v>
      </c>
      <c r="BH34" s="220">
        <f t="shared" si="182"/>
        <v>0</v>
      </c>
      <c r="BI34" s="220">
        <f t="shared" si="182"/>
        <v>0</v>
      </c>
      <c r="BJ34" s="220">
        <f t="shared" si="182"/>
        <v>0</v>
      </c>
      <c r="BK34" s="220">
        <f t="shared" si="182"/>
        <v>0</v>
      </c>
      <c r="BL34" s="220">
        <f t="shared" si="182"/>
        <v>0</v>
      </c>
      <c r="BM34" s="220">
        <f t="shared" si="182"/>
        <v>0</v>
      </c>
      <c r="BN34" s="220">
        <f t="shared" si="182"/>
        <v>0</v>
      </c>
      <c r="BO34" s="220">
        <f t="shared" ref="BO34:BX37" si="183">AND(BO$22&gt;=$D34,BO$22&lt;=$E34)*IF(OR($F34="Straight-Line",$F34="Detail"),$I34/$EX34,GY34)</f>
        <v>0</v>
      </c>
      <c r="BP34" s="220">
        <f t="shared" si="183"/>
        <v>0</v>
      </c>
      <c r="BQ34" s="220">
        <f t="shared" si="183"/>
        <v>0</v>
      </c>
      <c r="BR34" s="220">
        <f t="shared" si="183"/>
        <v>0</v>
      </c>
      <c r="BS34" s="220">
        <f t="shared" si="183"/>
        <v>0</v>
      </c>
      <c r="BT34" s="220">
        <f t="shared" si="183"/>
        <v>0</v>
      </c>
      <c r="BU34" s="220">
        <f t="shared" si="183"/>
        <v>0</v>
      </c>
      <c r="BV34" s="220">
        <f t="shared" si="183"/>
        <v>0</v>
      </c>
      <c r="BW34" s="220">
        <f t="shared" si="183"/>
        <v>0</v>
      </c>
      <c r="BX34" s="220">
        <f t="shared" si="183"/>
        <v>0</v>
      </c>
      <c r="BY34" s="220">
        <f t="shared" ref="BY34:CH37" si="184">AND(BY$22&gt;=$D34,BY$22&lt;=$E34)*IF(OR($F34="Straight-Line",$F34="Detail"),$I34/$EX34,HI34)</f>
        <v>0</v>
      </c>
      <c r="BZ34" s="220">
        <f t="shared" si="184"/>
        <v>0</v>
      </c>
      <c r="CA34" s="220">
        <f t="shared" si="184"/>
        <v>0</v>
      </c>
      <c r="CB34" s="220">
        <f t="shared" si="184"/>
        <v>0</v>
      </c>
      <c r="CC34" s="220">
        <f t="shared" si="184"/>
        <v>0</v>
      </c>
      <c r="CD34" s="220">
        <f t="shared" si="184"/>
        <v>0</v>
      </c>
      <c r="CE34" s="220">
        <f t="shared" si="184"/>
        <v>0</v>
      </c>
      <c r="CF34" s="220">
        <f t="shared" si="184"/>
        <v>0</v>
      </c>
      <c r="CG34" s="220">
        <f t="shared" si="184"/>
        <v>0</v>
      </c>
      <c r="CH34" s="220">
        <f t="shared" si="184"/>
        <v>0</v>
      </c>
      <c r="CI34" s="220">
        <f t="shared" ref="CI34:CR37" si="185">AND(CI$22&gt;=$D34,CI$22&lt;=$E34)*IF(OR($F34="Straight-Line",$F34="Detail"),$I34/$EX34,HS34)</f>
        <v>0</v>
      </c>
      <c r="CJ34" s="220">
        <f t="shared" si="185"/>
        <v>0</v>
      </c>
      <c r="CK34" s="220">
        <f t="shared" si="185"/>
        <v>0</v>
      </c>
      <c r="CL34" s="220">
        <f t="shared" si="185"/>
        <v>0</v>
      </c>
      <c r="CM34" s="220">
        <f t="shared" si="185"/>
        <v>0</v>
      </c>
      <c r="CN34" s="220">
        <f t="shared" si="185"/>
        <v>0</v>
      </c>
      <c r="CO34" s="220">
        <f t="shared" si="185"/>
        <v>0</v>
      </c>
      <c r="CP34" s="220">
        <f t="shared" si="185"/>
        <v>0</v>
      </c>
      <c r="CQ34" s="220">
        <f t="shared" si="185"/>
        <v>0</v>
      </c>
      <c r="CR34" s="220">
        <f t="shared" si="185"/>
        <v>0</v>
      </c>
      <c r="CS34" s="220">
        <f t="shared" ref="CS34:DB37" si="186">AND(CS$22&gt;=$D34,CS$22&lt;=$E34)*IF(OR($F34="Straight-Line",$F34="Detail"),$I34/$EX34,IC34)</f>
        <v>0</v>
      </c>
      <c r="CT34" s="220">
        <f t="shared" si="186"/>
        <v>0</v>
      </c>
      <c r="CU34" s="220">
        <f t="shared" si="186"/>
        <v>0</v>
      </c>
      <c r="CV34" s="220">
        <f t="shared" si="186"/>
        <v>0</v>
      </c>
      <c r="CW34" s="220">
        <f t="shared" si="186"/>
        <v>0</v>
      </c>
      <c r="CX34" s="220">
        <f t="shared" si="186"/>
        <v>0</v>
      </c>
      <c r="CY34" s="220">
        <f t="shared" si="186"/>
        <v>0</v>
      </c>
      <c r="CZ34" s="220">
        <f t="shared" si="186"/>
        <v>0</v>
      </c>
      <c r="DA34" s="220">
        <f t="shared" si="186"/>
        <v>0</v>
      </c>
      <c r="DB34" s="220">
        <f t="shared" si="186"/>
        <v>0</v>
      </c>
      <c r="DC34" s="220">
        <f t="shared" ref="DC34:DL37" si="187">AND(DC$22&gt;=$D34,DC$22&lt;=$E34)*IF(OR($F34="Straight-Line",$F34="Detail"),$I34/$EX34,IM34)</f>
        <v>0</v>
      </c>
      <c r="DD34" s="220">
        <f t="shared" si="187"/>
        <v>0</v>
      </c>
      <c r="DE34" s="220">
        <f t="shared" si="187"/>
        <v>0</v>
      </c>
      <c r="DF34" s="220">
        <f t="shared" si="187"/>
        <v>0</v>
      </c>
      <c r="DG34" s="220">
        <f t="shared" si="187"/>
        <v>0</v>
      </c>
      <c r="DH34" s="220">
        <f t="shared" si="187"/>
        <v>0</v>
      </c>
      <c r="DI34" s="220">
        <f t="shared" si="187"/>
        <v>0</v>
      </c>
      <c r="DJ34" s="220">
        <f t="shared" si="187"/>
        <v>0</v>
      </c>
      <c r="DK34" s="220">
        <f t="shared" si="187"/>
        <v>0</v>
      </c>
      <c r="DL34" s="220">
        <f t="shared" si="187"/>
        <v>0</v>
      </c>
      <c r="DM34" s="220">
        <f t="shared" ref="DM34:DV37" si="188">AND(DM$22&gt;=$D34,DM$22&lt;=$E34)*IF(OR($F34="Straight-Line",$F34="Detail"),$I34/$EX34,IW34)</f>
        <v>0</v>
      </c>
      <c r="DN34" s="220">
        <f t="shared" si="188"/>
        <v>0</v>
      </c>
      <c r="DO34" s="220">
        <f t="shared" si="188"/>
        <v>0</v>
      </c>
      <c r="DP34" s="220">
        <f t="shared" si="188"/>
        <v>0</v>
      </c>
      <c r="DQ34" s="220">
        <f t="shared" si="188"/>
        <v>0</v>
      </c>
      <c r="DR34" s="220">
        <f t="shared" si="188"/>
        <v>0</v>
      </c>
      <c r="DS34" s="220">
        <f t="shared" si="188"/>
        <v>0</v>
      </c>
      <c r="DT34" s="220">
        <f t="shared" si="188"/>
        <v>0</v>
      </c>
      <c r="DU34" s="220">
        <f t="shared" si="188"/>
        <v>0</v>
      </c>
      <c r="DV34" s="220">
        <f t="shared" si="188"/>
        <v>0</v>
      </c>
      <c r="DW34" s="220">
        <f t="shared" ref="DW34:EF37" si="189">AND(DW$22&gt;=$D34,DW$22&lt;=$E34)*IF(OR($F34="Straight-Line",$F34="Detail"),$I34/$EX34,JG34)</f>
        <v>0</v>
      </c>
      <c r="DX34" s="220">
        <f t="shared" si="189"/>
        <v>0</v>
      </c>
      <c r="DY34" s="220">
        <f t="shared" si="189"/>
        <v>0</v>
      </c>
      <c r="DZ34" s="220">
        <f t="shared" si="189"/>
        <v>0</v>
      </c>
      <c r="EA34" s="220">
        <f t="shared" si="189"/>
        <v>0</v>
      </c>
      <c r="EB34" s="220">
        <f t="shared" si="189"/>
        <v>0</v>
      </c>
      <c r="EC34" s="220">
        <f t="shared" si="189"/>
        <v>0</v>
      </c>
      <c r="ED34" s="220">
        <f t="shared" si="189"/>
        <v>0</v>
      </c>
      <c r="EE34" s="220">
        <f t="shared" si="189"/>
        <v>0</v>
      </c>
      <c r="EF34" s="220">
        <f t="shared" si="189"/>
        <v>0</v>
      </c>
      <c r="EG34" s="220">
        <f t="shared" ref="EG34:EP37" si="190">AND(EG$22&gt;=$D34,EG$22&lt;=$E34)*IF(OR($F34="Straight-Line",$F34="Detail"),$I34/$EX34,JQ34)</f>
        <v>0</v>
      </c>
      <c r="EH34" s="220">
        <f t="shared" si="190"/>
        <v>0</v>
      </c>
      <c r="EI34" s="220">
        <f t="shared" si="190"/>
        <v>0</v>
      </c>
      <c r="EJ34" s="220">
        <f t="shared" si="190"/>
        <v>0</v>
      </c>
      <c r="EK34" s="220">
        <f t="shared" si="190"/>
        <v>0</v>
      </c>
      <c r="EL34" s="220">
        <f t="shared" si="190"/>
        <v>0</v>
      </c>
      <c r="EM34" s="220">
        <f t="shared" si="190"/>
        <v>0</v>
      </c>
      <c r="EN34" s="220">
        <f t="shared" si="190"/>
        <v>0</v>
      </c>
      <c r="EO34" s="220">
        <f t="shared" si="190"/>
        <v>0</v>
      </c>
      <c r="EP34" s="220">
        <f t="shared" si="190"/>
        <v>0</v>
      </c>
      <c r="EQ34" s="220">
        <f t="shared" ref="EQ34:ES37" si="191">AND(EQ$22&gt;=$D34,EQ$22&lt;=$E34)*IF(OR($F34="Straight-Line",$F34="Detail"),$I34/$EX34,KA34)</f>
        <v>0</v>
      </c>
      <c r="ER34" s="220">
        <f t="shared" si="191"/>
        <v>0</v>
      </c>
      <c r="ES34" s="220">
        <f t="shared" si="191"/>
        <v>0</v>
      </c>
      <c r="EU34" s="221">
        <f>I34</f>
        <v>2400000</v>
      </c>
      <c r="EV34" s="222">
        <f>INDEX($Q$23:$ES$23,1,$D34+1)</f>
        <v>45716</v>
      </c>
      <c r="EW34" s="222">
        <f>INDEX($Q$23:$ES$23,1,$E34+1)</f>
        <v>46053</v>
      </c>
      <c r="EX34" s="221">
        <f>+E34-D34+1</f>
        <v>12</v>
      </c>
      <c r="EY34" s="153" t="str">
        <f>F34</f>
        <v>S-Curve</v>
      </c>
      <c r="EZ34" s="223">
        <f>EX34/Scurve_Dist</f>
        <v>2</v>
      </c>
      <c r="FA34" s="221">
        <f t="shared" ref="FA34:FP37" si="192">AND($EY34="S-Curve",FA$23&gt;=$EV34,FA$23&lt;=$EW34)*(_xlfn.NORM.DIST((YEAR(FA$23)-YEAR($EV34))*12+MONTH(FA$23)-MONTH($EV34)+1,$EX34/2,$EZ34,TRUE)-_xlfn.NORM.DIST((YEAR(FA$23)-YEAR($EV34))*12+MONTH(FA$23)-MONTH($EV34),$EX34/2,$EZ34,TRUE))/(1-2*_xlfn.NORM.DIST(0,$EX34/2,$EZ34,TRUE))*$EU34</f>
        <v>0</v>
      </c>
      <c r="FB34" s="221">
        <f t="shared" si="192"/>
        <v>11695.015663197764</v>
      </c>
      <c r="FC34" s="221">
        <f t="shared" si="192"/>
        <v>39804.584153364296</v>
      </c>
      <c r="FD34" s="221">
        <f t="shared" si="192"/>
        <v>106023.20740760255</v>
      </c>
      <c r="FE34" s="221">
        <f t="shared" si="192"/>
        <v>221032.06789700003</v>
      </c>
      <c r="FF34" s="221">
        <f t="shared" si="192"/>
        <v>360691.27639493503</v>
      </c>
      <c r="FG34" s="221">
        <f t="shared" si="192"/>
        <v>460753.84848390031</v>
      </c>
      <c r="FH34" s="221">
        <f t="shared" si="192"/>
        <v>460753.84848390031</v>
      </c>
      <c r="FI34" s="221">
        <f t="shared" si="192"/>
        <v>360691.27639493515</v>
      </c>
      <c r="FJ34" s="221">
        <f t="shared" si="192"/>
        <v>221032.06789699991</v>
      </c>
      <c r="FK34" s="221">
        <f t="shared" si="192"/>
        <v>106023.20740760257</v>
      </c>
      <c r="FL34" s="221">
        <f t="shared" si="192"/>
        <v>39804.584153364282</v>
      </c>
      <c r="FM34" s="221">
        <f t="shared" si="192"/>
        <v>11695.015663197802</v>
      </c>
      <c r="FN34" s="221">
        <f t="shared" si="192"/>
        <v>0</v>
      </c>
      <c r="FO34" s="221">
        <f t="shared" si="192"/>
        <v>0</v>
      </c>
      <c r="FP34" s="221">
        <f t="shared" si="192"/>
        <v>0</v>
      </c>
      <c r="FQ34" s="221">
        <f t="shared" ref="FQ34:GF37" si="193">AND($EY34="S-Curve",FQ$23&gt;=$EV34,FQ$23&lt;=$EW34)*(_xlfn.NORM.DIST((YEAR(FQ$23)-YEAR($EV34))*12+MONTH(FQ$23)-MONTH($EV34)+1,$EX34/2,$EZ34,TRUE)-_xlfn.NORM.DIST((YEAR(FQ$23)-YEAR($EV34))*12+MONTH(FQ$23)-MONTH($EV34),$EX34/2,$EZ34,TRUE))/(1-2*_xlfn.NORM.DIST(0,$EX34/2,$EZ34,TRUE))*$EU34</f>
        <v>0</v>
      </c>
      <c r="FR34" s="221">
        <f t="shared" si="193"/>
        <v>0</v>
      </c>
      <c r="FS34" s="221">
        <f t="shared" si="193"/>
        <v>0</v>
      </c>
      <c r="FT34" s="221">
        <f t="shared" si="193"/>
        <v>0</v>
      </c>
      <c r="FU34" s="221">
        <f t="shared" si="193"/>
        <v>0</v>
      </c>
      <c r="FV34" s="221">
        <f t="shared" si="193"/>
        <v>0</v>
      </c>
      <c r="FW34" s="221">
        <f t="shared" si="193"/>
        <v>0</v>
      </c>
      <c r="FX34" s="221">
        <f t="shared" si="193"/>
        <v>0</v>
      </c>
      <c r="FY34" s="221">
        <f t="shared" si="193"/>
        <v>0</v>
      </c>
      <c r="FZ34" s="221">
        <f t="shared" si="193"/>
        <v>0</v>
      </c>
      <c r="GA34" s="221">
        <f t="shared" si="193"/>
        <v>0</v>
      </c>
      <c r="GB34" s="221">
        <f t="shared" si="193"/>
        <v>0</v>
      </c>
      <c r="GC34" s="221">
        <f t="shared" si="193"/>
        <v>0</v>
      </c>
      <c r="GD34" s="221">
        <f t="shared" si="193"/>
        <v>0</v>
      </c>
      <c r="GE34" s="221">
        <f t="shared" si="193"/>
        <v>0</v>
      </c>
      <c r="GF34" s="221">
        <f t="shared" si="193"/>
        <v>0</v>
      </c>
      <c r="GG34" s="221">
        <f t="shared" ref="GG34:GV37" si="194">AND($EY34="S-Curve",GG$23&gt;=$EV34,GG$23&lt;=$EW34)*(_xlfn.NORM.DIST((YEAR(GG$23)-YEAR($EV34))*12+MONTH(GG$23)-MONTH($EV34)+1,$EX34/2,$EZ34,TRUE)-_xlfn.NORM.DIST((YEAR(GG$23)-YEAR($EV34))*12+MONTH(GG$23)-MONTH($EV34),$EX34/2,$EZ34,TRUE))/(1-2*_xlfn.NORM.DIST(0,$EX34/2,$EZ34,TRUE))*$EU34</f>
        <v>0</v>
      </c>
      <c r="GH34" s="221">
        <f t="shared" si="194"/>
        <v>0</v>
      </c>
      <c r="GI34" s="221">
        <f t="shared" si="194"/>
        <v>0</v>
      </c>
      <c r="GJ34" s="221">
        <f t="shared" si="194"/>
        <v>0</v>
      </c>
      <c r="GK34" s="221">
        <f t="shared" si="194"/>
        <v>0</v>
      </c>
      <c r="GL34" s="221">
        <f t="shared" si="194"/>
        <v>0</v>
      </c>
      <c r="GM34" s="221">
        <f t="shared" si="194"/>
        <v>0</v>
      </c>
      <c r="GN34" s="221">
        <f t="shared" si="194"/>
        <v>0</v>
      </c>
      <c r="GO34" s="221">
        <f t="shared" si="194"/>
        <v>0</v>
      </c>
      <c r="GP34" s="221">
        <f t="shared" si="194"/>
        <v>0</v>
      </c>
      <c r="GQ34" s="221">
        <f t="shared" si="194"/>
        <v>0</v>
      </c>
      <c r="GR34" s="221">
        <f t="shared" si="194"/>
        <v>0</v>
      </c>
      <c r="GS34" s="221">
        <f t="shared" si="194"/>
        <v>0</v>
      </c>
      <c r="GT34" s="221">
        <f t="shared" si="194"/>
        <v>0</v>
      </c>
      <c r="GU34" s="221">
        <f t="shared" si="194"/>
        <v>0</v>
      </c>
      <c r="GV34" s="221">
        <f t="shared" si="194"/>
        <v>0</v>
      </c>
      <c r="GW34" s="221">
        <f t="shared" ref="GW34:HL37" si="195">AND($EY34="S-Curve",GW$23&gt;=$EV34,GW$23&lt;=$EW34)*(_xlfn.NORM.DIST((YEAR(GW$23)-YEAR($EV34))*12+MONTH(GW$23)-MONTH($EV34)+1,$EX34/2,$EZ34,TRUE)-_xlfn.NORM.DIST((YEAR(GW$23)-YEAR($EV34))*12+MONTH(GW$23)-MONTH($EV34),$EX34/2,$EZ34,TRUE))/(1-2*_xlfn.NORM.DIST(0,$EX34/2,$EZ34,TRUE))*$EU34</f>
        <v>0</v>
      </c>
      <c r="GX34" s="221">
        <f t="shared" si="195"/>
        <v>0</v>
      </c>
      <c r="GY34" s="221">
        <f t="shared" si="195"/>
        <v>0</v>
      </c>
      <c r="GZ34" s="221">
        <f t="shared" si="195"/>
        <v>0</v>
      </c>
      <c r="HA34" s="221">
        <f t="shared" si="195"/>
        <v>0</v>
      </c>
      <c r="HB34" s="221">
        <f t="shared" si="195"/>
        <v>0</v>
      </c>
      <c r="HC34" s="221">
        <f t="shared" si="195"/>
        <v>0</v>
      </c>
      <c r="HD34" s="221">
        <f t="shared" si="195"/>
        <v>0</v>
      </c>
      <c r="HE34" s="221">
        <f t="shared" si="195"/>
        <v>0</v>
      </c>
      <c r="HF34" s="221">
        <f t="shared" si="195"/>
        <v>0</v>
      </c>
      <c r="HG34" s="221">
        <f t="shared" si="195"/>
        <v>0</v>
      </c>
      <c r="HH34" s="221">
        <f t="shared" si="195"/>
        <v>0</v>
      </c>
      <c r="HI34" s="221">
        <f t="shared" si="195"/>
        <v>0</v>
      </c>
      <c r="HJ34" s="221">
        <f t="shared" si="195"/>
        <v>0</v>
      </c>
      <c r="HK34" s="221">
        <f t="shared" si="195"/>
        <v>0</v>
      </c>
      <c r="HL34" s="221">
        <f t="shared" si="195"/>
        <v>0</v>
      </c>
      <c r="HM34" s="221">
        <f t="shared" ref="HM34:IB37" si="196">AND($EY34="S-Curve",HM$23&gt;=$EV34,HM$23&lt;=$EW34)*(_xlfn.NORM.DIST((YEAR(HM$23)-YEAR($EV34))*12+MONTH(HM$23)-MONTH($EV34)+1,$EX34/2,$EZ34,TRUE)-_xlfn.NORM.DIST((YEAR(HM$23)-YEAR($EV34))*12+MONTH(HM$23)-MONTH($EV34),$EX34/2,$EZ34,TRUE))/(1-2*_xlfn.NORM.DIST(0,$EX34/2,$EZ34,TRUE))*$EU34</f>
        <v>0</v>
      </c>
      <c r="HN34" s="221">
        <f t="shared" si="196"/>
        <v>0</v>
      </c>
      <c r="HO34" s="221">
        <f t="shared" si="196"/>
        <v>0</v>
      </c>
      <c r="HP34" s="221">
        <f t="shared" si="196"/>
        <v>0</v>
      </c>
      <c r="HQ34" s="221">
        <f t="shared" si="196"/>
        <v>0</v>
      </c>
      <c r="HR34" s="221">
        <f t="shared" si="196"/>
        <v>0</v>
      </c>
      <c r="HS34" s="221">
        <f t="shared" si="196"/>
        <v>0</v>
      </c>
      <c r="HT34" s="221">
        <f t="shared" si="196"/>
        <v>0</v>
      </c>
      <c r="HU34" s="221">
        <f t="shared" si="196"/>
        <v>0</v>
      </c>
      <c r="HV34" s="221">
        <f t="shared" si="196"/>
        <v>0</v>
      </c>
      <c r="HW34" s="221">
        <f t="shared" si="196"/>
        <v>0</v>
      </c>
      <c r="HX34" s="221">
        <f t="shared" si="196"/>
        <v>0</v>
      </c>
      <c r="HY34" s="221">
        <f t="shared" si="196"/>
        <v>0</v>
      </c>
      <c r="HZ34" s="221">
        <f t="shared" si="196"/>
        <v>0</v>
      </c>
      <c r="IA34" s="221">
        <f t="shared" si="196"/>
        <v>0</v>
      </c>
      <c r="IB34" s="221">
        <f t="shared" si="196"/>
        <v>0</v>
      </c>
      <c r="IC34" s="221">
        <f t="shared" ref="IC34:IR37" si="197">AND($EY34="S-Curve",IC$23&gt;=$EV34,IC$23&lt;=$EW34)*(_xlfn.NORM.DIST((YEAR(IC$23)-YEAR($EV34))*12+MONTH(IC$23)-MONTH($EV34)+1,$EX34/2,$EZ34,TRUE)-_xlfn.NORM.DIST((YEAR(IC$23)-YEAR($EV34))*12+MONTH(IC$23)-MONTH($EV34),$EX34/2,$EZ34,TRUE))/(1-2*_xlfn.NORM.DIST(0,$EX34/2,$EZ34,TRUE))*$EU34</f>
        <v>0</v>
      </c>
      <c r="ID34" s="221">
        <f t="shared" si="197"/>
        <v>0</v>
      </c>
      <c r="IE34" s="221">
        <f t="shared" si="197"/>
        <v>0</v>
      </c>
      <c r="IF34" s="221">
        <f t="shared" si="197"/>
        <v>0</v>
      </c>
      <c r="IG34" s="221">
        <f t="shared" si="197"/>
        <v>0</v>
      </c>
      <c r="IH34" s="221">
        <f t="shared" si="197"/>
        <v>0</v>
      </c>
      <c r="II34" s="221">
        <f t="shared" si="197"/>
        <v>0</v>
      </c>
      <c r="IJ34" s="221">
        <f t="shared" si="197"/>
        <v>0</v>
      </c>
      <c r="IK34" s="221">
        <f t="shared" si="197"/>
        <v>0</v>
      </c>
      <c r="IL34" s="221">
        <f t="shared" si="197"/>
        <v>0</v>
      </c>
      <c r="IM34" s="221">
        <f t="shared" si="197"/>
        <v>0</v>
      </c>
      <c r="IN34" s="221">
        <f t="shared" si="197"/>
        <v>0</v>
      </c>
      <c r="IO34" s="221">
        <f t="shared" si="197"/>
        <v>0</v>
      </c>
      <c r="IP34" s="221">
        <f t="shared" si="197"/>
        <v>0</v>
      </c>
      <c r="IQ34" s="221">
        <f t="shared" si="197"/>
        <v>0</v>
      </c>
      <c r="IR34" s="221">
        <f t="shared" si="197"/>
        <v>0</v>
      </c>
      <c r="IS34" s="221">
        <f t="shared" ref="IS34:JH37" si="198">AND($EY34="S-Curve",IS$23&gt;=$EV34,IS$23&lt;=$EW34)*(_xlfn.NORM.DIST((YEAR(IS$23)-YEAR($EV34))*12+MONTH(IS$23)-MONTH($EV34)+1,$EX34/2,$EZ34,TRUE)-_xlfn.NORM.DIST((YEAR(IS$23)-YEAR($EV34))*12+MONTH(IS$23)-MONTH($EV34),$EX34/2,$EZ34,TRUE))/(1-2*_xlfn.NORM.DIST(0,$EX34/2,$EZ34,TRUE))*$EU34</f>
        <v>0</v>
      </c>
      <c r="IT34" s="221">
        <f t="shared" si="198"/>
        <v>0</v>
      </c>
      <c r="IU34" s="221">
        <f t="shared" si="198"/>
        <v>0</v>
      </c>
      <c r="IV34" s="221">
        <f t="shared" si="198"/>
        <v>0</v>
      </c>
      <c r="IW34" s="221">
        <f t="shared" si="198"/>
        <v>0</v>
      </c>
      <c r="IX34" s="221">
        <f t="shared" si="198"/>
        <v>0</v>
      </c>
      <c r="IY34" s="221">
        <f t="shared" si="198"/>
        <v>0</v>
      </c>
      <c r="IZ34" s="221">
        <f t="shared" si="198"/>
        <v>0</v>
      </c>
      <c r="JA34" s="221">
        <f t="shared" si="198"/>
        <v>0</v>
      </c>
      <c r="JB34" s="221">
        <f t="shared" si="198"/>
        <v>0</v>
      </c>
      <c r="JC34" s="221">
        <f t="shared" si="198"/>
        <v>0</v>
      </c>
      <c r="JD34" s="221">
        <f t="shared" si="198"/>
        <v>0</v>
      </c>
      <c r="JE34" s="221">
        <f t="shared" si="198"/>
        <v>0</v>
      </c>
      <c r="JF34" s="221">
        <f t="shared" si="198"/>
        <v>0</v>
      </c>
      <c r="JG34" s="221">
        <f t="shared" si="198"/>
        <v>0</v>
      </c>
      <c r="JH34" s="221">
        <f t="shared" si="198"/>
        <v>0</v>
      </c>
      <c r="JI34" s="221">
        <f t="shared" ref="JI34:JX37" si="199">AND($EY34="S-Curve",JI$23&gt;=$EV34,JI$23&lt;=$EW34)*(_xlfn.NORM.DIST((YEAR(JI$23)-YEAR($EV34))*12+MONTH(JI$23)-MONTH($EV34)+1,$EX34/2,$EZ34,TRUE)-_xlfn.NORM.DIST((YEAR(JI$23)-YEAR($EV34))*12+MONTH(JI$23)-MONTH($EV34),$EX34/2,$EZ34,TRUE))/(1-2*_xlfn.NORM.DIST(0,$EX34/2,$EZ34,TRUE))*$EU34</f>
        <v>0</v>
      </c>
      <c r="JJ34" s="221">
        <f t="shared" si="199"/>
        <v>0</v>
      </c>
      <c r="JK34" s="221">
        <f t="shared" si="199"/>
        <v>0</v>
      </c>
      <c r="JL34" s="221">
        <f t="shared" si="199"/>
        <v>0</v>
      </c>
      <c r="JM34" s="221">
        <f t="shared" si="199"/>
        <v>0</v>
      </c>
      <c r="JN34" s="221">
        <f t="shared" si="199"/>
        <v>0</v>
      </c>
      <c r="JO34" s="221">
        <f t="shared" si="199"/>
        <v>0</v>
      </c>
      <c r="JP34" s="221">
        <f t="shared" si="199"/>
        <v>0</v>
      </c>
      <c r="JQ34" s="221">
        <f t="shared" si="199"/>
        <v>0</v>
      </c>
      <c r="JR34" s="221">
        <f t="shared" si="199"/>
        <v>0</v>
      </c>
      <c r="JS34" s="221">
        <f t="shared" si="199"/>
        <v>0</v>
      </c>
      <c r="JT34" s="221">
        <f t="shared" si="199"/>
        <v>0</v>
      </c>
      <c r="JU34" s="221">
        <f t="shared" si="199"/>
        <v>0</v>
      </c>
      <c r="JV34" s="221">
        <f t="shared" si="199"/>
        <v>0</v>
      </c>
      <c r="JW34" s="221">
        <f t="shared" si="199"/>
        <v>0</v>
      </c>
      <c r="JX34" s="221">
        <f t="shared" si="199"/>
        <v>0</v>
      </c>
      <c r="JY34" s="221">
        <f t="shared" ref="JY34:KC37" si="200">AND($EY34="S-Curve",JY$23&gt;=$EV34,JY$23&lt;=$EW34)*(_xlfn.NORM.DIST((YEAR(JY$23)-YEAR($EV34))*12+MONTH(JY$23)-MONTH($EV34)+1,$EX34/2,$EZ34,TRUE)-_xlfn.NORM.DIST((YEAR(JY$23)-YEAR($EV34))*12+MONTH(JY$23)-MONTH($EV34),$EX34/2,$EZ34,TRUE))/(1-2*_xlfn.NORM.DIST(0,$EX34/2,$EZ34,TRUE))*$EU34</f>
        <v>0</v>
      </c>
      <c r="JZ34" s="221">
        <f t="shared" si="200"/>
        <v>0</v>
      </c>
      <c r="KA34" s="221">
        <f t="shared" si="200"/>
        <v>0</v>
      </c>
      <c r="KB34" s="221">
        <f t="shared" si="200"/>
        <v>0</v>
      </c>
      <c r="KC34" s="221">
        <f t="shared" si="200"/>
        <v>0</v>
      </c>
    </row>
    <row r="35" spans="2:289" x14ac:dyDescent="0.25">
      <c r="B35" s="214" t="s">
        <v>868</v>
      </c>
      <c r="C35" s="196"/>
      <c r="D35" s="215">
        <v>1</v>
      </c>
      <c r="E35" s="215">
        <v>12</v>
      </c>
      <c r="F35" s="216" t="s">
        <v>27</v>
      </c>
      <c r="G35" s="217">
        <f>I35/Units_SF_M2</f>
        <v>30.682376043200787</v>
      </c>
      <c r="H35" s="218">
        <f>I35/Units</f>
        <v>31250</v>
      </c>
      <c r="I35" s="219">
        <v>500000</v>
      </c>
      <c r="K35" s="152" t="s">
        <v>870</v>
      </c>
      <c r="L35" s="364"/>
      <c r="P35" s="152" t="str">
        <f>IF(ROUND(SUM(Q35:ES35),0)=ROUND(I35,0),"","Incomplete")</f>
        <v/>
      </c>
      <c r="Q35" s="220">
        <f t="shared" si="178"/>
        <v>0</v>
      </c>
      <c r="R35" s="220">
        <f t="shared" si="178"/>
        <v>2436.4615964995342</v>
      </c>
      <c r="S35" s="220">
        <f t="shared" si="178"/>
        <v>8292.6216986175623</v>
      </c>
      <c r="T35" s="220">
        <f t="shared" si="178"/>
        <v>22088.168209917196</v>
      </c>
      <c r="U35" s="220">
        <f t="shared" si="178"/>
        <v>46048.347478541677</v>
      </c>
      <c r="V35" s="220">
        <f t="shared" si="178"/>
        <v>75144.015915611468</v>
      </c>
      <c r="W35" s="220">
        <f t="shared" si="178"/>
        <v>95990.385100812564</v>
      </c>
      <c r="X35" s="220">
        <f t="shared" si="178"/>
        <v>95990.385100812564</v>
      </c>
      <c r="Y35" s="220">
        <f t="shared" si="178"/>
        <v>75144.015915611482</v>
      </c>
      <c r="Z35" s="220">
        <f t="shared" si="178"/>
        <v>46048.347478541647</v>
      </c>
      <c r="AA35" s="220">
        <f t="shared" si="179"/>
        <v>22088.168209917203</v>
      </c>
      <c r="AB35" s="220">
        <f t="shared" si="179"/>
        <v>8292.6216986175586</v>
      </c>
      <c r="AC35" s="220">
        <f t="shared" si="179"/>
        <v>2436.4615964995419</v>
      </c>
      <c r="AD35" s="220">
        <f t="shared" si="179"/>
        <v>0</v>
      </c>
      <c r="AE35" s="220">
        <f t="shared" si="179"/>
        <v>0</v>
      </c>
      <c r="AF35" s="220">
        <f t="shared" si="179"/>
        <v>0</v>
      </c>
      <c r="AG35" s="220">
        <f t="shared" si="179"/>
        <v>0</v>
      </c>
      <c r="AH35" s="220">
        <f t="shared" si="179"/>
        <v>0</v>
      </c>
      <c r="AI35" s="220">
        <f t="shared" si="179"/>
        <v>0</v>
      </c>
      <c r="AJ35" s="220">
        <f t="shared" si="179"/>
        <v>0</v>
      </c>
      <c r="AK35" s="220">
        <f t="shared" si="180"/>
        <v>0</v>
      </c>
      <c r="AL35" s="220">
        <f t="shared" si="180"/>
        <v>0</v>
      </c>
      <c r="AM35" s="220">
        <f t="shared" si="180"/>
        <v>0</v>
      </c>
      <c r="AN35" s="220">
        <f t="shared" si="180"/>
        <v>0</v>
      </c>
      <c r="AO35" s="220">
        <f t="shared" si="180"/>
        <v>0</v>
      </c>
      <c r="AP35" s="220">
        <f t="shared" si="180"/>
        <v>0</v>
      </c>
      <c r="AQ35" s="220">
        <f t="shared" si="180"/>
        <v>0</v>
      </c>
      <c r="AR35" s="220">
        <f t="shared" si="180"/>
        <v>0</v>
      </c>
      <c r="AS35" s="220">
        <f t="shared" si="180"/>
        <v>0</v>
      </c>
      <c r="AT35" s="220">
        <f t="shared" si="180"/>
        <v>0</v>
      </c>
      <c r="AU35" s="220">
        <f t="shared" si="181"/>
        <v>0</v>
      </c>
      <c r="AV35" s="220">
        <f t="shared" si="181"/>
        <v>0</v>
      </c>
      <c r="AW35" s="220">
        <f t="shared" si="181"/>
        <v>0</v>
      </c>
      <c r="AX35" s="220">
        <f t="shared" si="181"/>
        <v>0</v>
      </c>
      <c r="AY35" s="220">
        <f t="shared" si="181"/>
        <v>0</v>
      </c>
      <c r="AZ35" s="220">
        <f t="shared" si="181"/>
        <v>0</v>
      </c>
      <c r="BA35" s="220">
        <f t="shared" si="181"/>
        <v>0</v>
      </c>
      <c r="BB35" s="220">
        <f t="shared" si="181"/>
        <v>0</v>
      </c>
      <c r="BC35" s="220">
        <f t="shared" si="181"/>
        <v>0</v>
      </c>
      <c r="BD35" s="220">
        <f t="shared" si="181"/>
        <v>0</v>
      </c>
      <c r="BE35" s="220">
        <f t="shared" si="182"/>
        <v>0</v>
      </c>
      <c r="BF35" s="220">
        <f t="shared" si="182"/>
        <v>0</v>
      </c>
      <c r="BG35" s="220">
        <f t="shared" si="182"/>
        <v>0</v>
      </c>
      <c r="BH35" s="220">
        <f t="shared" si="182"/>
        <v>0</v>
      </c>
      <c r="BI35" s="220">
        <f t="shared" si="182"/>
        <v>0</v>
      </c>
      <c r="BJ35" s="220">
        <f t="shared" si="182"/>
        <v>0</v>
      </c>
      <c r="BK35" s="220">
        <f t="shared" si="182"/>
        <v>0</v>
      </c>
      <c r="BL35" s="220">
        <f t="shared" si="182"/>
        <v>0</v>
      </c>
      <c r="BM35" s="220">
        <f t="shared" si="182"/>
        <v>0</v>
      </c>
      <c r="BN35" s="220">
        <f t="shared" si="182"/>
        <v>0</v>
      </c>
      <c r="BO35" s="220">
        <f t="shared" si="183"/>
        <v>0</v>
      </c>
      <c r="BP35" s="220">
        <f t="shared" si="183"/>
        <v>0</v>
      </c>
      <c r="BQ35" s="220">
        <f t="shared" si="183"/>
        <v>0</v>
      </c>
      <c r="BR35" s="220">
        <f t="shared" si="183"/>
        <v>0</v>
      </c>
      <c r="BS35" s="220">
        <f t="shared" si="183"/>
        <v>0</v>
      </c>
      <c r="BT35" s="220">
        <f t="shared" si="183"/>
        <v>0</v>
      </c>
      <c r="BU35" s="220">
        <f t="shared" si="183"/>
        <v>0</v>
      </c>
      <c r="BV35" s="220">
        <f t="shared" si="183"/>
        <v>0</v>
      </c>
      <c r="BW35" s="220">
        <f t="shared" si="183"/>
        <v>0</v>
      </c>
      <c r="BX35" s="220">
        <f t="shared" si="183"/>
        <v>0</v>
      </c>
      <c r="BY35" s="220">
        <f t="shared" si="184"/>
        <v>0</v>
      </c>
      <c r="BZ35" s="220">
        <f t="shared" si="184"/>
        <v>0</v>
      </c>
      <c r="CA35" s="220">
        <f t="shared" si="184"/>
        <v>0</v>
      </c>
      <c r="CB35" s="220">
        <f t="shared" si="184"/>
        <v>0</v>
      </c>
      <c r="CC35" s="220">
        <f t="shared" si="184"/>
        <v>0</v>
      </c>
      <c r="CD35" s="220">
        <f t="shared" si="184"/>
        <v>0</v>
      </c>
      <c r="CE35" s="220">
        <f t="shared" si="184"/>
        <v>0</v>
      </c>
      <c r="CF35" s="220">
        <f t="shared" si="184"/>
        <v>0</v>
      </c>
      <c r="CG35" s="220">
        <f t="shared" si="184"/>
        <v>0</v>
      </c>
      <c r="CH35" s="220">
        <f t="shared" si="184"/>
        <v>0</v>
      </c>
      <c r="CI35" s="220">
        <f t="shared" si="185"/>
        <v>0</v>
      </c>
      <c r="CJ35" s="220">
        <f t="shared" si="185"/>
        <v>0</v>
      </c>
      <c r="CK35" s="220">
        <f t="shared" si="185"/>
        <v>0</v>
      </c>
      <c r="CL35" s="220">
        <f t="shared" si="185"/>
        <v>0</v>
      </c>
      <c r="CM35" s="220">
        <f t="shared" si="185"/>
        <v>0</v>
      </c>
      <c r="CN35" s="220">
        <f t="shared" si="185"/>
        <v>0</v>
      </c>
      <c r="CO35" s="220">
        <f t="shared" si="185"/>
        <v>0</v>
      </c>
      <c r="CP35" s="220">
        <f t="shared" si="185"/>
        <v>0</v>
      </c>
      <c r="CQ35" s="220">
        <f t="shared" si="185"/>
        <v>0</v>
      </c>
      <c r="CR35" s="220">
        <f t="shared" si="185"/>
        <v>0</v>
      </c>
      <c r="CS35" s="220">
        <f t="shared" si="186"/>
        <v>0</v>
      </c>
      <c r="CT35" s="220">
        <f t="shared" si="186"/>
        <v>0</v>
      </c>
      <c r="CU35" s="220">
        <f t="shared" si="186"/>
        <v>0</v>
      </c>
      <c r="CV35" s="220">
        <f t="shared" si="186"/>
        <v>0</v>
      </c>
      <c r="CW35" s="220">
        <f t="shared" si="186"/>
        <v>0</v>
      </c>
      <c r="CX35" s="220">
        <f t="shared" si="186"/>
        <v>0</v>
      </c>
      <c r="CY35" s="220">
        <f t="shared" si="186"/>
        <v>0</v>
      </c>
      <c r="CZ35" s="220">
        <f t="shared" si="186"/>
        <v>0</v>
      </c>
      <c r="DA35" s="220">
        <f t="shared" si="186"/>
        <v>0</v>
      </c>
      <c r="DB35" s="220">
        <f t="shared" si="186"/>
        <v>0</v>
      </c>
      <c r="DC35" s="220">
        <f t="shared" si="187"/>
        <v>0</v>
      </c>
      <c r="DD35" s="220">
        <f t="shared" si="187"/>
        <v>0</v>
      </c>
      <c r="DE35" s="220">
        <f t="shared" si="187"/>
        <v>0</v>
      </c>
      <c r="DF35" s="220">
        <f t="shared" si="187"/>
        <v>0</v>
      </c>
      <c r="DG35" s="220">
        <f t="shared" si="187"/>
        <v>0</v>
      </c>
      <c r="DH35" s="220">
        <f t="shared" si="187"/>
        <v>0</v>
      </c>
      <c r="DI35" s="220">
        <f t="shared" si="187"/>
        <v>0</v>
      </c>
      <c r="DJ35" s="220">
        <f t="shared" si="187"/>
        <v>0</v>
      </c>
      <c r="DK35" s="220">
        <f t="shared" si="187"/>
        <v>0</v>
      </c>
      <c r="DL35" s="220">
        <f t="shared" si="187"/>
        <v>0</v>
      </c>
      <c r="DM35" s="220">
        <f t="shared" si="188"/>
        <v>0</v>
      </c>
      <c r="DN35" s="220">
        <f t="shared" si="188"/>
        <v>0</v>
      </c>
      <c r="DO35" s="220">
        <f t="shared" si="188"/>
        <v>0</v>
      </c>
      <c r="DP35" s="220">
        <f t="shared" si="188"/>
        <v>0</v>
      </c>
      <c r="DQ35" s="220">
        <f t="shared" si="188"/>
        <v>0</v>
      </c>
      <c r="DR35" s="220">
        <f t="shared" si="188"/>
        <v>0</v>
      </c>
      <c r="DS35" s="220">
        <f t="shared" si="188"/>
        <v>0</v>
      </c>
      <c r="DT35" s="220">
        <f t="shared" si="188"/>
        <v>0</v>
      </c>
      <c r="DU35" s="220">
        <f t="shared" si="188"/>
        <v>0</v>
      </c>
      <c r="DV35" s="220">
        <f t="shared" si="188"/>
        <v>0</v>
      </c>
      <c r="DW35" s="220">
        <f t="shared" si="189"/>
        <v>0</v>
      </c>
      <c r="DX35" s="220">
        <f t="shared" si="189"/>
        <v>0</v>
      </c>
      <c r="DY35" s="220">
        <f t="shared" si="189"/>
        <v>0</v>
      </c>
      <c r="DZ35" s="220">
        <f t="shared" si="189"/>
        <v>0</v>
      </c>
      <c r="EA35" s="220">
        <f t="shared" si="189"/>
        <v>0</v>
      </c>
      <c r="EB35" s="220">
        <f t="shared" si="189"/>
        <v>0</v>
      </c>
      <c r="EC35" s="220">
        <f t="shared" si="189"/>
        <v>0</v>
      </c>
      <c r="ED35" s="220">
        <f t="shared" si="189"/>
        <v>0</v>
      </c>
      <c r="EE35" s="220">
        <f t="shared" si="189"/>
        <v>0</v>
      </c>
      <c r="EF35" s="220">
        <f t="shared" si="189"/>
        <v>0</v>
      </c>
      <c r="EG35" s="220">
        <f t="shared" si="190"/>
        <v>0</v>
      </c>
      <c r="EH35" s="220">
        <f t="shared" si="190"/>
        <v>0</v>
      </c>
      <c r="EI35" s="220">
        <f t="shared" si="190"/>
        <v>0</v>
      </c>
      <c r="EJ35" s="220">
        <f t="shared" si="190"/>
        <v>0</v>
      </c>
      <c r="EK35" s="220">
        <f t="shared" si="190"/>
        <v>0</v>
      </c>
      <c r="EL35" s="220">
        <f t="shared" si="190"/>
        <v>0</v>
      </c>
      <c r="EM35" s="220">
        <f t="shared" si="190"/>
        <v>0</v>
      </c>
      <c r="EN35" s="220">
        <f t="shared" si="190"/>
        <v>0</v>
      </c>
      <c r="EO35" s="220">
        <f t="shared" si="190"/>
        <v>0</v>
      </c>
      <c r="EP35" s="220">
        <f t="shared" si="190"/>
        <v>0</v>
      </c>
      <c r="EQ35" s="220">
        <f t="shared" si="191"/>
        <v>0</v>
      </c>
      <c r="ER35" s="220">
        <f t="shared" si="191"/>
        <v>0</v>
      </c>
      <c r="ES35" s="220">
        <f t="shared" si="191"/>
        <v>0</v>
      </c>
      <c r="EU35" s="221">
        <f>I35</f>
        <v>500000</v>
      </c>
      <c r="EV35" s="222">
        <f>INDEX($Q$23:$ES$23,1,$D35+1)</f>
        <v>45716</v>
      </c>
      <c r="EW35" s="222">
        <f>INDEX($Q$23:$ES$23,1,$E35+1)</f>
        <v>46053</v>
      </c>
      <c r="EX35" s="221">
        <f>+E35-D35+1</f>
        <v>12</v>
      </c>
      <c r="EY35" s="153" t="str">
        <f>F35</f>
        <v>S-Curve</v>
      </c>
      <c r="EZ35" s="223">
        <f>EX35/Scurve_Dist</f>
        <v>2</v>
      </c>
      <c r="FA35" s="221">
        <f t="shared" si="192"/>
        <v>0</v>
      </c>
      <c r="FB35" s="221">
        <f t="shared" si="192"/>
        <v>2436.4615964995342</v>
      </c>
      <c r="FC35" s="221">
        <f t="shared" si="192"/>
        <v>8292.6216986175623</v>
      </c>
      <c r="FD35" s="221">
        <f t="shared" si="192"/>
        <v>22088.168209917196</v>
      </c>
      <c r="FE35" s="221">
        <f t="shared" si="192"/>
        <v>46048.347478541677</v>
      </c>
      <c r="FF35" s="221">
        <f t="shared" si="192"/>
        <v>75144.015915611468</v>
      </c>
      <c r="FG35" s="221">
        <f t="shared" si="192"/>
        <v>95990.385100812564</v>
      </c>
      <c r="FH35" s="221">
        <f t="shared" si="192"/>
        <v>95990.385100812564</v>
      </c>
      <c r="FI35" s="221">
        <f t="shared" si="192"/>
        <v>75144.015915611482</v>
      </c>
      <c r="FJ35" s="221">
        <f t="shared" si="192"/>
        <v>46048.347478541647</v>
      </c>
      <c r="FK35" s="221">
        <f t="shared" si="192"/>
        <v>22088.168209917203</v>
      </c>
      <c r="FL35" s="221">
        <f t="shared" si="192"/>
        <v>8292.6216986175586</v>
      </c>
      <c r="FM35" s="221">
        <f t="shared" si="192"/>
        <v>2436.4615964995419</v>
      </c>
      <c r="FN35" s="221">
        <f t="shared" si="192"/>
        <v>0</v>
      </c>
      <c r="FO35" s="221">
        <f t="shared" si="192"/>
        <v>0</v>
      </c>
      <c r="FP35" s="221">
        <f t="shared" si="192"/>
        <v>0</v>
      </c>
      <c r="FQ35" s="221">
        <f t="shared" si="193"/>
        <v>0</v>
      </c>
      <c r="FR35" s="221">
        <f t="shared" si="193"/>
        <v>0</v>
      </c>
      <c r="FS35" s="221">
        <f t="shared" si="193"/>
        <v>0</v>
      </c>
      <c r="FT35" s="221">
        <f t="shared" si="193"/>
        <v>0</v>
      </c>
      <c r="FU35" s="221">
        <f t="shared" si="193"/>
        <v>0</v>
      </c>
      <c r="FV35" s="221">
        <f t="shared" si="193"/>
        <v>0</v>
      </c>
      <c r="FW35" s="221">
        <f t="shared" si="193"/>
        <v>0</v>
      </c>
      <c r="FX35" s="221">
        <f t="shared" si="193"/>
        <v>0</v>
      </c>
      <c r="FY35" s="221">
        <f t="shared" si="193"/>
        <v>0</v>
      </c>
      <c r="FZ35" s="221">
        <f t="shared" si="193"/>
        <v>0</v>
      </c>
      <c r="GA35" s="221">
        <f t="shared" si="193"/>
        <v>0</v>
      </c>
      <c r="GB35" s="221">
        <f t="shared" si="193"/>
        <v>0</v>
      </c>
      <c r="GC35" s="221">
        <f t="shared" si="193"/>
        <v>0</v>
      </c>
      <c r="GD35" s="221">
        <f t="shared" si="193"/>
        <v>0</v>
      </c>
      <c r="GE35" s="221">
        <f t="shared" si="193"/>
        <v>0</v>
      </c>
      <c r="GF35" s="221">
        <f t="shared" si="193"/>
        <v>0</v>
      </c>
      <c r="GG35" s="221">
        <f t="shared" si="194"/>
        <v>0</v>
      </c>
      <c r="GH35" s="221">
        <f t="shared" si="194"/>
        <v>0</v>
      </c>
      <c r="GI35" s="221">
        <f t="shared" si="194"/>
        <v>0</v>
      </c>
      <c r="GJ35" s="221">
        <f t="shared" si="194"/>
        <v>0</v>
      </c>
      <c r="GK35" s="221">
        <f t="shared" si="194"/>
        <v>0</v>
      </c>
      <c r="GL35" s="221">
        <f t="shared" si="194"/>
        <v>0</v>
      </c>
      <c r="GM35" s="221">
        <f t="shared" si="194"/>
        <v>0</v>
      </c>
      <c r="GN35" s="221">
        <f t="shared" si="194"/>
        <v>0</v>
      </c>
      <c r="GO35" s="221">
        <f t="shared" si="194"/>
        <v>0</v>
      </c>
      <c r="GP35" s="221">
        <f t="shared" si="194"/>
        <v>0</v>
      </c>
      <c r="GQ35" s="221">
        <f t="shared" si="194"/>
        <v>0</v>
      </c>
      <c r="GR35" s="221">
        <f t="shared" si="194"/>
        <v>0</v>
      </c>
      <c r="GS35" s="221">
        <f t="shared" si="194"/>
        <v>0</v>
      </c>
      <c r="GT35" s="221">
        <f t="shared" si="194"/>
        <v>0</v>
      </c>
      <c r="GU35" s="221">
        <f t="shared" si="194"/>
        <v>0</v>
      </c>
      <c r="GV35" s="221">
        <f t="shared" si="194"/>
        <v>0</v>
      </c>
      <c r="GW35" s="221">
        <f t="shared" si="195"/>
        <v>0</v>
      </c>
      <c r="GX35" s="221">
        <f t="shared" si="195"/>
        <v>0</v>
      </c>
      <c r="GY35" s="221">
        <f t="shared" si="195"/>
        <v>0</v>
      </c>
      <c r="GZ35" s="221">
        <f t="shared" si="195"/>
        <v>0</v>
      </c>
      <c r="HA35" s="221">
        <f t="shared" si="195"/>
        <v>0</v>
      </c>
      <c r="HB35" s="221">
        <f t="shared" si="195"/>
        <v>0</v>
      </c>
      <c r="HC35" s="221">
        <f t="shared" si="195"/>
        <v>0</v>
      </c>
      <c r="HD35" s="221">
        <f t="shared" si="195"/>
        <v>0</v>
      </c>
      <c r="HE35" s="221">
        <f t="shared" si="195"/>
        <v>0</v>
      </c>
      <c r="HF35" s="221">
        <f t="shared" si="195"/>
        <v>0</v>
      </c>
      <c r="HG35" s="221">
        <f t="shared" si="195"/>
        <v>0</v>
      </c>
      <c r="HH35" s="221">
        <f t="shared" si="195"/>
        <v>0</v>
      </c>
      <c r="HI35" s="221">
        <f t="shared" si="195"/>
        <v>0</v>
      </c>
      <c r="HJ35" s="221">
        <f t="shared" si="195"/>
        <v>0</v>
      </c>
      <c r="HK35" s="221">
        <f t="shared" si="195"/>
        <v>0</v>
      </c>
      <c r="HL35" s="221">
        <f t="shared" si="195"/>
        <v>0</v>
      </c>
      <c r="HM35" s="221">
        <f t="shared" si="196"/>
        <v>0</v>
      </c>
      <c r="HN35" s="221">
        <f t="shared" si="196"/>
        <v>0</v>
      </c>
      <c r="HO35" s="221">
        <f t="shared" si="196"/>
        <v>0</v>
      </c>
      <c r="HP35" s="221">
        <f t="shared" si="196"/>
        <v>0</v>
      </c>
      <c r="HQ35" s="221">
        <f t="shared" si="196"/>
        <v>0</v>
      </c>
      <c r="HR35" s="221">
        <f t="shared" si="196"/>
        <v>0</v>
      </c>
      <c r="HS35" s="221">
        <f t="shared" si="196"/>
        <v>0</v>
      </c>
      <c r="HT35" s="221">
        <f t="shared" si="196"/>
        <v>0</v>
      </c>
      <c r="HU35" s="221">
        <f t="shared" si="196"/>
        <v>0</v>
      </c>
      <c r="HV35" s="221">
        <f t="shared" si="196"/>
        <v>0</v>
      </c>
      <c r="HW35" s="221">
        <f t="shared" si="196"/>
        <v>0</v>
      </c>
      <c r="HX35" s="221">
        <f t="shared" si="196"/>
        <v>0</v>
      </c>
      <c r="HY35" s="221">
        <f t="shared" si="196"/>
        <v>0</v>
      </c>
      <c r="HZ35" s="221">
        <f t="shared" si="196"/>
        <v>0</v>
      </c>
      <c r="IA35" s="221">
        <f t="shared" si="196"/>
        <v>0</v>
      </c>
      <c r="IB35" s="221">
        <f t="shared" si="196"/>
        <v>0</v>
      </c>
      <c r="IC35" s="221">
        <f t="shared" si="197"/>
        <v>0</v>
      </c>
      <c r="ID35" s="221">
        <f t="shared" si="197"/>
        <v>0</v>
      </c>
      <c r="IE35" s="221">
        <f t="shared" si="197"/>
        <v>0</v>
      </c>
      <c r="IF35" s="221">
        <f t="shared" si="197"/>
        <v>0</v>
      </c>
      <c r="IG35" s="221">
        <f t="shared" si="197"/>
        <v>0</v>
      </c>
      <c r="IH35" s="221">
        <f t="shared" si="197"/>
        <v>0</v>
      </c>
      <c r="II35" s="221">
        <f t="shared" si="197"/>
        <v>0</v>
      </c>
      <c r="IJ35" s="221">
        <f t="shared" si="197"/>
        <v>0</v>
      </c>
      <c r="IK35" s="221">
        <f t="shared" si="197"/>
        <v>0</v>
      </c>
      <c r="IL35" s="221">
        <f t="shared" si="197"/>
        <v>0</v>
      </c>
      <c r="IM35" s="221">
        <f t="shared" si="197"/>
        <v>0</v>
      </c>
      <c r="IN35" s="221">
        <f t="shared" si="197"/>
        <v>0</v>
      </c>
      <c r="IO35" s="221">
        <f t="shared" si="197"/>
        <v>0</v>
      </c>
      <c r="IP35" s="221">
        <f t="shared" si="197"/>
        <v>0</v>
      </c>
      <c r="IQ35" s="221">
        <f t="shared" si="197"/>
        <v>0</v>
      </c>
      <c r="IR35" s="221">
        <f t="shared" si="197"/>
        <v>0</v>
      </c>
      <c r="IS35" s="221">
        <f t="shared" si="198"/>
        <v>0</v>
      </c>
      <c r="IT35" s="221">
        <f t="shared" si="198"/>
        <v>0</v>
      </c>
      <c r="IU35" s="221">
        <f t="shared" si="198"/>
        <v>0</v>
      </c>
      <c r="IV35" s="221">
        <f t="shared" si="198"/>
        <v>0</v>
      </c>
      <c r="IW35" s="221">
        <f t="shared" si="198"/>
        <v>0</v>
      </c>
      <c r="IX35" s="221">
        <f t="shared" si="198"/>
        <v>0</v>
      </c>
      <c r="IY35" s="221">
        <f t="shared" si="198"/>
        <v>0</v>
      </c>
      <c r="IZ35" s="221">
        <f t="shared" si="198"/>
        <v>0</v>
      </c>
      <c r="JA35" s="221">
        <f t="shared" si="198"/>
        <v>0</v>
      </c>
      <c r="JB35" s="221">
        <f t="shared" si="198"/>
        <v>0</v>
      </c>
      <c r="JC35" s="221">
        <f t="shared" si="198"/>
        <v>0</v>
      </c>
      <c r="JD35" s="221">
        <f t="shared" si="198"/>
        <v>0</v>
      </c>
      <c r="JE35" s="221">
        <f t="shared" si="198"/>
        <v>0</v>
      </c>
      <c r="JF35" s="221">
        <f t="shared" si="198"/>
        <v>0</v>
      </c>
      <c r="JG35" s="221">
        <f t="shared" si="198"/>
        <v>0</v>
      </c>
      <c r="JH35" s="221">
        <f t="shared" si="198"/>
        <v>0</v>
      </c>
      <c r="JI35" s="221">
        <f t="shared" si="199"/>
        <v>0</v>
      </c>
      <c r="JJ35" s="221">
        <f t="shared" si="199"/>
        <v>0</v>
      </c>
      <c r="JK35" s="221">
        <f t="shared" si="199"/>
        <v>0</v>
      </c>
      <c r="JL35" s="221">
        <f t="shared" si="199"/>
        <v>0</v>
      </c>
      <c r="JM35" s="221">
        <f t="shared" si="199"/>
        <v>0</v>
      </c>
      <c r="JN35" s="221">
        <f t="shared" si="199"/>
        <v>0</v>
      </c>
      <c r="JO35" s="221">
        <f t="shared" si="199"/>
        <v>0</v>
      </c>
      <c r="JP35" s="221">
        <f t="shared" si="199"/>
        <v>0</v>
      </c>
      <c r="JQ35" s="221">
        <f t="shared" si="199"/>
        <v>0</v>
      </c>
      <c r="JR35" s="221">
        <f t="shared" si="199"/>
        <v>0</v>
      </c>
      <c r="JS35" s="221">
        <f t="shared" si="199"/>
        <v>0</v>
      </c>
      <c r="JT35" s="221">
        <f t="shared" si="199"/>
        <v>0</v>
      </c>
      <c r="JU35" s="221">
        <f t="shared" si="199"/>
        <v>0</v>
      </c>
      <c r="JV35" s="221">
        <f t="shared" si="199"/>
        <v>0</v>
      </c>
      <c r="JW35" s="221">
        <f t="shared" si="199"/>
        <v>0</v>
      </c>
      <c r="JX35" s="221">
        <f t="shared" si="199"/>
        <v>0</v>
      </c>
      <c r="JY35" s="221">
        <f t="shared" si="200"/>
        <v>0</v>
      </c>
      <c r="JZ35" s="221">
        <f t="shared" si="200"/>
        <v>0</v>
      </c>
      <c r="KA35" s="221">
        <f t="shared" si="200"/>
        <v>0</v>
      </c>
      <c r="KB35" s="221">
        <f t="shared" si="200"/>
        <v>0</v>
      </c>
      <c r="KC35" s="221">
        <f t="shared" si="200"/>
        <v>0</v>
      </c>
    </row>
    <row r="36" spans="2:289" x14ac:dyDescent="0.25">
      <c r="B36" s="214" t="s">
        <v>862</v>
      </c>
      <c r="C36" s="196"/>
      <c r="D36" s="215">
        <v>1</v>
      </c>
      <c r="E36" s="215">
        <v>12</v>
      </c>
      <c r="F36" s="216" t="s">
        <v>27</v>
      </c>
      <c r="G36" s="217">
        <f>I36/Units_SF_M2</f>
        <v>8.8978890525282281</v>
      </c>
      <c r="H36" s="218">
        <f>I36/Units</f>
        <v>9062.5</v>
      </c>
      <c r="I36" s="219">
        <f>0.05*SUM(I34:I35)</f>
        <v>145000</v>
      </c>
      <c r="L36" s="364"/>
      <c r="P36" s="152" t="str">
        <f>IF(ROUND(SUM(Q36:ES36),0)=ROUND(I36,0),"","Incomplete")</f>
        <v/>
      </c>
      <c r="Q36" s="220">
        <f t="shared" si="178"/>
        <v>0</v>
      </c>
      <c r="R36" s="220">
        <f t="shared" si="178"/>
        <v>706.57386298486495</v>
      </c>
      <c r="S36" s="220">
        <f t="shared" si="178"/>
        <v>2404.8602925990926</v>
      </c>
      <c r="T36" s="220">
        <f t="shared" si="178"/>
        <v>6405.5687808759867</v>
      </c>
      <c r="U36" s="220">
        <f t="shared" si="178"/>
        <v>13354.020768777085</v>
      </c>
      <c r="V36" s="220">
        <f t="shared" si="178"/>
        <v>21791.764615527325</v>
      </c>
      <c r="W36" s="220">
        <f t="shared" si="178"/>
        <v>27837.211679235643</v>
      </c>
      <c r="X36" s="220">
        <f t="shared" si="178"/>
        <v>27837.211679235643</v>
      </c>
      <c r="Y36" s="220">
        <f t="shared" si="178"/>
        <v>21791.764615527329</v>
      </c>
      <c r="Z36" s="220">
        <f t="shared" si="178"/>
        <v>13354.020768777078</v>
      </c>
      <c r="AA36" s="220">
        <f t="shared" si="179"/>
        <v>6405.5687808759894</v>
      </c>
      <c r="AB36" s="220">
        <f t="shared" si="179"/>
        <v>2404.8602925990917</v>
      </c>
      <c r="AC36" s="220">
        <f t="shared" si="179"/>
        <v>706.57386298486722</v>
      </c>
      <c r="AD36" s="220">
        <f t="shared" si="179"/>
        <v>0</v>
      </c>
      <c r="AE36" s="220">
        <f t="shared" si="179"/>
        <v>0</v>
      </c>
      <c r="AF36" s="220">
        <f t="shared" si="179"/>
        <v>0</v>
      </c>
      <c r="AG36" s="220">
        <f t="shared" si="179"/>
        <v>0</v>
      </c>
      <c r="AH36" s="220">
        <f t="shared" si="179"/>
        <v>0</v>
      </c>
      <c r="AI36" s="220">
        <f t="shared" si="179"/>
        <v>0</v>
      </c>
      <c r="AJ36" s="220">
        <f t="shared" si="179"/>
        <v>0</v>
      </c>
      <c r="AK36" s="220">
        <f t="shared" si="180"/>
        <v>0</v>
      </c>
      <c r="AL36" s="220">
        <f t="shared" si="180"/>
        <v>0</v>
      </c>
      <c r="AM36" s="220">
        <f t="shared" si="180"/>
        <v>0</v>
      </c>
      <c r="AN36" s="220">
        <f t="shared" si="180"/>
        <v>0</v>
      </c>
      <c r="AO36" s="220">
        <f t="shared" si="180"/>
        <v>0</v>
      </c>
      <c r="AP36" s="220">
        <f t="shared" si="180"/>
        <v>0</v>
      </c>
      <c r="AQ36" s="220">
        <f t="shared" si="180"/>
        <v>0</v>
      </c>
      <c r="AR36" s="220">
        <f t="shared" si="180"/>
        <v>0</v>
      </c>
      <c r="AS36" s="220">
        <f t="shared" si="180"/>
        <v>0</v>
      </c>
      <c r="AT36" s="220">
        <f t="shared" si="180"/>
        <v>0</v>
      </c>
      <c r="AU36" s="220">
        <f t="shared" si="181"/>
        <v>0</v>
      </c>
      <c r="AV36" s="220">
        <f t="shared" si="181"/>
        <v>0</v>
      </c>
      <c r="AW36" s="220">
        <f t="shared" si="181"/>
        <v>0</v>
      </c>
      <c r="AX36" s="220">
        <f t="shared" si="181"/>
        <v>0</v>
      </c>
      <c r="AY36" s="220">
        <f t="shared" si="181"/>
        <v>0</v>
      </c>
      <c r="AZ36" s="220">
        <f t="shared" si="181"/>
        <v>0</v>
      </c>
      <c r="BA36" s="220">
        <f t="shared" si="181"/>
        <v>0</v>
      </c>
      <c r="BB36" s="220">
        <f t="shared" si="181"/>
        <v>0</v>
      </c>
      <c r="BC36" s="220">
        <f t="shared" si="181"/>
        <v>0</v>
      </c>
      <c r="BD36" s="220">
        <f t="shared" si="181"/>
        <v>0</v>
      </c>
      <c r="BE36" s="220">
        <f t="shared" si="182"/>
        <v>0</v>
      </c>
      <c r="BF36" s="220">
        <f t="shared" si="182"/>
        <v>0</v>
      </c>
      <c r="BG36" s="220">
        <f t="shared" si="182"/>
        <v>0</v>
      </c>
      <c r="BH36" s="220">
        <f t="shared" si="182"/>
        <v>0</v>
      </c>
      <c r="BI36" s="220">
        <f t="shared" si="182"/>
        <v>0</v>
      </c>
      <c r="BJ36" s="220">
        <f t="shared" si="182"/>
        <v>0</v>
      </c>
      <c r="BK36" s="220">
        <f t="shared" si="182"/>
        <v>0</v>
      </c>
      <c r="BL36" s="220">
        <f t="shared" si="182"/>
        <v>0</v>
      </c>
      <c r="BM36" s="220">
        <f t="shared" si="182"/>
        <v>0</v>
      </c>
      <c r="BN36" s="220">
        <f t="shared" si="182"/>
        <v>0</v>
      </c>
      <c r="BO36" s="220">
        <f t="shared" si="183"/>
        <v>0</v>
      </c>
      <c r="BP36" s="220">
        <f t="shared" si="183"/>
        <v>0</v>
      </c>
      <c r="BQ36" s="220">
        <f t="shared" si="183"/>
        <v>0</v>
      </c>
      <c r="BR36" s="220">
        <f t="shared" si="183"/>
        <v>0</v>
      </c>
      <c r="BS36" s="220">
        <f t="shared" si="183"/>
        <v>0</v>
      </c>
      <c r="BT36" s="220">
        <f t="shared" si="183"/>
        <v>0</v>
      </c>
      <c r="BU36" s="220">
        <f t="shared" si="183"/>
        <v>0</v>
      </c>
      <c r="BV36" s="220">
        <f t="shared" si="183"/>
        <v>0</v>
      </c>
      <c r="BW36" s="220">
        <f t="shared" si="183"/>
        <v>0</v>
      </c>
      <c r="BX36" s="220">
        <f t="shared" si="183"/>
        <v>0</v>
      </c>
      <c r="BY36" s="220">
        <f t="shared" si="184"/>
        <v>0</v>
      </c>
      <c r="BZ36" s="220">
        <f t="shared" si="184"/>
        <v>0</v>
      </c>
      <c r="CA36" s="220">
        <f t="shared" si="184"/>
        <v>0</v>
      </c>
      <c r="CB36" s="220">
        <f t="shared" si="184"/>
        <v>0</v>
      </c>
      <c r="CC36" s="220">
        <f t="shared" si="184"/>
        <v>0</v>
      </c>
      <c r="CD36" s="220">
        <f t="shared" si="184"/>
        <v>0</v>
      </c>
      <c r="CE36" s="220">
        <f t="shared" si="184"/>
        <v>0</v>
      </c>
      <c r="CF36" s="220">
        <f t="shared" si="184"/>
        <v>0</v>
      </c>
      <c r="CG36" s="220">
        <f t="shared" si="184"/>
        <v>0</v>
      </c>
      <c r="CH36" s="220">
        <f t="shared" si="184"/>
        <v>0</v>
      </c>
      <c r="CI36" s="220">
        <f t="shared" si="185"/>
        <v>0</v>
      </c>
      <c r="CJ36" s="220">
        <f t="shared" si="185"/>
        <v>0</v>
      </c>
      <c r="CK36" s="220">
        <f t="shared" si="185"/>
        <v>0</v>
      </c>
      <c r="CL36" s="220">
        <f t="shared" si="185"/>
        <v>0</v>
      </c>
      <c r="CM36" s="220">
        <f t="shared" si="185"/>
        <v>0</v>
      </c>
      <c r="CN36" s="220">
        <f t="shared" si="185"/>
        <v>0</v>
      </c>
      <c r="CO36" s="220">
        <f t="shared" si="185"/>
        <v>0</v>
      </c>
      <c r="CP36" s="220">
        <f t="shared" si="185"/>
        <v>0</v>
      </c>
      <c r="CQ36" s="220">
        <f t="shared" si="185"/>
        <v>0</v>
      </c>
      <c r="CR36" s="220">
        <f t="shared" si="185"/>
        <v>0</v>
      </c>
      <c r="CS36" s="220">
        <f t="shared" si="186"/>
        <v>0</v>
      </c>
      <c r="CT36" s="220">
        <f t="shared" si="186"/>
        <v>0</v>
      </c>
      <c r="CU36" s="220">
        <f t="shared" si="186"/>
        <v>0</v>
      </c>
      <c r="CV36" s="220">
        <f t="shared" si="186"/>
        <v>0</v>
      </c>
      <c r="CW36" s="220">
        <f t="shared" si="186"/>
        <v>0</v>
      </c>
      <c r="CX36" s="220">
        <f t="shared" si="186"/>
        <v>0</v>
      </c>
      <c r="CY36" s="220">
        <f t="shared" si="186"/>
        <v>0</v>
      </c>
      <c r="CZ36" s="220">
        <f t="shared" si="186"/>
        <v>0</v>
      </c>
      <c r="DA36" s="220">
        <f t="shared" si="186"/>
        <v>0</v>
      </c>
      <c r="DB36" s="220">
        <f t="shared" si="186"/>
        <v>0</v>
      </c>
      <c r="DC36" s="220">
        <f t="shared" si="187"/>
        <v>0</v>
      </c>
      <c r="DD36" s="220">
        <f t="shared" si="187"/>
        <v>0</v>
      </c>
      <c r="DE36" s="220">
        <f t="shared" si="187"/>
        <v>0</v>
      </c>
      <c r="DF36" s="220">
        <f t="shared" si="187"/>
        <v>0</v>
      </c>
      <c r="DG36" s="220">
        <f t="shared" si="187"/>
        <v>0</v>
      </c>
      <c r="DH36" s="220">
        <f t="shared" si="187"/>
        <v>0</v>
      </c>
      <c r="DI36" s="220">
        <f t="shared" si="187"/>
        <v>0</v>
      </c>
      <c r="DJ36" s="220">
        <f t="shared" si="187"/>
        <v>0</v>
      </c>
      <c r="DK36" s="220">
        <f t="shared" si="187"/>
        <v>0</v>
      </c>
      <c r="DL36" s="220">
        <f t="shared" si="187"/>
        <v>0</v>
      </c>
      <c r="DM36" s="220">
        <f t="shared" si="188"/>
        <v>0</v>
      </c>
      <c r="DN36" s="220">
        <f t="shared" si="188"/>
        <v>0</v>
      </c>
      <c r="DO36" s="220">
        <f t="shared" si="188"/>
        <v>0</v>
      </c>
      <c r="DP36" s="220">
        <f t="shared" si="188"/>
        <v>0</v>
      </c>
      <c r="DQ36" s="220">
        <f t="shared" si="188"/>
        <v>0</v>
      </c>
      <c r="DR36" s="220">
        <f t="shared" si="188"/>
        <v>0</v>
      </c>
      <c r="DS36" s="220">
        <f t="shared" si="188"/>
        <v>0</v>
      </c>
      <c r="DT36" s="220">
        <f t="shared" si="188"/>
        <v>0</v>
      </c>
      <c r="DU36" s="220">
        <f t="shared" si="188"/>
        <v>0</v>
      </c>
      <c r="DV36" s="220">
        <f t="shared" si="188"/>
        <v>0</v>
      </c>
      <c r="DW36" s="220">
        <f t="shared" si="189"/>
        <v>0</v>
      </c>
      <c r="DX36" s="220">
        <f t="shared" si="189"/>
        <v>0</v>
      </c>
      <c r="DY36" s="220">
        <f t="shared" si="189"/>
        <v>0</v>
      </c>
      <c r="DZ36" s="220">
        <f t="shared" si="189"/>
        <v>0</v>
      </c>
      <c r="EA36" s="220">
        <f t="shared" si="189"/>
        <v>0</v>
      </c>
      <c r="EB36" s="220">
        <f t="shared" si="189"/>
        <v>0</v>
      </c>
      <c r="EC36" s="220">
        <f t="shared" si="189"/>
        <v>0</v>
      </c>
      <c r="ED36" s="220">
        <f t="shared" si="189"/>
        <v>0</v>
      </c>
      <c r="EE36" s="220">
        <f t="shared" si="189"/>
        <v>0</v>
      </c>
      <c r="EF36" s="220">
        <f t="shared" si="189"/>
        <v>0</v>
      </c>
      <c r="EG36" s="220">
        <f t="shared" si="190"/>
        <v>0</v>
      </c>
      <c r="EH36" s="220">
        <f t="shared" si="190"/>
        <v>0</v>
      </c>
      <c r="EI36" s="220">
        <f t="shared" si="190"/>
        <v>0</v>
      </c>
      <c r="EJ36" s="220">
        <f t="shared" si="190"/>
        <v>0</v>
      </c>
      <c r="EK36" s="220">
        <f t="shared" si="190"/>
        <v>0</v>
      </c>
      <c r="EL36" s="220">
        <f t="shared" si="190"/>
        <v>0</v>
      </c>
      <c r="EM36" s="220">
        <f t="shared" si="190"/>
        <v>0</v>
      </c>
      <c r="EN36" s="220">
        <f t="shared" si="190"/>
        <v>0</v>
      </c>
      <c r="EO36" s="220">
        <f t="shared" si="190"/>
        <v>0</v>
      </c>
      <c r="EP36" s="220">
        <f t="shared" si="190"/>
        <v>0</v>
      </c>
      <c r="EQ36" s="220">
        <f t="shared" si="191"/>
        <v>0</v>
      </c>
      <c r="ER36" s="220">
        <f t="shared" si="191"/>
        <v>0</v>
      </c>
      <c r="ES36" s="220">
        <f t="shared" si="191"/>
        <v>0</v>
      </c>
      <c r="EU36" s="221">
        <f>I36</f>
        <v>145000</v>
      </c>
      <c r="EV36" s="222">
        <f>INDEX($Q$23:$ES$23,1,$D36+1)</f>
        <v>45716</v>
      </c>
      <c r="EW36" s="222">
        <f>INDEX($Q$23:$ES$23,1,$E36+1)</f>
        <v>46053</v>
      </c>
      <c r="EX36" s="221">
        <f>+E36-D36+1</f>
        <v>12</v>
      </c>
      <c r="EY36" s="153" t="str">
        <f>F36</f>
        <v>S-Curve</v>
      </c>
      <c r="EZ36" s="223">
        <f>EX36/Scurve_Dist</f>
        <v>2</v>
      </c>
      <c r="FA36" s="221">
        <f t="shared" si="192"/>
        <v>0</v>
      </c>
      <c r="FB36" s="221">
        <f t="shared" si="192"/>
        <v>706.57386298486495</v>
      </c>
      <c r="FC36" s="221">
        <f t="shared" si="192"/>
        <v>2404.8602925990926</v>
      </c>
      <c r="FD36" s="221">
        <f t="shared" si="192"/>
        <v>6405.5687808759867</v>
      </c>
      <c r="FE36" s="221">
        <f t="shared" si="192"/>
        <v>13354.020768777085</v>
      </c>
      <c r="FF36" s="221">
        <f t="shared" si="192"/>
        <v>21791.764615527325</v>
      </c>
      <c r="FG36" s="221">
        <f t="shared" si="192"/>
        <v>27837.211679235643</v>
      </c>
      <c r="FH36" s="221">
        <f t="shared" si="192"/>
        <v>27837.211679235643</v>
      </c>
      <c r="FI36" s="221">
        <f t="shared" si="192"/>
        <v>21791.764615527329</v>
      </c>
      <c r="FJ36" s="221">
        <f t="shared" si="192"/>
        <v>13354.020768777078</v>
      </c>
      <c r="FK36" s="221">
        <f t="shared" si="192"/>
        <v>6405.5687808759894</v>
      </c>
      <c r="FL36" s="221">
        <f t="shared" si="192"/>
        <v>2404.8602925990917</v>
      </c>
      <c r="FM36" s="221">
        <f t="shared" si="192"/>
        <v>706.57386298486722</v>
      </c>
      <c r="FN36" s="221">
        <f t="shared" si="192"/>
        <v>0</v>
      </c>
      <c r="FO36" s="221">
        <f t="shared" si="192"/>
        <v>0</v>
      </c>
      <c r="FP36" s="221">
        <f t="shared" si="192"/>
        <v>0</v>
      </c>
      <c r="FQ36" s="221">
        <f t="shared" si="193"/>
        <v>0</v>
      </c>
      <c r="FR36" s="221">
        <f t="shared" si="193"/>
        <v>0</v>
      </c>
      <c r="FS36" s="221">
        <f t="shared" si="193"/>
        <v>0</v>
      </c>
      <c r="FT36" s="221">
        <f t="shared" si="193"/>
        <v>0</v>
      </c>
      <c r="FU36" s="221">
        <f t="shared" si="193"/>
        <v>0</v>
      </c>
      <c r="FV36" s="221">
        <f t="shared" si="193"/>
        <v>0</v>
      </c>
      <c r="FW36" s="221">
        <f t="shared" si="193"/>
        <v>0</v>
      </c>
      <c r="FX36" s="221">
        <f t="shared" si="193"/>
        <v>0</v>
      </c>
      <c r="FY36" s="221">
        <f t="shared" si="193"/>
        <v>0</v>
      </c>
      <c r="FZ36" s="221">
        <f t="shared" si="193"/>
        <v>0</v>
      </c>
      <c r="GA36" s="221">
        <f t="shared" si="193"/>
        <v>0</v>
      </c>
      <c r="GB36" s="221">
        <f t="shared" si="193"/>
        <v>0</v>
      </c>
      <c r="GC36" s="221">
        <f t="shared" si="193"/>
        <v>0</v>
      </c>
      <c r="GD36" s="221">
        <f t="shared" si="193"/>
        <v>0</v>
      </c>
      <c r="GE36" s="221">
        <f t="shared" si="193"/>
        <v>0</v>
      </c>
      <c r="GF36" s="221">
        <f t="shared" si="193"/>
        <v>0</v>
      </c>
      <c r="GG36" s="221">
        <f t="shared" si="194"/>
        <v>0</v>
      </c>
      <c r="GH36" s="221">
        <f t="shared" si="194"/>
        <v>0</v>
      </c>
      <c r="GI36" s="221">
        <f t="shared" si="194"/>
        <v>0</v>
      </c>
      <c r="GJ36" s="221">
        <f t="shared" si="194"/>
        <v>0</v>
      </c>
      <c r="GK36" s="221">
        <f t="shared" si="194"/>
        <v>0</v>
      </c>
      <c r="GL36" s="221">
        <f t="shared" si="194"/>
        <v>0</v>
      </c>
      <c r="GM36" s="221">
        <f t="shared" si="194"/>
        <v>0</v>
      </c>
      <c r="GN36" s="221">
        <f t="shared" si="194"/>
        <v>0</v>
      </c>
      <c r="GO36" s="221">
        <f t="shared" si="194"/>
        <v>0</v>
      </c>
      <c r="GP36" s="221">
        <f t="shared" si="194"/>
        <v>0</v>
      </c>
      <c r="GQ36" s="221">
        <f t="shared" si="194"/>
        <v>0</v>
      </c>
      <c r="GR36" s="221">
        <f t="shared" si="194"/>
        <v>0</v>
      </c>
      <c r="GS36" s="221">
        <f t="shared" si="194"/>
        <v>0</v>
      </c>
      <c r="GT36" s="221">
        <f t="shared" si="194"/>
        <v>0</v>
      </c>
      <c r="GU36" s="221">
        <f t="shared" si="194"/>
        <v>0</v>
      </c>
      <c r="GV36" s="221">
        <f t="shared" si="194"/>
        <v>0</v>
      </c>
      <c r="GW36" s="221">
        <f t="shared" si="195"/>
        <v>0</v>
      </c>
      <c r="GX36" s="221">
        <f t="shared" si="195"/>
        <v>0</v>
      </c>
      <c r="GY36" s="221">
        <f t="shared" si="195"/>
        <v>0</v>
      </c>
      <c r="GZ36" s="221">
        <f t="shared" si="195"/>
        <v>0</v>
      </c>
      <c r="HA36" s="221">
        <f t="shared" si="195"/>
        <v>0</v>
      </c>
      <c r="HB36" s="221">
        <f t="shared" si="195"/>
        <v>0</v>
      </c>
      <c r="HC36" s="221">
        <f t="shared" si="195"/>
        <v>0</v>
      </c>
      <c r="HD36" s="221">
        <f t="shared" si="195"/>
        <v>0</v>
      </c>
      <c r="HE36" s="221">
        <f t="shared" si="195"/>
        <v>0</v>
      </c>
      <c r="HF36" s="221">
        <f t="shared" si="195"/>
        <v>0</v>
      </c>
      <c r="HG36" s="221">
        <f t="shared" si="195"/>
        <v>0</v>
      </c>
      <c r="HH36" s="221">
        <f t="shared" si="195"/>
        <v>0</v>
      </c>
      <c r="HI36" s="221">
        <f t="shared" si="195"/>
        <v>0</v>
      </c>
      <c r="HJ36" s="221">
        <f t="shared" si="195"/>
        <v>0</v>
      </c>
      <c r="HK36" s="221">
        <f t="shared" si="195"/>
        <v>0</v>
      </c>
      <c r="HL36" s="221">
        <f t="shared" si="195"/>
        <v>0</v>
      </c>
      <c r="HM36" s="221">
        <f t="shared" si="196"/>
        <v>0</v>
      </c>
      <c r="HN36" s="221">
        <f t="shared" si="196"/>
        <v>0</v>
      </c>
      <c r="HO36" s="221">
        <f t="shared" si="196"/>
        <v>0</v>
      </c>
      <c r="HP36" s="221">
        <f t="shared" si="196"/>
        <v>0</v>
      </c>
      <c r="HQ36" s="221">
        <f t="shared" si="196"/>
        <v>0</v>
      </c>
      <c r="HR36" s="221">
        <f t="shared" si="196"/>
        <v>0</v>
      </c>
      <c r="HS36" s="221">
        <f t="shared" si="196"/>
        <v>0</v>
      </c>
      <c r="HT36" s="221">
        <f t="shared" si="196"/>
        <v>0</v>
      </c>
      <c r="HU36" s="221">
        <f t="shared" si="196"/>
        <v>0</v>
      </c>
      <c r="HV36" s="221">
        <f t="shared" si="196"/>
        <v>0</v>
      </c>
      <c r="HW36" s="221">
        <f t="shared" si="196"/>
        <v>0</v>
      </c>
      <c r="HX36" s="221">
        <f t="shared" si="196"/>
        <v>0</v>
      </c>
      <c r="HY36" s="221">
        <f t="shared" si="196"/>
        <v>0</v>
      </c>
      <c r="HZ36" s="221">
        <f t="shared" si="196"/>
        <v>0</v>
      </c>
      <c r="IA36" s="221">
        <f t="shared" si="196"/>
        <v>0</v>
      </c>
      <c r="IB36" s="221">
        <f t="shared" si="196"/>
        <v>0</v>
      </c>
      <c r="IC36" s="221">
        <f t="shared" si="197"/>
        <v>0</v>
      </c>
      <c r="ID36" s="221">
        <f t="shared" si="197"/>
        <v>0</v>
      </c>
      <c r="IE36" s="221">
        <f t="shared" si="197"/>
        <v>0</v>
      </c>
      <c r="IF36" s="221">
        <f t="shared" si="197"/>
        <v>0</v>
      </c>
      <c r="IG36" s="221">
        <f t="shared" si="197"/>
        <v>0</v>
      </c>
      <c r="IH36" s="221">
        <f t="shared" si="197"/>
        <v>0</v>
      </c>
      <c r="II36" s="221">
        <f t="shared" si="197"/>
        <v>0</v>
      </c>
      <c r="IJ36" s="221">
        <f t="shared" si="197"/>
        <v>0</v>
      </c>
      <c r="IK36" s="221">
        <f t="shared" si="197"/>
        <v>0</v>
      </c>
      <c r="IL36" s="221">
        <f t="shared" si="197"/>
        <v>0</v>
      </c>
      <c r="IM36" s="221">
        <f t="shared" si="197"/>
        <v>0</v>
      </c>
      <c r="IN36" s="221">
        <f t="shared" si="197"/>
        <v>0</v>
      </c>
      <c r="IO36" s="221">
        <f t="shared" si="197"/>
        <v>0</v>
      </c>
      <c r="IP36" s="221">
        <f t="shared" si="197"/>
        <v>0</v>
      </c>
      <c r="IQ36" s="221">
        <f t="shared" si="197"/>
        <v>0</v>
      </c>
      <c r="IR36" s="221">
        <f t="shared" si="197"/>
        <v>0</v>
      </c>
      <c r="IS36" s="221">
        <f t="shared" si="198"/>
        <v>0</v>
      </c>
      <c r="IT36" s="221">
        <f t="shared" si="198"/>
        <v>0</v>
      </c>
      <c r="IU36" s="221">
        <f t="shared" si="198"/>
        <v>0</v>
      </c>
      <c r="IV36" s="221">
        <f t="shared" si="198"/>
        <v>0</v>
      </c>
      <c r="IW36" s="221">
        <f t="shared" si="198"/>
        <v>0</v>
      </c>
      <c r="IX36" s="221">
        <f t="shared" si="198"/>
        <v>0</v>
      </c>
      <c r="IY36" s="221">
        <f t="shared" si="198"/>
        <v>0</v>
      </c>
      <c r="IZ36" s="221">
        <f t="shared" si="198"/>
        <v>0</v>
      </c>
      <c r="JA36" s="221">
        <f t="shared" si="198"/>
        <v>0</v>
      </c>
      <c r="JB36" s="221">
        <f t="shared" si="198"/>
        <v>0</v>
      </c>
      <c r="JC36" s="221">
        <f t="shared" si="198"/>
        <v>0</v>
      </c>
      <c r="JD36" s="221">
        <f t="shared" si="198"/>
        <v>0</v>
      </c>
      <c r="JE36" s="221">
        <f t="shared" si="198"/>
        <v>0</v>
      </c>
      <c r="JF36" s="221">
        <f t="shared" si="198"/>
        <v>0</v>
      </c>
      <c r="JG36" s="221">
        <f t="shared" si="198"/>
        <v>0</v>
      </c>
      <c r="JH36" s="221">
        <f t="shared" si="198"/>
        <v>0</v>
      </c>
      <c r="JI36" s="221">
        <f t="shared" si="199"/>
        <v>0</v>
      </c>
      <c r="JJ36" s="221">
        <f t="shared" si="199"/>
        <v>0</v>
      </c>
      <c r="JK36" s="221">
        <f t="shared" si="199"/>
        <v>0</v>
      </c>
      <c r="JL36" s="221">
        <f t="shared" si="199"/>
        <v>0</v>
      </c>
      <c r="JM36" s="221">
        <f t="shared" si="199"/>
        <v>0</v>
      </c>
      <c r="JN36" s="221">
        <f t="shared" si="199"/>
        <v>0</v>
      </c>
      <c r="JO36" s="221">
        <f t="shared" si="199"/>
        <v>0</v>
      </c>
      <c r="JP36" s="221">
        <f t="shared" si="199"/>
        <v>0</v>
      </c>
      <c r="JQ36" s="221">
        <f t="shared" si="199"/>
        <v>0</v>
      </c>
      <c r="JR36" s="221">
        <f t="shared" si="199"/>
        <v>0</v>
      </c>
      <c r="JS36" s="221">
        <f t="shared" si="199"/>
        <v>0</v>
      </c>
      <c r="JT36" s="221">
        <f t="shared" si="199"/>
        <v>0</v>
      </c>
      <c r="JU36" s="221">
        <f t="shared" si="199"/>
        <v>0</v>
      </c>
      <c r="JV36" s="221">
        <f t="shared" si="199"/>
        <v>0</v>
      </c>
      <c r="JW36" s="221">
        <f t="shared" si="199"/>
        <v>0</v>
      </c>
      <c r="JX36" s="221">
        <f t="shared" si="199"/>
        <v>0</v>
      </c>
      <c r="JY36" s="221">
        <f t="shared" si="200"/>
        <v>0</v>
      </c>
      <c r="JZ36" s="221">
        <f t="shared" si="200"/>
        <v>0</v>
      </c>
      <c r="KA36" s="221">
        <f t="shared" si="200"/>
        <v>0</v>
      </c>
      <c r="KB36" s="221">
        <f t="shared" si="200"/>
        <v>0</v>
      </c>
      <c r="KC36" s="221">
        <f t="shared" si="200"/>
        <v>0</v>
      </c>
    </row>
    <row r="37" spans="2:289" ht="16.5" x14ac:dyDescent="0.35">
      <c r="B37" s="214" t="s">
        <v>453</v>
      </c>
      <c r="C37" s="196"/>
      <c r="D37" s="215">
        <v>0</v>
      </c>
      <c r="E37" s="215">
        <v>0</v>
      </c>
      <c r="F37" s="216" t="s">
        <v>26</v>
      </c>
      <c r="G37" s="224">
        <f>I37/Units_SF_M2</f>
        <v>0</v>
      </c>
      <c r="H37" s="224">
        <f>I37/Units</f>
        <v>0</v>
      </c>
      <c r="I37" s="233">
        <v>0</v>
      </c>
      <c r="P37" s="152" t="str">
        <f>IF(ROUND(SUM(Q37:ES37),0)=ROUND(I37,0),"","Incomplete")</f>
        <v/>
      </c>
      <c r="Q37" s="226">
        <f t="shared" si="178"/>
        <v>0</v>
      </c>
      <c r="R37" s="226">
        <f t="shared" si="178"/>
        <v>0</v>
      </c>
      <c r="S37" s="226">
        <f t="shared" si="178"/>
        <v>0</v>
      </c>
      <c r="T37" s="226">
        <f t="shared" si="178"/>
        <v>0</v>
      </c>
      <c r="U37" s="226">
        <f t="shared" si="178"/>
        <v>0</v>
      </c>
      <c r="V37" s="226">
        <f t="shared" si="178"/>
        <v>0</v>
      </c>
      <c r="W37" s="226">
        <f t="shared" si="178"/>
        <v>0</v>
      </c>
      <c r="X37" s="226">
        <f t="shared" si="178"/>
        <v>0</v>
      </c>
      <c r="Y37" s="226">
        <f t="shared" si="178"/>
        <v>0</v>
      </c>
      <c r="Z37" s="226">
        <f t="shared" si="178"/>
        <v>0</v>
      </c>
      <c r="AA37" s="226">
        <f t="shared" si="179"/>
        <v>0</v>
      </c>
      <c r="AB37" s="226">
        <f t="shared" si="179"/>
        <v>0</v>
      </c>
      <c r="AC37" s="226">
        <f t="shared" si="179"/>
        <v>0</v>
      </c>
      <c r="AD37" s="226">
        <f t="shared" si="179"/>
        <v>0</v>
      </c>
      <c r="AE37" s="226">
        <f t="shared" si="179"/>
        <v>0</v>
      </c>
      <c r="AF37" s="226">
        <f t="shared" si="179"/>
        <v>0</v>
      </c>
      <c r="AG37" s="226">
        <f t="shared" si="179"/>
        <v>0</v>
      </c>
      <c r="AH37" s="226">
        <f t="shared" si="179"/>
        <v>0</v>
      </c>
      <c r="AI37" s="226">
        <f t="shared" si="179"/>
        <v>0</v>
      </c>
      <c r="AJ37" s="226">
        <f t="shared" si="179"/>
        <v>0</v>
      </c>
      <c r="AK37" s="226">
        <f t="shared" si="180"/>
        <v>0</v>
      </c>
      <c r="AL37" s="226">
        <f t="shared" si="180"/>
        <v>0</v>
      </c>
      <c r="AM37" s="226">
        <f t="shared" si="180"/>
        <v>0</v>
      </c>
      <c r="AN37" s="226">
        <f t="shared" si="180"/>
        <v>0</v>
      </c>
      <c r="AO37" s="226">
        <f t="shared" si="180"/>
        <v>0</v>
      </c>
      <c r="AP37" s="226">
        <f t="shared" si="180"/>
        <v>0</v>
      </c>
      <c r="AQ37" s="226">
        <f t="shared" si="180"/>
        <v>0</v>
      </c>
      <c r="AR37" s="226">
        <f t="shared" si="180"/>
        <v>0</v>
      </c>
      <c r="AS37" s="226">
        <f t="shared" si="180"/>
        <v>0</v>
      </c>
      <c r="AT37" s="226">
        <f t="shared" si="180"/>
        <v>0</v>
      </c>
      <c r="AU37" s="226">
        <f t="shared" si="181"/>
        <v>0</v>
      </c>
      <c r="AV37" s="226">
        <f t="shared" si="181"/>
        <v>0</v>
      </c>
      <c r="AW37" s="226">
        <f t="shared" si="181"/>
        <v>0</v>
      </c>
      <c r="AX37" s="226">
        <f t="shared" si="181"/>
        <v>0</v>
      </c>
      <c r="AY37" s="226">
        <f t="shared" si="181"/>
        <v>0</v>
      </c>
      <c r="AZ37" s="226">
        <f t="shared" si="181"/>
        <v>0</v>
      </c>
      <c r="BA37" s="226">
        <f t="shared" si="181"/>
        <v>0</v>
      </c>
      <c r="BB37" s="226">
        <f t="shared" si="181"/>
        <v>0</v>
      </c>
      <c r="BC37" s="226">
        <f t="shared" si="181"/>
        <v>0</v>
      </c>
      <c r="BD37" s="226">
        <f t="shared" si="181"/>
        <v>0</v>
      </c>
      <c r="BE37" s="226">
        <f t="shared" si="182"/>
        <v>0</v>
      </c>
      <c r="BF37" s="226">
        <f t="shared" si="182"/>
        <v>0</v>
      </c>
      <c r="BG37" s="226">
        <f t="shared" si="182"/>
        <v>0</v>
      </c>
      <c r="BH37" s="226">
        <f t="shared" si="182"/>
        <v>0</v>
      </c>
      <c r="BI37" s="226">
        <f t="shared" si="182"/>
        <v>0</v>
      </c>
      <c r="BJ37" s="226">
        <f t="shared" si="182"/>
        <v>0</v>
      </c>
      <c r="BK37" s="226">
        <f t="shared" si="182"/>
        <v>0</v>
      </c>
      <c r="BL37" s="226">
        <f t="shared" si="182"/>
        <v>0</v>
      </c>
      <c r="BM37" s="226">
        <f t="shared" si="182"/>
        <v>0</v>
      </c>
      <c r="BN37" s="226">
        <f t="shared" si="182"/>
        <v>0</v>
      </c>
      <c r="BO37" s="226">
        <f t="shared" si="183"/>
        <v>0</v>
      </c>
      <c r="BP37" s="226">
        <f t="shared" si="183"/>
        <v>0</v>
      </c>
      <c r="BQ37" s="226">
        <f t="shared" si="183"/>
        <v>0</v>
      </c>
      <c r="BR37" s="226">
        <f t="shared" si="183"/>
        <v>0</v>
      </c>
      <c r="BS37" s="226">
        <f t="shared" si="183"/>
        <v>0</v>
      </c>
      <c r="BT37" s="226">
        <f t="shared" si="183"/>
        <v>0</v>
      </c>
      <c r="BU37" s="226">
        <f t="shared" si="183"/>
        <v>0</v>
      </c>
      <c r="BV37" s="226">
        <f t="shared" si="183"/>
        <v>0</v>
      </c>
      <c r="BW37" s="226">
        <f t="shared" si="183"/>
        <v>0</v>
      </c>
      <c r="BX37" s="226">
        <f t="shared" si="183"/>
        <v>0</v>
      </c>
      <c r="BY37" s="226">
        <f t="shared" si="184"/>
        <v>0</v>
      </c>
      <c r="BZ37" s="226">
        <f t="shared" si="184"/>
        <v>0</v>
      </c>
      <c r="CA37" s="226">
        <f t="shared" si="184"/>
        <v>0</v>
      </c>
      <c r="CB37" s="226">
        <f t="shared" si="184"/>
        <v>0</v>
      </c>
      <c r="CC37" s="226">
        <f t="shared" si="184"/>
        <v>0</v>
      </c>
      <c r="CD37" s="226">
        <f t="shared" si="184"/>
        <v>0</v>
      </c>
      <c r="CE37" s="226">
        <f t="shared" si="184"/>
        <v>0</v>
      </c>
      <c r="CF37" s="226">
        <f t="shared" si="184"/>
        <v>0</v>
      </c>
      <c r="CG37" s="226">
        <f t="shared" si="184"/>
        <v>0</v>
      </c>
      <c r="CH37" s="226">
        <f t="shared" si="184"/>
        <v>0</v>
      </c>
      <c r="CI37" s="226">
        <f t="shared" si="185"/>
        <v>0</v>
      </c>
      <c r="CJ37" s="226">
        <f t="shared" si="185"/>
        <v>0</v>
      </c>
      <c r="CK37" s="226">
        <f t="shared" si="185"/>
        <v>0</v>
      </c>
      <c r="CL37" s="226">
        <f t="shared" si="185"/>
        <v>0</v>
      </c>
      <c r="CM37" s="226">
        <f t="shared" si="185"/>
        <v>0</v>
      </c>
      <c r="CN37" s="226">
        <f t="shared" si="185"/>
        <v>0</v>
      </c>
      <c r="CO37" s="226">
        <f t="shared" si="185"/>
        <v>0</v>
      </c>
      <c r="CP37" s="226">
        <f t="shared" si="185"/>
        <v>0</v>
      </c>
      <c r="CQ37" s="226">
        <f t="shared" si="185"/>
        <v>0</v>
      </c>
      <c r="CR37" s="226">
        <f t="shared" si="185"/>
        <v>0</v>
      </c>
      <c r="CS37" s="226">
        <f t="shared" si="186"/>
        <v>0</v>
      </c>
      <c r="CT37" s="226">
        <f t="shared" si="186"/>
        <v>0</v>
      </c>
      <c r="CU37" s="226">
        <f t="shared" si="186"/>
        <v>0</v>
      </c>
      <c r="CV37" s="226">
        <f t="shared" si="186"/>
        <v>0</v>
      </c>
      <c r="CW37" s="226">
        <f t="shared" si="186"/>
        <v>0</v>
      </c>
      <c r="CX37" s="226">
        <f t="shared" si="186"/>
        <v>0</v>
      </c>
      <c r="CY37" s="226">
        <f t="shared" si="186"/>
        <v>0</v>
      </c>
      <c r="CZ37" s="226">
        <f t="shared" si="186"/>
        <v>0</v>
      </c>
      <c r="DA37" s="226">
        <f t="shared" si="186"/>
        <v>0</v>
      </c>
      <c r="DB37" s="226">
        <f t="shared" si="186"/>
        <v>0</v>
      </c>
      <c r="DC37" s="226">
        <f t="shared" si="187"/>
        <v>0</v>
      </c>
      <c r="DD37" s="226">
        <f t="shared" si="187"/>
        <v>0</v>
      </c>
      <c r="DE37" s="226">
        <f t="shared" si="187"/>
        <v>0</v>
      </c>
      <c r="DF37" s="226">
        <f t="shared" si="187"/>
        <v>0</v>
      </c>
      <c r="DG37" s="226">
        <f t="shared" si="187"/>
        <v>0</v>
      </c>
      <c r="DH37" s="226">
        <f t="shared" si="187"/>
        <v>0</v>
      </c>
      <c r="DI37" s="226">
        <f t="shared" si="187"/>
        <v>0</v>
      </c>
      <c r="DJ37" s="226">
        <f t="shared" si="187"/>
        <v>0</v>
      </c>
      <c r="DK37" s="226">
        <f t="shared" si="187"/>
        <v>0</v>
      </c>
      <c r="DL37" s="226">
        <f t="shared" si="187"/>
        <v>0</v>
      </c>
      <c r="DM37" s="226">
        <f t="shared" si="188"/>
        <v>0</v>
      </c>
      <c r="DN37" s="226">
        <f t="shared" si="188"/>
        <v>0</v>
      </c>
      <c r="DO37" s="226">
        <f t="shared" si="188"/>
        <v>0</v>
      </c>
      <c r="DP37" s="226">
        <f t="shared" si="188"/>
        <v>0</v>
      </c>
      <c r="DQ37" s="226">
        <f t="shared" si="188"/>
        <v>0</v>
      </c>
      <c r="DR37" s="226">
        <f t="shared" si="188"/>
        <v>0</v>
      </c>
      <c r="DS37" s="226">
        <f t="shared" si="188"/>
        <v>0</v>
      </c>
      <c r="DT37" s="226">
        <f t="shared" si="188"/>
        <v>0</v>
      </c>
      <c r="DU37" s="226">
        <f t="shared" si="188"/>
        <v>0</v>
      </c>
      <c r="DV37" s="226">
        <f t="shared" si="188"/>
        <v>0</v>
      </c>
      <c r="DW37" s="226">
        <f t="shared" si="189"/>
        <v>0</v>
      </c>
      <c r="DX37" s="226">
        <f t="shared" si="189"/>
        <v>0</v>
      </c>
      <c r="DY37" s="226">
        <f t="shared" si="189"/>
        <v>0</v>
      </c>
      <c r="DZ37" s="226">
        <f t="shared" si="189"/>
        <v>0</v>
      </c>
      <c r="EA37" s="226">
        <f t="shared" si="189"/>
        <v>0</v>
      </c>
      <c r="EB37" s="226">
        <f t="shared" si="189"/>
        <v>0</v>
      </c>
      <c r="EC37" s="226">
        <f t="shared" si="189"/>
        <v>0</v>
      </c>
      <c r="ED37" s="226">
        <f t="shared" si="189"/>
        <v>0</v>
      </c>
      <c r="EE37" s="226">
        <f t="shared" si="189"/>
        <v>0</v>
      </c>
      <c r="EF37" s="226">
        <f t="shared" si="189"/>
        <v>0</v>
      </c>
      <c r="EG37" s="226">
        <f t="shared" si="190"/>
        <v>0</v>
      </c>
      <c r="EH37" s="226">
        <f t="shared" si="190"/>
        <v>0</v>
      </c>
      <c r="EI37" s="226">
        <f t="shared" si="190"/>
        <v>0</v>
      </c>
      <c r="EJ37" s="226">
        <f t="shared" si="190"/>
        <v>0</v>
      </c>
      <c r="EK37" s="226">
        <f t="shared" si="190"/>
        <v>0</v>
      </c>
      <c r="EL37" s="226">
        <f t="shared" si="190"/>
        <v>0</v>
      </c>
      <c r="EM37" s="226">
        <f t="shared" si="190"/>
        <v>0</v>
      </c>
      <c r="EN37" s="226">
        <f t="shared" si="190"/>
        <v>0</v>
      </c>
      <c r="EO37" s="226">
        <f t="shared" si="190"/>
        <v>0</v>
      </c>
      <c r="EP37" s="226">
        <f t="shared" si="190"/>
        <v>0</v>
      </c>
      <c r="EQ37" s="226">
        <f t="shared" si="191"/>
        <v>0</v>
      </c>
      <c r="ER37" s="226">
        <f t="shared" si="191"/>
        <v>0</v>
      </c>
      <c r="ES37" s="226">
        <f t="shared" si="191"/>
        <v>0</v>
      </c>
      <c r="EU37" s="221">
        <f>I37</f>
        <v>0</v>
      </c>
      <c r="EV37" s="222">
        <f>INDEX($Q$23:$ES$23,1,$D37+1)</f>
        <v>45688</v>
      </c>
      <c r="EW37" s="222">
        <f>INDEX($Q$23:$ES$23,1,$E37+1)</f>
        <v>45688</v>
      </c>
      <c r="EX37" s="221">
        <f>+E37-D37+1</f>
        <v>1</v>
      </c>
      <c r="EY37" s="153" t="str">
        <f>F37</f>
        <v>Straight-Line</v>
      </c>
      <c r="EZ37" s="223">
        <f>EX37/Scurve_Dist</f>
        <v>0.16666666666666666</v>
      </c>
      <c r="FA37" s="221">
        <f t="shared" si="192"/>
        <v>0</v>
      </c>
      <c r="FB37" s="221">
        <f t="shared" si="192"/>
        <v>0</v>
      </c>
      <c r="FC37" s="221">
        <f t="shared" si="192"/>
        <v>0</v>
      </c>
      <c r="FD37" s="221">
        <f t="shared" si="192"/>
        <v>0</v>
      </c>
      <c r="FE37" s="221">
        <f t="shared" si="192"/>
        <v>0</v>
      </c>
      <c r="FF37" s="221">
        <f t="shared" si="192"/>
        <v>0</v>
      </c>
      <c r="FG37" s="221">
        <f t="shared" si="192"/>
        <v>0</v>
      </c>
      <c r="FH37" s="221">
        <f t="shared" si="192"/>
        <v>0</v>
      </c>
      <c r="FI37" s="221">
        <f t="shared" si="192"/>
        <v>0</v>
      </c>
      <c r="FJ37" s="221">
        <f t="shared" si="192"/>
        <v>0</v>
      </c>
      <c r="FK37" s="221">
        <f t="shared" si="192"/>
        <v>0</v>
      </c>
      <c r="FL37" s="221">
        <f t="shared" si="192"/>
        <v>0</v>
      </c>
      <c r="FM37" s="221">
        <f t="shared" si="192"/>
        <v>0</v>
      </c>
      <c r="FN37" s="221">
        <f t="shared" si="192"/>
        <v>0</v>
      </c>
      <c r="FO37" s="221">
        <f t="shared" si="192"/>
        <v>0</v>
      </c>
      <c r="FP37" s="221">
        <f t="shared" si="192"/>
        <v>0</v>
      </c>
      <c r="FQ37" s="221">
        <f t="shared" si="193"/>
        <v>0</v>
      </c>
      <c r="FR37" s="221">
        <f t="shared" si="193"/>
        <v>0</v>
      </c>
      <c r="FS37" s="221">
        <f t="shared" si="193"/>
        <v>0</v>
      </c>
      <c r="FT37" s="221">
        <f t="shared" si="193"/>
        <v>0</v>
      </c>
      <c r="FU37" s="221">
        <f t="shared" si="193"/>
        <v>0</v>
      </c>
      <c r="FV37" s="221">
        <f t="shared" si="193"/>
        <v>0</v>
      </c>
      <c r="FW37" s="221">
        <f t="shared" si="193"/>
        <v>0</v>
      </c>
      <c r="FX37" s="221">
        <f t="shared" si="193"/>
        <v>0</v>
      </c>
      <c r="FY37" s="221">
        <f t="shared" si="193"/>
        <v>0</v>
      </c>
      <c r="FZ37" s="221">
        <f t="shared" si="193"/>
        <v>0</v>
      </c>
      <c r="GA37" s="221">
        <f t="shared" si="193"/>
        <v>0</v>
      </c>
      <c r="GB37" s="221">
        <f t="shared" si="193"/>
        <v>0</v>
      </c>
      <c r="GC37" s="221">
        <f t="shared" si="193"/>
        <v>0</v>
      </c>
      <c r="GD37" s="221">
        <f t="shared" si="193"/>
        <v>0</v>
      </c>
      <c r="GE37" s="221">
        <f t="shared" si="193"/>
        <v>0</v>
      </c>
      <c r="GF37" s="221">
        <f t="shared" si="193"/>
        <v>0</v>
      </c>
      <c r="GG37" s="221">
        <f t="shared" si="194"/>
        <v>0</v>
      </c>
      <c r="GH37" s="221">
        <f t="shared" si="194"/>
        <v>0</v>
      </c>
      <c r="GI37" s="221">
        <f t="shared" si="194"/>
        <v>0</v>
      </c>
      <c r="GJ37" s="221">
        <f t="shared" si="194"/>
        <v>0</v>
      </c>
      <c r="GK37" s="221">
        <f t="shared" si="194"/>
        <v>0</v>
      </c>
      <c r="GL37" s="221">
        <f t="shared" si="194"/>
        <v>0</v>
      </c>
      <c r="GM37" s="221">
        <f t="shared" si="194"/>
        <v>0</v>
      </c>
      <c r="GN37" s="221">
        <f t="shared" si="194"/>
        <v>0</v>
      </c>
      <c r="GO37" s="221">
        <f t="shared" si="194"/>
        <v>0</v>
      </c>
      <c r="GP37" s="221">
        <f t="shared" si="194"/>
        <v>0</v>
      </c>
      <c r="GQ37" s="221">
        <f t="shared" si="194"/>
        <v>0</v>
      </c>
      <c r="GR37" s="221">
        <f t="shared" si="194"/>
        <v>0</v>
      </c>
      <c r="GS37" s="221">
        <f t="shared" si="194"/>
        <v>0</v>
      </c>
      <c r="GT37" s="221">
        <f t="shared" si="194"/>
        <v>0</v>
      </c>
      <c r="GU37" s="221">
        <f t="shared" si="194"/>
        <v>0</v>
      </c>
      <c r="GV37" s="221">
        <f t="shared" si="194"/>
        <v>0</v>
      </c>
      <c r="GW37" s="221">
        <f t="shared" si="195"/>
        <v>0</v>
      </c>
      <c r="GX37" s="221">
        <f t="shared" si="195"/>
        <v>0</v>
      </c>
      <c r="GY37" s="221">
        <f t="shared" si="195"/>
        <v>0</v>
      </c>
      <c r="GZ37" s="221">
        <f t="shared" si="195"/>
        <v>0</v>
      </c>
      <c r="HA37" s="221">
        <f t="shared" si="195"/>
        <v>0</v>
      </c>
      <c r="HB37" s="221">
        <f t="shared" si="195"/>
        <v>0</v>
      </c>
      <c r="HC37" s="221">
        <f t="shared" si="195"/>
        <v>0</v>
      </c>
      <c r="HD37" s="221">
        <f t="shared" si="195"/>
        <v>0</v>
      </c>
      <c r="HE37" s="221">
        <f t="shared" si="195"/>
        <v>0</v>
      </c>
      <c r="HF37" s="221">
        <f t="shared" si="195"/>
        <v>0</v>
      </c>
      <c r="HG37" s="221">
        <f t="shared" si="195"/>
        <v>0</v>
      </c>
      <c r="HH37" s="221">
        <f t="shared" si="195"/>
        <v>0</v>
      </c>
      <c r="HI37" s="221">
        <f t="shared" si="195"/>
        <v>0</v>
      </c>
      <c r="HJ37" s="221">
        <f t="shared" si="195"/>
        <v>0</v>
      </c>
      <c r="HK37" s="221">
        <f t="shared" si="195"/>
        <v>0</v>
      </c>
      <c r="HL37" s="221">
        <f t="shared" si="195"/>
        <v>0</v>
      </c>
      <c r="HM37" s="221">
        <f t="shared" si="196"/>
        <v>0</v>
      </c>
      <c r="HN37" s="221">
        <f t="shared" si="196"/>
        <v>0</v>
      </c>
      <c r="HO37" s="221">
        <f t="shared" si="196"/>
        <v>0</v>
      </c>
      <c r="HP37" s="221">
        <f t="shared" si="196"/>
        <v>0</v>
      </c>
      <c r="HQ37" s="221">
        <f t="shared" si="196"/>
        <v>0</v>
      </c>
      <c r="HR37" s="221">
        <f t="shared" si="196"/>
        <v>0</v>
      </c>
      <c r="HS37" s="221">
        <f t="shared" si="196"/>
        <v>0</v>
      </c>
      <c r="HT37" s="221">
        <f t="shared" si="196"/>
        <v>0</v>
      </c>
      <c r="HU37" s="221">
        <f t="shared" si="196"/>
        <v>0</v>
      </c>
      <c r="HV37" s="221">
        <f t="shared" si="196"/>
        <v>0</v>
      </c>
      <c r="HW37" s="221">
        <f t="shared" si="196"/>
        <v>0</v>
      </c>
      <c r="HX37" s="221">
        <f t="shared" si="196"/>
        <v>0</v>
      </c>
      <c r="HY37" s="221">
        <f t="shared" si="196"/>
        <v>0</v>
      </c>
      <c r="HZ37" s="221">
        <f t="shared" si="196"/>
        <v>0</v>
      </c>
      <c r="IA37" s="221">
        <f t="shared" si="196"/>
        <v>0</v>
      </c>
      <c r="IB37" s="221">
        <f t="shared" si="196"/>
        <v>0</v>
      </c>
      <c r="IC37" s="221">
        <f t="shared" si="197"/>
        <v>0</v>
      </c>
      <c r="ID37" s="221">
        <f t="shared" si="197"/>
        <v>0</v>
      </c>
      <c r="IE37" s="221">
        <f t="shared" si="197"/>
        <v>0</v>
      </c>
      <c r="IF37" s="221">
        <f t="shared" si="197"/>
        <v>0</v>
      </c>
      <c r="IG37" s="221">
        <f t="shared" si="197"/>
        <v>0</v>
      </c>
      <c r="IH37" s="221">
        <f t="shared" si="197"/>
        <v>0</v>
      </c>
      <c r="II37" s="221">
        <f t="shared" si="197"/>
        <v>0</v>
      </c>
      <c r="IJ37" s="221">
        <f t="shared" si="197"/>
        <v>0</v>
      </c>
      <c r="IK37" s="221">
        <f t="shared" si="197"/>
        <v>0</v>
      </c>
      <c r="IL37" s="221">
        <f t="shared" si="197"/>
        <v>0</v>
      </c>
      <c r="IM37" s="221">
        <f t="shared" si="197"/>
        <v>0</v>
      </c>
      <c r="IN37" s="221">
        <f t="shared" si="197"/>
        <v>0</v>
      </c>
      <c r="IO37" s="221">
        <f t="shared" si="197"/>
        <v>0</v>
      </c>
      <c r="IP37" s="221">
        <f t="shared" si="197"/>
        <v>0</v>
      </c>
      <c r="IQ37" s="221">
        <f t="shared" si="197"/>
        <v>0</v>
      </c>
      <c r="IR37" s="221">
        <f t="shared" si="197"/>
        <v>0</v>
      </c>
      <c r="IS37" s="221">
        <f t="shared" si="198"/>
        <v>0</v>
      </c>
      <c r="IT37" s="221">
        <f t="shared" si="198"/>
        <v>0</v>
      </c>
      <c r="IU37" s="221">
        <f t="shared" si="198"/>
        <v>0</v>
      </c>
      <c r="IV37" s="221">
        <f t="shared" si="198"/>
        <v>0</v>
      </c>
      <c r="IW37" s="221">
        <f t="shared" si="198"/>
        <v>0</v>
      </c>
      <c r="IX37" s="221">
        <f t="shared" si="198"/>
        <v>0</v>
      </c>
      <c r="IY37" s="221">
        <f t="shared" si="198"/>
        <v>0</v>
      </c>
      <c r="IZ37" s="221">
        <f t="shared" si="198"/>
        <v>0</v>
      </c>
      <c r="JA37" s="221">
        <f t="shared" si="198"/>
        <v>0</v>
      </c>
      <c r="JB37" s="221">
        <f t="shared" si="198"/>
        <v>0</v>
      </c>
      <c r="JC37" s="221">
        <f t="shared" si="198"/>
        <v>0</v>
      </c>
      <c r="JD37" s="221">
        <f t="shared" si="198"/>
        <v>0</v>
      </c>
      <c r="JE37" s="221">
        <f t="shared" si="198"/>
        <v>0</v>
      </c>
      <c r="JF37" s="221">
        <f t="shared" si="198"/>
        <v>0</v>
      </c>
      <c r="JG37" s="221">
        <f t="shared" si="198"/>
        <v>0</v>
      </c>
      <c r="JH37" s="221">
        <f t="shared" si="198"/>
        <v>0</v>
      </c>
      <c r="JI37" s="221">
        <f t="shared" si="199"/>
        <v>0</v>
      </c>
      <c r="JJ37" s="221">
        <f t="shared" si="199"/>
        <v>0</v>
      </c>
      <c r="JK37" s="221">
        <f t="shared" si="199"/>
        <v>0</v>
      </c>
      <c r="JL37" s="221">
        <f t="shared" si="199"/>
        <v>0</v>
      </c>
      <c r="JM37" s="221">
        <f t="shared" si="199"/>
        <v>0</v>
      </c>
      <c r="JN37" s="221">
        <f t="shared" si="199"/>
        <v>0</v>
      </c>
      <c r="JO37" s="221">
        <f t="shared" si="199"/>
        <v>0</v>
      </c>
      <c r="JP37" s="221">
        <f t="shared" si="199"/>
        <v>0</v>
      </c>
      <c r="JQ37" s="221">
        <f t="shared" si="199"/>
        <v>0</v>
      </c>
      <c r="JR37" s="221">
        <f t="shared" si="199"/>
        <v>0</v>
      </c>
      <c r="JS37" s="221">
        <f t="shared" si="199"/>
        <v>0</v>
      </c>
      <c r="JT37" s="221">
        <f t="shared" si="199"/>
        <v>0</v>
      </c>
      <c r="JU37" s="221">
        <f t="shared" si="199"/>
        <v>0</v>
      </c>
      <c r="JV37" s="221">
        <f t="shared" si="199"/>
        <v>0</v>
      </c>
      <c r="JW37" s="221">
        <f t="shared" si="199"/>
        <v>0</v>
      </c>
      <c r="JX37" s="221">
        <f t="shared" si="199"/>
        <v>0</v>
      </c>
      <c r="JY37" s="221">
        <f t="shared" si="200"/>
        <v>0</v>
      </c>
      <c r="JZ37" s="221">
        <f t="shared" si="200"/>
        <v>0</v>
      </c>
      <c r="KA37" s="221">
        <f t="shared" si="200"/>
        <v>0</v>
      </c>
      <c r="KB37" s="221">
        <f t="shared" si="200"/>
        <v>0</v>
      </c>
      <c r="KC37" s="221">
        <f t="shared" si="200"/>
        <v>0</v>
      </c>
    </row>
    <row r="38" spans="2:289" x14ac:dyDescent="0.25">
      <c r="B38" s="227" t="s">
        <v>34</v>
      </c>
      <c r="C38" s="196"/>
      <c r="D38" s="228">
        <f>MIN(D34:D37)</f>
        <v>0</v>
      </c>
      <c r="E38" s="228">
        <f>MAX(E34:E37)</f>
        <v>12</v>
      </c>
      <c r="F38" s="216"/>
      <c r="G38" s="217">
        <f>SUM(G34:G37)</f>
        <v>186.85567010309276</v>
      </c>
      <c r="H38" s="218">
        <f>SUM(H34:H37)</f>
        <v>190312.5</v>
      </c>
      <c r="I38" s="229">
        <f>SUM(I34:I37)</f>
        <v>3045000</v>
      </c>
      <c r="K38" s="152" t="s">
        <v>874</v>
      </c>
      <c r="P38" s="152" t="str">
        <f>IF(ROUND(SUM(Q38:ES38),0)=ROUND(I38,0),"","Incomplete")</f>
        <v/>
      </c>
      <c r="Q38" s="220">
        <f t="shared" ref="Q38:AV38" si="201">SUM(Q34:Q37)</f>
        <v>0</v>
      </c>
      <c r="R38" s="220">
        <f t="shared" si="201"/>
        <v>14838.051122682164</v>
      </c>
      <c r="S38" s="220">
        <f t="shared" si="201"/>
        <v>50502.066144580953</v>
      </c>
      <c r="T38" s="220">
        <f t="shared" si="201"/>
        <v>134516.94439839575</v>
      </c>
      <c r="U38" s="220">
        <f t="shared" si="201"/>
        <v>280434.43614431878</v>
      </c>
      <c r="V38" s="220">
        <f t="shared" si="201"/>
        <v>457627.05692607386</v>
      </c>
      <c r="W38" s="220">
        <f t="shared" si="201"/>
        <v>584581.44526394852</v>
      </c>
      <c r="X38" s="220">
        <f t="shared" si="201"/>
        <v>584581.44526394852</v>
      </c>
      <c r="Y38" s="220">
        <f t="shared" si="201"/>
        <v>457627.05692607397</v>
      </c>
      <c r="Z38" s="220">
        <f t="shared" si="201"/>
        <v>280434.43614431861</v>
      </c>
      <c r="AA38" s="220">
        <f t="shared" si="201"/>
        <v>134516.94439839578</v>
      </c>
      <c r="AB38" s="220">
        <f t="shared" si="201"/>
        <v>50502.066144580931</v>
      </c>
      <c r="AC38" s="220">
        <f t="shared" si="201"/>
        <v>14838.051122682213</v>
      </c>
      <c r="AD38" s="220">
        <f t="shared" si="201"/>
        <v>0</v>
      </c>
      <c r="AE38" s="220">
        <f t="shared" si="201"/>
        <v>0</v>
      </c>
      <c r="AF38" s="220">
        <f t="shared" si="201"/>
        <v>0</v>
      </c>
      <c r="AG38" s="220">
        <f t="shared" si="201"/>
        <v>0</v>
      </c>
      <c r="AH38" s="220">
        <f t="shared" si="201"/>
        <v>0</v>
      </c>
      <c r="AI38" s="220">
        <f t="shared" si="201"/>
        <v>0</v>
      </c>
      <c r="AJ38" s="220">
        <f t="shared" si="201"/>
        <v>0</v>
      </c>
      <c r="AK38" s="220">
        <f t="shared" si="201"/>
        <v>0</v>
      </c>
      <c r="AL38" s="220">
        <f t="shared" si="201"/>
        <v>0</v>
      </c>
      <c r="AM38" s="220">
        <f t="shared" si="201"/>
        <v>0</v>
      </c>
      <c r="AN38" s="220">
        <f t="shared" si="201"/>
        <v>0</v>
      </c>
      <c r="AO38" s="220">
        <f t="shared" si="201"/>
        <v>0</v>
      </c>
      <c r="AP38" s="220">
        <f t="shared" si="201"/>
        <v>0</v>
      </c>
      <c r="AQ38" s="220">
        <f t="shared" si="201"/>
        <v>0</v>
      </c>
      <c r="AR38" s="220">
        <f t="shared" si="201"/>
        <v>0</v>
      </c>
      <c r="AS38" s="220">
        <f t="shared" si="201"/>
        <v>0</v>
      </c>
      <c r="AT38" s="220">
        <f t="shared" si="201"/>
        <v>0</v>
      </c>
      <c r="AU38" s="220">
        <f t="shared" si="201"/>
        <v>0</v>
      </c>
      <c r="AV38" s="220">
        <f t="shared" si="201"/>
        <v>0</v>
      </c>
      <c r="AW38" s="220">
        <f t="shared" ref="AW38:CB38" si="202">SUM(AW34:AW37)</f>
        <v>0</v>
      </c>
      <c r="AX38" s="220">
        <f t="shared" si="202"/>
        <v>0</v>
      </c>
      <c r="AY38" s="220">
        <f t="shared" si="202"/>
        <v>0</v>
      </c>
      <c r="AZ38" s="220">
        <f t="shared" si="202"/>
        <v>0</v>
      </c>
      <c r="BA38" s="220">
        <f t="shared" si="202"/>
        <v>0</v>
      </c>
      <c r="BB38" s="220">
        <f t="shared" si="202"/>
        <v>0</v>
      </c>
      <c r="BC38" s="220">
        <f t="shared" si="202"/>
        <v>0</v>
      </c>
      <c r="BD38" s="220">
        <f t="shared" si="202"/>
        <v>0</v>
      </c>
      <c r="BE38" s="220">
        <f t="shared" si="202"/>
        <v>0</v>
      </c>
      <c r="BF38" s="220">
        <f t="shared" si="202"/>
        <v>0</v>
      </c>
      <c r="BG38" s="220">
        <f t="shared" si="202"/>
        <v>0</v>
      </c>
      <c r="BH38" s="220">
        <f t="shared" si="202"/>
        <v>0</v>
      </c>
      <c r="BI38" s="220">
        <f t="shared" si="202"/>
        <v>0</v>
      </c>
      <c r="BJ38" s="220">
        <f t="shared" si="202"/>
        <v>0</v>
      </c>
      <c r="BK38" s="220">
        <f t="shared" si="202"/>
        <v>0</v>
      </c>
      <c r="BL38" s="220">
        <f t="shared" si="202"/>
        <v>0</v>
      </c>
      <c r="BM38" s="220">
        <f t="shared" si="202"/>
        <v>0</v>
      </c>
      <c r="BN38" s="220">
        <f t="shared" si="202"/>
        <v>0</v>
      </c>
      <c r="BO38" s="220">
        <f t="shared" si="202"/>
        <v>0</v>
      </c>
      <c r="BP38" s="220">
        <f t="shared" si="202"/>
        <v>0</v>
      </c>
      <c r="BQ38" s="220">
        <f t="shared" si="202"/>
        <v>0</v>
      </c>
      <c r="BR38" s="220">
        <f t="shared" si="202"/>
        <v>0</v>
      </c>
      <c r="BS38" s="220">
        <f t="shared" si="202"/>
        <v>0</v>
      </c>
      <c r="BT38" s="220">
        <f t="shared" si="202"/>
        <v>0</v>
      </c>
      <c r="BU38" s="220">
        <f t="shared" si="202"/>
        <v>0</v>
      </c>
      <c r="BV38" s="220">
        <f t="shared" si="202"/>
        <v>0</v>
      </c>
      <c r="BW38" s="220">
        <f t="shared" si="202"/>
        <v>0</v>
      </c>
      <c r="BX38" s="220">
        <f t="shared" si="202"/>
        <v>0</v>
      </c>
      <c r="BY38" s="220">
        <f t="shared" si="202"/>
        <v>0</v>
      </c>
      <c r="BZ38" s="220">
        <f t="shared" si="202"/>
        <v>0</v>
      </c>
      <c r="CA38" s="220">
        <f t="shared" si="202"/>
        <v>0</v>
      </c>
      <c r="CB38" s="220">
        <f t="shared" si="202"/>
        <v>0</v>
      </c>
      <c r="CC38" s="220">
        <f t="shared" ref="CC38:DH38" si="203">SUM(CC34:CC37)</f>
        <v>0</v>
      </c>
      <c r="CD38" s="220">
        <f t="shared" si="203"/>
        <v>0</v>
      </c>
      <c r="CE38" s="220">
        <f t="shared" si="203"/>
        <v>0</v>
      </c>
      <c r="CF38" s="220">
        <f t="shared" si="203"/>
        <v>0</v>
      </c>
      <c r="CG38" s="220">
        <f t="shared" si="203"/>
        <v>0</v>
      </c>
      <c r="CH38" s="220">
        <f t="shared" si="203"/>
        <v>0</v>
      </c>
      <c r="CI38" s="220">
        <f t="shared" si="203"/>
        <v>0</v>
      </c>
      <c r="CJ38" s="220">
        <f t="shared" si="203"/>
        <v>0</v>
      </c>
      <c r="CK38" s="220">
        <f t="shared" si="203"/>
        <v>0</v>
      </c>
      <c r="CL38" s="220">
        <f t="shared" si="203"/>
        <v>0</v>
      </c>
      <c r="CM38" s="220">
        <f t="shared" si="203"/>
        <v>0</v>
      </c>
      <c r="CN38" s="220">
        <f t="shared" si="203"/>
        <v>0</v>
      </c>
      <c r="CO38" s="220">
        <f t="shared" si="203"/>
        <v>0</v>
      </c>
      <c r="CP38" s="220">
        <f t="shared" si="203"/>
        <v>0</v>
      </c>
      <c r="CQ38" s="220">
        <f t="shared" si="203"/>
        <v>0</v>
      </c>
      <c r="CR38" s="220">
        <f t="shared" si="203"/>
        <v>0</v>
      </c>
      <c r="CS38" s="220">
        <f t="shared" si="203"/>
        <v>0</v>
      </c>
      <c r="CT38" s="220">
        <f t="shared" si="203"/>
        <v>0</v>
      </c>
      <c r="CU38" s="220">
        <f t="shared" si="203"/>
        <v>0</v>
      </c>
      <c r="CV38" s="220">
        <f t="shared" si="203"/>
        <v>0</v>
      </c>
      <c r="CW38" s="220">
        <f t="shared" si="203"/>
        <v>0</v>
      </c>
      <c r="CX38" s="220">
        <f t="shared" si="203"/>
        <v>0</v>
      </c>
      <c r="CY38" s="220">
        <f t="shared" si="203"/>
        <v>0</v>
      </c>
      <c r="CZ38" s="220">
        <f t="shared" si="203"/>
        <v>0</v>
      </c>
      <c r="DA38" s="220">
        <f t="shared" si="203"/>
        <v>0</v>
      </c>
      <c r="DB38" s="220">
        <f t="shared" si="203"/>
        <v>0</v>
      </c>
      <c r="DC38" s="220">
        <f t="shared" si="203"/>
        <v>0</v>
      </c>
      <c r="DD38" s="220">
        <f t="shared" si="203"/>
        <v>0</v>
      </c>
      <c r="DE38" s="220">
        <f t="shared" si="203"/>
        <v>0</v>
      </c>
      <c r="DF38" s="220">
        <f t="shared" si="203"/>
        <v>0</v>
      </c>
      <c r="DG38" s="220">
        <f t="shared" si="203"/>
        <v>0</v>
      </c>
      <c r="DH38" s="220">
        <f t="shared" si="203"/>
        <v>0</v>
      </c>
      <c r="DI38" s="220">
        <f t="shared" ref="DI38:EN38" si="204">SUM(DI34:DI37)</f>
        <v>0</v>
      </c>
      <c r="DJ38" s="220">
        <f t="shared" si="204"/>
        <v>0</v>
      </c>
      <c r="DK38" s="220">
        <f t="shared" si="204"/>
        <v>0</v>
      </c>
      <c r="DL38" s="220">
        <f t="shared" si="204"/>
        <v>0</v>
      </c>
      <c r="DM38" s="220">
        <f t="shared" si="204"/>
        <v>0</v>
      </c>
      <c r="DN38" s="220">
        <f t="shared" si="204"/>
        <v>0</v>
      </c>
      <c r="DO38" s="220">
        <f t="shared" si="204"/>
        <v>0</v>
      </c>
      <c r="DP38" s="220">
        <f t="shared" si="204"/>
        <v>0</v>
      </c>
      <c r="DQ38" s="220">
        <f t="shared" si="204"/>
        <v>0</v>
      </c>
      <c r="DR38" s="220">
        <f t="shared" si="204"/>
        <v>0</v>
      </c>
      <c r="DS38" s="220">
        <f t="shared" si="204"/>
        <v>0</v>
      </c>
      <c r="DT38" s="220">
        <f t="shared" si="204"/>
        <v>0</v>
      </c>
      <c r="DU38" s="220">
        <f t="shared" si="204"/>
        <v>0</v>
      </c>
      <c r="DV38" s="220">
        <f t="shared" si="204"/>
        <v>0</v>
      </c>
      <c r="DW38" s="220">
        <f t="shared" si="204"/>
        <v>0</v>
      </c>
      <c r="DX38" s="220">
        <f t="shared" si="204"/>
        <v>0</v>
      </c>
      <c r="DY38" s="220">
        <f t="shared" si="204"/>
        <v>0</v>
      </c>
      <c r="DZ38" s="220">
        <f t="shared" si="204"/>
        <v>0</v>
      </c>
      <c r="EA38" s="220">
        <f t="shared" si="204"/>
        <v>0</v>
      </c>
      <c r="EB38" s="220">
        <f t="shared" si="204"/>
        <v>0</v>
      </c>
      <c r="EC38" s="220">
        <f t="shared" si="204"/>
        <v>0</v>
      </c>
      <c r="ED38" s="220">
        <f t="shared" si="204"/>
        <v>0</v>
      </c>
      <c r="EE38" s="220">
        <f t="shared" si="204"/>
        <v>0</v>
      </c>
      <c r="EF38" s="220">
        <f t="shared" si="204"/>
        <v>0</v>
      </c>
      <c r="EG38" s="220">
        <f t="shared" si="204"/>
        <v>0</v>
      </c>
      <c r="EH38" s="220">
        <f t="shared" si="204"/>
        <v>0</v>
      </c>
      <c r="EI38" s="220">
        <f t="shared" si="204"/>
        <v>0</v>
      </c>
      <c r="EJ38" s="220">
        <f t="shared" si="204"/>
        <v>0</v>
      </c>
      <c r="EK38" s="220">
        <f t="shared" si="204"/>
        <v>0</v>
      </c>
      <c r="EL38" s="220">
        <f t="shared" si="204"/>
        <v>0</v>
      </c>
      <c r="EM38" s="220">
        <f t="shared" si="204"/>
        <v>0</v>
      </c>
      <c r="EN38" s="220">
        <f t="shared" si="204"/>
        <v>0</v>
      </c>
      <c r="EO38" s="220">
        <f t="shared" ref="EO38:ES38" si="205">SUM(EO34:EO37)</f>
        <v>0</v>
      </c>
      <c r="EP38" s="220">
        <f t="shared" si="205"/>
        <v>0</v>
      </c>
      <c r="EQ38" s="220">
        <f t="shared" si="205"/>
        <v>0</v>
      </c>
      <c r="ER38" s="220">
        <f t="shared" si="205"/>
        <v>0</v>
      </c>
      <c r="ES38" s="220">
        <f t="shared" si="205"/>
        <v>0</v>
      </c>
      <c r="EU38" s="154"/>
      <c r="EV38" s="154" t="s">
        <v>194</v>
      </c>
      <c r="EW38" s="230">
        <f>COUNTA($B$34:$B$37)</f>
        <v>4</v>
      </c>
      <c r="EX38" s="153"/>
      <c r="EY38" s="153"/>
      <c r="EZ38" s="223"/>
      <c r="FA38" s="153"/>
      <c r="FB38" s="153"/>
      <c r="FC38" s="153"/>
      <c r="FD38" s="153"/>
      <c r="FE38" s="153"/>
      <c r="FF38" s="153"/>
      <c r="FG38" s="153"/>
      <c r="FH38" s="153"/>
      <c r="FI38" s="153"/>
      <c r="FJ38" s="153"/>
      <c r="FK38" s="153"/>
      <c r="FL38" s="153"/>
      <c r="FM38" s="153"/>
      <c r="FN38" s="153"/>
      <c r="FO38" s="153"/>
      <c r="FP38" s="153"/>
      <c r="FQ38" s="153"/>
      <c r="FR38" s="153"/>
      <c r="FS38" s="153"/>
      <c r="FT38" s="153"/>
      <c r="FU38" s="153"/>
      <c r="FV38" s="153"/>
      <c r="FW38" s="153"/>
      <c r="FX38" s="153"/>
      <c r="FY38" s="153"/>
      <c r="FZ38" s="153"/>
      <c r="GA38" s="153"/>
      <c r="GB38" s="153"/>
      <c r="GC38" s="153"/>
      <c r="GD38" s="153"/>
      <c r="GE38" s="153"/>
      <c r="GF38" s="153"/>
      <c r="GG38" s="153"/>
      <c r="GH38" s="153"/>
      <c r="GI38" s="153"/>
      <c r="GJ38" s="153"/>
      <c r="GK38" s="153"/>
      <c r="GL38" s="153"/>
      <c r="GM38" s="153"/>
      <c r="GN38" s="153"/>
      <c r="GO38" s="153"/>
      <c r="GP38" s="153"/>
      <c r="GQ38" s="153"/>
      <c r="GR38" s="153"/>
      <c r="GS38" s="153"/>
      <c r="GT38" s="153"/>
      <c r="GU38" s="153"/>
      <c r="GV38" s="153"/>
      <c r="GW38" s="153"/>
      <c r="GX38" s="153"/>
      <c r="GY38" s="153"/>
      <c r="GZ38" s="153"/>
      <c r="HA38" s="153"/>
      <c r="HB38" s="153"/>
      <c r="HC38" s="153"/>
      <c r="HD38" s="153"/>
      <c r="HE38" s="153"/>
      <c r="HF38" s="153"/>
      <c r="HG38" s="153"/>
      <c r="HH38" s="153"/>
      <c r="HI38" s="153"/>
      <c r="HJ38" s="153"/>
      <c r="HK38" s="153"/>
      <c r="HL38" s="153"/>
      <c r="HM38" s="153"/>
      <c r="HN38" s="153"/>
      <c r="HO38" s="153"/>
      <c r="HP38" s="153"/>
      <c r="HQ38" s="153"/>
      <c r="HR38" s="153"/>
      <c r="HS38" s="153"/>
      <c r="HT38" s="153"/>
      <c r="HU38" s="153"/>
      <c r="HV38" s="153"/>
      <c r="HW38" s="153"/>
      <c r="HX38" s="153"/>
      <c r="HY38" s="153"/>
      <c r="HZ38" s="153"/>
      <c r="IA38" s="153"/>
      <c r="IB38" s="153"/>
      <c r="IC38" s="153"/>
      <c r="ID38" s="153"/>
      <c r="IE38" s="153"/>
      <c r="IF38" s="153"/>
      <c r="IG38" s="153"/>
      <c r="IH38" s="153"/>
      <c r="II38" s="153"/>
      <c r="IJ38" s="153"/>
      <c r="IK38" s="153"/>
      <c r="IL38" s="153"/>
      <c r="IM38" s="153"/>
      <c r="IN38" s="153"/>
      <c r="IO38" s="153"/>
      <c r="IP38" s="153"/>
      <c r="IQ38" s="153"/>
      <c r="IR38" s="153"/>
      <c r="IS38" s="153"/>
      <c r="IT38" s="153"/>
      <c r="IU38" s="153"/>
      <c r="IV38" s="153"/>
      <c r="IW38" s="153"/>
      <c r="IX38" s="153"/>
      <c r="IY38" s="153"/>
      <c r="IZ38" s="153"/>
      <c r="JA38" s="153"/>
      <c r="JB38" s="153"/>
      <c r="JC38" s="153"/>
      <c r="JD38" s="153"/>
      <c r="JE38" s="153"/>
      <c r="JF38" s="153"/>
      <c r="JG38" s="153"/>
      <c r="JH38" s="153"/>
      <c r="JI38" s="153"/>
      <c r="JJ38" s="153"/>
      <c r="JK38" s="153"/>
      <c r="JL38" s="153"/>
      <c r="JM38" s="153"/>
      <c r="JN38" s="153"/>
      <c r="JO38" s="153"/>
      <c r="JP38" s="153"/>
      <c r="JQ38" s="153"/>
      <c r="JR38" s="153"/>
      <c r="JS38" s="153"/>
      <c r="JT38" s="153"/>
      <c r="JU38" s="153"/>
      <c r="JV38" s="153"/>
      <c r="JW38" s="153"/>
      <c r="JX38" s="153"/>
      <c r="JY38" s="153"/>
      <c r="JZ38" s="153"/>
      <c r="KA38" s="153"/>
      <c r="KB38" s="153"/>
      <c r="KC38" s="153"/>
    </row>
    <row r="39" spans="2:289" ht="4.9000000000000004" customHeight="1" x14ac:dyDescent="0.25">
      <c r="B39" s="231"/>
      <c r="C39" s="196"/>
      <c r="D39" s="215"/>
      <c r="E39" s="215"/>
      <c r="F39" s="216"/>
      <c r="G39" s="217"/>
      <c r="H39" s="188"/>
      <c r="I39" s="232"/>
      <c r="EU39" s="153"/>
      <c r="EV39" s="153"/>
      <c r="EW39" s="153"/>
      <c r="EX39" s="153"/>
      <c r="EY39" s="153"/>
      <c r="EZ39" s="223"/>
      <c r="FA39" s="153"/>
      <c r="FB39" s="153"/>
      <c r="FC39" s="153"/>
      <c r="FD39" s="153"/>
      <c r="FE39" s="153"/>
      <c r="FF39" s="153"/>
      <c r="FG39" s="153"/>
      <c r="FH39" s="153"/>
      <c r="FI39" s="153"/>
      <c r="FJ39" s="153"/>
      <c r="FK39" s="153"/>
      <c r="FL39" s="153"/>
      <c r="FM39" s="153"/>
      <c r="FN39" s="153"/>
      <c r="FO39" s="153"/>
      <c r="FP39" s="153"/>
      <c r="FQ39" s="153"/>
      <c r="FR39" s="153"/>
      <c r="FS39" s="153"/>
      <c r="FT39" s="153"/>
      <c r="FU39" s="153"/>
      <c r="FV39" s="153"/>
      <c r="FW39" s="153"/>
      <c r="FX39" s="153"/>
      <c r="FY39" s="153"/>
      <c r="FZ39" s="153"/>
      <c r="GA39" s="153"/>
      <c r="GB39" s="153"/>
      <c r="GC39" s="153"/>
      <c r="GD39" s="153"/>
      <c r="GE39" s="153"/>
      <c r="GF39" s="153"/>
      <c r="GG39" s="153"/>
      <c r="GH39" s="153"/>
      <c r="GI39" s="153"/>
      <c r="GJ39" s="153"/>
      <c r="GK39" s="153"/>
      <c r="GL39" s="153"/>
      <c r="GM39" s="153"/>
      <c r="GN39" s="153"/>
      <c r="GO39" s="153"/>
      <c r="GP39" s="153"/>
      <c r="GQ39" s="153"/>
      <c r="GR39" s="153"/>
      <c r="GS39" s="153"/>
      <c r="GT39" s="153"/>
      <c r="GU39" s="153"/>
      <c r="GV39" s="153"/>
      <c r="GW39" s="153"/>
      <c r="GX39" s="153"/>
      <c r="GY39" s="153"/>
      <c r="GZ39" s="153"/>
      <c r="HA39" s="153"/>
      <c r="HB39" s="153"/>
      <c r="HC39" s="153"/>
      <c r="HD39" s="153"/>
      <c r="HE39" s="153"/>
      <c r="HF39" s="153"/>
      <c r="HG39" s="153"/>
      <c r="HH39" s="153"/>
      <c r="HI39" s="153"/>
      <c r="HJ39" s="153"/>
      <c r="HK39" s="153"/>
      <c r="HL39" s="153"/>
      <c r="HM39" s="153"/>
      <c r="HN39" s="153"/>
      <c r="HO39" s="153"/>
      <c r="HP39" s="153"/>
      <c r="HQ39" s="153"/>
      <c r="HR39" s="153"/>
      <c r="HS39" s="153"/>
      <c r="HT39" s="153"/>
      <c r="HU39" s="153"/>
      <c r="HV39" s="153"/>
      <c r="HW39" s="153"/>
      <c r="HX39" s="153"/>
      <c r="HY39" s="153"/>
      <c r="HZ39" s="153"/>
      <c r="IA39" s="153"/>
      <c r="IB39" s="153"/>
      <c r="IC39" s="153"/>
      <c r="ID39" s="153"/>
      <c r="IE39" s="153"/>
      <c r="IF39" s="153"/>
      <c r="IG39" s="153"/>
      <c r="IH39" s="153"/>
      <c r="II39" s="153"/>
      <c r="IJ39" s="153"/>
      <c r="IK39" s="153"/>
      <c r="IL39" s="153"/>
      <c r="IM39" s="153"/>
      <c r="IN39" s="153"/>
      <c r="IO39" s="153"/>
      <c r="IP39" s="153"/>
      <c r="IQ39" s="153"/>
      <c r="IR39" s="153"/>
      <c r="IS39" s="153"/>
      <c r="IT39" s="153"/>
      <c r="IU39" s="153"/>
      <c r="IV39" s="153"/>
      <c r="IW39" s="153"/>
      <c r="IX39" s="153"/>
      <c r="IY39" s="153"/>
      <c r="IZ39" s="153"/>
      <c r="JA39" s="153"/>
      <c r="JB39" s="153"/>
      <c r="JC39" s="153"/>
      <c r="JD39" s="153"/>
      <c r="JE39" s="153"/>
      <c r="JF39" s="153"/>
      <c r="JG39" s="153"/>
      <c r="JH39" s="153"/>
      <c r="JI39" s="153"/>
      <c r="JJ39" s="153"/>
      <c r="JK39" s="153"/>
      <c r="JL39" s="153"/>
      <c r="JM39" s="153"/>
      <c r="JN39" s="153"/>
      <c r="JO39" s="153"/>
      <c r="JP39" s="153"/>
      <c r="JQ39" s="153"/>
      <c r="JR39" s="153"/>
      <c r="JS39" s="153"/>
      <c r="JT39" s="153"/>
      <c r="JU39" s="153"/>
      <c r="JV39" s="153"/>
      <c r="JW39" s="153"/>
      <c r="JX39" s="153"/>
      <c r="JY39" s="153"/>
      <c r="JZ39" s="153"/>
      <c r="KA39" s="153"/>
      <c r="KB39" s="153"/>
      <c r="KC39" s="153"/>
    </row>
    <row r="40" spans="2:289" x14ac:dyDescent="0.25">
      <c r="B40" s="227" t="s">
        <v>25</v>
      </c>
      <c r="C40" s="196"/>
      <c r="D40" s="215"/>
      <c r="E40" s="215"/>
      <c r="F40" s="216"/>
      <c r="G40" s="217"/>
      <c r="H40" s="188"/>
      <c r="I40" s="232"/>
      <c r="EU40" s="153"/>
      <c r="EV40" s="153"/>
      <c r="EW40" s="153"/>
      <c r="EX40" s="153"/>
      <c r="EY40" s="153"/>
      <c r="EZ40" s="223"/>
      <c r="FA40" s="153"/>
      <c r="FB40" s="153"/>
      <c r="FC40" s="153"/>
      <c r="FD40" s="153"/>
      <c r="FE40" s="153"/>
      <c r="FF40" s="153"/>
      <c r="FG40" s="153"/>
      <c r="FH40" s="153"/>
      <c r="FI40" s="153"/>
      <c r="FJ40" s="153"/>
      <c r="FK40" s="153"/>
      <c r="FL40" s="153"/>
      <c r="FM40" s="153"/>
      <c r="FN40" s="153"/>
      <c r="FO40" s="153"/>
      <c r="FP40" s="153"/>
      <c r="FQ40" s="153"/>
      <c r="FR40" s="153"/>
      <c r="FS40" s="153"/>
      <c r="FT40" s="153"/>
      <c r="FU40" s="153"/>
      <c r="FV40" s="153"/>
      <c r="FW40" s="153"/>
      <c r="FX40" s="153"/>
      <c r="FY40" s="153"/>
      <c r="FZ40" s="153"/>
      <c r="GA40" s="153"/>
      <c r="GB40" s="153"/>
      <c r="GC40" s="153"/>
      <c r="GD40" s="153"/>
      <c r="GE40" s="153"/>
      <c r="GF40" s="153"/>
      <c r="GG40" s="153"/>
      <c r="GH40" s="153"/>
      <c r="GI40" s="153"/>
      <c r="GJ40" s="153"/>
      <c r="GK40" s="153"/>
      <c r="GL40" s="153"/>
      <c r="GM40" s="153"/>
      <c r="GN40" s="153"/>
      <c r="GO40" s="153"/>
      <c r="GP40" s="153"/>
      <c r="GQ40" s="153"/>
      <c r="GR40" s="153"/>
      <c r="GS40" s="153"/>
      <c r="GT40" s="153"/>
      <c r="GU40" s="153"/>
      <c r="GV40" s="153"/>
      <c r="GW40" s="153"/>
      <c r="GX40" s="153"/>
      <c r="GY40" s="153"/>
      <c r="GZ40" s="153"/>
      <c r="HA40" s="153"/>
      <c r="HB40" s="153"/>
      <c r="HC40" s="153"/>
      <c r="HD40" s="153"/>
      <c r="HE40" s="153"/>
      <c r="HF40" s="153"/>
      <c r="HG40" s="153"/>
      <c r="HH40" s="153"/>
      <c r="HI40" s="153"/>
      <c r="HJ40" s="153"/>
      <c r="HK40" s="153"/>
      <c r="HL40" s="153"/>
      <c r="HM40" s="153"/>
      <c r="HN40" s="153"/>
      <c r="HO40" s="153"/>
      <c r="HP40" s="153"/>
      <c r="HQ40" s="153"/>
      <c r="HR40" s="153"/>
      <c r="HS40" s="153"/>
      <c r="HT40" s="153"/>
      <c r="HU40" s="153"/>
      <c r="HV40" s="153"/>
      <c r="HW40" s="153"/>
      <c r="HX40" s="153"/>
      <c r="HY40" s="153"/>
      <c r="HZ40" s="153"/>
      <c r="IA40" s="153"/>
      <c r="IB40" s="153"/>
      <c r="IC40" s="153"/>
      <c r="ID40" s="153"/>
      <c r="IE40" s="153"/>
      <c r="IF40" s="153"/>
      <c r="IG40" s="153"/>
      <c r="IH40" s="153"/>
      <c r="II40" s="153"/>
      <c r="IJ40" s="153"/>
      <c r="IK40" s="153"/>
      <c r="IL40" s="153"/>
      <c r="IM40" s="153"/>
      <c r="IN40" s="153"/>
      <c r="IO40" s="153"/>
      <c r="IP40" s="153"/>
      <c r="IQ40" s="153"/>
      <c r="IR40" s="153"/>
      <c r="IS40" s="153"/>
      <c r="IT40" s="153"/>
      <c r="IU40" s="153"/>
      <c r="IV40" s="153"/>
      <c r="IW40" s="153"/>
      <c r="IX40" s="153"/>
      <c r="IY40" s="153"/>
      <c r="IZ40" s="153"/>
      <c r="JA40" s="153"/>
      <c r="JB40" s="153"/>
      <c r="JC40" s="153"/>
      <c r="JD40" s="153"/>
      <c r="JE40" s="153"/>
      <c r="JF40" s="153"/>
      <c r="JG40" s="153"/>
      <c r="JH40" s="153"/>
      <c r="JI40" s="153"/>
      <c r="JJ40" s="153"/>
      <c r="JK40" s="153"/>
      <c r="JL40" s="153"/>
      <c r="JM40" s="153"/>
      <c r="JN40" s="153"/>
      <c r="JO40" s="153"/>
      <c r="JP40" s="153"/>
      <c r="JQ40" s="153"/>
      <c r="JR40" s="153"/>
      <c r="JS40" s="153"/>
      <c r="JT40" s="153"/>
      <c r="JU40" s="153"/>
      <c r="JV40" s="153"/>
      <c r="JW40" s="153"/>
      <c r="JX40" s="153"/>
      <c r="JY40" s="153"/>
      <c r="JZ40" s="153"/>
      <c r="KA40" s="153"/>
      <c r="KB40" s="153"/>
      <c r="KC40" s="153"/>
    </row>
    <row r="41" spans="2:289" x14ac:dyDescent="0.25">
      <c r="B41" s="214" t="s">
        <v>40</v>
      </c>
      <c r="C41" s="196"/>
      <c r="D41" s="215">
        <v>0</v>
      </c>
      <c r="E41" s="215">
        <v>0</v>
      </c>
      <c r="F41" s="216" t="s">
        <v>26</v>
      </c>
      <c r="G41" s="217">
        <f t="shared" ref="G41:G48" si="206">I41/Units_SF_M2</f>
        <v>6.1364752086401575</v>
      </c>
      <c r="H41" s="218">
        <f t="shared" ref="H41:H48" si="207">I41/Units</f>
        <v>6250</v>
      </c>
      <c r="I41" s="219">
        <v>100000</v>
      </c>
      <c r="K41" s="152" t="s">
        <v>872</v>
      </c>
      <c r="P41" s="152" t="str">
        <f t="shared" ref="P41:P49" si="208">IF(ROUND(SUM(Q41:ES41),0)=ROUND(I41,0),"","Incomplete")</f>
        <v/>
      </c>
      <c r="Q41" s="220">
        <f t="shared" ref="Q41:Z48" si="209">AND(Q$22&gt;=$D41,Q$22&lt;=$E41)*IF(OR($F41="Straight-Line",$F41="Detail"),$I41/$EX41,FA41)</f>
        <v>100000</v>
      </c>
      <c r="R41" s="220">
        <f t="shared" si="209"/>
        <v>0</v>
      </c>
      <c r="S41" s="220">
        <f t="shared" si="209"/>
        <v>0</v>
      </c>
      <c r="T41" s="220">
        <f t="shared" si="209"/>
        <v>0</v>
      </c>
      <c r="U41" s="220">
        <f t="shared" si="209"/>
        <v>0</v>
      </c>
      <c r="V41" s="220">
        <f t="shared" si="209"/>
        <v>0</v>
      </c>
      <c r="W41" s="220">
        <f t="shared" si="209"/>
        <v>0</v>
      </c>
      <c r="X41" s="220">
        <f t="shared" si="209"/>
        <v>0</v>
      </c>
      <c r="Y41" s="220">
        <f t="shared" si="209"/>
        <v>0</v>
      </c>
      <c r="Z41" s="220">
        <f t="shared" si="209"/>
        <v>0</v>
      </c>
      <c r="AA41" s="220">
        <f t="shared" ref="AA41:AJ48" si="210">AND(AA$22&gt;=$D41,AA$22&lt;=$E41)*IF(OR($F41="Straight-Line",$F41="Detail"),$I41/$EX41,FK41)</f>
        <v>0</v>
      </c>
      <c r="AB41" s="220">
        <f t="shared" si="210"/>
        <v>0</v>
      </c>
      <c r="AC41" s="220">
        <f t="shared" si="210"/>
        <v>0</v>
      </c>
      <c r="AD41" s="220">
        <f t="shared" si="210"/>
        <v>0</v>
      </c>
      <c r="AE41" s="220">
        <f t="shared" si="210"/>
        <v>0</v>
      </c>
      <c r="AF41" s="220">
        <f t="shared" si="210"/>
        <v>0</v>
      </c>
      <c r="AG41" s="220">
        <f t="shared" si="210"/>
        <v>0</v>
      </c>
      <c r="AH41" s="220">
        <f t="shared" si="210"/>
        <v>0</v>
      </c>
      <c r="AI41" s="220">
        <f t="shared" si="210"/>
        <v>0</v>
      </c>
      <c r="AJ41" s="220">
        <f t="shared" si="210"/>
        <v>0</v>
      </c>
      <c r="AK41" s="220">
        <f t="shared" ref="AK41:AT48" si="211">AND(AK$22&gt;=$D41,AK$22&lt;=$E41)*IF(OR($F41="Straight-Line",$F41="Detail"),$I41/$EX41,FU41)</f>
        <v>0</v>
      </c>
      <c r="AL41" s="220">
        <f t="shared" si="211"/>
        <v>0</v>
      </c>
      <c r="AM41" s="220">
        <f t="shared" si="211"/>
        <v>0</v>
      </c>
      <c r="AN41" s="220">
        <f t="shared" si="211"/>
        <v>0</v>
      </c>
      <c r="AO41" s="220">
        <f t="shared" si="211"/>
        <v>0</v>
      </c>
      <c r="AP41" s="220">
        <f t="shared" si="211"/>
        <v>0</v>
      </c>
      <c r="AQ41" s="220">
        <f t="shared" si="211"/>
        <v>0</v>
      </c>
      <c r="AR41" s="220">
        <f t="shared" si="211"/>
        <v>0</v>
      </c>
      <c r="AS41" s="220">
        <f t="shared" si="211"/>
        <v>0</v>
      </c>
      <c r="AT41" s="220">
        <f t="shared" si="211"/>
        <v>0</v>
      </c>
      <c r="AU41" s="220">
        <f t="shared" ref="AU41:BD48" si="212">AND(AU$22&gt;=$D41,AU$22&lt;=$E41)*IF(OR($F41="Straight-Line",$F41="Detail"),$I41/$EX41,GE41)</f>
        <v>0</v>
      </c>
      <c r="AV41" s="220">
        <f t="shared" si="212"/>
        <v>0</v>
      </c>
      <c r="AW41" s="220">
        <f t="shared" si="212"/>
        <v>0</v>
      </c>
      <c r="AX41" s="220">
        <f t="shared" si="212"/>
        <v>0</v>
      </c>
      <c r="AY41" s="220">
        <f t="shared" si="212"/>
        <v>0</v>
      </c>
      <c r="AZ41" s="220">
        <f t="shared" si="212"/>
        <v>0</v>
      </c>
      <c r="BA41" s="220">
        <f t="shared" si="212"/>
        <v>0</v>
      </c>
      <c r="BB41" s="220">
        <f t="shared" si="212"/>
        <v>0</v>
      </c>
      <c r="BC41" s="220">
        <f t="shared" si="212"/>
        <v>0</v>
      </c>
      <c r="BD41" s="220">
        <f t="shared" si="212"/>
        <v>0</v>
      </c>
      <c r="BE41" s="220">
        <f t="shared" ref="BE41:BN48" si="213">AND(BE$22&gt;=$D41,BE$22&lt;=$E41)*IF(OR($F41="Straight-Line",$F41="Detail"),$I41/$EX41,GO41)</f>
        <v>0</v>
      </c>
      <c r="BF41" s="220">
        <f t="shared" si="213"/>
        <v>0</v>
      </c>
      <c r="BG41" s="220">
        <f t="shared" si="213"/>
        <v>0</v>
      </c>
      <c r="BH41" s="220">
        <f t="shared" si="213"/>
        <v>0</v>
      </c>
      <c r="BI41" s="220">
        <f t="shared" si="213"/>
        <v>0</v>
      </c>
      <c r="BJ41" s="220">
        <f t="shared" si="213"/>
        <v>0</v>
      </c>
      <c r="BK41" s="220">
        <f t="shared" si="213"/>
        <v>0</v>
      </c>
      <c r="BL41" s="220">
        <f t="shared" si="213"/>
        <v>0</v>
      </c>
      <c r="BM41" s="220">
        <f t="shared" si="213"/>
        <v>0</v>
      </c>
      <c r="BN41" s="220">
        <f t="shared" si="213"/>
        <v>0</v>
      </c>
      <c r="BO41" s="220">
        <f t="shared" ref="BO41:BX48" si="214">AND(BO$22&gt;=$D41,BO$22&lt;=$E41)*IF(OR($F41="Straight-Line",$F41="Detail"),$I41/$EX41,GY41)</f>
        <v>0</v>
      </c>
      <c r="BP41" s="220">
        <f t="shared" si="214"/>
        <v>0</v>
      </c>
      <c r="BQ41" s="220">
        <f t="shared" si="214"/>
        <v>0</v>
      </c>
      <c r="BR41" s="220">
        <f t="shared" si="214"/>
        <v>0</v>
      </c>
      <c r="BS41" s="220">
        <f t="shared" si="214"/>
        <v>0</v>
      </c>
      <c r="BT41" s="220">
        <f t="shared" si="214"/>
        <v>0</v>
      </c>
      <c r="BU41" s="220">
        <f t="shared" si="214"/>
        <v>0</v>
      </c>
      <c r="BV41" s="220">
        <f t="shared" si="214"/>
        <v>0</v>
      </c>
      <c r="BW41" s="220">
        <f t="shared" si="214"/>
        <v>0</v>
      </c>
      <c r="BX41" s="220">
        <f t="shared" si="214"/>
        <v>0</v>
      </c>
      <c r="BY41" s="220">
        <f t="shared" ref="BY41:CH48" si="215">AND(BY$22&gt;=$D41,BY$22&lt;=$E41)*IF(OR($F41="Straight-Line",$F41="Detail"),$I41/$EX41,HI41)</f>
        <v>0</v>
      </c>
      <c r="BZ41" s="220">
        <f t="shared" si="215"/>
        <v>0</v>
      </c>
      <c r="CA41" s="220">
        <f t="shared" si="215"/>
        <v>0</v>
      </c>
      <c r="CB41" s="220">
        <f t="shared" si="215"/>
        <v>0</v>
      </c>
      <c r="CC41" s="220">
        <f t="shared" si="215"/>
        <v>0</v>
      </c>
      <c r="CD41" s="220">
        <f t="shared" si="215"/>
        <v>0</v>
      </c>
      <c r="CE41" s="220">
        <f t="shared" si="215"/>
        <v>0</v>
      </c>
      <c r="CF41" s="220">
        <f t="shared" si="215"/>
        <v>0</v>
      </c>
      <c r="CG41" s="220">
        <f t="shared" si="215"/>
        <v>0</v>
      </c>
      <c r="CH41" s="220">
        <f t="shared" si="215"/>
        <v>0</v>
      </c>
      <c r="CI41" s="220">
        <f t="shared" ref="CI41:CR48" si="216">AND(CI$22&gt;=$D41,CI$22&lt;=$E41)*IF(OR($F41="Straight-Line",$F41="Detail"),$I41/$EX41,HS41)</f>
        <v>0</v>
      </c>
      <c r="CJ41" s="220">
        <f t="shared" si="216"/>
        <v>0</v>
      </c>
      <c r="CK41" s="220">
        <f t="shared" si="216"/>
        <v>0</v>
      </c>
      <c r="CL41" s="220">
        <f t="shared" si="216"/>
        <v>0</v>
      </c>
      <c r="CM41" s="220">
        <f t="shared" si="216"/>
        <v>0</v>
      </c>
      <c r="CN41" s="220">
        <f t="shared" si="216"/>
        <v>0</v>
      </c>
      <c r="CO41" s="220">
        <f t="shared" si="216"/>
        <v>0</v>
      </c>
      <c r="CP41" s="220">
        <f t="shared" si="216"/>
        <v>0</v>
      </c>
      <c r="CQ41" s="220">
        <f t="shared" si="216"/>
        <v>0</v>
      </c>
      <c r="CR41" s="220">
        <f t="shared" si="216"/>
        <v>0</v>
      </c>
      <c r="CS41" s="220">
        <f t="shared" ref="CS41:DB48" si="217">AND(CS$22&gt;=$D41,CS$22&lt;=$E41)*IF(OR($F41="Straight-Line",$F41="Detail"),$I41/$EX41,IC41)</f>
        <v>0</v>
      </c>
      <c r="CT41" s="220">
        <f t="shared" si="217"/>
        <v>0</v>
      </c>
      <c r="CU41" s="220">
        <f t="shared" si="217"/>
        <v>0</v>
      </c>
      <c r="CV41" s="220">
        <f t="shared" si="217"/>
        <v>0</v>
      </c>
      <c r="CW41" s="220">
        <f t="shared" si="217"/>
        <v>0</v>
      </c>
      <c r="CX41" s="220">
        <f t="shared" si="217"/>
        <v>0</v>
      </c>
      <c r="CY41" s="220">
        <f t="shared" si="217"/>
        <v>0</v>
      </c>
      <c r="CZ41" s="220">
        <f t="shared" si="217"/>
        <v>0</v>
      </c>
      <c r="DA41" s="220">
        <f t="shared" si="217"/>
        <v>0</v>
      </c>
      <c r="DB41" s="220">
        <f t="shared" si="217"/>
        <v>0</v>
      </c>
      <c r="DC41" s="220">
        <f t="shared" ref="DC41:DL48" si="218">AND(DC$22&gt;=$D41,DC$22&lt;=$E41)*IF(OR($F41="Straight-Line",$F41="Detail"),$I41/$EX41,IM41)</f>
        <v>0</v>
      </c>
      <c r="DD41" s="220">
        <f t="shared" si="218"/>
        <v>0</v>
      </c>
      <c r="DE41" s="220">
        <f t="shared" si="218"/>
        <v>0</v>
      </c>
      <c r="DF41" s="220">
        <f t="shared" si="218"/>
        <v>0</v>
      </c>
      <c r="DG41" s="220">
        <f t="shared" si="218"/>
        <v>0</v>
      </c>
      <c r="DH41" s="220">
        <f t="shared" si="218"/>
        <v>0</v>
      </c>
      <c r="DI41" s="220">
        <f t="shared" si="218"/>
        <v>0</v>
      </c>
      <c r="DJ41" s="220">
        <f t="shared" si="218"/>
        <v>0</v>
      </c>
      <c r="DK41" s="220">
        <f t="shared" si="218"/>
        <v>0</v>
      </c>
      <c r="DL41" s="220">
        <f t="shared" si="218"/>
        <v>0</v>
      </c>
      <c r="DM41" s="220">
        <f t="shared" ref="DM41:DV48" si="219">AND(DM$22&gt;=$D41,DM$22&lt;=$E41)*IF(OR($F41="Straight-Line",$F41="Detail"),$I41/$EX41,IW41)</f>
        <v>0</v>
      </c>
      <c r="DN41" s="220">
        <f t="shared" si="219"/>
        <v>0</v>
      </c>
      <c r="DO41" s="220">
        <f t="shared" si="219"/>
        <v>0</v>
      </c>
      <c r="DP41" s="220">
        <f t="shared" si="219"/>
        <v>0</v>
      </c>
      <c r="DQ41" s="220">
        <f t="shared" si="219"/>
        <v>0</v>
      </c>
      <c r="DR41" s="220">
        <f t="shared" si="219"/>
        <v>0</v>
      </c>
      <c r="DS41" s="220">
        <f t="shared" si="219"/>
        <v>0</v>
      </c>
      <c r="DT41" s="220">
        <f t="shared" si="219"/>
        <v>0</v>
      </c>
      <c r="DU41" s="220">
        <f t="shared" si="219"/>
        <v>0</v>
      </c>
      <c r="DV41" s="220">
        <f t="shared" si="219"/>
        <v>0</v>
      </c>
      <c r="DW41" s="220">
        <f t="shared" ref="DW41:EF48" si="220">AND(DW$22&gt;=$D41,DW$22&lt;=$E41)*IF(OR($F41="Straight-Line",$F41="Detail"),$I41/$EX41,JG41)</f>
        <v>0</v>
      </c>
      <c r="DX41" s="220">
        <f t="shared" si="220"/>
        <v>0</v>
      </c>
      <c r="DY41" s="220">
        <f t="shared" si="220"/>
        <v>0</v>
      </c>
      <c r="DZ41" s="220">
        <f t="shared" si="220"/>
        <v>0</v>
      </c>
      <c r="EA41" s="220">
        <f t="shared" si="220"/>
        <v>0</v>
      </c>
      <c r="EB41" s="220">
        <f t="shared" si="220"/>
        <v>0</v>
      </c>
      <c r="EC41" s="220">
        <f t="shared" si="220"/>
        <v>0</v>
      </c>
      <c r="ED41" s="220">
        <f t="shared" si="220"/>
        <v>0</v>
      </c>
      <c r="EE41" s="220">
        <f t="shared" si="220"/>
        <v>0</v>
      </c>
      <c r="EF41" s="220">
        <f t="shared" si="220"/>
        <v>0</v>
      </c>
      <c r="EG41" s="220">
        <f t="shared" ref="EG41:EP48" si="221">AND(EG$22&gt;=$D41,EG$22&lt;=$E41)*IF(OR($F41="Straight-Line",$F41="Detail"),$I41/$EX41,JQ41)</f>
        <v>0</v>
      </c>
      <c r="EH41" s="220">
        <f t="shared" si="221"/>
        <v>0</v>
      </c>
      <c r="EI41" s="220">
        <f t="shared" si="221"/>
        <v>0</v>
      </c>
      <c r="EJ41" s="220">
        <f t="shared" si="221"/>
        <v>0</v>
      </c>
      <c r="EK41" s="220">
        <f t="shared" si="221"/>
        <v>0</v>
      </c>
      <c r="EL41" s="220">
        <f t="shared" si="221"/>
        <v>0</v>
      </c>
      <c r="EM41" s="220">
        <f t="shared" si="221"/>
        <v>0</v>
      </c>
      <c r="EN41" s="220">
        <f t="shared" si="221"/>
        <v>0</v>
      </c>
      <c r="EO41" s="220">
        <f t="shared" si="221"/>
        <v>0</v>
      </c>
      <c r="EP41" s="220">
        <f t="shared" si="221"/>
        <v>0</v>
      </c>
      <c r="EQ41" s="220">
        <f t="shared" ref="EQ41:ES48" si="222">AND(EQ$22&gt;=$D41,EQ$22&lt;=$E41)*IF(OR($F41="Straight-Line",$F41="Detail"),$I41/$EX41,KA41)</f>
        <v>0</v>
      </c>
      <c r="ER41" s="220">
        <f t="shared" si="222"/>
        <v>0</v>
      </c>
      <c r="ES41" s="220">
        <f t="shared" si="222"/>
        <v>0</v>
      </c>
      <c r="EU41" s="221">
        <f t="shared" ref="EU41:EU48" si="223">I41</f>
        <v>100000</v>
      </c>
      <c r="EV41" s="222">
        <f t="shared" ref="EV41:EV48" si="224">INDEX($Q$23:$ES$23,1,$D41+1)</f>
        <v>45688</v>
      </c>
      <c r="EW41" s="222">
        <f t="shared" ref="EW41:EW48" si="225">INDEX($Q$23:$ES$23,1,$E41+1)</f>
        <v>45688</v>
      </c>
      <c r="EX41" s="221">
        <f t="shared" ref="EX41:EX48" si="226">+E41-D41+1</f>
        <v>1</v>
      </c>
      <c r="EY41" s="153" t="str">
        <f t="shared" ref="EY41:EY48" si="227">F41</f>
        <v>Straight-Line</v>
      </c>
      <c r="EZ41" s="223">
        <f t="shared" ref="EZ41:EZ48" si="228">EX41/Scurve_Dist</f>
        <v>0.16666666666666666</v>
      </c>
      <c r="FA41" s="221">
        <f t="shared" ref="FA41:FP48" si="229">AND($EY41="S-Curve",FA$23&gt;=$EV41,FA$23&lt;=$EW41)*(_xlfn.NORM.DIST((YEAR(FA$23)-YEAR($EV41))*12+MONTH(FA$23)-MONTH($EV41)+1,$EX41/2,$EZ41,TRUE)-_xlfn.NORM.DIST((YEAR(FA$23)-YEAR($EV41))*12+MONTH(FA$23)-MONTH($EV41),$EX41/2,$EZ41,TRUE))/(1-2*_xlfn.NORM.DIST(0,$EX41/2,$EZ41,TRUE))*$EU41</f>
        <v>0</v>
      </c>
      <c r="FB41" s="221">
        <f t="shared" si="229"/>
        <v>0</v>
      </c>
      <c r="FC41" s="221">
        <f t="shared" si="229"/>
        <v>0</v>
      </c>
      <c r="FD41" s="221">
        <f t="shared" si="229"/>
        <v>0</v>
      </c>
      <c r="FE41" s="221">
        <f t="shared" si="229"/>
        <v>0</v>
      </c>
      <c r="FF41" s="221">
        <f t="shared" si="229"/>
        <v>0</v>
      </c>
      <c r="FG41" s="221">
        <f t="shared" si="229"/>
        <v>0</v>
      </c>
      <c r="FH41" s="221">
        <f t="shared" si="229"/>
        <v>0</v>
      </c>
      <c r="FI41" s="221">
        <f t="shared" si="229"/>
        <v>0</v>
      </c>
      <c r="FJ41" s="221">
        <f t="shared" si="229"/>
        <v>0</v>
      </c>
      <c r="FK41" s="221">
        <f t="shared" si="229"/>
        <v>0</v>
      </c>
      <c r="FL41" s="221">
        <f t="shared" si="229"/>
        <v>0</v>
      </c>
      <c r="FM41" s="221">
        <f t="shared" si="229"/>
        <v>0</v>
      </c>
      <c r="FN41" s="221">
        <f t="shared" si="229"/>
        <v>0</v>
      </c>
      <c r="FO41" s="221">
        <f t="shared" si="229"/>
        <v>0</v>
      </c>
      <c r="FP41" s="221">
        <f t="shared" si="229"/>
        <v>0</v>
      </c>
      <c r="FQ41" s="221">
        <f t="shared" ref="FQ41:GF48" si="230">AND($EY41="S-Curve",FQ$23&gt;=$EV41,FQ$23&lt;=$EW41)*(_xlfn.NORM.DIST((YEAR(FQ$23)-YEAR($EV41))*12+MONTH(FQ$23)-MONTH($EV41)+1,$EX41/2,$EZ41,TRUE)-_xlfn.NORM.DIST((YEAR(FQ$23)-YEAR($EV41))*12+MONTH(FQ$23)-MONTH($EV41),$EX41/2,$EZ41,TRUE))/(1-2*_xlfn.NORM.DIST(0,$EX41/2,$EZ41,TRUE))*$EU41</f>
        <v>0</v>
      </c>
      <c r="FR41" s="221">
        <f t="shared" si="230"/>
        <v>0</v>
      </c>
      <c r="FS41" s="221">
        <f t="shared" si="230"/>
        <v>0</v>
      </c>
      <c r="FT41" s="221">
        <f t="shared" si="230"/>
        <v>0</v>
      </c>
      <c r="FU41" s="221">
        <f t="shared" si="230"/>
        <v>0</v>
      </c>
      <c r="FV41" s="221">
        <f t="shared" si="230"/>
        <v>0</v>
      </c>
      <c r="FW41" s="221">
        <f t="shared" si="230"/>
        <v>0</v>
      </c>
      <c r="FX41" s="221">
        <f t="shared" si="230"/>
        <v>0</v>
      </c>
      <c r="FY41" s="221">
        <f t="shared" si="230"/>
        <v>0</v>
      </c>
      <c r="FZ41" s="221">
        <f t="shared" si="230"/>
        <v>0</v>
      </c>
      <c r="GA41" s="221">
        <f t="shared" si="230"/>
        <v>0</v>
      </c>
      <c r="GB41" s="221">
        <f t="shared" si="230"/>
        <v>0</v>
      </c>
      <c r="GC41" s="221">
        <f t="shared" si="230"/>
        <v>0</v>
      </c>
      <c r="GD41" s="221">
        <f t="shared" si="230"/>
        <v>0</v>
      </c>
      <c r="GE41" s="221">
        <f t="shared" si="230"/>
        <v>0</v>
      </c>
      <c r="GF41" s="221">
        <f t="shared" si="230"/>
        <v>0</v>
      </c>
      <c r="GG41" s="221">
        <f t="shared" ref="GG41:GV48" si="231">AND($EY41="S-Curve",GG$23&gt;=$EV41,GG$23&lt;=$EW41)*(_xlfn.NORM.DIST((YEAR(GG$23)-YEAR($EV41))*12+MONTH(GG$23)-MONTH($EV41)+1,$EX41/2,$EZ41,TRUE)-_xlfn.NORM.DIST((YEAR(GG$23)-YEAR($EV41))*12+MONTH(GG$23)-MONTH($EV41),$EX41/2,$EZ41,TRUE))/(1-2*_xlfn.NORM.DIST(0,$EX41/2,$EZ41,TRUE))*$EU41</f>
        <v>0</v>
      </c>
      <c r="GH41" s="221">
        <f t="shared" si="231"/>
        <v>0</v>
      </c>
      <c r="GI41" s="221">
        <f t="shared" si="231"/>
        <v>0</v>
      </c>
      <c r="GJ41" s="221">
        <f t="shared" si="231"/>
        <v>0</v>
      </c>
      <c r="GK41" s="221">
        <f t="shared" si="231"/>
        <v>0</v>
      </c>
      <c r="GL41" s="221">
        <f t="shared" si="231"/>
        <v>0</v>
      </c>
      <c r="GM41" s="221">
        <f t="shared" si="231"/>
        <v>0</v>
      </c>
      <c r="GN41" s="221">
        <f t="shared" si="231"/>
        <v>0</v>
      </c>
      <c r="GO41" s="221">
        <f t="shared" si="231"/>
        <v>0</v>
      </c>
      <c r="GP41" s="221">
        <f t="shared" si="231"/>
        <v>0</v>
      </c>
      <c r="GQ41" s="221">
        <f t="shared" si="231"/>
        <v>0</v>
      </c>
      <c r="GR41" s="221">
        <f t="shared" si="231"/>
        <v>0</v>
      </c>
      <c r="GS41" s="221">
        <f t="shared" si="231"/>
        <v>0</v>
      </c>
      <c r="GT41" s="221">
        <f t="shared" si="231"/>
        <v>0</v>
      </c>
      <c r="GU41" s="221">
        <f t="shared" si="231"/>
        <v>0</v>
      </c>
      <c r="GV41" s="221">
        <f t="shared" si="231"/>
        <v>0</v>
      </c>
      <c r="GW41" s="221">
        <f t="shared" ref="GW41:HL48" si="232">AND($EY41="S-Curve",GW$23&gt;=$EV41,GW$23&lt;=$EW41)*(_xlfn.NORM.DIST((YEAR(GW$23)-YEAR($EV41))*12+MONTH(GW$23)-MONTH($EV41)+1,$EX41/2,$EZ41,TRUE)-_xlfn.NORM.DIST((YEAR(GW$23)-YEAR($EV41))*12+MONTH(GW$23)-MONTH($EV41),$EX41/2,$EZ41,TRUE))/(1-2*_xlfn.NORM.DIST(0,$EX41/2,$EZ41,TRUE))*$EU41</f>
        <v>0</v>
      </c>
      <c r="GX41" s="221">
        <f t="shared" si="232"/>
        <v>0</v>
      </c>
      <c r="GY41" s="221">
        <f t="shared" si="232"/>
        <v>0</v>
      </c>
      <c r="GZ41" s="221">
        <f t="shared" si="232"/>
        <v>0</v>
      </c>
      <c r="HA41" s="221">
        <f t="shared" si="232"/>
        <v>0</v>
      </c>
      <c r="HB41" s="221">
        <f t="shared" si="232"/>
        <v>0</v>
      </c>
      <c r="HC41" s="221">
        <f t="shared" si="232"/>
        <v>0</v>
      </c>
      <c r="HD41" s="221">
        <f t="shared" si="232"/>
        <v>0</v>
      </c>
      <c r="HE41" s="221">
        <f t="shared" si="232"/>
        <v>0</v>
      </c>
      <c r="HF41" s="221">
        <f t="shared" si="232"/>
        <v>0</v>
      </c>
      <c r="HG41" s="221">
        <f t="shared" si="232"/>
        <v>0</v>
      </c>
      <c r="HH41" s="221">
        <f t="shared" si="232"/>
        <v>0</v>
      </c>
      <c r="HI41" s="221">
        <f t="shared" si="232"/>
        <v>0</v>
      </c>
      <c r="HJ41" s="221">
        <f t="shared" si="232"/>
        <v>0</v>
      </c>
      <c r="HK41" s="221">
        <f t="shared" si="232"/>
        <v>0</v>
      </c>
      <c r="HL41" s="221">
        <f t="shared" si="232"/>
        <v>0</v>
      </c>
      <c r="HM41" s="221">
        <f t="shared" ref="HM41:IB48" si="233">AND($EY41="S-Curve",HM$23&gt;=$EV41,HM$23&lt;=$EW41)*(_xlfn.NORM.DIST((YEAR(HM$23)-YEAR($EV41))*12+MONTH(HM$23)-MONTH($EV41)+1,$EX41/2,$EZ41,TRUE)-_xlfn.NORM.DIST((YEAR(HM$23)-YEAR($EV41))*12+MONTH(HM$23)-MONTH($EV41),$EX41/2,$EZ41,TRUE))/(1-2*_xlfn.NORM.DIST(0,$EX41/2,$EZ41,TRUE))*$EU41</f>
        <v>0</v>
      </c>
      <c r="HN41" s="221">
        <f t="shared" si="233"/>
        <v>0</v>
      </c>
      <c r="HO41" s="221">
        <f t="shared" si="233"/>
        <v>0</v>
      </c>
      <c r="HP41" s="221">
        <f t="shared" si="233"/>
        <v>0</v>
      </c>
      <c r="HQ41" s="221">
        <f t="shared" si="233"/>
        <v>0</v>
      </c>
      <c r="HR41" s="221">
        <f t="shared" si="233"/>
        <v>0</v>
      </c>
      <c r="HS41" s="221">
        <f t="shared" si="233"/>
        <v>0</v>
      </c>
      <c r="HT41" s="221">
        <f t="shared" si="233"/>
        <v>0</v>
      </c>
      <c r="HU41" s="221">
        <f t="shared" si="233"/>
        <v>0</v>
      </c>
      <c r="HV41" s="221">
        <f t="shared" si="233"/>
        <v>0</v>
      </c>
      <c r="HW41" s="221">
        <f t="shared" si="233"/>
        <v>0</v>
      </c>
      <c r="HX41" s="221">
        <f t="shared" si="233"/>
        <v>0</v>
      </c>
      <c r="HY41" s="221">
        <f t="shared" si="233"/>
        <v>0</v>
      </c>
      <c r="HZ41" s="221">
        <f t="shared" si="233"/>
        <v>0</v>
      </c>
      <c r="IA41" s="221">
        <f t="shared" si="233"/>
        <v>0</v>
      </c>
      <c r="IB41" s="221">
        <f t="shared" si="233"/>
        <v>0</v>
      </c>
      <c r="IC41" s="221">
        <f t="shared" ref="IC41:IR48" si="234">AND($EY41="S-Curve",IC$23&gt;=$EV41,IC$23&lt;=$EW41)*(_xlfn.NORM.DIST((YEAR(IC$23)-YEAR($EV41))*12+MONTH(IC$23)-MONTH($EV41)+1,$EX41/2,$EZ41,TRUE)-_xlfn.NORM.DIST((YEAR(IC$23)-YEAR($EV41))*12+MONTH(IC$23)-MONTH($EV41),$EX41/2,$EZ41,TRUE))/(1-2*_xlfn.NORM.DIST(0,$EX41/2,$EZ41,TRUE))*$EU41</f>
        <v>0</v>
      </c>
      <c r="ID41" s="221">
        <f t="shared" si="234"/>
        <v>0</v>
      </c>
      <c r="IE41" s="221">
        <f t="shared" si="234"/>
        <v>0</v>
      </c>
      <c r="IF41" s="221">
        <f t="shared" si="234"/>
        <v>0</v>
      </c>
      <c r="IG41" s="221">
        <f t="shared" si="234"/>
        <v>0</v>
      </c>
      <c r="IH41" s="221">
        <f t="shared" si="234"/>
        <v>0</v>
      </c>
      <c r="II41" s="221">
        <f t="shared" si="234"/>
        <v>0</v>
      </c>
      <c r="IJ41" s="221">
        <f t="shared" si="234"/>
        <v>0</v>
      </c>
      <c r="IK41" s="221">
        <f t="shared" si="234"/>
        <v>0</v>
      </c>
      <c r="IL41" s="221">
        <f t="shared" si="234"/>
        <v>0</v>
      </c>
      <c r="IM41" s="221">
        <f t="shared" si="234"/>
        <v>0</v>
      </c>
      <c r="IN41" s="221">
        <f t="shared" si="234"/>
        <v>0</v>
      </c>
      <c r="IO41" s="221">
        <f t="shared" si="234"/>
        <v>0</v>
      </c>
      <c r="IP41" s="221">
        <f t="shared" si="234"/>
        <v>0</v>
      </c>
      <c r="IQ41" s="221">
        <f t="shared" si="234"/>
        <v>0</v>
      </c>
      <c r="IR41" s="221">
        <f t="shared" si="234"/>
        <v>0</v>
      </c>
      <c r="IS41" s="221">
        <f t="shared" ref="IS41:JH48" si="235">AND($EY41="S-Curve",IS$23&gt;=$EV41,IS$23&lt;=$EW41)*(_xlfn.NORM.DIST((YEAR(IS$23)-YEAR($EV41))*12+MONTH(IS$23)-MONTH($EV41)+1,$EX41/2,$EZ41,TRUE)-_xlfn.NORM.DIST((YEAR(IS$23)-YEAR($EV41))*12+MONTH(IS$23)-MONTH($EV41),$EX41/2,$EZ41,TRUE))/(1-2*_xlfn.NORM.DIST(0,$EX41/2,$EZ41,TRUE))*$EU41</f>
        <v>0</v>
      </c>
      <c r="IT41" s="221">
        <f t="shared" si="235"/>
        <v>0</v>
      </c>
      <c r="IU41" s="221">
        <f t="shared" si="235"/>
        <v>0</v>
      </c>
      <c r="IV41" s="221">
        <f t="shared" si="235"/>
        <v>0</v>
      </c>
      <c r="IW41" s="221">
        <f t="shared" si="235"/>
        <v>0</v>
      </c>
      <c r="IX41" s="221">
        <f t="shared" si="235"/>
        <v>0</v>
      </c>
      <c r="IY41" s="221">
        <f t="shared" si="235"/>
        <v>0</v>
      </c>
      <c r="IZ41" s="221">
        <f t="shared" si="235"/>
        <v>0</v>
      </c>
      <c r="JA41" s="221">
        <f t="shared" si="235"/>
        <v>0</v>
      </c>
      <c r="JB41" s="221">
        <f t="shared" si="235"/>
        <v>0</v>
      </c>
      <c r="JC41" s="221">
        <f t="shared" si="235"/>
        <v>0</v>
      </c>
      <c r="JD41" s="221">
        <f t="shared" si="235"/>
        <v>0</v>
      </c>
      <c r="JE41" s="221">
        <f t="shared" si="235"/>
        <v>0</v>
      </c>
      <c r="JF41" s="221">
        <f t="shared" si="235"/>
        <v>0</v>
      </c>
      <c r="JG41" s="221">
        <f t="shared" si="235"/>
        <v>0</v>
      </c>
      <c r="JH41" s="221">
        <f t="shared" si="235"/>
        <v>0</v>
      </c>
      <c r="JI41" s="221">
        <f t="shared" ref="JI41:JX48" si="236">AND($EY41="S-Curve",JI$23&gt;=$EV41,JI$23&lt;=$EW41)*(_xlfn.NORM.DIST((YEAR(JI$23)-YEAR($EV41))*12+MONTH(JI$23)-MONTH($EV41)+1,$EX41/2,$EZ41,TRUE)-_xlfn.NORM.DIST((YEAR(JI$23)-YEAR($EV41))*12+MONTH(JI$23)-MONTH($EV41),$EX41/2,$EZ41,TRUE))/(1-2*_xlfn.NORM.DIST(0,$EX41/2,$EZ41,TRUE))*$EU41</f>
        <v>0</v>
      </c>
      <c r="JJ41" s="221">
        <f t="shared" si="236"/>
        <v>0</v>
      </c>
      <c r="JK41" s="221">
        <f t="shared" si="236"/>
        <v>0</v>
      </c>
      <c r="JL41" s="221">
        <f t="shared" si="236"/>
        <v>0</v>
      </c>
      <c r="JM41" s="221">
        <f t="shared" si="236"/>
        <v>0</v>
      </c>
      <c r="JN41" s="221">
        <f t="shared" si="236"/>
        <v>0</v>
      </c>
      <c r="JO41" s="221">
        <f t="shared" si="236"/>
        <v>0</v>
      </c>
      <c r="JP41" s="221">
        <f t="shared" si="236"/>
        <v>0</v>
      </c>
      <c r="JQ41" s="221">
        <f t="shared" si="236"/>
        <v>0</v>
      </c>
      <c r="JR41" s="221">
        <f t="shared" si="236"/>
        <v>0</v>
      </c>
      <c r="JS41" s="221">
        <f t="shared" si="236"/>
        <v>0</v>
      </c>
      <c r="JT41" s="221">
        <f t="shared" si="236"/>
        <v>0</v>
      </c>
      <c r="JU41" s="221">
        <f t="shared" si="236"/>
        <v>0</v>
      </c>
      <c r="JV41" s="221">
        <f t="shared" si="236"/>
        <v>0</v>
      </c>
      <c r="JW41" s="221">
        <f t="shared" si="236"/>
        <v>0</v>
      </c>
      <c r="JX41" s="221">
        <f t="shared" si="236"/>
        <v>0</v>
      </c>
      <c r="JY41" s="221">
        <f t="shared" ref="JY41:KC48" si="237">AND($EY41="S-Curve",JY$23&gt;=$EV41,JY$23&lt;=$EW41)*(_xlfn.NORM.DIST((YEAR(JY$23)-YEAR($EV41))*12+MONTH(JY$23)-MONTH($EV41)+1,$EX41/2,$EZ41,TRUE)-_xlfn.NORM.DIST((YEAR(JY$23)-YEAR($EV41))*12+MONTH(JY$23)-MONTH($EV41),$EX41/2,$EZ41,TRUE))/(1-2*_xlfn.NORM.DIST(0,$EX41/2,$EZ41,TRUE))*$EU41</f>
        <v>0</v>
      </c>
      <c r="JZ41" s="221">
        <f t="shared" si="237"/>
        <v>0</v>
      </c>
      <c r="KA41" s="221">
        <f t="shared" si="237"/>
        <v>0</v>
      </c>
      <c r="KB41" s="221">
        <f t="shared" si="237"/>
        <v>0</v>
      </c>
      <c r="KC41" s="221">
        <f t="shared" si="237"/>
        <v>0</v>
      </c>
    </row>
    <row r="42" spans="2:289" x14ac:dyDescent="0.25">
      <c r="B42" s="214" t="s">
        <v>871</v>
      </c>
      <c r="C42" s="196"/>
      <c r="D42" s="215">
        <v>0</v>
      </c>
      <c r="E42" s="215">
        <v>0</v>
      </c>
      <c r="F42" s="216" t="s">
        <v>26</v>
      </c>
      <c r="G42" s="217">
        <f t="shared" si="206"/>
        <v>9.2047128129602349</v>
      </c>
      <c r="H42" s="218">
        <f t="shared" si="207"/>
        <v>9375</v>
      </c>
      <c r="I42" s="219">
        <v>150000</v>
      </c>
      <c r="K42" s="152" t="s">
        <v>873</v>
      </c>
      <c r="P42" s="152" t="str">
        <f t="shared" si="208"/>
        <v/>
      </c>
      <c r="Q42" s="220">
        <f t="shared" si="209"/>
        <v>150000</v>
      </c>
      <c r="R42" s="220">
        <f t="shared" si="209"/>
        <v>0</v>
      </c>
      <c r="S42" s="220">
        <f t="shared" si="209"/>
        <v>0</v>
      </c>
      <c r="T42" s="220">
        <f t="shared" si="209"/>
        <v>0</v>
      </c>
      <c r="U42" s="220">
        <f t="shared" si="209"/>
        <v>0</v>
      </c>
      <c r="V42" s="220">
        <f t="shared" si="209"/>
        <v>0</v>
      </c>
      <c r="W42" s="220">
        <f t="shared" si="209"/>
        <v>0</v>
      </c>
      <c r="X42" s="220">
        <f t="shared" si="209"/>
        <v>0</v>
      </c>
      <c r="Y42" s="220">
        <f t="shared" si="209"/>
        <v>0</v>
      </c>
      <c r="Z42" s="220">
        <f t="shared" si="209"/>
        <v>0</v>
      </c>
      <c r="AA42" s="220">
        <f t="shared" si="210"/>
        <v>0</v>
      </c>
      <c r="AB42" s="220">
        <f t="shared" si="210"/>
        <v>0</v>
      </c>
      <c r="AC42" s="220">
        <f t="shared" si="210"/>
        <v>0</v>
      </c>
      <c r="AD42" s="220">
        <f t="shared" si="210"/>
        <v>0</v>
      </c>
      <c r="AE42" s="220">
        <f t="shared" si="210"/>
        <v>0</v>
      </c>
      <c r="AF42" s="220">
        <f t="shared" si="210"/>
        <v>0</v>
      </c>
      <c r="AG42" s="220">
        <f t="shared" si="210"/>
        <v>0</v>
      </c>
      <c r="AH42" s="220">
        <f t="shared" si="210"/>
        <v>0</v>
      </c>
      <c r="AI42" s="220">
        <f t="shared" si="210"/>
        <v>0</v>
      </c>
      <c r="AJ42" s="220">
        <f t="shared" si="210"/>
        <v>0</v>
      </c>
      <c r="AK42" s="220">
        <f t="shared" si="211"/>
        <v>0</v>
      </c>
      <c r="AL42" s="220">
        <f t="shared" si="211"/>
        <v>0</v>
      </c>
      <c r="AM42" s="220">
        <f t="shared" si="211"/>
        <v>0</v>
      </c>
      <c r="AN42" s="220">
        <f t="shared" si="211"/>
        <v>0</v>
      </c>
      <c r="AO42" s="220">
        <f t="shared" si="211"/>
        <v>0</v>
      </c>
      <c r="AP42" s="220">
        <f t="shared" si="211"/>
        <v>0</v>
      </c>
      <c r="AQ42" s="220">
        <f t="shared" si="211"/>
        <v>0</v>
      </c>
      <c r="AR42" s="220">
        <f t="shared" si="211"/>
        <v>0</v>
      </c>
      <c r="AS42" s="220">
        <f t="shared" si="211"/>
        <v>0</v>
      </c>
      <c r="AT42" s="220">
        <f t="shared" si="211"/>
        <v>0</v>
      </c>
      <c r="AU42" s="220">
        <f t="shared" si="212"/>
        <v>0</v>
      </c>
      <c r="AV42" s="220">
        <f t="shared" si="212"/>
        <v>0</v>
      </c>
      <c r="AW42" s="220">
        <f t="shared" si="212"/>
        <v>0</v>
      </c>
      <c r="AX42" s="220">
        <f t="shared" si="212"/>
        <v>0</v>
      </c>
      <c r="AY42" s="220">
        <f t="shared" si="212"/>
        <v>0</v>
      </c>
      <c r="AZ42" s="220">
        <f t="shared" si="212"/>
        <v>0</v>
      </c>
      <c r="BA42" s="220">
        <f t="shared" si="212"/>
        <v>0</v>
      </c>
      <c r="BB42" s="220">
        <f t="shared" si="212"/>
        <v>0</v>
      </c>
      <c r="BC42" s="220">
        <f t="shared" si="212"/>
        <v>0</v>
      </c>
      <c r="BD42" s="220">
        <f t="shared" si="212"/>
        <v>0</v>
      </c>
      <c r="BE42" s="220">
        <f t="shared" si="213"/>
        <v>0</v>
      </c>
      <c r="BF42" s="220">
        <f t="shared" si="213"/>
        <v>0</v>
      </c>
      <c r="BG42" s="220">
        <f t="shared" si="213"/>
        <v>0</v>
      </c>
      <c r="BH42" s="220">
        <f t="shared" si="213"/>
        <v>0</v>
      </c>
      <c r="BI42" s="220">
        <f t="shared" si="213"/>
        <v>0</v>
      </c>
      <c r="BJ42" s="220">
        <f t="shared" si="213"/>
        <v>0</v>
      </c>
      <c r="BK42" s="220">
        <f t="shared" si="213"/>
        <v>0</v>
      </c>
      <c r="BL42" s="220">
        <f t="shared" si="213"/>
        <v>0</v>
      </c>
      <c r="BM42" s="220">
        <f t="shared" si="213"/>
        <v>0</v>
      </c>
      <c r="BN42" s="220">
        <f t="shared" si="213"/>
        <v>0</v>
      </c>
      <c r="BO42" s="220">
        <f t="shared" si="214"/>
        <v>0</v>
      </c>
      <c r="BP42" s="220">
        <f t="shared" si="214"/>
        <v>0</v>
      </c>
      <c r="BQ42" s="220">
        <f t="shared" si="214"/>
        <v>0</v>
      </c>
      <c r="BR42" s="220">
        <f t="shared" si="214"/>
        <v>0</v>
      </c>
      <c r="BS42" s="220">
        <f t="shared" si="214"/>
        <v>0</v>
      </c>
      <c r="BT42" s="220">
        <f t="shared" si="214"/>
        <v>0</v>
      </c>
      <c r="BU42" s="220">
        <f t="shared" si="214"/>
        <v>0</v>
      </c>
      <c r="BV42" s="220">
        <f t="shared" si="214"/>
        <v>0</v>
      </c>
      <c r="BW42" s="220">
        <f t="shared" si="214"/>
        <v>0</v>
      </c>
      <c r="BX42" s="220">
        <f t="shared" si="214"/>
        <v>0</v>
      </c>
      <c r="BY42" s="220">
        <f t="shared" si="215"/>
        <v>0</v>
      </c>
      <c r="BZ42" s="220">
        <f t="shared" si="215"/>
        <v>0</v>
      </c>
      <c r="CA42" s="220">
        <f t="shared" si="215"/>
        <v>0</v>
      </c>
      <c r="CB42" s="220">
        <f t="shared" si="215"/>
        <v>0</v>
      </c>
      <c r="CC42" s="220">
        <f t="shared" si="215"/>
        <v>0</v>
      </c>
      <c r="CD42" s="220">
        <f t="shared" si="215"/>
        <v>0</v>
      </c>
      <c r="CE42" s="220">
        <f t="shared" si="215"/>
        <v>0</v>
      </c>
      <c r="CF42" s="220">
        <f t="shared" si="215"/>
        <v>0</v>
      </c>
      <c r="CG42" s="220">
        <f t="shared" si="215"/>
        <v>0</v>
      </c>
      <c r="CH42" s="220">
        <f t="shared" si="215"/>
        <v>0</v>
      </c>
      <c r="CI42" s="220">
        <f t="shared" si="216"/>
        <v>0</v>
      </c>
      <c r="CJ42" s="220">
        <f t="shared" si="216"/>
        <v>0</v>
      </c>
      <c r="CK42" s="220">
        <f t="shared" si="216"/>
        <v>0</v>
      </c>
      <c r="CL42" s="220">
        <f t="shared" si="216"/>
        <v>0</v>
      </c>
      <c r="CM42" s="220">
        <f t="shared" si="216"/>
        <v>0</v>
      </c>
      <c r="CN42" s="220">
        <f t="shared" si="216"/>
        <v>0</v>
      </c>
      <c r="CO42" s="220">
        <f t="shared" si="216"/>
        <v>0</v>
      </c>
      <c r="CP42" s="220">
        <f t="shared" si="216"/>
        <v>0</v>
      </c>
      <c r="CQ42" s="220">
        <f t="shared" si="216"/>
        <v>0</v>
      </c>
      <c r="CR42" s="220">
        <f t="shared" si="216"/>
        <v>0</v>
      </c>
      <c r="CS42" s="220">
        <f t="shared" si="217"/>
        <v>0</v>
      </c>
      <c r="CT42" s="220">
        <f t="shared" si="217"/>
        <v>0</v>
      </c>
      <c r="CU42" s="220">
        <f t="shared" si="217"/>
        <v>0</v>
      </c>
      <c r="CV42" s="220">
        <f t="shared" si="217"/>
        <v>0</v>
      </c>
      <c r="CW42" s="220">
        <f t="shared" si="217"/>
        <v>0</v>
      </c>
      <c r="CX42" s="220">
        <f t="shared" si="217"/>
        <v>0</v>
      </c>
      <c r="CY42" s="220">
        <f t="shared" si="217"/>
        <v>0</v>
      </c>
      <c r="CZ42" s="220">
        <f t="shared" si="217"/>
        <v>0</v>
      </c>
      <c r="DA42" s="220">
        <f t="shared" si="217"/>
        <v>0</v>
      </c>
      <c r="DB42" s="220">
        <f t="shared" si="217"/>
        <v>0</v>
      </c>
      <c r="DC42" s="220">
        <f t="shared" si="218"/>
        <v>0</v>
      </c>
      <c r="DD42" s="220">
        <f t="shared" si="218"/>
        <v>0</v>
      </c>
      <c r="DE42" s="220">
        <f t="shared" si="218"/>
        <v>0</v>
      </c>
      <c r="DF42" s="220">
        <f t="shared" si="218"/>
        <v>0</v>
      </c>
      <c r="DG42" s="220">
        <f t="shared" si="218"/>
        <v>0</v>
      </c>
      <c r="DH42" s="220">
        <f t="shared" si="218"/>
        <v>0</v>
      </c>
      <c r="DI42" s="220">
        <f t="shared" si="218"/>
        <v>0</v>
      </c>
      <c r="DJ42" s="220">
        <f t="shared" si="218"/>
        <v>0</v>
      </c>
      <c r="DK42" s="220">
        <f t="shared" si="218"/>
        <v>0</v>
      </c>
      <c r="DL42" s="220">
        <f t="shared" si="218"/>
        <v>0</v>
      </c>
      <c r="DM42" s="220">
        <f t="shared" si="219"/>
        <v>0</v>
      </c>
      <c r="DN42" s="220">
        <f t="shared" si="219"/>
        <v>0</v>
      </c>
      <c r="DO42" s="220">
        <f t="shared" si="219"/>
        <v>0</v>
      </c>
      <c r="DP42" s="220">
        <f t="shared" si="219"/>
        <v>0</v>
      </c>
      <c r="DQ42" s="220">
        <f t="shared" si="219"/>
        <v>0</v>
      </c>
      <c r="DR42" s="220">
        <f t="shared" si="219"/>
        <v>0</v>
      </c>
      <c r="DS42" s="220">
        <f t="shared" si="219"/>
        <v>0</v>
      </c>
      <c r="DT42" s="220">
        <f t="shared" si="219"/>
        <v>0</v>
      </c>
      <c r="DU42" s="220">
        <f t="shared" si="219"/>
        <v>0</v>
      </c>
      <c r="DV42" s="220">
        <f t="shared" si="219"/>
        <v>0</v>
      </c>
      <c r="DW42" s="220">
        <f t="shared" si="220"/>
        <v>0</v>
      </c>
      <c r="DX42" s="220">
        <f t="shared" si="220"/>
        <v>0</v>
      </c>
      <c r="DY42" s="220">
        <f t="shared" si="220"/>
        <v>0</v>
      </c>
      <c r="DZ42" s="220">
        <f t="shared" si="220"/>
        <v>0</v>
      </c>
      <c r="EA42" s="220">
        <f t="shared" si="220"/>
        <v>0</v>
      </c>
      <c r="EB42" s="220">
        <f t="shared" si="220"/>
        <v>0</v>
      </c>
      <c r="EC42" s="220">
        <f t="shared" si="220"/>
        <v>0</v>
      </c>
      <c r="ED42" s="220">
        <f t="shared" si="220"/>
        <v>0</v>
      </c>
      <c r="EE42" s="220">
        <f t="shared" si="220"/>
        <v>0</v>
      </c>
      <c r="EF42" s="220">
        <f t="shared" si="220"/>
        <v>0</v>
      </c>
      <c r="EG42" s="220">
        <f t="shared" si="221"/>
        <v>0</v>
      </c>
      <c r="EH42" s="220">
        <f t="shared" si="221"/>
        <v>0</v>
      </c>
      <c r="EI42" s="220">
        <f t="shared" si="221"/>
        <v>0</v>
      </c>
      <c r="EJ42" s="220">
        <f t="shared" si="221"/>
        <v>0</v>
      </c>
      <c r="EK42" s="220">
        <f t="shared" si="221"/>
        <v>0</v>
      </c>
      <c r="EL42" s="220">
        <f t="shared" si="221"/>
        <v>0</v>
      </c>
      <c r="EM42" s="220">
        <f t="shared" si="221"/>
        <v>0</v>
      </c>
      <c r="EN42" s="220">
        <f t="shared" si="221"/>
        <v>0</v>
      </c>
      <c r="EO42" s="220">
        <f t="shared" si="221"/>
        <v>0</v>
      </c>
      <c r="EP42" s="220">
        <f t="shared" si="221"/>
        <v>0</v>
      </c>
      <c r="EQ42" s="220">
        <f t="shared" si="222"/>
        <v>0</v>
      </c>
      <c r="ER42" s="220">
        <f t="shared" si="222"/>
        <v>0</v>
      </c>
      <c r="ES42" s="220">
        <f t="shared" si="222"/>
        <v>0</v>
      </c>
      <c r="EU42" s="221">
        <f t="shared" si="223"/>
        <v>150000</v>
      </c>
      <c r="EV42" s="222">
        <f t="shared" si="224"/>
        <v>45688</v>
      </c>
      <c r="EW42" s="222">
        <f t="shared" si="225"/>
        <v>45688</v>
      </c>
      <c r="EX42" s="221">
        <f t="shared" si="226"/>
        <v>1</v>
      </c>
      <c r="EY42" s="153" t="str">
        <f t="shared" si="227"/>
        <v>Straight-Line</v>
      </c>
      <c r="EZ42" s="223">
        <f t="shared" si="228"/>
        <v>0.16666666666666666</v>
      </c>
      <c r="FA42" s="221">
        <f t="shared" si="229"/>
        <v>0</v>
      </c>
      <c r="FB42" s="221">
        <f t="shared" si="229"/>
        <v>0</v>
      </c>
      <c r="FC42" s="221">
        <f t="shared" si="229"/>
        <v>0</v>
      </c>
      <c r="FD42" s="221">
        <f t="shared" si="229"/>
        <v>0</v>
      </c>
      <c r="FE42" s="221">
        <f t="shared" si="229"/>
        <v>0</v>
      </c>
      <c r="FF42" s="221">
        <f t="shared" si="229"/>
        <v>0</v>
      </c>
      <c r="FG42" s="221">
        <f t="shared" si="229"/>
        <v>0</v>
      </c>
      <c r="FH42" s="221">
        <f t="shared" si="229"/>
        <v>0</v>
      </c>
      <c r="FI42" s="221">
        <f t="shared" si="229"/>
        <v>0</v>
      </c>
      <c r="FJ42" s="221">
        <f t="shared" si="229"/>
        <v>0</v>
      </c>
      <c r="FK42" s="221">
        <f t="shared" si="229"/>
        <v>0</v>
      </c>
      <c r="FL42" s="221">
        <f t="shared" si="229"/>
        <v>0</v>
      </c>
      <c r="FM42" s="221">
        <f t="shared" si="229"/>
        <v>0</v>
      </c>
      <c r="FN42" s="221">
        <f t="shared" si="229"/>
        <v>0</v>
      </c>
      <c r="FO42" s="221">
        <f t="shared" si="229"/>
        <v>0</v>
      </c>
      <c r="FP42" s="221">
        <f t="shared" si="229"/>
        <v>0</v>
      </c>
      <c r="FQ42" s="221">
        <f t="shared" si="230"/>
        <v>0</v>
      </c>
      <c r="FR42" s="221">
        <f t="shared" si="230"/>
        <v>0</v>
      </c>
      <c r="FS42" s="221">
        <f t="shared" si="230"/>
        <v>0</v>
      </c>
      <c r="FT42" s="221">
        <f t="shared" si="230"/>
        <v>0</v>
      </c>
      <c r="FU42" s="221">
        <f t="shared" si="230"/>
        <v>0</v>
      </c>
      <c r="FV42" s="221">
        <f t="shared" si="230"/>
        <v>0</v>
      </c>
      <c r="FW42" s="221">
        <f t="shared" si="230"/>
        <v>0</v>
      </c>
      <c r="FX42" s="221">
        <f t="shared" si="230"/>
        <v>0</v>
      </c>
      <c r="FY42" s="221">
        <f t="shared" si="230"/>
        <v>0</v>
      </c>
      <c r="FZ42" s="221">
        <f t="shared" si="230"/>
        <v>0</v>
      </c>
      <c r="GA42" s="221">
        <f t="shared" si="230"/>
        <v>0</v>
      </c>
      <c r="GB42" s="221">
        <f t="shared" si="230"/>
        <v>0</v>
      </c>
      <c r="GC42" s="221">
        <f t="shared" si="230"/>
        <v>0</v>
      </c>
      <c r="GD42" s="221">
        <f t="shared" si="230"/>
        <v>0</v>
      </c>
      <c r="GE42" s="221">
        <f t="shared" si="230"/>
        <v>0</v>
      </c>
      <c r="GF42" s="221">
        <f t="shared" si="230"/>
        <v>0</v>
      </c>
      <c r="GG42" s="221">
        <f t="shared" si="231"/>
        <v>0</v>
      </c>
      <c r="GH42" s="221">
        <f t="shared" si="231"/>
        <v>0</v>
      </c>
      <c r="GI42" s="221">
        <f t="shared" si="231"/>
        <v>0</v>
      </c>
      <c r="GJ42" s="221">
        <f t="shared" si="231"/>
        <v>0</v>
      </c>
      <c r="GK42" s="221">
        <f t="shared" si="231"/>
        <v>0</v>
      </c>
      <c r="GL42" s="221">
        <f t="shared" si="231"/>
        <v>0</v>
      </c>
      <c r="GM42" s="221">
        <f t="shared" si="231"/>
        <v>0</v>
      </c>
      <c r="GN42" s="221">
        <f t="shared" si="231"/>
        <v>0</v>
      </c>
      <c r="GO42" s="221">
        <f t="shared" si="231"/>
        <v>0</v>
      </c>
      <c r="GP42" s="221">
        <f t="shared" si="231"/>
        <v>0</v>
      </c>
      <c r="GQ42" s="221">
        <f t="shared" si="231"/>
        <v>0</v>
      </c>
      <c r="GR42" s="221">
        <f t="shared" si="231"/>
        <v>0</v>
      </c>
      <c r="GS42" s="221">
        <f t="shared" si="231"/>
        <v>0</v>
      </c>
      <c r="GT42" s="221">
        <f t="shared" si="231"/>
        <v>0</v>
      </c>
      <c r="GU42" s="221">
        <f t="shared" si="231"/>
        <v>0</v>
      </c>
      <c r="GV42" s="221">
        <f t="shared" si="231"/>
        <v>0</v>
      </c>
      <c r="GW42" s="221">
        <f t="shared" si="232"/>
        <v>0</v>
      </c>
      <c r="GX42" s="221">
        <f t="shared" si="232"/>
        <v>0</v>
      </c>
      <c r="GY42" s="221">
        <f t="shared" si="232"/>
        <v>0</v>
      </c>
      <c r="GZ42" s="221">
        <f t="shared" si="232"/>
        <v>0</v>
      </c>
      <c r="HA42" s="221">
        <f t="shared" si="232"/>
        <v>0</v>
      </c>
      <c r="HB42" s="221">
        <f t="shared" si="232"/>
        <v>0</v>
      </c>
      <c r="HC42" s="221">
        <f t="shared" si="232"/>
        <v>0</v>
      </c>
      <c r="HD42" s="221">
        <f t="shared" si="232"/>
        <v>0</v>
      </c>
      <c r="HE42" s="221">
        <f t="shared" si="232"/>
        <v>0</v>
      </c>
      <c r="HF42" s="221">
        <f t="shared" si="232"/>
        <v>0</v>
      </c>
      <c r="HG42" s="221">
        <f t="shared" si="232"/>
        <v>0</v>
      </c>
      <c r="HH42" s="221">
        <f t="shared" si="232"/>
        <v>0</v>
      </c>
      <c r="HI42" s="221">
        <f t="shared" si="232"/>
        <v>0</v>
      </c>
      <c r="HJ42" s="221">
        <f t="shared" si="232"/>
        <v>0</v>
      </c>
      <c r="HK42" s="221">
        <f t="shared" si="232"/>
        <v>0</v>
      </c>
      <c r="HL42" s="221">
        <f t="shared" si="232"/>
        <v>0</v>
      </c>
      <c r="HM42" s="221">
        <f t="shared" si="233"/>
        <v>0</v>
      </c>
      <c r="HN42" s="221">
        <f t="shared" si="233"/>
        <v>0</v>
      </c>
      <c r="HO42" s="221">
        <f t="shared" si="233"/>
        <v>0</v>
      </c>
      <c r="HP42" s="221">
        <f t="shared" si="233"/>
        <v>0</v>
      </c>
      <c r="HQ42" s="221">
        <f t="shared" si="233"/>
        <v>0</v>
      </c>
      <c r="HR42" s="221">
        <f t="shared" si="233"/>
        <v>0</v>
      </c>
      <c r="HS42" s="221">
        <f t="shared" si="233"/>
        <v>0</v>
      </c>
      <c r="HT42" s="221">
        <f t="shared" si="233"/>
        <v>0</v>
      </c>
      <c r="HU42" s="221">
        <f t="shared" si="233"/>
        <v>0</v>
      </c>
      <c r="HV42" s="221">
        <f t="shared" si="233"/>
        <v>0</v>
      </c>
      <c r="HW42" s="221">
        <f t="shared" si="233"/>
        <v>0</v>
      </c>
      <c r="HX42" s="221">
        <f t="shared" si="233"/>
        <v>0</v>
      </c>
      <c r="HY42" s="221">
        <f t="shared" si="233"/>
        <v>0</v>
      </c>
      <c r="HZ42" s="221">
        <f t="shared" si="233"/>
        <v>0</v>
      </c>
      <c r="IA42" s="221">
        <f t="shared" si="233"/>
        <v>0</v>
      </c>
      <c r="IB42" s="221">
        <f t="shared" si="233"/>
        <v>0</v>
      </c>
      <c r="IC42" s="221">
        <f t="shared" si="234"/>
        <v>0</v>
      </c>
      <c r="ID42" s="221">
        <f t="shared" si="234"/>
        <v>0</v>
      </c>
      <c r="IE42" s="221">
        <f t="shared" si="234"/>
        <v>0</v>
      </c>
      <c r="IF42" s="221">
        <f t="shared" si="234"/>
        <v>0</v>
      </c>
      <c r="IG42" s="221">
        <f t="shared" si="234"/>
        <v>0</v>
      </c>
      <c r="IH42" s="221">
        <f t="shared" si="234"/>
        <v>0</v>
      </c>
      <c r="II42" s="221">
        <f t="shared" si="234"/>
        <v>0</v>
      </c>
      <c r="IJ42" s="221">
        <f t="shared" si="234"/>
        <v>0</v>
      </c>
      <c r="IK42" s="221">
        <f t="shared" si="234"/>
        <v>0</v>
      </c>
      <c r="IL42" s="221">
        <f t="shared" si="234"/>
        <v>0</v>
      </c>
      <c r="IM42" s="221">
        <f t="shared" si="234"/>
        <v>0</v>
      </c>
      <c r="IN42" s="221">
        <f t="shared" si="234"/>
        <v>0</v>
      </c>
      <c r="IO42" s="221">
        <f t="shared" si="234"/>
        <v>0</v>
      </c>
      <c r="IP42" s="221">
        <f t="shared" si="234"/>
        <v>0</v>
      </c>
      <c r="IQ42" s="221">
        <f t="shared" si="234"/>
        <v>0</v>
      </c>
      <c r="IR42" s="221">
        <f t="shared" si="234"/>
        <v>0</v>
      </c>
      <c r="IS42" s="221">
        <f t="shared" si="235"/>
        <v>0</v>
      </c>
      <c r="IT42" s="221">
        <f t="shared" si="235"/>
        <v>0</v>
      </c>
      <c r="IU42" s="221">
        <f t="shared" si="235"/>
        <v>0</v>
      </c>
      <c r="IV42" s="221">
        <f t="shared" si="235"/>
        <v>0</v>
      </c>
      <c r="IW42" s="221">
        <f t="shared" si="235"/>
        <v>0</v>
      </c>
      <c r="IX42" s="221">
        <f t="shared" si="235"/>
        <v>0</v>
      </c>
      <c r="IY42" s="221">
        <f t="shared" si="235"/>
        <v>0</v>
      </c>
      <c r="IZ42" s="221">
        <f t="shared" si="235"/>
        <v>0</v>
      </c>
      <c r="JA42" s="221">
        <f t="shared" si="235"/>
        <v>0</v>
      </c>
      <c r="JB42" s="221">
        <f t="shared" si="235"/>
        <v>0</v>
      </c>
      <c r="JC42" s="221">
        <f t="shared" si="235"/>
        <v>0</v>
      </c>
      <c r="JD42" s="221">
        <f t="shared" si="235"/>
        <v>0</v>
      </c>
      <c r="JE42" s="221">
        <f t="shared" si="235"/>
        <v>0</v>
      </c>
      <c r="JF42" s="221">
        <f t="shared" si="235"/>
        <v>0</v>
      </c>
      <c r="JG42" s="221">
        <f t="shared" si="235"/>
        <v>0</v>
      </c>
      <c r="JH42" s="221">
        <f t="shared" si="235"/>
        <v>0</v>
      </c>
      <c r="JI42" s="221">
        <f t="shared" si="236"/>
        <v>0</v>
      </c>
      <c r="JJ42" s="221">
        <f t="shared" si="236"/>
        <v>0</v>
      </c>
      <c r="JK42" s="221">
        <f t="shared" si="236"/>
        <v>0</v>
      </c>
      <c r="JL42" s="221">
        <f t="shared" si="236"/>
        <v>0</v>
      </c>
      <c r="JM42" s="221">
        <f t="shared" si="236"/>
        <v>0</v>
      </c>
      <c r="JN42" s="221">
        <f t="shared" si="236"/>
        <v>0</v>
      </c>
      <c r="JO42" s="221">
        <f t="shared" si="236"/>
        <v>0</v>
      </c>
      <c r="JP42" s="221">
        <f t="shared" si="236"/>
        <v>0</v>
      </c>
      <c r="JQ42" s="221">
        <f t="shared" si="236"/>
        <v>0</v>
      </c>
      <c r="JR42" s="221">
        <f t="shared" si="236"/>
        <v>0</v>
      </c>
      <c r="JS42" s="221">
        <f t="shared" si="236"/>
        <v>0</v>
      </c>
      <c r="JT42" s="221">
        <f t="shared" si="236"/>
        <v>0</v>
      </c>
      <c r="JU42" s="221">
        <f t="shared" si="236"/>
        <v>0</v>
      </c>
      <c r="JV42" s="221">
        <f t="shared" si="236"/>
        <v>0</v>
      </c>
      <c r="JW42" s="221">
        <f t="shared" si="236"/>
        <v>0</v>
      </c>
      <c r="JX42" s="221">
        <f t="shared" si="236"/>
        <v>0</v>
      </c>
      <c r="JY42" s="221">
        <f t="shared" si="237"/>
        <v>0</v>
      </c>
      <c r="JZ42" s="221">
        <f t="shared" si="237"/>
        <v>0</v>
      </c>
      <c r="KA42" s="221">
        <f t="shared" si="237"/>
        <v>0</v>
      </c>
      <c r="KB42" s="221">
        <f t="shared" si="237"/>
        <v>0</v>
      </c>
      <c r="KC42" s="221">
        <f t="shared" si="237"/>
        <v>0</v>
      </c>
    </row>
    <row r="43" spans="2:289" x14ac:dyDescent="0.25">
      <c r="B43" s="214" t="s">
        <v>322</v>
      </c>
      <c r="C43" s="196"/>
      <c r="D43" s="215">
        <v>13</v>
      </c>
      <c r="E43" s="215">
        <v>14</v>
      </c>
      <c r="F43" s="216" t="s">
        <v>26</v>
      </c>
      <c r="G43" s="217">
        <f t="shared" si="206"/>
        <v>1.8654884634266078</v>
      </c>
      <c r="H43" s="218">
        <f t="shared" si="207"/>
        <v>1900</v>
      </c>
      <c r="I43" s="219">
        <f>H99*C99</f>
        <v>30400</v>
      </c>
      <c r="K43" s="152" t="s">
        <v>905</v>
      </c>
      <c r="P43" s="152" t="str">
        <f t="shared" si="208"/>
        <v/>
      </c>
      <c r="Q43" s="220">
        <f t="shared" si="209"/>
        <v>0</v>
      </c>
      <c r="R43" s="220">
        <f t="shared" si="209"/>
        <v>0</v>
      </c>
      <c r="S43" s="220">
        <f t="shared" si="209"/>
        <v>0</v>
      </c>
      <c r="T43" s="220">
        <f t="shared" si="209"/>
        <v>0</v>
      </c>
      <c r="U43" s="220">
        <f t="shared" si="209"/>
        <v>0</v>
      </c>
      <c r="V43" s="220">
        <f t="shared" si="209"/>
        <v>0</v>
      </c>
      <c r="W43" s="220">
        <f t="shared" si="209"/>
        <v>0</v>
      </c>
      <c r="X43" s="220">
        <f t="shared" si="209"/>
        <v>0</v>
      </c>
      <c r="Y43" s="220">
        <f t="shared" si="209"/>
        <v>0</v>
      </c>
      <c r="Z43" s="220">
        <f t="shared" si="209"/>
        <v>0</v>
      </c>
      <c r="AA43" s="220">
        <f t="shared" si="210"/>
        <v>0</v>
      </c>
      <c r="AB43" s="220">
        <f t="shared" si="210"/>
        <v>0</v>
      </c>
      <c r="AC43" s="220">
        <f t="shared" si="210"/>
        <v>0</v>
      </c>
      <c r="AD43" s="220">
        <f t="shared" si="210"/>
        <v>15200</v>
      </c>
      <c r="AE43" s="220">
        <f t="shared" si="210"/>
        <v>15200</v>
      </c>
      <c r="AF43" s="220">
        <f t="shared" si="210"/>
        <v>0</v>
      </c>
      <c r="AG43" s="220">
        <f t="shared" si="210"/>
        <v>0</v>
      </c>
      <c r="AH43" s="220">
        <f t="shared" si="210"/>
        <v>0</v>
      </c>
      <c r="AI43" s="220">
        <f t="shared" si="210"/>
        <v>0</v>
      </c>
      <c r="AJ43" s="220">
        <f t="shared" si="210"/>
        <v>0</v>
      </c>
      <c r="AK43" s="220">
        <f t="shared" si="211"/>
        <v>0</v>
      </c>
      <c r="AL43" s="220">
        <f t="shared" si="211"/>
        <v>0</v>
      </c>
      <c r="AM43" s="220">
        <f t="shared" si="211"/>
        <v>0</v>
      </c>
      <c r="AN43" s="220">
        <f t="shared" si="211"/>
        <v>0</v>
      </c>
      <c r="AO43" s="220">
        <f t="shared" si="211"/>
        <v>0</v>
      </c>
      <c r="AP43" s="220">
        <f t="shared" si="211"/>
        <v>0</v>
      </c>
      <c r="AQ43" s="220">
        <f t="shared" si="211"/>
        <v>0</v>
      </c>
      <c r="AR43" s="220">
        <f t="shared" si="211"/>
        <v>0</v>
      </c>
      <c r="AS43" s="220">
        <f t="shared" si="211"/>
        <v>0</v>
      </c>
      <c r="AT43" s="220">
        <f t="shared" si="211"/>
        <v>0</v>
      </c>
      <c r="AU43" s="220">
        <f t="shared" si="212"/>
        <v>0</v>
      </c>
      <c r="AV43" s="220">
        <f t="shared" si="212"/>
        <v>0</v>
      </c>
      <c r="AW43" s="220">
        <f t="shared" si="212"/>
        <v>0</v>
      </c>
      <c r="AX43" s="220">
        <f t="shared" si="212"/>
        <v>0</v>
      </c>
      <c r="AY43" s="220">
        <f t="shared" si="212"/>
        <v>0</v>
      </c>
      <c r="AZ43" s="220">
        <f t="shared" si="212"/>
        <v>0</v>
      </c>
      <c r="BA43" s="220">
        <f t="shared" si="212"/>
        <v>0</v>
      </c>
      <c r="BB43" s="220">
        <f t="shared" si="212"/>
        <v>0</v>
      </c>
      <c r="BC43" s="220">
        <f t="shared" si="212"/>
        <v>0</v>
      </c>
      <c r="BD43" s="220">
        <f t="shared" si="212"/>
        <v>0</v>
      </c>
      <c r="BE43" s="220">
        <f t="shared" si="213"/>
        <v>0</v>
      </c>
      <c r="BF43" s="220">
        <f t="shared" si="213"/>
        <v>0</v>
      </c>
      <c r="BG43" s="220">
        <f t="shared" si="213"/>
        <v>0</v>
      </c>
      <c r="BH43" s="220">
        <f t="shared" si="213"/>
        <v>0</v>
      </c>
      <c r="BI43" s="220">
        <f t="shared" si="213"/>
        <v>0</v>
      </c>
      <c r="BJ43" s="220">
        <f t="shared" si="213"/>
        <v>0</v>
      </c>
      <c r="BK43" s="220">
        <f t="shared" si="213"/>
        <v>0</v>
      </c>
      <c r="BL43" s="220">
        <f t="shared" si="213"/>
        <v>0</v>
      </c>
      <c r="BM43" s="220">
        <f t="shared" si="213"/>
        <v>0</v>
      </c>
      <c r="BN43" s="220">
        <f t="shared" si="213"/>
        <v>0</v>
      </c>
      <c r="BO43" s="220">
        <f t="shared" si="214"/>
        <v>0</v>
      </c>
      <c r="BP43" s="220">
        <f t="shared" si="214"/>
        <v>0</v>
      </c>
      <c r="BQ43" s="220">
        <f t="shared" si="214"/>
        <v>0</v>
      </c>
      <c r="BR43" s="220">
        <f t="shared" si="214"/>
        <v>0</v>
      </c>
      <c r="BS43" s="220">
        <f t="shared" si="214"/>
        <v>0</v>
      </c>
      <c r="BT43" s="220">
        <f t="shared" si="214"/>
        <v>0</v>
      </c>
      <c r="BU43" s="220">
        <f t="shared" si="214"/>
        <v>0</v>
      </c>
      <c r="BV43" s="220">
        <f t="shared" si="214"/>
        <v>0</v>
      </c>
      <c r="BW43" s="220">
        <f t="shared" si="214"/>
        <v>0</v>
      </c>
      <c r="BX43" s="220">
        <f t="shared" si="214"/>
        <v>0</v>
      </c>
      <c r="BY43" s="220">
        <f t="shared" si="215"/>
        <v>0</v>
      </c>
      <c r="BZ43" s="220">
        <f t="shared" si="215"/>
        <v>0</v>
      </c>
      <c r="CA43" s="220">
        <f t="shared" si="215"/>
        <v>0</v>
      </c>
      <c r="CB43" s="220">
        <f t="shared" si="215"/>
        <v>0</v>
      </c>
      <c r="CC43" s="220">
        <f t="shared" si="215"/>
        <v>0</v>
      </c>
      <c r="CD43" s="220">
        <f t="shared" si="215"/>
        <v>0</v>
      </c>
      <c r="CE43" s="220">
        <f t="shared" si="215"/>
        <v>0</v>
      </c>
      <c r="CF43" s="220">
        <f t="shared" si="215"/>
        <v>0</v>
      </c>
      <c r="CG43" s="220">
        <f t="shared" si="215"/>
        <v>0</v>
      </c>
      <c r="CH43" s="220">
        <f t="shared" si="215"/>
        <v>0</v>
      </c>
      <c r="CI43" s="220">
        <f t="shared" si="216"/>
        <v>0</v>
      </c>
      <c r="CJ43" s="220">
        <f t="shared" si="216"/>
        <v>0</v>
      </c>
      <c r="CK43" s="220">
        <f t="shared" si="216"/>
        <v>0</v>
      </c>
      <c r="CL43" s="220">
        <f t="shared" si="216"/>
        <v>0</v>
      </c>
      <c r="CM43" s="220">
        <f t="shared" si="216"/>
        <v>0</v>
      </c>
      <c r="CN43" s="220">
        <f t="shared" si="216"/>
        <v>0</v>
      </c>
      <c r="CO43" s="220">
        <f t="shared" si="216"/>
        <v>0</v>
      </c>
      <c r="CP43" s="220">
        <f t="shared" si="216"/>
        <v>0</v>
      </c>
      <c r="CQ43" s="220">
        <f t="shared" si="216"/>
        <v>0</v>
      </c>
      <c r="CR43" s="220">
        <f t="shared" si="216"/>
        <v>0</v>
      </c>
      <c r="CS43" s="220">
        <f t="shared" si="217"/>
        <v>0</v>
      </c>
      <c r="CT43" s="220">
        <f t="shared" si="217"/>
        <v>0</v>
      </c>
      <c r="CU43" s="220">
        <f t="shared" si="217"/>
        <v>0</v>
      </c>
      <c r="CV43" s="220">
        <f t="shared" si="217"/>
        <v>0</v>
      </c>
      <c r="CW43" s="220">
        <f t="shared" si="217"/>
        <v>0</v>
      </c>
      <c r="CX43" s="220">
        <f t="shared" si="217"/>
        <v>0</v>
      </c>
      <c r="CY43" s="220">
        <f t="shared" si="217"/>
        <v>0</v>
      </c>
      <c r="CZ43" s="220">
        <f t="shared" si="217"/>
        <v>0</v>
      </c>
      <c r="DA43" s="220">
        <f t="shared" si="217"/>
        <v>0</v>
      </c>
      <c r="DB43" s="220">
        <f t="shared" si="217"/>
        <v>0</v>
      </c>
      <c r="DC43" s="220">
        <f t="shared" si="218"/>
        <v>0</v>
      </c>
      <c r="DD43" s="220">
        <f t="shared" si="218"/>
        <v>0</v>
      </c>
      <c r="DE43" s="220">
        <f t="shared" si="218"/>
        <v>0</v>
      </c>
      <c r="DF43" s="220">
        <f t="shared" si="218"/>
        <v>0</v>
      </c>
      <c r="DG43" s="220">
        <f t="shared" si="218"/>
        <v>0</v>
      </c>
      <c r="DH43" s="220">
        <f t="shared" si="218"/>
        <v>0</v>
      </c>
      <c r="DI43" s="220">
        <f t="shared" si="218"/>
        <v>0</v>
      </c>
      <c r="DJ43" s="220">
        <f t="shared" si="218"/>
        <v>0</v>
      </c>
      <c r="DK43" s="220">
        <f t="shared" si="218"/>
        <v>0</v>
      </c>
      <c r="DL43" s="220">
        <f t="shared" si="218"/>
        <v>0</v>
      </c>
      <c r="DM43" s="220">
        <f t="shared" si="219"/>
        <v>0</v>
      </c>
      <c r="DN43" s="220">
        <f t="shared" si="219"/>
        <v>0</v>
      </c>
      <c r="DO43" s="220">
        <f t="shared" si="219"/>
        <v>0</v>
      </c>
      <c r="DP43" s="220">
        <f t="shared" si="219"/>
        <v>0</v>
      </c>
      <c r="DQ43" s="220">
        <f t="shared" si="219"/>
        <v>0</v>
      </c>
      <c r="DR43" s="220">
        <f t="shared" si="219"/>
        <v>0</v>
      </c>
      <c r="DS43" s="220">
        <f t="shared" si="219"/>
        <v>0</v>
      </c>
      <c r="DT43" s="220">
        <f t="shared" si="219"/>
        <v>0</v>
      </c>
      <c r="DU43" s="220">
        <f t="shared" si="219"/>
        <v>0</v>
      </c>
      <c r="DV43" s="220">
        <f t="shared" si="219"/>
        <v>0</v>
      </c>
      <c r="DW43" s="220">
        <f t="shared" si="220"/>
        <v>0</v>
      </c>
      <c r="DX43" s="220">
        <f t="shared" si="220"/>
        <v>0</v>
      </c>
      <c r="DY43" s="220">
        <f t="shared" si="220"/>
        <v>0</v>
      </c>
      <c r="DZ43" s="220">
        <f t="shared" si="220"/>
        <v>0</v>
      </c>
      <c r="EA43" s="220">
        <f t="shared" si="220"/>
        <v>0</v>
      </c>
      <c r="EB43" s="220">
        <f t="shared" si="220"/>
        <v>0</v>
      </c>
      <c r="EC43" s="220">
        <f t="shared" si="220"/>
        <v>0</v>
      </c>
      <c r="ED43" s="220">
        <f t="shared" si="220"/>
        <v>0</v>
      </c>
      <c r="EE43" s="220">
        <f t="shared" si="220"/>
        <v>0</v>
      </c>
      <c r="EF43" s="220">
        <f t="shared" si="220"/>
        <v>0</v>
      </c>
      <c r="EG43" s="220">
        <f t="shared" si="221"/>
        <v>0</v>
      </c>
      <c r="EH43" s="220">
        <f t="shared" si="221"/>
        <v>0</v>
      </c>
      <c r="EI43" s="220">
        <f t="shared" si="221"/>
        <v>0</v>
      </c>
      <c r="EJ43" s="220">
        <f t="shared" si="221"/>
        <v>0</v>
      </c>
      <c r="EK43" s="220">
        <f t="shared" si="221"/>
        <v>0</v>
      </c>
      <c r="EL43" s="220">
        <f t="shared" si="221"/>
        <v>0</v>
      </c>
      <c r="EM43" s="220">
        <f t="shared" si="221"/>
        <v>0</v>
      </c>
      <c r="EN43" s="220">
        <f t="shared" si="221"/>
        <v>0</v>
      </c>
      <c r="EO43" s="220">
        <f t="shared" si="221"/>
        <v>0</v>
      </c>
      <c r="EP43" s="220">
        <f t="shared" si="221"/>
        <v>0</v>
      </c>
      <c r="EQ43" s="220">
        <f t="shared" si="222"/>
        <v>0</v>
      </c>
      <c r="ER43" s="220">
        <f t="shared" si="222"/>
        <v>0</v>
      </c>
      <c r="ES43" s="220">
        <f t="shared" si="222"/>
        <v>0</v>
      </c>
      <c r="EU43" s="221">
        <f t="shared" si="223"/>
        <v>30400</v>
      </c>
      <c r="EV43" s="222">
        <f t="shared" si="224"/>
        <v>46081</v>
      </c>
      <c r="EW43" s="222">
        <f t="shared" si="225"/>
        <v>46112</v>
      </c>
      <c r="EX43" s="221">
        <f t="shared" si="226"/>
        <v>2</v>
      </c>
      <c r="EY43" s="153" t="str">
        <f t="shared" si="227"/>
        <v>Straight-Line</v>
      </c>
      <c r="EZ43" s="223">
        <f t="shared" si="228"/>
        <v>0.33333333333333331</v>
      </c>
      <c r="FA43" s="221">
        <f t="shared" si="229"/>
        <v>0</v>
      </c>
      <c r="FB43" s="221">
        <f t="shared" si="229"/>
        <v>0</v>
      </c>
      <c r="FC43" s="221">
        <f t="shared" si="229"/>
        <v>0</v>
      </c>
      <c r="FD43" s="221">
        <f t="shared" si="229"/>
        <v>0</v>
      </c>
      <c r="FE43" s="221">
        <f t="shared" si="229"/>
        <v>0</v>
      </c>
      <c r="FF43" s="221">
        <f t="shared" si="229"/>
        <v>0</v>
      </c>
      <c r="FG43" s="221">
        <f t="shared" si="229"/>
        <v>0</v>
      </c>
      <c r="FH43" s="221">
        <f t="shared" si="229"/>
        <v>0</v>
      </c>
      <c r="FI43" s="221">
        <f t="shared" si="229"/>
        <v>0</v>
      </c>
      <c r="FJ43" s="221">
        <f t="shared" si="229"/>
        <v>0</v>
      </c>
      <c r="FK43" s="221">
        <f t="shared" si="229"/>
        <v>0</v>
      </c>
      <c r="FL43" s="221">
        <f t="shared" si="229"/>
        <v>0</v>
      </c>
      <c r="FM43" s="221">
        <f t="shared" si="229"/>
        <v>0</v>
      </c>
      <c r="FN43" s="221">
        <f t="shared" si="229"/>
        <v>0</v>
      </c>
      <c r="FO43" s="221">
        <f t="shared" si="229"/>
        <v>0</v>
      </c>
      <c r="FP43" s="221">
        <f t="shared" si="229"/>
        <v>0</v>
      </c>
      <c r="FQ43" s="221">
        <f t="shared" si="230"/>
        <v>0</v>
      </c>
      <c r="FR43" s="221">
        <f t="shared" si="230"/>
        <v>0</v>
      </c>
      <c r="FS43" s="221">
        <f t="shared" si="230"/>
        <v>0</v>
      </c>
      <c r="FT43" s="221">
        <f t="shared" si="230"/>
        <v>0</v>
      </c>
      <c r="FU43" s="221">
        <f t="shared" si="230"/>
        <v>0</v>
      </c>
      <c r="FV43" s="221">
        <f t="shared" si="230"/>
        <v>0</v>
      </c>
      <c r="FW43" s="221">
        <f t="shared" si="230"/>
        <v>0</v>
      </c>
      <c r="FX43" s="221">
        <f t="shared" si="230"/>
        <v>0</v>
      </c>
      <c r="FY43" s="221">
        <f t="shared" si="230"/>
        <v>0</v>
      </c>
      <c r="FZ43" s="221">
        <f t="shared" si="230"/>
        <v>0</v>
      </c>
      <c r="GA43" s="221">
        <f t="shared" si="230"/>
        <v>0</v>
      </c>
      <c r="GB43" s="221">
        <f t="shared" si="230"/>
        <v>0</v>
      </c>
      <c r="GC43" s="221">
        <f t="shared" si="230"/>
        <v>0</v>
      </c>
      <c r="GD43" s="221">
        <f t="shared" si="230"/>
        <v>0</v>
      </c>
      <c r="GE43" s="221">
        <f t="shared" si="230"/>
        <v>0</v>
      </c>
      <c r="GF43" s="221">
        <f t="shared" si="230"/>
        <v>0</v>
      </c>
      <c r="GG43" s="221">
        <f t="shared" si="231"/>
        <v>0</v>
      </c>
      <c r="GH43" s="221">
        <f t="shared" si="231"/>
        <v>0</v>
      </c>
      <c r="GI43" s="221">
        <f t="shared" si="231"/>
        <v>0</v>
      </c>
      <c r="GJ43" s="221">
        <f t="shared" si="231"/>
        <v>0</v>
      </c>
      <c r="GK43" s="221">
        <f t="shared" si="231"/>
        <v>0</v>
      </c>
      <c r="GL43" s="221">
        <f t="shared" si="231"/>
        <v>0</v>
      </c>
      <c r="GM43" s="221">
        <f t="shared" si="231"/>
        <v>0</v>
      </c>
      <c r="GN43" s="221">
        <f t="shared" si="231"/>
        <v>0</v>
      </c>
      <c r="GO43" s="221">
        <f t="shared" si="231"/>
        <v>0</v>
      </c>
      <c r="GP43" s="221">
        <f t="shared" si="231"/>
        <v>0</v>
      </c>
      <c r="GQ43" s="221">
        <f t="shared" si="231"/>
        <v>0</v>
      </c>
      <c r="GR43" s="221">
        <f t="shared" si="231"/>
        <v>0</v>
      </c>
      <c r="GS43" s="221">
        <f t="shared" si="231"/>
        <v>0</v>
      </c>
      <c r="GT43" s="221">
        <f t="shared" si="231"/>
        <v>0</v>
      </c>
      <c r="GU43" s="221">
        <f t="shared" si="231"/>
        <v>0</v>
      </c>
      <c r="GV43" s="221">
        <f t="shared" si="231"/>
        <v>0</v>
      </c>
      <c r="GW43" s="221">
        <f t="shared" si="232"/>
        <v>0</v>
      </c>
      <c r="GX43" s="221">
        <f t="shared" si="232"/>
        <v>0</v>
      </c>
      <c r="GY43" s="221">
        <f t="shared" si="232"/>
        <v>0</v>
      </c>
      <c r="GZ43" s="221">
        <f t="shared" si="232"/>
        <v>0</v>
      </c>
      <c r="HA43" s="221">
        <f t="shared" si="232"/>
        <v>0</v>
      </c>
      <c r="HB43" s="221">
        <f t="shared" si="232"/>
        <v>0</v>
      </c>
      <c r="HC43" s="221">
        <f t="shared" si="232"/>
        <v>0</v>
      </c>
      <c r="HD43" s="221">
        <f t="shared" si="232"/>
        <v>0</v>
      </c>
      <c r="HE43" s="221">
        <f t="shared" si="232"/>
        <v>0</v>
      </c>
      <c r="HF43" s="221">
        <f t="shared" si="232"/>
        <v>0</v>
      </c>
      <c r="HG43" s="221">
        <f t="shared" si="232"/>
        <v>0</v>
      </c>
      <c r="HH43" s="221">
        <f t="shared" si="232"/>
        <v>0</v>
      </c>
      <c r="HI43" s="221">
        <f t="shared" si="232"/>
        <v>0</v>
      </c>
      <c r="HJ43" s="221">
        <f t="shared" si="232"/>
        <v>0</v>
      </c>
      <c r="HK43" s="221">
        <f t="shared" si="232"/>
        <v>0</v>
      </c>
      <c r="HL43" s="221">
        <f t="shared" si="232"/>
        <v>0</v>
      </c>
      <c r="HM43" s="221">
        <f t="shared" si="233"/>
        <v>0</v>
      </c>
      <c r="HN43" s="221">
        <f t="shared" si="233"/>
        <v>0</v>
      </c>
      <c r="HO43" s="221">
        <f t="shared" si="233"/>
        <v>0</v>
      </c>
      <c r="HP43" s="221">
        <f t="shared" si="233"/>
        <v>0</v>
      </c>
      <c r="HQ43" s="221">
        <f t="shared" si="233"/>
        <v>0</v>
      </c>
      <c r="HR43" s="221">
        <f t="shared" si="233"/>
        <v>0</v>
      </c>
      <c r="HS43" s="221">
        <f t="shared" si="233"/>
        <v>0</v>
      </c>
      <c r="HT43" s="221">
        <f t="shared" si="233"/>
        <v>0</v>
      </c>
      <c r="HU43" s="221">
        <f t="shared" si="233"/>
        <v>0</v>
      </c>
      <c r="HV43" s="221">
        <f t="shared" si="233"/>
        <v>0</v>
      </c>
      <c r="HW43" s="221">
        <f t="shared" si="233"/>
        <v>0</v>
      </c>
      <c r="HX43" s="221">
        <f t="shared" si="233"/>
        <v>0</v>
      </c>
      <c r="HY43" s="221">
        <f t="shared" si="233"/>
        <v>0</v>
      </c>
      <c r="HZ43" s="221">
        <f t="shared" si="233"/>
        <v>0</v>
      </c>
      <c r="IA43" s="221">
        <f t="shared" si="233"/>
        <v>0</v>
      </c>
      <c r="IB43" s="221">
        <f t="shared" si="233"/>
        <v>0</v>
      </c>
      <c r="IC43" s="221">
        <f t="shared" si="234"/>
        <v>0</v>
      </c>
      <c r="ID43" s="221">
        <f t="shared" si="234"/>
        <v>0</v>
      </c>
      <c r="IE43" s="221">
        <f t="shared" si="234"/>
        <v>0</v>
      </c>
      <c r="IF43" s="221">
        <f t="shared" si="234"/>
        <v>0</v>
      </c>
      <c r="IG43" s="221">
        <f t="shared" si="234"/>
        <v>0</v>
      </c>
      <c r="IH43" s="221">
        <f t="shared" si="234"/>
        <v>0</v>
      </c>
      <c r="II43" s="221">
        <f t="shared" si="234"/>
        <v>0</v>
      </c>
      <c r="IJ43" s="221">
        <f t="shared" si="234"/>
        <v>0</v>
      </c>
      <c r="IK43" s="221">
        <f t="shared" si="234"/>
        <v>0</v>
      </c>
      <c r="IL43" s="221">
        <f t="shared" si="234"/>
        <v>0</v>
      </c>
      <c r="IM43" s="221">
        <f t="shared" si="234"/>
        <v>0</v>
      </c>
      <c r="IN43" s="221">
        <f t="shared" si="234"/>
        <v>0</v>
      </c>
      <c r="IO43" s="221">
        <f t="shared" si="234"/>
        <v>0</v>
      </c>
      <c r="IP43" s="221">
        <f t="shared" si="234"/>
        <v>0</v>
      </c>
      <c r="IQ43" s="221">
        <f t="shared" si="234"/>
        <v>0</v>
      </c>
      <c r="IR43" s="221">
        <f t="shared" si="234"/>
        <v>0</v>
      </c>
      <c r="IS43" s="221">
        <f t="shared" si="235"/>
        <v>0</v>
      </c>
      <c r="IT43" s="221">
        <f t="shared" si="235"/>
        <v>0</v>
      </c>
      <c r="IU43" s="221">
        <f t="shared" si="235"/>
        <v>0</v>
      </c>
      <c r="IV43" s="221">
        <f t="shared" si="235"/>
        <v>0</v>
      </c>
      <c r="IW43" s="221">
        <f t="shared" si="235"/>
        <v>0</v>
      </c>
      <c r="IX43" s="221">
        <f t="shared" si="235"/>
        <v>0</v>
      </c>
      <c r="IY43" s="221">
        <f t="shared" si="235"/>
        <v>0</v>
      </c>
      <c r="IZ43" s="221">
        <f t="shared" si="235"/>
        <v>0</v>
      </c>
      <c r="JA43" s="221">
        <f t="shared" si="235"/>
        <v>0</v>
      </c>
      <c r="JB43" s="221">
        <f t="shared" si="235"/>
        <v>0</v>
      </c>
      <c r="JC43" s="221">
        <f t="shared" si="235"/>
        <v>0</v>
      </c>
      <c r="JD43" s="221">
        <f t="shared" si="235"/>
        <v>0</v>
      </c>
      <c r="JE43" s="221">
        <f t="shared" si="235"/>
        <v>0</v>
      </c>
      <c r="JF43" s="221">
        <f t="shared" si="235"/>
        <v>0</v>
      </c>
      <c r="JG43" s="221">
        <f t="shared" si="235"/>
        <v>0</v>
      </c>
      <c r="JH43" s="221">
        <f t="shared" si="235"/>
        <v>0</v>
      </c>
      <c r="JI43" s="221">
        <f t="shared" si="236"/>
        <v>0</v>
      </c>
      <c r="JJ43" s="221">
        <f t="shared" si="236"/>
        <v>0</v>
      </c>
      <c r="JK43" s="221">
        <f t="shared" si="236"/>
        <v>0</v>
      </c>
      <c r="JL43" s="221">
        <f t="shared" si="236"/>
        <v>0</v>
      </c>
      <c r="JM43" s="221">
        <f t="shared" si="236"/>
        <v>0</v>
      </c>
      <c r="JN43" s="221">
        <f t="shared" si="236"/>
        <v>0</v>
      </c>
      <c r="JO43" s="221">
        <f t="shared" si="236"/>
        <v>0</v>
      </c>
      <c r="JP43" s="221">
        <f t="shared" si="236"/>
        <v>0</v>
      </c>
      <c r="JQ43" s="221">
        <f t="shared" si="236"/>
        <v>0</v>
      </c>
      <c r="JR43" s="221">
        <f t="shared" si="236"/>
        <v>0</v>
      </c>
      <c r="JS43" s="221">
        <f t="shared" si="236"/>
        <v>0</v>
      </c>
      <c r="JT43" s="221">
        <f t="shared" si="236"/>
        <v>0</v>
      </c>
      <c r="JU43" s="221">
        <f t="shared" si="236"/>
        <v>0</v>
      </c>
      <c r="JV43" s="221">
        <f t="shared" si="236"/>
        <v>0</v>
      </c>
      <c r="JW43" s="221">
        <f t="shared" si="236"/>
        <v>0</v>
      </c>
      <c r="JX43" s="221">
        <f t="shared" si="236"/>
        <v>0</v>
      </c>
      <c r="JY43" s="221">
        <f t="shared" si="237"/>
        <v>0</v>
      </c>
      <c r="JZ43" s="221">
        <f t="shared" si="237"/>
        <v>0</v>
      </c>
      <c r="KA43" s="221">
        <f t="shared" si="237"/>
        <v>0</v>
      </c>
      <c r="KB43" s="221">
        <f t="shared" si="237"/>
        <v>0</v>
      </c>
      <c r="KC43" s="221">
        <f t="shared" si="237"/>
        <v>0</v>
      </c>
    </row>
    <row r="44" spans="2:289" x14ac:dyDescent="0.25">
      <c r="B44" s="214" t="s">
        <v>857</v>
      </c>
      <c r="C44" s="196"/>
      <c r="D44" s="215">
        <v>0</v>
      </c>
      <c r="E44" s="215">
        <v>0</v>
      </c>
      <c r="F44" s="216" t="s">
        <v>26</v>
      </c>
      <c r="G44" s="217">
        <f t="shared" si="206"/>
        <v>0</v>
      </c>
      <c r="H44" s="218">
        <f t="shared" si="207"/>
        <v>0</v>
      </c>
      <c r="I44" s="219">
        <v>0</v>
      </c>
      <c r="P44" s="152" t="str">
        <f>IF(ROUND(SUM(Q44:ES44),0)=ROUND(I44,0),"","Incomplete")</f>
        <v/>
      </c>
      <c r="Q44" s="220">
        <f t="shared" si="209"/>
        <v>0</v>
      </c>
      <c r="R44" s="220">
        <f t="shared" si="209"/>
        <v>0</v>
      </c>
      <c r="S44" s="220">
        <f t="shared" si="209"/>
        <v>0</v>
      </c>
      <c r="T44" s="220">
        <f t="shared" si="209"/>
        <v>0</v>
      </c>
      <c r="U44" s="220">
        <f t="shared" si="209"/>
        <v>0</v>
      </c>
      <c r="V44" s="220">
        <f t="shared" si="209"/>
        <v>0</v>
      </c>
      <c r="W44" s="220">
        <f t="shared" si="209"/>
        <v>0</v>
      </c>
      <c r="X44" s="220">
        <f t="shared" si="209"/>
        <v>0</v>
      </c>
      <c r="Y44" s="220">
        <f t="shared" si="209"/>
        <v>0</v>
      </c>
      <c r="Z44" s="220">
        <f t="shared" si="209"/>
        <v>0</v>
      </c>
      <c r="AA44" s="220">
        <f t="shared" si="210"/>
        <v>0</v>
      </c>
      <c r="AB44" s="220">
        <f t="shared" si="210"/>
        <v>0</v>
      </c>
      <c r="AC44" s="220">
        <f t="shared" si="210"/>
        <v>0</v>
      </c>
      <c r="AD44" s="220">
        <f t="shared" si="210"/>
        <v>0</v>
      </c>
      <c r="AE44" s="220">
        <f t="shared" si="210"/>
        <v>0</v>
      </c>
      <c r="AF44" s="220">
        <f t="shared" si="210"/>
        <v>0</v>
      </c>
      <c r="AG44" s="220">
        <f t="shared" si="210"/>
        <v>0</v>
      </c>
      <c r="AH44" s="220">
        <f t="shared" si="210"/>
        <v>0</v>
      </c>
      <c r="AI44" s="220">
        <f t="shared" si="210"/>
        <v>0</v>
      </c>
      <c r="AJ44" s="220">
        <f t="shared" si="210"/>
        <v>0</v>
      </c>
      <c r="AK44" s="220">
        <f t="shared" si="211"/>
        <v>0</v>
      </c>
      <c r="AL44" s="220">
        <f t="shared" si="211"/>
        <v>0</v>
      </c>
      <c r="AM44" s="220">
        <f t="shared" si="211"/>
        <v>0</v>
      </c>
      <c r="AN44" s="220">
        <f t="shared" si="211"/>
        <v>0</v>
      </c>
      <c r="AO44" s="220">
        <f t="shared" si="211"/>
        <v>0</v>
      </c>
      <c r="AP44" s="220">
        <f t="shared" si="211"/>
        <v>0</v>
      </c>
      <c r="AQ44" s="220">
        <f t="shared" si="211"/>
        <v>0</v>
      </c>
      <c r="AR44" s="220">
        <f t="shared" si="211"/>
        <v>0</v>
      </c>
      <c r="AS44" s="220">
        <f t="shared" si="211"/>
        <v>0</v>
      </c>
      <c r="AT44" s="220">
        <f t="shared" si="211"/>
        <v>0</v>
      </c>
      <c r="AU44" s="220">
        <f t="shared" si="212"/>
        <v>0</v>
      </c>
      <c r="AV44" s="220">
        <f t="shared" si="212"/>
        <v>0</v>
      </c>
      <c r="AW44" s="220">
        <f t="shared" si="212"/>
        <v>0</v>
      </c>
      <c r="AX44" s="220">
        <f t="shared" si="212"/>
        <v>0</v>
      </c>
      <c r="AY44" s="220">
        <f t="shared" si="212"/>
        <v>0</v>
      </c>
      <c r="AZ44" s="220">
        <f t="shared" si="212"/>
        <v>0</v>
      </c>
      <c r="BA44" s="220">
        <f t="shared" si="212"/>
        <v>0</v>
      </c>
      <c r="BB44" s="220">
        <f t="shared" si="212"/>
        <v>0</v>
      </c>
      <c r="BC44" s="220">
        <f t="shared" si="212"/>
        <v>0</v>
      </c>
      <c r="BD44" s="220">
        <f t="shared" si="212"/>
        <v>0</v>
      </c>
      <c r="BE44" s="220">
        <f t="shared" si="213"/>
        <v>0</v>
      </c>
      <c r="BF44" s="220">
        <f t="shared" si="213"/>
        <v>0</v>
      </c>
      <c r="BG44" s="220">
        <f t="shared" si="213"/>
        <v>0</v>
      </c>
      <c r="BH44" s="220">
        <f t="shared" si="213"/>
        <v>0</v>
      </c>
      <c r="BI44" s="220">
        <f t="shared" si="213"/>
        <v>0</v>
      </c>
      <c r="BJ44" s="220">
        <f t="shared" si="213"/>
        <v>0</v>
      </c>
      <c r="BK44" s="220">
        <f t="shared" si="213"/>
        <v>0</v>
      </c>
      <c r="BL44" s="220">
        <f t="shared" si="213"/>
        <v>0</v>
      </c>
      <c r="BM44" s="220">
        <f t="shared" si="213"/>
        <v>0</v>
      </c>
      <c r="BN44" s="220">
        <f t="shared" si="213"/>
        <v>0</v>
      </c>
      <c r="BO44" s="220">
        <f t="shared" si="214"/>
        <v>0</v>
      </c>
      <c r="BP44" s="220">
        <f t="shared" si="214"/>
        <v>0</v>
      </c>
      <c r="BQ44" s="220">
        <f t="shared" si="214"/>
        <v>0</v>
      </c>
      <c r="BR44" s="220">
        <f t="shared" si="214"/>
        <v>0</v>
      </c>
      <c r="BS44" s="220">
        <f t="shared" si="214"/>
        <v>0</v>
      </c>
      <c r="BT44" s="220">
        <f t="shared" si="214"/>
        <v>0</v>
      </c>
      <c r="BU44" s="220">
        <f t="shared" si="214"/>
        <v>0</v>
      </c>
      <c r="BV44" s="220">
        <f t="shared" si="214"/>
        <v>0</v>
      </c>
      <c r="BW44" s="220">
        <f t="shared" si="214"/>
        <v>0</v>
      </c>
      <c r="BX44" s="220">
        <f t="shared" si="214"/>
        <v>0</v>
      </c>
      <c r="BY44" s="220">
        <f t="shared" si="215"/>
        <v>0</v>
      </c>
      <c r="BZ44" s="220">
        <f t="shared" si="215"/>
        <v>0</v>
      </c>
      <c r="CA44" s="220">
        <f t="shared" si="215"/>
        <v>0</v>
      </c>
      <c r="CB44" s="220">
        <f t="shared" si="215"/>
        <v>0</v>
      </c>
      <c r="CC44" s="220">
        <f t="shared" si="215"/>
        <v>0</v>
      </c>
      <c r="CD44" s="220">
        <f t="shared" si="215"/>
        <v>0</v>
      </c>
      <c r="CE44" s="220">
        <f t="shared" si="215"/>
        <v>0</v>
      </c>
      <c r="CF44" s="220">
        <f t="shared" si="215"/>
        <v>0</v>
      </c>
      <c r="CG44" s="220">
        <f t="shared" si="215"/>
        <v>0</v>
      </c>
      <c r="CH44" s="220">
        <f t="shared" si="215"/>
        <v>0</v>
      </c>
      <c r="CI44" s="220">
        <f t="shared" si="216"/>
        <v>0</v>
      </c>
      <c r="CJ44" s="220">
        <f t="shared" si="216"/>
        <v>0</v>
      </c>
      <c r="CK44" s="220">
        <f t="shared" si="216"/>
        <v>0</v>
      </c>
      <c r="CL44" s="220">
        <f t="shared" si="216"/>
        <v>0</v>
      </c>
      <c r="CM44" s="220">
        <f t="shared" si="216"/>
        <v>0</v>
      </c>
      <c r="CN44" s="220">
        <f t="shared" si="216"/>
        <v>0</v>
      </c>
      <c r="CO44" s="220">
        <f t="shared" si="216"/>
        <v>0</v>
      </c>
      <c r="CP44" s="220">
        <f t="shared" si="216"/>
        <v>0</v>
      </c>
      <c r="CQ44" s="220">
        <f t="shared" si="216"/>
        <v>0</v>
      </c>
      <c r="CR44" s="220">
        <f t="shared" si="216"/>
        <v>0</v>
      </c>
      <c r="CS44" s="220">
        <f t="shared" si="217"/>
        <v>0</v>
      </c>
      <c r="CT44" s="220">
        <f t="shared" si="217"/>
        <v>0</v>
      </c>
      <c r="CU44" s="220">
        <f t="shared" si="217"/>
        <v>0</v>
      </c>
      <c r="CV44" s="220">
        <f t="shared" si="217"/>
        <v>0</v>
      </c>
      <c r="CW44" s="220">
        <f t="shared" si="217"/>
        <v>0</v>
      </c>
      <c r="CX44" s="220">
        <f t="shared" si="217"/>
        <v>0</v>
      </c>
      <c r="CY44" s="220">
        <f t="shared" si="217"/>
        <v>0</v>
      </c>
      <c r="CZ44" s="220">
        <f t="shared" si="217"/>
        <v>0</v>
      </c>
      <c r="DA44" s="220">
        <f t="shared" si="217"/>
        <v>0</v>
      </c>
      <c r="DB44" s="220">
        <f t="shared" si="217"/>
        <v>0</v>
      </c>
      <c r="DC44" s="220">
        <f t="shared" si="218"/>
        <v>0</v>
      </c>
      <c r="DD44" s="220">
        <f t="shared" si="218"/>
        <v>0</v>
      </c>
      <c r="DE44" s="220">
        <f t="shared" si="218"/>
        <v>0</v>
      </c>
      <c r="DF44" s="220">
        <f t="shared" si="218"/>
        <v>0</v>
      </c>
      <c r="DG44" s="220">
        <f t="shared" si="218"/>
        <v>0</v>
      </c>
      <c r="DH44" s="220">
        <f t="shared" si="218"/>
        <v>0</v>
      </c>
      <c r="DI44" s="220">
        <f t="shared" si="218"/>
        <v>0</v>
      </c>
      <c r="DJ44" s="220">
        <f t="shared" si="218"/>
        <v>0</v>
      </c>
      <c r="DK44" s="220">
        <f t="shared" si="218"/>
        <v>0</v>
      </c>
      <c r="DL44" s="220">
        <f t="shared" si="218"/>
        <v>0</v>
      </c>
      <c r="DM44" s="220">
        <f t="shared" si="219"/>
        <v>0</v>
      </c>
      <c r="DN44" s="220">
        <f t="shared" si="219"/>
        <v>0</v>
      </c>
      <c r="DO44" s="220">
        <f t="shared" si="219"/>
        <v>0</v>
      </c>
      <c r="DP44" s="220">
        <f t="shared" si="219"/>
        <v>0</v>
      </c>
      <c r="DQ44" s="220">
        <f t="shared" si="219"/>
        <v>0</v>
      </c>
      <c r="DR44" s="220">
        <f t="shared" si="219"/>
        <v>0</v>
      </c>
      <c r="DS44" s="220">
        <f t="shared" si="219"/>
        <v>0</v>
      </c>
      <c r="DT44" s="220">
        <f t="shared" si="219"/>
        <v>0</v>
      </c>
      <c r="DU44" s="220">
        <f t="shared" si="219"/>
        <v>0</v>
      </c>
      <c r="DV44" s="220">
        <f t="shared" si="219"/>
        <v>0</v>
      </c>
      <c r="DW44" s="220">
        <f t="shared" si="220"/>
        <v>0</v>
      </c>
      <c r="DX44" s="220">
        <f t="shared" si="220"/>
        <v>0</v>
      </c>
      <c r="DY44" s="220">
        <f t="shared" si="220"/>
        <v>0</v>
      </c>
      <c r="DZ44" s="220">
        <f t="shared" si="220"/>
        <v>0</v>
      </c>
      <c r="EA44" s="220">
        <f t="shared" si="220"/>
        <v>0</v>
      </c>
      <c r="EB44" s="220">
        <f t="shared" si="220"/>
        <v>0</v>
      </c>
      <c r="EC44" s="220">
        <f t="shared" si="220"/>
        <v>0</v>
      </c>
      <c r="ED44" s="220">
        <f t="shared" si="220"/>
        <v>0</v>
      </c>
      <c r="EE44" s="220">
        <f t="shared" si="220"/>
        <v>0</v>
      </c>
      <c r="EF44" s="220">
        <f t="shared" si="220"/>
        <v>0</v>
      </c>
      <c r="EG44" s="220">
        <f t="shared" si="221"/>
        <v>0</v>
      </c>
      <c r="EH44" s="220">
        <f t="shared" si="221"/>
        <v>0</v>
      </c>
      <c r="EI44" s="220">
        <f t="shared" si="221"/>
        <v>0</v>
      </c>
      <c r="EJ44" s="220">
        <f t="shared" si="221"/>
        <v>0</v>
      </c>
      <c r="EK44" s="220">
        <f t="shared" si="221"/>
        <v>0</v>
      </c>
      <c r="EL44" s="220">
        <f t="shared" si="221"/>
        <v>0</v>
      </c>
      <c r="EM44" s="220">
        <f t="shared" si="221"/>
        <v>0</v>
      </c>
      <c r="EN44" s="220">
        <f t="shared" si="221"/>
        <v>0</v>
      </c>
      <c r="EO44" s="220">
        <f t="shared" si="221"/>
        <v>0</v>
      </c>
      <c r="EP44" s="220">
        <f t="shared" si="221"/>
        <v>0</v>
      </c>
      <c r="EQ44" s="220">
        <f t="shared" si="222"/>
        <v>0</v>
      </c>
      <c r="ER44" s="220">
        <f t="shared" si="222"/>
        <v>0</v>
      </c>
      <c r="ES44" s="220">
        <f t="shared" si="222"/>
        <v>0</v>
      </c>
      <c r="EU44" s="221">
        <f t="shared" si="223"/>
        <v>0</v>
      </c>
      <c r="EV44" s="222">
        <f t="shared" si="224"/>
        <v>45688</v>
      </c>
      <c r="EW44" s="222">
        <f t="shared" si="225"/>
        <v>45688</v>
      </c>
      <c r="EX44" s="221">
        <f t="shared" si="226"/>
        <v>1</v>
      </c>
      <c r="EY44" s="153" t="str">
        <f t="shared" si="227"/>
        <v>Straight-Line</v>
      </c>
      <c r="EZ44" s="223">
        <f t="shared" si="228"/>
        <v>0.16666666666666666</v>
      </c>
      <c r="FA44" s="221">
        <f t="shared" si="229"/>
        <v>0</v>
      </c>
      <c r="FB44" s="221">
        <f t="shared" si="229"/>
        <v>0</v>
      </c>
      <c r="FC44" s="221">
        <f t="shared" si="229"/>
        <v>0</v>
      </c>
      <c r="FD44" s="221">
        <f t="shared" si="229"/>
        <v>0</v>
      </c>
      <c r="FE44" s="221">
        <f t="shared" si="229"/>
        <v>0</v>
      </c>
      <c r="FF44" s="221">
        <f t="shared" si="229"/>
        <v>0</v>
      </c>
      <c r="FG44" s="221">
        <f t="shared" si="229"/>
        <v>0</v>
      </c>
      <c r="FH44" s="221">
        <f t="shared" si="229"/>
        <v>0</v>
      </c>
      <c r="FI44" s="221">
        <f t="shared" si="229"/>
        <v>0</v>
      </c>
      <c r="FJ44" s="221">
        <f t="shared" si="229"/>
        <v>0</v>
      </c>
      <c r="FK44" s="221">
        <f t="shared" si="229"/>
        <v>0</v>
      </c>
      <c r="FL44" s="221">
        <f t="shared" si="229"/>
        <v>0</v>
      </c>
      <c r="FM44" s="221">
        <f t="shared" si="229"/>
        <v>0</v>
      </c>
      <c r="FN44" s="221">
        <f t="shared" si="229"/>
        <v>0</v>
      </c>
      <c r="FO44" s="221">
        <f t="shared" si="229"/>
        <v>0</v>
      </c>
      <c r="FP44" s="221">
        <f t="shared" si="229"/>
        <v>0</v>
      </c>
      <c r="FQ44" s="221">
        <f t="shared" si="230"/>
        <v>0</v>
      </c>
      <c r="FR44" s="221">
        <f t="shared" si="230"/>
        <v>0</v>
      </c>
      <c r="FS44" s="221">
        <f t="shared" si="230"/>
        <v>0</v>
      </c>
      <c r="FT44" s="221">
        <f t="shared" si="230"/>
        <v>0</v>
      </c>
      <c r="FU44" s="221">
        <f t="shared" si="230"/>
        <v>0</v>
      </c>
      <c r="FV44" s="221">
        <f t="shared" si="230"/>
        <v>0</v>
      </c>
      <c r="FW44" s="221">
        <f t="shared" si="230"/>
        <v>0</v>
      </c>
      <c r="FX44" s="221">
        <f t="shared" si="230"/>
        <v>0</v>
      </c>
      <c r="FY44" s="221">
        <f t="shared" si="230"/>
        <v>0</v>
      </c>
      <c r="FZ44" s="221">
        <f t="shared" si="230"/>
        <v>0</v>
      </c>
      <c r="GA44" s="221">
        <f t="shared" si="230"/>
        <v>0</v>
      </c>
      <c r="GB44" s="221">
        <f t="shared" si="230"/>
        <v>0</v>
      </c>
      <c r="GC44" s="221">
        <f t="shared" si="230"/>
        <v>0</v>
      </c>
      <c r="GD44" s="221">
        <f t="shared" si="230"/>
        <v>0</v>
      </c>
      <c r="GE44" s="221">
        <f t="shared" si="230"/>
        <v>0</v>
      </c>
      <c r="GF44" s="221">
        <f t="shared" si="230"/>
        <v>0</v>
      </c>
      <c r="GG44" s="221">
        <f t="shared" si="231"/>
        <v>0</v>
      </c>
      <c r="GH44" s="221">
        <f t="shared" si="231"/>
        <v>0</v>
      </c>
      <c r="GI44" s="221">
        <f t="shared" si="231"/>
        <v>0</v>
      </c>
      <c r="GJ44" s="221">
        <f t="shared" si="231"/>
        <v>0</v>
      </c>
      <c r="GK44" s="221">
        <f t="shared" si="231"/>
        <v>0</v>
      </c>
      <c r="GL44" s="221">
        <f t="shared" si="231"/>
        <v>0</v>
      </c>
      <c r="GM44" s="221">
        <f t="shared" si="231"/>
        <v>0</v>
      </c>
      <c r="GN44" s="221">
        <f t="shared" si="231"/>
        <v>0</v>
      </c>
      <c r="GO44" s="221">
        <f t="shared" si="231"/>
        <v>0</v>
      </c>
      <c r="GP44" s="221">
        <f t="shared" si="231"/>
        <v>0</v>
      </c>
      <c r="GQ44" s="221">
        <f t="shared" si="231"/>
        <v>0</v>
      </c>
      <c r="GR44" s="221">
        <f t="shared" si="231"/>
        <v>0</v>
      </c>
      <c r="GS44" s="221">
        <f t="shared" si="231"/>
        <v>0</v>
      </c>
      <c r="GT44" s="221">
        <f t="shared" si="231"/>
        <v>0</v>
      </c>
      <c r="GU44" s="221">
        <f t="shared" si="231"/>
        <v>0</v>
      </c>
      <c r="GV44" s="221">
        <f t="shared" si="231"/>
        <v>0</v>
      </c>
      <c r="GW44" s="221">
        <f t="shared" si="232"/>
        <v>0</v>
      </c>
      <c r="GX44" s="221">
        <f t="shared" si="232"/>
        <v>0</v>
      </c>
      <c r="GY44" s="221">
        <f t="shared" si="232"/>
        <v>0</v>
      </c>
      <c r="GZ44" s="221">
        <f t="shared" si="232"/>
        <v>0</v>
      </c>
      <c r="HA44" s="221">
        <f t="shared" si="232"/>
        <v>0</v>
      </c>
      <c r="HB44" s="221">
        <f t="shared" si="232"/>
        <v>0</v>
      </c>
      <c r="HC44" s="221">
        <f t="shared" si="232"/>
        <v>0</v>
      </c>
      <c r="HD44" s="221">
        <f t="shared" si="232"/>
        <v>0</v>
      </c>
      <c r="HE44" s="221">
        <f t="shared" si="232"/>
        <v>0</v>
      </c>
      <c r="HF44" s="221">
        <f t="shared" si="232"/>
        <v>0</v>
      </c>
      <c r="HG44" s="221">
        <f t="shared" si="232"/>
        <v>0</v>
      </c>
      <c r="HH44" s="221">
        <f t="shared" si="232"/>
        <v>0</v>
      </c>
      <c r="HI44" s="221">
        <f t="shared" si="232"/>
        <v>0</v>
      </c>
      <c r="HJ44" s="221">
        <f t="shared" si="232"/>
        <v>0</v>
      </c>
      <c r="HK44" s="221">
        <f t="shared" si="232"/>
        <v>0</v>
      </c>
      <c r="HL44" s="221">
        <f t="shared" si="232"/>
        <v>0</v>
      </c>
      <c r="HM44" s="221">
        <f t="shared" si="233"/>
        <v>0</v>
      </c>
      <c r="HN44" s="221">
        <f t="shared" si="233"/>
        <v>0</v>
      </c>
      <c r="HO44" s="221">
        <f t="shared" si="233"/>
        <v>0</v>
      </c>
      <c r="HP44" s="221">
        <f t="shared" si="233"/>
        <v>0</v>
      </c>
      <c r="HQ44" s="221">
        <f t="shared" si="233"/>
        <v>0</v>
      </c>
      <c r="HR44" s="221">
        <f t="shared" si="233"/>
        <v>0</v>
      </c>
      <c r="HS44" s="221">
        <f t="shared" si="233"/>
        <v>0</v>
      </c>
      <c r="HT44" s="221">
        <f t="shared" si="233"/>
        <v>0</v>
      </c>
      <c r="HU44" s="221">
        <f t="shared" si="233"/>
        <v>0</v>
      </c>
      <c r="HV44" s="221">
        <f t="shared" si="233"/>
        <v>0</v>
      </c>
      <c r="HW44" s="221">
        <f t="shared" si="233"/>
        <v>0</v>
      </c>
      <c r="HX44" s="221">
        <f t="shared" si="233"/>
        <v>0</v>
      </c>
      <c r="HY44" s="221">
        <f t="shared" si="233"/>
        <v>0</v>
      </c>
      <c r="HZ44" s="221">
        <f t="shared" si="233"/>
        <v>0</v>
      </c>
      <c r="IA44" s="221">
        <f t="shared" si="233"/>
        <v>0</v>
      </c>
      <c r="IB44" s="221">
        <f t="shared" si="233"/>
        <v>0</v>
      </c>
      <c r="IC44" s="221">
        <f t="shared" si="234"/>
        <v>0</v>
      </c>
      <c r="ID44" s="221">
        <f t="shared" si="234"/>
        <v>0</v>
      </c>
      <c r="IE44" s="221">
        <f t="shared" si="234"/>
        <v>0</v>
      </c>
      <c r="IF44" s="221">
        <f t="shared" si="234"/>
        <v>0</v>
      </c>
      <c r="IG44" s="221">
        <f t="shared" si="234"/>
        <v>0</v>
      </c>
      <c r="IH44" s="221">
        <f t="shared" si="234"/>
        <v>0</v>
      </c>
      <c r="II44" s="221">
        <f t="shared" si="234"/>
        <v>0</v>
      </c>
      <c r="IJ44" s="221">
        <f t="shared" si="234"/>
        <v>0</v>
      </c>
      <c r="IK44" s="221">
        <f t="shared" si="234"/>
        <v>0</v>
      </c>
      <c r="IL44" s="221">
        <f t="shared" si="234"/>
        <v>0</v>
      </c>
      <c r="IM44" s="221">
        <f t="shared" si="234"/>
        <v>0</v>
      </c>
      <c r="IN44" s="221">
        <f t="shared" si="234"/>
        <v>0</v>
      </c>
      <c r="IO44" s="221">
        <f t="shared" si="234"/>
        <v>0</v>
      </c>
      <c r="IP44" s="221">
        <f t="shared" si="234"/>
        <v>0</v>
      </c>
      <c r="IQ44" s="221">
        <f t="shared" si="234"/>
        <v>0</v>
      </c>
      <c r="IR44" s="221">
        <f t="shared" si="234"/>
        <v>0</v>
      </c>
      <c r="IS44" s="221">
        <f t="shared" si="235"/>
        <v>0</v>
      </c>
      <c r="IT44" s="221">
        <f t="shared" si="235"/>
        <v>0</v>
      </c>
      <c r="IU44" s="221">
        <f t="shared" si="235"/>
        <v>0</v>
      </c>
      <c r="IV44" s="221">
        <f t="shared" si="235"/>
        <v>0</v>
      </c>
      <c r="IW44" s="221">
        <f t="shared" si="235"/>
        <v>0</v>
      </c>
      <c r="IX44" s="221">
        <f t="shared" si="235"/>
        <v>0</v>
      </c>
      <c r="IY44" s="221">
        <f t="shared" si="235"/>
        <v>0</v>
      </c>
      <c r="IZ44" s="221">
        <f t="shared" si="235"/>
        <v>0</v>
      </c>
      <c r="JA44" s="221">
        <f t="shared" si="235"/>
        <v>0</v>
      </c>
      <c r="JB44" s="221">
        <f t="shared" si="235"/>
        <v>0</v>
      </c>
      <c r="JC44" s="221">
        <f t="shared" si="235"/>
        <v>0</v>
      </c>
      <c r="JD44" s="221">
        <f t="shared" si="235"/>
        <v>0</v>
      </c>
      <c r="JE44" s="221">
        <f t="shared" si="235"/>
        <v>0</v>
      </c>
      <c r="JF44" s="221">
        <f t="shared" si="235"/>
        <v>0</v>
      </c>
      <c r="JG44" s="221">
        <f t="shared" si="235"/>
        <v>0</v>
      </c>
      <c r="JH44" s="221">
        <f t="shared" si="235"/>
        <v>0</v>
      </c>
      <c r="JI44" s="221">
        <f t="shared" si="236"/>
        <v>0</v>
      </c>
      <c r="JJ44" s="221">
        <f t="shared" si="236"/>
        <v>0</v>
      </c>
      <c r="JK44" s="221">
        <f t="shared" si="236"/>
        <v>0</v>
      </c>
      <c r="JL44" s="221">
        <f t="shared" si="236"/>
        <v>0</v>
      </c>
      <c r="JM44" s="221">
        <f t="shared" si="236"/>
        <v>0</v>
      </c>
      <c r="JN44" s="221">
        <f t="shared" si="236"/>
        <v>0</v>
      </c>
      <c r="JO44" s="221">
        <f t="shared" si="236"/>
        <v>0</v>
      </c>
      <c r="JP44" s="221">
        <f t="shared" si="236"/>
        <v>0</v>
      </c>
      <c r="JQ44" s="221">
        <f t="shared" si="236"/>
        <v>0</v>
      </c>
      <c r="JR44" s="221">
        <f t="shared" si="236"/>
        <v>0</v>
      </c>
      <c r="JS44" s="221">
        <f t="shared" si="236"/>
        <v>0</v>
      </c>
      <c r="JT44" s="221">
        <f t="shared" si="236"/>
        <v>0</v>
      </c>
      <c r="JU44" s="221">
        <f t="shared" si="236"/>
        <v>0</v>
      </c>
      <c r="JV44" s="221">
        <f t="shared" si="236"/>
        <v>0</v>
      </c>
      <c r="JW44" s="221">
        <f t="shared" si="236"/>
        <v>0</v>
      </c>
      <c r="JX44" s="221">
        <f t="shared" si="236"/>
        <v>0</v>
      </c>
      <c r="JY44" s="221">
        <f t="shared" si="237"/>
        <v>0</v>
      </c>
      <c r="JZ44" s="221">
        <f t="shared" si="237"/>
        <v>0</v>
      </c>
      <c r="KA44" s="221">
        <f t="shared" si="237"/>
        <v>0</v>
      </c>
      <c r="KB44" s="221">
        <f t="shared" si="237"/>
        <v>0</v>
      </c>
      <c r="KC44" s="221">
        <f t="shared" si="237"/>
        <v>0</v>
      </c>
    </row>
    <row r="45" spans="2:289" x14ac:dyDescent="0.25">
      <c r="B45" s="214" t="s">
        <v>41</v>
      </c>
      <c r="C45" s="196"/>
      <c r="D45" s="215">
        <v>0</v>
      </c>
      <c r="E45" s="215">
        <v>0</v>
      </c>
      <c r="F45" s="216" t="s">
        <v>26</v>
      </c>
      <c r="G45" s="217">
        <f t="shared" ref="G45:G46" si="238">I45/Units_SF_M2</f>
        <v>0</v>
      </c>
      <c r="H45" s="218">
        <f t="shared" ref="H45:H46" si="239">I45/Units</f>
        <v>0</v>
      </c>
      <c r="I45" s="219">
        <v>0</v>
      </c>
      <c r="P45" s="152" t="str">
        <f>IF(ROUND(SUM(Q45:ES45),0)=ROUND(I45,0),"","Incomplete")</f>
        <v/>
      </c>
      <c r="Q45" s="220">
        <f t="shared" si="209"/>
        <v>0</v>
      </c>
      <c r="R45" s="220">
        <f t="shared" si="209"/>
        <v>0</v>
      </c>
      <c r="S45" s="220">
        <f t="shared" si="209"/>
        <v>0</v>
      </c>
      <c r="T45" s="220">
        <f t="shared" si="209"/>
        <v>0</v>
      </c>
      <c r="U45" s="220">
        <f t="shared" si="209"/>
        <v>0</v>
      </c>
      <c r="V45" s="220">
        <f t="shared" si="209"/>
        <v>0</v>
      </c>
      <c r="W45" s="220">
        <f t="shared" si="209"/>
        <v>0</v>
      </c>
      <c r="X45" s="220">
        <f t="shared" si="209"/>
        <v>0</v>
      </c>
      <c r="Y45" s="220">
        <f t="shared" si="209"/>
        <v>0</v>
      </c>
      <c r="Z45" s="220">
        <f t="shared" si="209"/>
        <v>0</v>
      </c>
      <c r="AA45" s="220">
        <f t="shared" si="210"/>
        <v>0</v>
      </c>
      <c r="AB45" s="220">
        <f t="shared" si="210"/>
        <v>0</v>
      </c>
      <c r="AC45" s="220">
        <f t="shared" si="210"/>
        <v>0</v>
      </c>
      <c r="AD45" s="220">
        <f t="shared" si="210"/>
        <v>0</v>
      </c>
      <c r="AE45" s="220">
        <f t="shared" si="210"/>
        <v>0</v>
      </c>
      <c r="AF45" s="220">
        <f t="shared" si="210"/>
        <v>0</v>
      </c>
      <c r="AG45" s="220">
        <f t="shared" si="210"/>
        <v>0</v>
      </c>
      <c r="AH45" s="220">
        <f t="shared" si="210"/>
        <v>0</v>
      </c>
      <c r="AI45" s="220">
        <f t="shared" si="210"/>
        <v>0</v>
      </c>
      <c r="AJ45" s="220">
        <f t="shared" si="210"/>
        <v>0</v>
      </c>
      <c r="AK45" s="220">
        <f t="shared" si="211"/>
        <v>0</v>
      </c>
      <c r="AL45" s="220">
        <f t="shared" si="211"/>
        <v>0</v>
      </c>
      <c r="AM45" s="220">
        <f t="shared" si="211"/>
        <v>0</v>
      </c>
      <c r="AN45" s="220">
        <f t="shared" si="211"/>
        <v>0</v>
      </c>
      <c r="AO45" s="220">
        <f t="shared" si="211"/>
        <v>0</v>
      </c>
      <c r="AP45" s="220">
        <f t="shared" si="211"/>
        <v>0</v>
      </c>
      <c r="AQ45" s="220">
        <f t="shared" si="211"/>
        <v>0</v>
      </c>
      <c r="AR45" s="220">
        <f t="shared" si="211"/>
        <v>0</v>
      </c>
      <c r="AS45" s="220">
        <f t="shared" si="211"/>
        <v>0</v>
      </c>
      <c r="AT45" s="220">
        <f t="shared" si="211"/>
        <v>0</v>
      </c>
      <c r="AU45" s="220">
        <f t="shared" si="212"/>
        <v>0</v>
      </c>
      <c r="AV45" s="220">
        <f t="shared" si="212"/>
        <v>0</v>
      </c>
      <c r="AW45" s="220">
        <f t="shared" si="212"/>
        <v>0</v>
      </c>
      <c r="AX45" s="220">
        <f t="shared" si="212"/>
        <v>0</v>
      </c>
      <c r="AY45" s="220">
        <f t="shared" si="212"/>
        <v>0</v>
      </c>
      <c r="AZ45" s="220">
        <f t="shared" si="212"/>
        <v>0</v>
      </c>
      <c r="BA45" s="220">
        <f t="shared" si="212"/>
        <v>0</v>
      </c>
      <c r="BB45" s="220">
        <f t="shared" si="212"/>
        <v>0</v>
      </c>
      <c r="BC45" s="220">
        <f t="shared" si="212"/>
        <v>0</v>
      </c>
      <c r="BD45" s="220">
        <f t="shared" si="212"/>
        <v>0</v>
      </c>
      <c r="BE45" s="220">
        <f t="shared" si="213"/>
        <v>0</v>
      </c>
      <c r="BF45" s="220">
        <f t="shared" si="213"/>
        <v>0</v>
      </c>
      <c r="BG45" s="220">
        <f t="shared" si="213"/>
        <v>0</v>
      </c>
      <c r="BH45" s="220">
        <f t="shared" si="213"/>
        <v>0</v>
      </c>
      <c r="BI45" s="220">
        <f t="shared" si="213"/>
        <v>0</v>
      </c>
      <c r="BJ45" s="220">
        <f t="shared" si="213"/>
        <v>0</v>
      </c>
      <c r="BK45" s="220">
        <f t="shared" si="213"/>
        <v>0</v>
      </c>
      <c r="BL45" s="220">
        <f t="shared" si="213"/>
        <v>0</v>
      </c>
      <c r="BM45" s="220">
        <f t="shared" si="213"/>
        <v>0</v>
      </c>
      <c r="BN45" s="220">
        <f t="shared" si="213"/>
        <v>0</v>
      </c>
      <c r="BO45" s="220">
        <f t="shared" si="214"/>
        <v>0</v>
      </c>
      <c r="BP45" s="220">
        <f t="shared" si="214"/>
        <v>0</v>
      </c>
      <c r="BQ45" s="220">
        <f t="shared" si="214"/>
        <v>0</v>
      </c>
      <c r="BR45" s="220">
        <f t="shared" si="214"/>
        <v>0</v>
      </c>
      <c r="BS45" s="220">
        <f t="shared" si="214"/>
        <v>0</v>
      </c>
      <c r="BT45" s="220">
        <f t="shared" si="214"/>
        <v>0</v>
      </c>
      <c r="BU45" s="220">
        <f t="shared" si="214"/>
        <v>0</v>
      </c>
      <c r="BV45" s="220">
        <f t="shared" si="214"/>
        <v>0</v>
      </c>
      <c r="BW45" s="220">
        <f t="shared" si="214"/>
        <v>0</v>
      </c>
      <c r="BX45" s="220">
        <f t="shared" si="214"/>
        <v>0</v>
      </c>
      <c r="BY45" s="220">
        <f t="shared" si="215"/>
        <v>0</v>
      </c>
      <c r="BZ45" s="220">
        <f t="shared" si="215"/>
        <v>0</v>
      </c>
      <c r="CA45" s="220">
        <f t="shared" si="215"/>
        <v>0</v>
      </c>
      <c r="CB45" s="220">
        <f t="shared" si="215"/>
        <v>0</v>
      </c>
      <c r="CC45" s="220">
        <f t="shared" si="215"/>
        <v>0</v>
      </c>
      <c r="CD45" s="220">
        <f t="shared" si="215"/>
        <v>0</v>
      </c>
      <c r="CE45" s="220">
        <f t="shared" si="215"/>
        <v>0</v>
      </c>
      <c r="CF45" s="220">
        <f t="shared" si="215"/>
        <v>0</v>
      </c>
      <c r="CG45" s="220">
        <f t="shared" si="215"/>
        <v>0</v>
      </c>
      <c r="CH45" s="220">
        <f t="shared" si="215"/>
        <v>0</v>
      </c>
      <c r="CI45" s="220">
        <f t="shared" si="216"/>
        <v>0</v>
      </c>
      <c r="CJ45" s="220">
        <f t="shared" si="216"/>
        <v>0</v>
      </c>
      <c r="CK45" s="220">
        <f t="shared" si="216"/>
        <v>0</v>
      </c>
      <c r="CL45" s="220">
        <f t="shared" si="216"/>
        <v>0</v>
      </c>
      <c r="CM45" s="220">
        <f t="shared" si="216"/>
        <v>0</v>
      </c>
      <c r="CN45" s="220">
        <f t="shared" si="216"/>
        <v>0</v>
      </c>
      <c r="CO45" s="220">
        <f t="shared" si="216"/>
        <v>0</v>
      </c>
      <c r="CP45" s="220">
        <f t="shared" si="216"/>
        <v>0</v>
      </c>
      <c r="CQ45" s="220">
        <f t="shared" si="216"/>
        <v>0</v>
      </c>
      <c r="CR45" s="220">
        <f t="shared" si="216"/>
        <v>0</v>
      </c>
      <c r="CS45" s="220">
        <f t="shared" si="217"/>
        <v>0</v>
      </c>
      <c r="CT45" s="220">
        <f t="shared" si="217"/>
        <v>0</v>
      </c>
      <c r="CU45" s="220">
        <f t="shared" si="217"/>
        <v>0</v>
      </c>
      <c r="CV45" s="220">
        <f t="shared" si="217"/>
        <v>0</v>
      </c>
      <c r="CW45" s="220">
        <f t="shared" si="217"/>
        <v>0</v>
      </c>
      <c r="CX45" s="220">
        <f t="shared" si="217"/>
        <v>0</v>
      </c>
      <c r="CY45" s="220">
        <f t="shared" si="217"/>
        <v>0</v>
      </c>
      <c r="CZ45" s="220">
        <f t="shared" si="217"/>
        <v>0</v>
      </c>
      <c r="DA45" s="220">
        <f t="shared" si="217"/>
        <v>0</v>
      </c>
      <c r="DB45" s="220">
        <f t="shared" si="217"/>
        <v>0</v>
      </c>
      <c r="DC45" s="220">
        <f t="shared" si="218"/>
        <v>0</v>
      </c>
      <c r="DD45" s="220">
        <f t="shared" si="218"/>
        <v>0</v>
      </c>
      <c r="DE45" s="220">
        <f t="shared" si="218"/>
        <v>0</v>
      </c>
      <c r="DF45" s="220">
        <f t="shared" si="218"/>
        <v>0</v>
      </c>
      <c r="DG45" s="220">
        <f t="shared" si="218"/>
        <v>0</v>
      </c>
      <c r="DH45" s="220">
        <f t="shared" si="218"/>
        <v>0</v>
      </c>
      <c r="DI45" s="220">
        <f t="shared" si="218"/>
        <v>0</v>
      </c>
      <c r="DJ45" s="220">
        <f t="shared" si="218"/>
        <v>0</v>
      </c>
      <c r="DK45" s="220">
        <f t="shared" si="218"/>
        <v>0</v>
      </c>
      <c r="DL45" s="220">
        <f t="shared" si="218"/>
        <v>0</v>
      </c>
      <c r="DM45" s="220">
        <f t="shared" si="219"/>
        <v>0</v>
      </c>
      <c r="DN45" s="220">
        <f t="shared" si="219"/>
        <v>0</v>
      </c>
      <c r="DO45" s="220">
        <f t="shared" si="219"/>
        <v>0</v>
      </c>
      <c r="DP45" s="220">
        <f t="shared" si="219"/>
        <v>0</v>
      </c>
      <c r="DQ45" s="220">
        <f t="shared" si="219"/>
        <v>0</v>
      </c>
      <c r="DR45" s="220">
        <f t="shared" si="219"/>
        <v>0</v>
      </c>
      <c r="DS45" s="220">
        <f t="shared" si="219"/>
        <v>0</v>
      </c>
      <c r="DT45" s="220">
        <f t="shared" si="219"/>
        <v>0</v>
      </c>
      <c r="DU45" s="220">
        <f t="shared" si="219"/>
        <v>0</v>
      </c>
      <c r="DV45" s="220">
        <f t="shared" si="219"/>
        <v>0</v>
      </c>
      <c r="DW45" s="220">
        <f t="shared" si="220"/>
        <v>0</v>
      </c>
      <c r="DX45" s="220">
        <f t="shared" si="220"/>
        <v>0</v>
      </c>
      <c r="DY45" s="220">
        <f t="shared" si="220"/>
        <v>0</v>
      </c>
      <c r="DZ45" s="220">
        <f t="shared" si="220"/>
        <v>0</v>
      </c>
      <c r="EA45" s="220">
        <f t="shared" si="220"/>
        <v>0</v>
      </c>
      <c r="EB45" s="220">
        <f t="shared" si="220"/>
        <v>0</v>
      </c>
      <c r="EC45" s="220">
        <f t="shared" si="220"/>
        <v>0</v>
      </c>
      <c r="ED45" s="220">
        <f t="shared" si="220"/>
        <v>0</v>
      </c>
      <c r="EE45" s="220">
        <f t="shared" si="220"/>
        <v>0</v>
      </c>
      <c r="EF45" s="220">
        <f t="shared" si="220"/>
        <v>0</v>
      </c>
      <c r="EG45" s="220">
        <f t="shared" si="221"/>
        <v>0</v>
      </c>
      <c r="EH45" s="220">
        <f t="shared" si="221"/>
        <v>0</v>
      </c>
      <c r="EI45" s="220">
        <f t="shared" si="221"/>
        <v>0</v>
      </c>
      <c r="EJ45" s="220">
        <f t="shared" si="221"/>
        <v>0</v>
      </c>
      <c r="EK45" s="220">
        <f t="shared" si="221"/>
        <v>0</v>
      </c>
      <c r="EL45" s="220">
        <f t="shared" si="221"/>
        <v>0</v>
      </c>
      <c r="EM45" s="220">
        <f t="shared" si="221"/>
        <v>0</v>
      </c>
      <c r="EN45" s="220">
        <f t="shared" si="221"/>
        <v>0</v>
      </c>
      <c r="EO45" s="220">
        <f t="shared" si="221"/>
        <v>0</v>
      </c>
      <c r="EP45" s="220">
        <f t="shared" si="221"/>
        <v>0</v>
      </c>
      <c r="EQ45" s="220">
        <f t="shared" si="222"/>
        <v>0</v>
      </c>
      <c r="ER45" s="220">
        <f t="shared" si="222"/>
        <v>0</v>
      </c>
      <c r="ES45" s="220">
        <f t="shared" si="222"/>
        <v>0</v>
      </c>
      <c r="EU45" s="221">
        <f t="shared" ref="EU45:EU46" si="240">I45</f>
        <v>0</v>
      </c>
      <c r="EV45" s="222">
        <f t="shared" si="224"/>
        <v>45688</v>
      </c>
      <c r="EW45" s="222">
        <f t="shared" si="225"/>
        <v>45688</v>
      </c>
      <c r="EX45" s="221">
        <f t="shared" si="226"/>
        <v>1</v>
      </c>
      <c r="EY45" s="153" t="str">
        <f t="shared" si="227"/>
        <v>Straight-Line</v>
      </c>
      <c r="EZ45" s="223">
        <f t="shared" ref="EZ45:EZ46" si="241">EX45/Scurve_Dist</f>
        <v>0.16666666666666666</v>
      </c>
      <c r="FA45" s="221">
        <f t="shared" si="229"/>
        <v>0</v>
      </c>
      <c r="FB45" s="221">
        <f t="shared" si="229"/>
        <v>0</v>
      </c>
      <c r="FC45" s="221">
        <f t="shared" si="229"/>
        <v>0</v>
      </c>
      <c r="FD45" s="221">
        <f t="shared" si="229"/>
        <v>0</v>
      </c>
      <c r="FE45" s="221">
        <f t="shared" si="229"/>
        <v>0</v>
      </c>
      <c r="FF45" s="221">
        <f t="shared" si="229"/>
        <v>0</v>
      </c>
      <c r="FG45" s="221">
        <f t="shared" si="229"/>
        <v>0</v>
      </c>
      <c r="FH45" s="221">
        <f t="shared" si="229"/>
        <v>0</v>
      </c>
      <c r="FI45" s="221">
        <f t="shared" si="229"/>
        <v>0</v>
      </c>
      <c r="FJ45" s="221">
        <f t="shared" si="229"/>
        <v>0</v>
      </c>
      <c r="FK45" s="221">
        <f t="shared" si="229"/>
        <v>0</v>
      </c>
      <c r="FL45" s="221">
        <f t="shared" si="229"/>
        <v>0</v>
      </c>
      <c r="FM45" s="221">
        <f t="shared" si="229"/>
        <v>0</v>
      </c>
      <c r="FN45" s="221">
        <f t="shared" si="229"/>
        <v>0</v>
      </c>
      <c r="FO45" s="221">
        <f t="shared" si="229"/>
        <v>0</v>
      </c>
      <c r="FP45" s="221">
        <f t="shared" si="229"/>
        <v>0</v>
      </c>
      <c r="FQ45" s="221">
        <f t="shared" si="230"/>
        <v>0</v>
      </c>
      <c r="FR45" s="221">
        <f t="shared" si="230"/>
        <v>0</v>
      </c>
      <c r="FS45" s="221">
        <f t="shared" si="230"/>
        <v>0</v>
      </c>
      <c r="FT45" s="221">
        <f t="shared" si="230"/>
        <v>0</v>
      </c>
      <c r="FU45" s="221">
        <f t="shared" si="230"/>
        <v>0</v>
      </c>
      <c r="FV45" s="221">
        <f t="shared" si="230"/>
        <v>0</v>
      </c>
      <c r="FW45" s="221">
        <f t="shared" si="230"/>
        <v>0</v>
      </c>
      <c r="FX45" s="221">
        <f t="shared" si="230"/>
        <v>0</v>
      </c>
      <c r="FY45" s="221">
        <f t="shared" si="230"/>
        <v>0</v>
      </c>
      <c r="FZ45" s="221">
        <f t="shared" si="230"/>
        <v>0</v>
      </c>
      <c r="GA45" s="221">
        <f t="shared" si="230"/>
        <v>0</v>
      </c>
      <c r="GB45" s="221">
        <f t="shared" si="230"/>
        <v>0</v>
      </c>
      <c r="GC45" s="221">
        <f t="shared" si="230"/>
        <v>0</v>
      </c>
      <c r="GD45" s="221">
        <f t="shared" si="230"/>
        <v>0</v>
      </c>
      <c r="GE45" s="221">
        <f t="shared" si="230"/>
        <v>0</v>
      </c>
      <c r="GF45" s="221">
        <f t="shared" si="230"/>
        <v>0</v>
      </c>
      <c r="GG45" s="221">
        <f t="shared" si="231"/>
        <v>0</v>
      </c>
      <c r="GH45" s="221">
        <f t="shared" si="231"/>
        <v>0</v>
      </c>
      <c r="GI45" s="221">
        <f t="shared" si="231"/>
        <v>0</v>
      </c>
      <c r="GJ45" s="221">
        <f t="shared" si="231"/>
        <v>0</v>
      </c>
      <c r="GK45" s="221">
        <f t="shared" si="231"/>
        <v>0</v>
      </c>
      <c r="GL45" s="221">
        <f t="shared" si="231"/>
        <v>0</v>
      </c>
      <c r="GM45" s="221">
        <f t="shared" si="231"/>
        <v>0</v>
      </c>
      <c r="GN45" s="221">
        <f t="shared" si="231"/>
        <v>0</v>
      </c>
      <c r="GO45" s="221">
        <f t="shared" si="231"/>
        <v>0</v>
      </c>
      <c r="GP45" s="221">
        <f t="shared" si="231"/>
        <v>0</v>
      </c>
      <c r="GQ45" s="221">
        <f t="shared" si="231"/>
        <v>0</v>
      </c>
      <c r="GR45" s="221">
        <f t="shared" si="231"/>
        <v>0</v>
      </c>
      <c r="GS45" s="221">
        <f t="shared" si="231"/>
        <v>0</v>
      </c>
      <c r="GT45" s="221">
        <f t="shared" si="231"/>
        <v>0</v>
      </c>
      <c r="GU45" s="221">
        <f t="shared" si="231"/>
        <v>0</v>
      </c>
      <c r="GV45" s="221">
        <f t="shared" si="231"/>
        <v>0</v>
      </c>
      <c r="GW45" s="221">
        <f t="shared" si="232"/>
        <v>0</v>
      </c>
      <c r="GX45" s="221">
        <f t="shared" si="232"/>
        <v>0</v>
      </c>
      <c r="GY45" s="221">
        <f t="shared" si="232"/>
        <v>0</v>
      </c>
      <c r="GZ45" s="221">
        <f t="shared" si="232"/>
        <v>0</v>
      </c>
      <c r="HA45" s="221">
        <f t="shared" si="232"/>
        <v>0</v>
      </c>
      <c r="HB45" s="221">
        <f t="shared" si="232"/>
        <v>0</v>
      </c>
      <c r="HC45" s="221">
        <f t="shared" si="232"/>
        <v>0</v>
      </c>
      <c r="HD45" s="221">
        <f t="shared" si="232"/>
        <v>0</v>
      </c>
      <c r="HE45" s="221">
        <f t="shared" si="232"/>
        <v>0</v>
      </c>
      <c r="HF45" s="221">
        <f t="shared" si="232"/>
        <v>0</v>
      </c>
      <c r="HG45" s="221">
        <f t="shared" si="232"/>
        <v>0</v>
      </c>
      <c r="HH45" s="221">
        <f t="shared" si="232"/>
        <v>0</v>
      </c>
      <c r="HI45" s="221">
        <f t="shared" si="232"/>
        <v>0</v>
      </c>
      <c r="HJ45" s="221">
        <f t="shared" si="232"/>
        <v>0</v>
      </c>
      <c r="HK45" s="221">
        <f t="shared" si="232"/>
        <v>0</v>
      </c>
      <c r="HL45" s="221">
        <f t="shared" si="232"/>
        <v>0</v>
      </c>
      <c r="HM45" s="221">
        <f t="shared" si="233"/>
        <v>0</v>
      </c>
      <c r="HN45" s="221">
        <f t="shared" si="233"/>
        <v>0</v>
      </c>
      <c r="HO45" s="221">
        <f t="shared" si="233"/>
        <v>0</v>
      </c>
      <c r="HP45" s="221">
        <f t="shared" si="233"/>
        <v>0</v>
      </c>
      <c r="HQ45" s="221">
        <f t="shared" si="233"/>
        <v>0</v>
      </c>
      <c r="HR45" s="221">
        <f t="shared" si="233"/>
        <v>0</v>
      </c>
      <c r="HS45" s="221">
        <f t="shared" si="233"/>
        <v>0</v>
      </c>
      <c r="HT45" s="221">
        <f t="shared" si="233"/>
        <v>0</v>
      </c>
      <c r="HU45" s="221">
        <f t="shared" si="233"/>
        <v>0</v>
      </c>
      <c r="HV45" s="221">
        <f t="shared" si="233"/>
        <v>0</v>
      </c>
      <c r="HW45" s="221">
        <f t="shared" si="233"/>
        <v>0</v>
      </c>
      <c r="HX45" s="221">
        <f t="shared" si="233"/>
        <v>0</v>
      </c>
      <c r="HY45" s="221">
        <f t="shared" si="233"/>
        <v>0</v>
      </c>
      <c r="HZ45" s="221">
        <f t="shared" si="233"/>
        <v>0</v>
      </c>
      <c r="IA45" s="221">
        <f t="shared" si="233"/>
        <v>0</v>
      </c>
      <c r="IB45" s="221">
        <f t="shared" si="233"/>
        <v>0</v>
      </c>
      <c r="IC45" s="221">
        <f t="shared" si="234"/>
        <v>0</v>
      </c>
      <c r="ID45" s="221">
        <f t="shared" si="234"/>
        <v>0</v>
      </c>
      <c r="IE45" s="221">
        <f t="shared" si="234"/>
        <v>0</v>
      </c>
      <c r="IF45" s="221">
        <f t="shared" si="234"/>
        <v>0</v>
      </c>
      <c r="IG45" s="221">
        <f t="shared" si="234"/>
        <v>0</v>
      </c>
      <c r="IH45" s="221">
        <f t="shared" si="234"/>
        <v>0</v>
      </c>
      <c r="II45" s="221">
        <f t="shared" si="234"/>
        <v>0</v>
      </c>
      <c r="IJ45" s="221">
        <f t="shared" si="234"/>
        <v>0</v>
      </c>
      <c r="IK45" s="221">
        <f t="shared" si="234"/>
        <v>0</v>
      </c>
      <c r="IL45" s="221">
        <f t="shared" si="234"/>
        <v>0</v>
      </c>
      <c r="IM45" s="221">
        <f t="shared" si="234"/>
        <v>0</v>
      </c>
      <c r="IN45" s="221">
        <f t="shared" si="234"/>
        <v>0</v>
      </c>
      <c r="IO45" s="221">
        <f t="shared" si="234"/>
        <v>0</v>
      </c>
      <c r="IP45" s="221">
        <f t="shared" si="234"/>
        <v>0</v>
      </c>
      <c r="IQ45" s="221">
        <f t="shared" si="234"/>
        <v>0</v>
      </c>
      <c r="IR45" s="221">
        <f t="shared" si="234"/>
        <v>0</v>
      </c>
      <c r="IS45" s="221">
        <f t="shared" si="235"/>
        <v>0</v>
      </c>
      <c r="IT45" s="221">
        <f t="shared" si="235"/>
        <v>0</v>
      </c>
      <c r="IU45" s="221">
        <f t="shared" si="235"/>
        <v>0</v>
      </c>
      <c r="IV45" s="221">
        <f t="shared" si="235"/>
        <v>0</v>
      </c>
      <c r="IW45" s="221">
        <f t="shared" si="235"/>
        <v>0</v>
      </c>
      <c r="IX45" s="221">
        <f t="shared" si="235"/>
        <v>0</v>
      </c>
      <c r="IY45" s="221">
        <f t="shared" si="235"/>
        <v>0</v>
      </c>
      <c r="IZ45" s="221">
        <f t="shared" si="235"/>
        <v>0</v>
      </c>
      <c r="JA45" s="221">
        <f t="shared" si="235"/>
        <v>0</v>
      </c>
      <c r="JB45" s="221">
        <f t="shared" si="235"/>
        <v>0</v>
      </c>
      <c r="JC45" s="221">
        <f t="shared" si="235"/>
        <v>0</v>
      </c>
      <c r="JD45" s="221">
        <f t="shared" si="235"/>
        <v>0</v>
      </c>
      <c r="JE45" s="221">
        <f t="shared" si="235"/>
        <v>0</v>
      </c>
      <c r="JF45" s="221">
        <f t="shared" si="235"/>
        <v>0</v>
      </c>
      <c r="JG45" s="221">
        <f t="shared" si="235"/>
        <v>0</v>
      </c>
      <c r="JH45" s="221">
        <f t="shared" si="235"/>
        <v>0</v>
      </c>
      <c r="JI45" s="221">
        <f t="shared" si="236"/>
        <v>0</v>
      </c>
      <c r="JJ45" s="221">
        <f t="shared" si="236"/>
        <v>0</v>
      </c>
      <c r="JK45" s="221">
        <f t="shared" si="236"/>
        <v>0</v>
      </c>
      <c r="JL45" s="221">
        <f t="shared" si="236"/>
        <v>0</v>
      </c>
      <c r="JM45" s="221">
        <f t="shared" si="236"/>
        <v>0</v>
      </c>
      <c r="JN45" s="221">
        <f t="shared" si="236"/>
        <v>0</v>
      </c>
      <c r="JO45" s="221">
        <f t="shared" si="236"/>
        <v>0</v>
      </c>
      <c r="JP45" s="221">
        <f t="shared" si="236"/>
        <v>0</v>
      </c>
      <c r="JQ45" s="221">
        <f t="shared" si="236"/>
        <v>0</v>
      </c>
      <c r="JR45" s="221">
        <f t="shared" si="236"/>
        <v>0</v>
      </c>
      <c r="JS45" s="221">
        <f t="shared" si="236"/>
        <v>0</v>
      </c>
      <c r="JT45" s="221">
        <f t="shared" si="236"/>
        <v>0</v>
      </c>
      <c r="JU45" s="221">
        <f t="shared" si="236"/>
        <v>0</v>
      </c>
      <c r="JV45" s="221">
        <f t="shared" si="236"/>
        <v>0</v>
      </c>
      <c r="JW45" s="221">
        <f t="shared" si="236"/>
        <v>0</v>
      </c>
      <c r="JX45" s="221">
        <f t="shared" si="236"/>
        <v>0</v>
      </c>
      <c r="JY45" s="221">
        <f t="shared" si="237"/>
        <v>0</v>
      </c>
      <c r="JZ45" s="221">
        <f t="shared" si="237"/>
        <v>0</v>
      </c>
      <c r="KA45" s="221">
        <f t="shared" si="237"/>
        <v>0</v>
      </c>
      <c r="KB45" s="221">
        <f t="shared" si="237"/>
        <v>0</v>
      </c>
      <c r="KC45" s="221">
        <f t="shared" si="237"/>
        <v>0</v>
      </c>
    </row>
    <row r="46" spans="2:289" x14ac:dyDescent="0.25">
      <c r="B46" s="214" t="s">
        <v>862</v>
      </c>
      <c r="C46" s="196"/>
      <c r="D46" s="215">
        <v>0</v>
      </c>
      <c r="E46" s="215">
        <v>6</v>
      </c>
      <c r="F46" s="216" t="s">
        <v>26</v>
      </c>
      <c r="G46" s="217">
        <f t="shared" si="238"/>
        <v>0.86033382425135008</v>
      </c>
      <c r="H46" s="218">
        <f t="shared" si="239"/>
        <v>876.25</v>
      </c>
      <c r="I46" s="219">
        <f>0.05*SUM(I41:I45)</f>
        <v>14020</v>
      </c>
      <c r="P46" s="152" t="str">
        <f>IF(ROUND(SUM(Q46:ES46),0)=ROUND(I46,0),"","Incomplete")</f>
        <v/>
      </c>
      <c r="Q46" s="220">
        <f t="shared" si="209"/>
        <v>2002.8571428571429</v>
      </c>
      <c r="R46" s="220">
        <f t="shared" si="209"/>
        <v>2002.8571428571429</v>
      </c>
      <c r="S46" s="220">
        <f t="shared" si="209"/>
        <v>2002.8571428571429</v>
      </c>
      <c r="T46" s="220">
        <f t="shared" si="209"/>
        <v>2002.8571428571429</v>
      </c>
      <c r="U46" s="220">
        <f t="shared" si="209"/>
        <v>2002.8571428571429</v>
      </c>
      <c r="V46" s="220">
        <f t="shared" si="209"/>
        <v>2002.8571428571429</v>
      </c>
      <c r="W46" s="220">
        <f t="shared" si="209"/>
        <v>2002.8571428571429</v>
      </c>
      <c r="X46" s="220">
        <f t="shared" si="209"/>
        <v>0</v>
      </c>
      <c r="Y46" s="220">
        <f t="shared" si="209"/>
        <v>0</v>
      </c>
      <c r="Z46" s="220">
        <f t="shared" si="209"/>
        <v>0</v>
      </c>
      <c r="AA46" s="220">
        <f t="shared" si="210"/>
        <v>0</v>
      </c>
      <c r="AB46" s="220">
        <f t="shared" si="210"/>
        <v>0</v>
      </c>
      <c r="AC46" s="220">
        <f t="shared" si="210"/>
        <v>0</v>
      </c>
      <c r="AD46" s="220">
        <f t="shared" si="210"/>
        <v>0</v>
      </c>
      <c r="AE46" s="220">
        <f t="shared" si="210"/>
        <v>0</v>
      </c>
      <c r="AF46" s="220">
        <f t="shared" si="210"/>
        <v>0</v>
      </c>
      <c r="AG46" s="220">
        <f t="shared" si="210"/>
        <v>0</v>
      </c>
      <c r="AH46" s="220">
        <f t="shared" si="210"/>
        <v>0</v>
      </c>
      <c r="AI46" s="220">
        <f t="shared" si="210"/>
        <v>0</v>
      </c>
      <c r="AJ46" s="220">
        <f t="shared" si="210"/>
        <v>0</v>
      </c>
      <c r="AK46" s="220">
        <f t="shared" si="211"/>
        <v>0</v>
      </c>
      <c r="AL46" s="220">
        <f t="shared" si="211"/>
        <v>0</v>
      </c>
      <c r="AM46" s="220">
        <f t="shared" si="211"/>
        <v>0</v>
      </c>
      <c r="AN46" s="220">
        <f t="shared" si="211"/>
        <v>0</v>
      </c>
      <c r="AO46" s="220">
        <f t="shared" si="211"/>
        <v>0</v>
      </c>
      <c r="AP46" s="220">
        <f t="shared" si="211"/>
        <v>0</v>
      </c>
      <c r="AQ46" s="220">
        <f t="shared" si="211"/>
        <v>0</v>
      </c>
      <c r="AR46" s="220">
        <f t="shared" si="211"/>
        <v>0</v>
      </c>
      <c r="AS46" s="220">
        <f t="shared" si="211"/>
        <v>0</v>
      </c>
      <c r="AT46" s="220">
        <f t="shared" si="211"/>
        <v>0</v>
      </c>
      <c r="AU46" s="220">
        <f t="shared" si="212"/>
        <v>0</v>
      </c>
      <c r="AV46" s="220">
        <f t="shared" si="212"/>
        <v>0</v>
      </c>
      <c r="AW46" s="220">
        <f t="shared" si="212"/>
        <v>0</v>
      </c>
      <c r="AX46" s="220">
        <f t="shared" si="212"/>
        <v>0</v>
      </c>
      <c r="AY46" s="220">
        <f t="shared" si="212"/>
        <v>0</v>
      </c>
      <c r="AZ46" s="220">
        <f t="shared" si="212"/>
        <v>0</v>
      </c>
      <c r="BA46" s="220">
        <f t="shared" si="212"/>
        <v>0</v>
      </c>
      <c r="BB46" s="220">
        <f t="shared" si="212"/>
        <v>0</v>
      </c>
      <c r="BC46" s="220">
        <f t="shared" si="212"/>
        <v>0</v>
      </c>
      <c r="BD46" s="220">
        <f t="shared" si="212"/>
        <v>0</v>
      </c>
      <c r="BE46" s="220">
        <f t="shared" si="213"/>
        <v>0</v>
      </c>
      <c r="BF46" s="220">
        <f t="shared" si="213"/>
        <v>0</v>
      </c>
      <c r="BG46" s="220">
        <f t="shared" si="213"/>
        <v>0</v>
      </c>
      <c r="BH46" s="220">
        <f t="shared" si="213"/>
        <v>0</v>
      </c>
      <c r="BI46" s="220">
        <f t="shared" si="213"/>
        <v>0</v>
      </c>
      <c r="BJ46" s="220">
        <f t="shared" si="213"/>
        <v>0</v>
      </c>
      <c r="BK46" s="220">
        <f t="shared" si="213"/>
        <v>0</v>
      </c>
      <c r="BL46" s="220">
        <f t="shared" si="213"/>
        <v>0</v>
      </c>
      <c r="BM46" s="220">
        <f t="shared" si="213"/>
        <v>0</v>
      </c>
      <c r="BN46" s="220">
        <f t="shared" si="213"/>
        <v>0</v>
      </c>
      <c r="BO46" s="220">
        <f t="shared" si="214"/>
        <v>0</v>
      </c>
      <c r="BP46" s="220">
        <f t="shared" si="214"/>
        <v>0</v>
      </c>
      <c r="BQ46" s="220">
        <f t="shared" si="214"/>
        <v>0</v>
      </c>
      <c r="BR46" s="220">
        <f t="shared" si="214"/>
        <v>0</v>
      </c>
      <c r="BS46" s="220">
        <f t="shared" si="214"/>
        <v>0</v>
      </c>
      <c r="BT46" s="220">
        <f t="shared" si="214"/>
        <v>0</v>
      </c>
      <c r="BU46" s="220">
        <f t="shared" si="214"/>
        <v>0</v>
      </c>
      <c r="BV46" s="220">
        <f t="shared" si="214"/>
        <v>0</v>
      </c>
      <c r="BW46" s="220">
        <f t="shared" si="214"/>
        <v>0</v>
      </c>
      <c r="BX46" s="220">
        <f t="shared" si="214"/>
        <v>0</v>
      </c>
      <c r="BY46" s="220">
        <f t="shared" si="215"/>
        <v>0</v>
      </c>
      <c r="BZ46" s="220">
        <f t="shared" si="215"/>
        <v>0</v>
      </c>
      <c r="CA46" s="220">
        <f t="shared" si="215"/>
        <v>0</v>
      </c>
      <c r="CB46" s="220">
        <f t="shared" si="215"/>
        <v>0</v>
      </c>
      <c r="CC46" s="220">
        <f t="shared" si="215"/>
        <v>0</v>
      </c>
      <c r="CD46" s="220">
        <f t="shared" si="215"/>
        <v>0</v>
      </c>
      <c r="CE46" s="220">
        <f t="shared" si="215"/>
        <v>0</v>
      </c>
      <c r="CF46" s="220">
        <f t="shared" si="215"/>
        <v>0</v>
      </c>
      <c r="CG46" s="220">
        <f t="shared" si="215"/>
        <v>0</v>
      </c>
      <c r="CH46" s="220">
        <f t="shared" si="215"/>
        <v>0</v>
      </c>
      <c r="CI46" s="220">
        <f t="shared" si="216"/>
        <v>0</v>
      </c>
      <c r="CJ46" s="220">
        <f t="shared" si="216"/>
        <v>0</v>
      </c>
      <c r="CK46" s="220">
        <f t="shared" si="216"/>
        <v>0</v>
      </c>
      <c r="CL46" s="220">
        <f t="shared" si="216"/>
        <v>0</v>
      </c>
      <c r="CM46" s="220">
        <f t="shared" si="216"/>
        <v>0</v>
      </c>
      <c r="CN46" s="220">
        <f t="shared" si="216"/>
        <v>0</v>
      </c>
      <c r="CO46" s="220">
        <f t="shared" si="216"/>
        <v>0</v>
      </c>
      <c r="CP46" s="220">
        <f t="shared" si="216"/>
        <v>0</v>
      </c>
      <c r="CQ46" s="220">
        <f t="shared" si="216"/>
        <v>0</v>
      </c>
      <c r="CR46" s="220">
        <f t="shared" si="216"/>
        <v>0</v>
      </c>
      <c r="CS46" s="220">
        <f t="shared" si="217"/>
        <v>0</v>
      </c>
      <c r="CT46" s="220">
        <f t="shared" si="217"/>
        <v>0</v>
      </c>
      <c r="CU46" s="220">
        <f t="shared" si="217"/>
        <v>0</v>
      </c>
      <c r="CV46" s="220">
        <f t="shared" si="217"/>
        <v>0</v>
      </c>
      <c r="CW46" s="220">
        <f t="shared" si="217"/>
        <v>0</v>
      </c>
      <c r="CX46" s="220">
        <f t="shared" si="217"/>
        <v>0</v>
      </c>
      <c r="CY46" s="220">
        <f t="shared" si="217"/>
        <v>0</v>
      </c>
      <c r="CZ46" s="220">
        <f t="shared" si="217"/>
        <v>0</v>
      </c>
      <c r="DA46" s="220">
        <f t="shared" si="217"/>
        <v>0</v>
      </c>
      <c r="DB46" s="220">
        <f t="shared" si="217"/>
        <v>0</v>
      </c>
      <c r="DC46" s="220">
        <f t="shared" si="218"/>
        <v>0</v>
      </c>
      <c r="DD46" s="220">
        <f t="shared" si="218"/>
        <v>0</v>
      </c>
      <c r="DE46" s="220">
        <f t="shared" si="218"/>
        <v>0</v>
      </c>
      <c r="DF46" s="220">
        <f t="shared" si="218"/>
        <v>0</v>
      </c>
      <c r="DG46" s="220">
        <f t="shared" si="218"/>
        <v>0</v>
      </c>
      <c r="DH46" s="220">
        <f t="shared" si="218"/>
        <v>0</v>
      </c>
      <c r="DI46" s="220">
        <f t="shared" si="218"/>
        <v>0</v>
      </c>
      <c r="DJ46" s="220">
        <f t="shared" si="218"/>
        <v>0</v>
      </c>
      <c r="DK46" s="220">
        <f t="shared" si="218"/>
        <v>0</v>
      </c>
      <c r="DL46" s="220">
        <f t="shared" si="218"/>
        <v>0</v>
      </c>
      <c r="DM46" s="220">
        <f t="shared" si="219"/>
        <v>0</v>
      </c>
      <c r="DN46" s="220">
        <f t="shared" si="219"/>
        <v>0</v>
      </c>
      <c r="DO46" s="220">
        <f t="shared" si="219"/>
        <v>0</v>
      </c>
      <c r="DP46" s="220">
        <f t="shared" si="219"/>
        <v>0</v>
      </c>
      <c r="DQ46" s="220">
        <f t="shared" si="219"/>
        <v>0</v>
      </c>
      <c r="DR46" s="220">
        <f t="shared" si="219"/>
        <v>0</v>
      </c>
      <c r="DS46" s="220">
        <f t="shared" si="219"/>
        <v>0</v>
      </c>
      <c r="DT46" s="220">
        <f t="shared" si="219"/>
        <v>0</v>
      </c>
      <c r="DU46" s="220">
        <f t="shared" si="219"/>
        <v>0</v>
      </c>
      <c r="DV46" s="220">
        <f t="shared" si="219"/>
        <v>0</v>
      </c>
      <c r="DW46" s="220">
        <f t="shared" si="220"/>
        <v>0</v>
      </c>
      <c r="DX46" s="220">
        <f t="shared" si="220"/>
        <v>0</v>
      </c>
      <c r="DY46" s="220">
        <f t="shared" si="220"/>
        <v>0</v>
      </c>
      <c r="DZ46" s="220">
        <f t="shared" si="220"/>
        <v>0</v>
      </c>
      <c r="EA46" s="220">
        <f t="shared" si="220"/>
        <v>0</v>
      </c>
      <c r="EB46" s="220">
        <f t="shared" si="220"/>
        <v>0</v>
      </c>
      <c r="EC46" s="220">
        <f t="shared" si="220"/>
        <v>0</v>
      </c>
      <c r="ED46" s="220">
        <f t="shared" si="220"/>
        <v>0</v>
      </c>
      <c r="EE46" s="220">
        <f t="shared" si="220"/>
        <v>0</v>
      </c>
      <c r="EF46" s="220">
        <f t="shared" si="220"/>
        <v>0</v>
      </c>
      <c r="EG46" s="220">
        <f t="shared" si="221"/>
        <v>0</v>
      </c>
      <c r="EH46" s="220">
        <f t="shared" si="221"/>
        <v>0</v>
      </c>
      <c r="EI46" s="220">
        <f t="shared" si="221"/>
        <v>0</v>
      </c>
      <c r="EJ46" s="220">
        <f t="shared" si="221"/>
        <v>0</v>
      </c>
      <c r="EK46" s="220">
        <f t="shared" si="221"/>
        <v>0</v>
      </c>
      <c r="EL46" s="220">
        <f t="shared" si="221"/>
        <v>0</v>
      </c>
      <c r="EM46" s="220">
        <f t="shared" si="221"/>
        <v>0</v>
      </c>
      <c r="EN46" s="220">
        <f t="shared" si="221"/>
        <v>0</v>
      </c>
      <c r="EO46" s="220">
        <f t="shared" si="221"/>
        <v>0</v>
      </c>
      <c r="EP46" s="220">
        <f t="shared" si="221"/>
        <v>0</v>
      </c>
      <c r="EQ46" s="220">
        <f t="shared" si="222"/>
        <v>0</v>
      </c>
      <c r="ER46" s="220">
        <f t="shared" si="222"/>
        <v>0</v>
      </c>
      <c r="ES46" s="220">
        <f t="shared" si="222"/>
        <v>0</v>
      </c>
      <c r="EU46" s="221">
        <f t="shared" si="240"/>
        <v>14020</v>
      </c>
      <c r="EV46" s="222">
        <f t="shared" si="224"/>
        <v>45688</v>
      </c>
      <c r="EW46" s="222">
        <f t="shared" si="225"/>
        <v>45869</v>
      </c>
      <c r="EX46" s="221">
        <f t="shared" si="226"/>
        <v>7</v>
      </c>
      <c r="EY46" s="153" t="str">
        <f t="shared" si="227"/>
        <v>Straight-Line</v>
      </c>
      <c r="EZ46" s="223">
        <f t="shared" si="241"/>
        <v>1.1666666666666667</v>
      </c>
      <c r="FA46" s="221">
        <f t="shared" si="229"/>
        <v>0</v>
      </c>
      <c r="FB46" s="221">
        <f t="shared" si="229"/>
        <v>0</v>
      </c>
      <c r="FC46" s="221">
        <f t="shared" si="229"/>
        <v>0</v>
      </c>
      <c r="FD46" s="221">
        <f t="shared" si="229"/>
        <v>0</v>
      </c>
      <c r="FE46" s="221">
        <f t="shared" si="229"/>
        <v>0</v>
      </c>
      <c r="FF46" s="221">
        <f t="shared" si="229"/>
        <v>0</v>
      </c>
      <c r="FG46" s="221">
        <f t="shared" si="229"/>
        <v>0</v>
      </c>
      <c r="FH46" s="221">
        <f t="shared" si="229"/>
        <v>0</v>
      </c>
      <c r="FI46" s="221">
        <f t="shared" si="229"/>
        <v>0</v>
      </c>
      <c r="FJ46" s="221">
        <f t="shared" si="229"/>
        <v>0</v>
      </c>
      <c r="FK46" s="221">
        <f t="shared" si="229"/>
        <v>0</v>
      </c>
      <c r="FL46" s="221">
        <f t="shared" si="229"/>
        <v>0</v>
      </c>
      <c r="FM46" s="221">
        <f t="shared" si="229"/>
        <v>0</v>
      </c>
      <c r="FN46" s="221">
        <f t="shared" si="229"/>
        <v>0</v>
      </c>
      <c r="FO46" s="221">
        <f t="shared" si="229"/>
        <v>0</v>
      </c>
      <c r="FP46" s="221">
        <f t="shared" si="229"/>
        <v>0</v>
      </c>
      <c r="FQ46" s="221">
        <f t="shared" si="230"/>
        <v>0</v>
      </c>
      <c r="FR46" s="221">
        <f t="shared" si="230"/>
        <v>0</v>
      </c>
      <c r="FS46" s="221">
        <f t="shared" si="230"/>
        <v>0</v>
      </c>
      <c r="FT46" s="221">
        <f t="shared" si="230"/>
        <v>0</v>
      </c>
      <c r="FU46" s="221">
        <f t="shared" si="230"/>
        <v>0</v>
      </c>
      <c r="FV46" s="221">
        <f t="shared" si="230"/>
        <v>0</v>
      </c>
      <c r="FW46" s="221">
        <f t="shared" si="230"/>
        <v>0</v>
      </c>
      <c r="FX46" s="221">
        <f t="shared" si="230"/>
        <v>0</v>
      </c>
      <c r="FY46" s="221">
        <f t="shared" si="230"/>
        <v>0</v>
      </c>
      <c r="FZ46" s="221">
        <f t="shared" si="230"/>
        <v>0</v>
      </c>
      <c r="GA46" s="221">
        <f t="shared" si="230"/>
        <v>0</v>
      </c>
      <c r="GB46" s="221">
        <f t="shared" si="230"/>
        <v>0</v>
      </c>
      <c r="GC46" s="221">
        <f t="shared" si="230"/>
        <v>0</v>
      </c>
      <c r="GD46" s="221">
        <f t="shared" si="230"/>
        <v>0</v>
      </c>
      <c r="GE46" s="221">
        <f t="shared" si="230"/>
        <v>0</v>
      </c>
      <c r="GF46" s="221">
        <f t="shared" si="230"/>
        <v>0</v>
      </c>
      <c r="GG46" s="221">
        <f t="shared" si="231"/>
        <v>0</v>
      </c>
      <c r="GH46" s="221">
        <f t="shared" si="231"/>
        <v>0</v>
      </c>
      <c r="GI46" s="221">
        <f t="shared" si="231"/>
        <v>0</v>
      </c>
      <c r="GJ46" s="221">
        <f t="shared" si="231"/>
        <v>0</v>
      </c>
      <c r="GK46" s="221">
        <f t="shared" si="231"/>
        <v>0</v>
      </c>
      <c r="GL46" s="221">
        <f t="shared" si="231"/>
        <v>0</v>
      </c>
      <c r="GM46" s="221">
        <f t="shared" si="231"/>
        <v>0</v>
      </c>
      <c r="GN46" s="221">
        <f t="shared" si="231"/>
        <v>0</v>
      </c>
      <c r="GO46" s="221">
        <f t="shared" si="231"/>
        <v>0</v>
      </c>
      <c r="GP46" s="221">
        <f t="shared" si="231"/>
        <v>0</v>
      </c>
      <c r="GQ46" s="221">
        <f t="shared" si="231"/>
        <v>0</v>
      </c>
      <c r="GR46" s="221">
        <f t="shared" si="231"/>
        <v>0</v>
      </c>
      <c r="GS46" s="221">
        <f t="shared" si="231"/>
        <v>0</v>
      </c>
      <c r="GT46" s="221">
        <f t="shared" si="231"/>
        <v>0</v>
      </c>
      <c r="GU46" s="221">
        <f t="shared" si="231"/>
        <v>0</v>
      </c>
      <c r="GV46" s="221">
        <f t="shared" si="231"/>
        <v>0</v>
      </c>
      <c r="GW46" s="221">
        <f t="shared" si="232"/>
        <v>0</v>
      </c>
      <c r="GX46" s="221">
        <f t="shared" si="232"/>
        <v>0</v>
      </c>
      <c r="GY46" s="221">
        <f t="shared" si="232"/>
        <v>0</v>
      </c>
      <c r="GZ46" s="221">
        <f t="shared" si="232"/>
        <v>0</v>
      </c>
      <c r="HA46" s="221">
        <f t="shared" si="232"/>
        <v>0</v>
      </c>
      <c r="HB46" s="221">
        <f t="shared" si="232"/>
        <v>0</v>
      </c>
      <c r="HC46" s="221">
        <f t="shared" si="232"/>
        <v>0</v>
      </c>
      <c r="HD46" s="221">
        <f t="shared" si="232"/>
        <v>0</v>
      </c>
      <c r="HE46" s="221">
        <f t="shared" si="232"/>
        <v>0</v>
      </c>
      <c r="HF46" s="221">
        <f t="shared" si="232"/>
        <v>0</v>
      </c>
      <c r="HG46" s="221">
        <f t="shared" si="232"/>
        <v>0</v>
      </c>
      <c r="HH46" s="221">
        <f t="shared" si="232"/>
        <v>0</v>
      </c>
      <c r="HI46" s="221">
        <f t="shared" si="232"/>
        <v>0</v>
      </c>
      <c r="HJ46" s="221">
        <f t="shared" si="232"/>
        <v>0</v>
      </c>
      <c r="HK46" s="221">
        <f t="shared" si="232"/>
        <v>0</v>
      </c>
      <c r="HL46" s="221">
        <f t="shared" si="232"/>
        <v>0</v>
      </c>
      <c r="HM46" s="221">
        <f t="shared" si="233"/>
        <v>0</v>
      </c>
      <c r="HN46" s="221">
        <f t="shared" si="233"/>
        <v>0</v>
      </c>
      <c r="HO46" s="221">
        <f t="shared" si="233"/>
        <v>0</v>
      </c>
      <c r="HP46" s="221">
        <f t="shared" si="233"/>
        <v>0</v>
      </c>
      <c r="HQ46" s="221">
        <f t="shared" si="233"/>
        <v>0</v>
      </c>
      <c r="HR46" s="221">
        <f t="shared" si="233"/>
        <v>0</v>
      </c>
      <c r="HS46" s="221">
        <f t="shared" si="233"/>
        <v>0</v>
      </c>
      <c r="HT46" s="221">
        <f t="shared" si="233"/>
        <v>0</v>
      </c>
      <c r="HU46" s="221">
        <f t="shared" si="233"/>
        <v>0</v>
      </c>
      <c r="HV46" s="221">
        <f t="shared" si="233"/>
        <v>0</v>
      </c>
      <c r="HW46" s="221">
        <f t="shared" si="233"/>
        <v>0</v>
      </c>
      <c r="HX46" s="221">
        <f t="shared" si="233"/>
        <v>0</v>
      </c>
      <c r="HY46" s="221">
        <f t="shared" si="233"/>
        <v>0</v>
      </c>
      <c r="HZ46" s="221">
        <f t="shared" si="233"/>
        <v>0</v>
      </c>
      <c r="IA46" s="221">
        <f t="shared" si="233"/>
        <v>0</v>
      </c>
      <c r="IB46" s="221">
        <f t="shared" si="233"/>
        <v>0</v>
      </c>
      <c r="IC46" s="221">
        <f t="shared" si="234"/>
        <v>0</v>
      </c>
      <c r="ID46" s="221">
        <f t="shared" si="234"/>
        <v>0</v>
      </c>
      <c r="IE46" s="221">
        <f t="shared" si="234"/>
        <v>0</v>
      </c>
      <c r="IF46" s="221">
        <f t="shared" si="234"/>
        <v>0</v>
      </c>
      <c r="IG46" s="221">
        <f t="shared" si="234"/>
        <v>0</v>
      </c>
      <c r="IH46" s="221">
        <f t="shared" si="234"/>
        <v>0</v>
      </c>
      <c r="II46" s="221">
        <f t="shared" si="234"/>
        <v>0</v>
      </c>
      <c r="IJ46" s="221">
        <f t="shared" si="234"/>
        <v>0</v>
      </c>
      <c r="IK46" s="221">
        <f t="shared" si="234"/>
        <v>0</v>
      </c>
      <c r="IL46" s="221">
        <f t="shared" si="234"/>
        <v>0</v>
      </c>
      <c r="IM46" s="221">
        <f t="shared" si="234"/>
        <v>0</v>
      </c>
      <c r="IN46" s="221">
        <f t="shared" si="234"/>
        <v>0</v>
      </c>
      <c r="IO46" s="221">
        <f t="shared" si="234"/>
        <v>0</v>
      </c>
      <c r="IP46" s="221">
        <f t="shared" si="234"/>
        <v>0</v>
      </c>
      <c r="IQ46" s="221">
        <f t="shared" si="234"/>
        <v>0</v>
      </c>
      <c r="IR46" s="221">
        <f t="shared" si="234"/>
        <v>0</v>
      </c>
      <c r="IS46" s="221">
        <f t="shared" si="235"/>
        <v>0</v>
      </c>
      <c r="IT46" s="221">
        <f t="shared" si="235"/>
        <v>0</v>
      </c>
      <c r="IU46" s="221">
        <f t="shared" si="235"/>
        <v>0</v>
      </c>
      <c r="IV46" s="221">
        <f t="shared" si="235"/>
        <v>0</v>
      </c>
      <c r="IW46" s="221">
        <f t="shared" si="235"/>
        <v>0</v>
      </c>
      <c r="IX46" s="221">
        <f t="shared" si="235"/>
        <v>0</v>
      </c>
      <c r="IY46" s="221">
        <f t="shared" si="235"/>
        <v>0</v>
      </c>
      <c r="IZ46" s="221">
        <f t="shared" si="235"/>
        <v>0</v>
      </c>
      <c r="JA46" s="221">
        <f t="shared" si="235"/>
        <v>0</v>
      </c>
      <c r="JB46" s="221">
        <f t="shared" si="235"/>
        <v>0</v>
      </c>
      <c r="JC46" s="221">
        <f t="shared" si="235"/>
        <v>0</v>
      </c>
      <c r="JD46" s="221">
        <f t="shared" si="235"/>
        <v>0</v>
      </c>
      <c r="JE46" s="221">
        <f t="shared" si="235"/>
        <v>0</v>
      </c>
      <c r="JF46" s="221">
        <f t="shared" si="235"/>
        <v>0</v>
      </c>
      <c r="JG46" s="221">
        <f t="shared" si="235"/>
        <v>0</v>
      </c>
      <c r="JH46" s="221">
        <f t="shared" si="235"/>
        <v>0</v>
      </c>
      <c r="JI46" s="221">
        <f t="shared" si="236"/>
        <v>0</v>
      </c>
      <c r="JJ46" s="221">
        <f t="shared" si="236"/>
        <v>0</v>
      </c>
      <c r="JK46" s="221">
        <f t="shared" si="236"/>
        <v>0</v>
      </c>
      <c r="JL46" s="221">
        <f t="shared" si="236"/>
        <v>0</v>
      </c>
      <c r="JM46" s="221">
        <f t="shared" si="236"/>
        <v>0</v>
      </c>
      <c r="JN46" s="221">
        <f t="shared" si="236"/>
        <v>0</v>
      </c>
      <c r="JO46" s="221">
        <f t="shared" si="236"/>
        <v>0</v>
      </c>
      <c r="JP46" s="221">
        <f t="shared" si="236"/>
        <v>0</v>
      </c>
      <c r="JQ46" s="221">
        <f t="shared" si="236"/>
        <v>0</v>
      </c>
      <c r="JR46" s="221">
        <f t="shared" si="236"/>
        <v>0</v>
      </c>
      <c r="JS46" s="221">
        <f t="shared" si="236"/>
        <v>0</v>
      </c>
      <c r="JT46" s="221">
        <f t="shared" si="236"/>
        <v>0</v>
      </c>
      <c r="JU46" s="221">
        <f t="shared" si="236"/>
        <v>0</v>
      </c>
      <c r="JV46" s="221">
        <f t="shared" si="236"/>
        <v>0</v>
      </c>
      <c r="JW46" s="221">
        <f t="shared" si="236"/>
        <v>0</v>
      </c>
      <c r="JX46" s="221">
        <f t="shared" si="236"/>
        <v>0</v>
      </c>
      <c r="JY46" s="221">
        <f t="shared" si="237"/>
        <v>0</v>
      </c>
      <c r="JZ46" s="221">
        <f t="shared" si="237"/>
        <v>0</v>
      </c>
      <c r="KA46" s="221">
        <f t="shared" si="237"/>
        <v>0</v>
      </c>
      <c r="KB46" s="221">
        <f t="shared" si="237"/>
        <v>0</v>
      </c>
      <c r="KC46" s="221">
        <f t="shared" si="237"/>
        <v>0</v>
      </c>
    </row>
    <row r="47" spans="2:289" x14ac:dyDescent="0.25">
      <c r="B47" s="214" t="s">
        <v>453</v>
      </c>
      <c r="C47" s="196"/>
      <c r="D47" s="215">
        <v>0</v>
      </c>
      <c r="E47" s="215">
        <v>0</v>
      </c>
      <c r="F47" s="216" t="s">
        <v>26</v>
      </c>
      <c r="G47" s="218">
        <f t="shared" si="206"/>
        <v>0</v>
      </c>
      <c r="H47" s="218">
        <f t="shared" si="207"/>
        <v>0</v>
      </c>
      <c r="I47" s="219">
        <v>0</v>
      </c>
      <c r="P47" s="152" t="str">
        <f>IF(ROUND(SUM(Q47:ES47),0)=ROUND(I47,0),"","Incomplete")</f>
        <v/>
      </c>
      <c r="Q47" s="220">
        <f t="shared" si="209"/>
        <v>0</v>
      </c>
      <c r="R47" s="220">
        <f t="shared" si="209"/>
        <v>0</v>
      </c>
      <c r="S47" s="220">
        <f t="shared" si="209"/>
        <v>0</v>
      </c>
      <c r="T47" s="220">
        <f t="shared" si="209"/>
        <v>0</v>
      </c>
      <c r="U47" s="220">
        <f t="shared" si="209"/>
        <v>0</v>
      </c>
      <c r="V47" s="220">
        <f t="shared" si="209"/>
        <v>0</v>
      </c>
      <c r="W47" s="220">
        <f t="shared" si="209"/>
        <v>0</v>
      </c>
      <c r="X47" s="220">
        <f t="shared" si="209"/>
        <v>0</v>
      </c>
      <c r="Y47" s="220">
        <f t="shared" si="209"/>
        <v>0</v>
      </c>
      <c r="Z47" s="220">
        <f t="shared" si="209"/>
        <v>0</v>
      </c>
      <c r="AA47" s="220">
        <f t="shared" si="210"/>
        <v>0</v>
      </c>
      <c r="AB47" s="220">
        <f t="shared" si="210"/>
        <v>0</v>
      </c>
      <c r="AC47" s="220">
        <f t="shared" si="210"/>
        <v>0</v>
      </c>
      <c r="AD47" s="220">
        <f t="shared" si="210"/>
        <v>0</v>
      </c>
      <c r="AE47" s="220">
        <f t="shared" si="210"/>
        <v>0</v>
      </c>
      <c r="AF47" s="220">
        <f t="shared" si="210"/>
        <v>0</v>
      </c>
      <c r="AG47" s="220">
        <f t="shared" si="210"/>
        <v>0</v>
      </c>
      <c r="AH47" s="220">
        <f t="shared" si="210"/>
        <v>0</v>
      </c>
      <c r="AI47" s="220">
        <f t="shared" si="210"/>
        <v>0</v>
      </c>
      <c r="AJ47" s="220">
        <f t="shared" si="210"/>
        <v>0</v>
      </c>
      <c r="AK47" s="220">
        <f t="shared" si="211"/>
        <v>0</v>
      </c>
      <c r="AL47" s="220">
        <f t="shared" si="211"/>
        <v>0</v>
      </c>
      <c r="AM47" s="220">
        <f t="shared" si="211"/>
        <v>0</v>
      </c>
      <c r="AN47" s="220">
        <f t="shared" si="211"/>
        <v>0</v>
      </c>
      <c r="AO47" s="220">
        <f t="shared" si="211"/>
        <v>0</v>
      </c>
      <c r="AP47" s="220">
        <f t="shared" si="211"/>
        <v>0</v>
      </c>
      <c r="AQ47" s="220">
        <f t="shared" si="211"/>
        <v>0</v>
      </c>
      <c r="AR47" s="220">
        <f t="shared" si="211"/>
        <v>0</v>
      </c>
      <c r="AS47" s="220">
        <f t="shared" si="211"/>
        <v>0</v>
      </c>
      <c r="AT47" s="220">
        <f t="shared" si="211"/>
        <v>0</v>
      </c>
      <c r="AU47" s="220">
        <f t="shared" si="212"/>
        <v>0</v>
      </c>
      <c r="AV47" s="220">
        <f t="shared" si="212"/>
        <v>0</v>
      </c>
      <c r="AW47" s="220">
        <f t="shared" si="212"/>
        <v>0</v>
      </c>
      <c r="AX47" s="220">
        <f t="shared" si="212"/>
        <v>0</v>
      </c>
      <c r="AY47" s="220">
        <f t="shared" si="212"/>
        <v>0</v>
      </c>
      <c r="AZ47" s="220">
        <f t="shared" si="212"/>
        <v>0</v>
      </c>
      <c r="BA47" s="220">
        <f t="shared" si="212"/>
        <v>0</v>
      </c>
      <c r="BB47" s="220">
        <f t="shared" si="212"/>
        <v>0</v>
      </c>
      <c r="BC47" s="220">
        <f t="shared" si="212"/>
        <v>0</v>
      </c>
      <c r="BD47" s="220">
        <f t="shared" si="212"/>
        <v>0</v>
      </c>
      <c r="BE47" s="220">
        <f t="shared" si="213"/>
        <v>0</v>
      </c>
      <c r="BF47" s="220">
        <f t="shared" si="213"/>
        <v>0</v>
      </c>
      <c r="BG47" s="220">
        <f t="shared" si="213"/>
        <v>0</v>
      </c>
      <c r="BH47" s="220">
        <f t="shared" si="213"/>
        <v>0</v>
      </c>
      <c r="BI47" s="220">
        <f t="shared" si="213"/>
        <v>0</v>
      </c>
      <c r="BJ47" s="220">
        <f t="shared" si="213"/>
        <v>0</v>
      </c>
      <c r="BK47" s="220">
        <f t="shared" si="213"/>
        <v>0</v>
      </c>
      <c r="BL47" s="220">
        <f t="shared" si="213"/>
        <v>0</v>
      </c>
      <c r="BM47" s="220">
        <f t="shared" si="213"/>
        <v>0</v>
      </c>
      <c r="BN47" s="220">
        <f t="shared" si="213"/>
        <v>0</v>
      </c>
      <c r="BO47" s="220">
        <f t="shared" si="214"/>
        <v>0</v>
      </c>
      <c r="BP47" s="220">
        <f t="shared" si="214"/>
        <v>0</v>
      </c>
      <c r="BQ47" s="220">
        <f t="shared" si="214"/>
        <v>0</v>
      </c>
      <c r="BR47" s="220">
        <f t="shared" si="214"/>
        <v>0</v>
      </c>
      <c r="BS47" s="220">
        <f t="shared" si="214"/>
        <v>0</v>
      </c>
      <c r="BT47" s="220">
        <f t="shared" si="214"/>
        <v>0</v>
      </c>
      <c r="BU47" s="220">
        <f t="shared" si="214"/>
        <v>0</v>
      </c>
      <c r="BV47" s="220">
        <f t="shared" si="214"/>
        <v>0</v>
      </c>
      <c r="BW47" s="220">
        <f t="shared" si="214"/>
        <v>0</v>
      </c>
      <c r="BX47" s="220">
        <f t="shared" si="214"/>
        <v>0</v>
      </c>
      <c r="BY47" s="220">
        <f t="shared" si="215"/>
        <v>0</v>
      </c>
      <c r="BZ47" s="220">
        <f t="shared" si="215"/>
        <v>0</v>
      </c>
      <c r="CA47" s="220">
        <f t="shared" si="215"/>
        <v>0</v>
      </c>
      <c r="CB47" s="220">
        <f t="shared" si="215"/>
        <v>0</v>
      </c>
      <c r="CC47" s="220">
        <f t="shared" si="215"/>
        <v>0</v>
      </c>
      <c r="CD47" s="220">
        <f t="shared" si="215"/>
        <v>0</v>
      </c>
      <c r="CE47" s="220">
        <f t="shared" si="215"/>
        <v>0</v>
      </c>
      <c r="CF47" s="220">
        <f t="shared" si="215"/>
        <v>0</v>
      </c>
      <c r="CG47" s="220">
        <f t="shared" si="215"/>
        <v>0</v>
      </c>
      <c r="CH47" s="220">
        <f t="shared" si="215"/>
        <v>0</v>
      </c>
      <c r="CI47" s="220">
        <f t="shared" si="216"/>
        <v>0</v>
      </c>
      <c r="CJ47" s="220">
        <f t="shared" si="216"/>
        <v>0</v>
      </c>
      <c r="CK47" s="220">
        <f t="shared" si="216"/>
        <v>0</v>
      </c>
      <c r="CL47" s="220">
        <f t="shared" si="216"/>
        <v>0</v>
      </c>
      <c r="CM47" s="220">
        <f t="shared" si="216"/>
        <v>0</v>
      </c>
      <c r="CN47" s="220">
        <f t="shared" si="216"/>
        <v>0</v>
      </c>
      <c r="CO47" s="220">
        <f t="shared" si="216"/>
        <v>0</v>
      </c>
      <c r="CP47" s="220">
        <f t="shared" si="216"/>
        <v>0</v>
      </c>
      <c r="CQ47" s="220">
        <f t="shared" si="216"/>
        <v>0</v>
      </c>
      <c r="CR47" s="220">
        <f t="shared" si="216"/>
        <v>0</v>
      </c>
      <c r="CS47" s="220">
        <f t="shared" si="217"/>
        <v>0</v>
      </c>
      <c r="CT47" s="220">
        <f t="shared" si="217"/>
        <v>0</v>
      </c>
      <c r="CU47" s="220">
        <f t="shared" si="217"/>
        <v>0</v>
      </c>
      <c r="CV47" s="220">
        <f t="shared" si="217"/>
        <v>0</v>
      </c>
      <c r="CW47" s="220">
        <f t="shared" si="217"/>
        <v>0</v>
      </c>
      <c r="CX47" s="220">
        <f t="shared" si="217"/>
        <v>0</v>
      </c>
      <c r="CY47" s="220">
        <f t="shared" si="217"/>
        <v>0</v>
      </c>
      <c r="CZ47" s="220">
        <f t="shared" si="217"/>
        <v>0</v>
      </c>
      <c r="DA47" s="220">
        <f t="shared" si="217"/>
        <v>0</v>
      </c>
      <c r="DB47" s="220">
        <f t="shared" si="217"/>
        <v>0</v>
      </c>
      <c r="DC47" s="220">
        <f t="shared" si="218"/>
        <v>0</v>
      </c>
      <c r="DD47" s="220">
        <f t="shared" si="218"/>
        <v>0</v>
      </c>
      <c r="DE47" s="220">
        <f t="shared" si="218"/>
        <v>0</v>
      </c>
      <c r="DF47" s="220">
        <f t="shared" si="218"/>
        <v>0</v>
      </c>
      <c r="DG47" s="220">
        <f t="shared" si="218"/>
        <v>0</v>
      </c>
      <c r="DH47" s="220">
        <f t="shared" si="218"/>
        <v>0</v>
      </c>
      <c r="DI47" s="220">
        <f t="shared" si="218"/>
        <v>0</v>
      </c>
      <c r="DJ47" s="220">
        <f t="shared" si="218"/>
        <v>0</v>
      </c>
      <c r="DK47" s="220">
        <f t="shared" si="218"/>
        <v>0</v>
      </c>
      <c r="DL47" s="220">
        <f t="shared" si="218"/>
        <v>0</v>
      </c>
      <c r="DM47" s="220">
        <f t="shared" si="219"/>
        <v>0</v>
      </c>
      <c r="DN47" s="220">
        <f t="shared" si="219"/>
        <v>0</v>
      </c>
      <c r="DO47" s="220">
        <f t="shared" si="219"/>
        <v>0</v>
      </c>
      <c r="DP47" s="220">
        <f t="shared" si="219"/>
        <v>0</v>
      </c>
      <c r="DQ47" s="220">
        <f t="shared" si="219"/>
        <v>0</v>
      </c>
      <c r="DR47" s="220">
        <f t="shared" si="219"/>
        <v>0</v>
      </c>
      <c r="DS47" s="220">
        <f t="shared" si="219"/>
        <v>0</v>
      </c>
      <c r="DT47" s="220">
        <f t="shared" si="219"/>
        <v>0</v>
      </c>
      <c r="DU47" s="220">
        <f t="shared" si="219"/>
        <v>0</v>
      </c>
      <c r="DV47" s="220">
        <f t="shared" si="219"/>
        <v>0</v>
      </c>
      <c r="DW47" s="220">
        <f t="shared" si="220"/>
        <v>0</v>
      </c>
      <c r="DX47" s="220">
        <f t="shared" si="220"/>
        <v>0</v>
      </c>
      <c r="DY47" s="220">
        <f t="shared" si="220"/>
        <v>0</v>
      </c>
      <c r="DZ47" s="220">
        <f t="shared" si="220"/>
        <v>0</v>
      </c>
      <c r="EA47" s="220">
        <f t="shared" si="220"/>
        <v>0</v>
      </c>
      <c r="EB47" s="220">
        <f t="shared" si="220"/>
        <v>0</v>
      </c>
      <c r="EC47" s="220">
        <f t="shared" si="220"/>
        <v>0</v>
      </c>
      <c r="ED47" s="220">
        <f t="shared" si="220"/>
        <v>0</v>
      </c>
      <c r="EE47" s="220">
        <f t="shared" si="220"/>
        <v>0</v>
      </c>
      <c r="EF47" s="220">
        <f t="shared" si="220"/>
        <v>0</v>
      </c>
      <c r="EG47" s="220">
        <f t="shared" si="221"/>
        <v>0</v>
      </c>
      <c r="EH47" s="220">
        <f t="shared" si="221"/>
        <v>0</v>
      </c>
      <c r="EI47" s="220">
        <f t="shared" si="221"/>
        <v>0</v>
      </c>
      <c r="EJ47" s="220">
        <f t="shared" si="221"/>
        <v>0</v>
      </c>
      <c r="EK47" s="220">
        <f t="shared" si="221"/>
        <v>0</v>
      </c>
      <c r="EL47" s="220">
        <f t="shared" si="221"/>
        <v>0</v>
      </c>
      <c r="EM47" s="220">
        <f t="shared" si="221"/>
        <v>0</v>
      </c>
      <c r="EN47" s="220">
        <f t="shared" si="221"/>
        <v>0</v>
      </c>
      <c r="EO47" s="220">
        <f t="shared" si="221"/>
        <v>0</v>
      </c>
      <c r="EP47" s="220">
        <f t="shared" si="221"/>
        <v>0</v>
      </c>
      <c r="EQ47" s="220">
        <f t="shared" si="222"/>
        <v>0</v>
      </c>
      <c r="ER47" s="220">
        <f t="shared" si="222"/>
        <v>0</v>
      </c>
      <c r="ES47" s="220">
        <f t="shared" si="222"/>
        <v>0</v>
      </c>
      <c r="EU47" s="221">
        <f t="shared" si="223"/>
        <v>0</v>
      </c>
      <c r="EV47" s="222">
        <f t="shared" si="224"/>
        <v>45688</v>
      </c>
      <c r="EW47" s="222">
        <f t="shared" si="225"/>
        <v>45688</v>
      </c>
      <c r="EX47" s="221">
        <f t="shared" si="226"/>
        <v>1</v>
      </c>
      <c r="EY47" s="153" t="str">
        <f t="shared" si="227"/>
        <v>Straight-Line</v>
      </c>
      <c r="EZ47" s="223">
        <f t="shared" si="228"/>
        <v>0.16666666666666666</v>
      </c>
      <c r="FA47" s="221">
        <f t="shared" si="229"/>
        <v>0</v>
      </c>
      <c r="FB47" s="221">
        <f t="shared" si="229"/>
        <v>0</v>
      </c>
      <c r="FC47" s="221">
        <f t="shared" si="229"/>
        <v>0</v>
      </c>
      <c r="FD47" s="221">
        <f t="shared" si="229"/>
        <v>0</v>
      </c>
      <c r="FE47" s="221">
        <f t="shared" si="229"/>
        <v>0</v>
      </c>
      <c r="FF47" s="221">
        <f t="shared" si="229"/>
        <v>0</v>
      </c>
      <c r="FG47" s="221">
        <f t="shared" si="229"/>
        <v>0</v>
      </c>
      <c r="FH47" s="221">
        <f t="shared" si="229"/>
        <v>0</v>
      </c>
      <c r="FI47" s="221">
        <f t="shared" si="229"/>
        <v>0</v>
      </c>
      <c r="FJ47" s="221">
        <f t="shared" si="229"/>
        <v>0</v>
      </c>
      <c r="FK47" s="221">
        <f t="shared" si="229"/>
        <v>0</v>
      </c>
      <c r="FL47" s="221">
        <f t="shared" si="229"/>
        <v>0</v>
      </c>
      <c r="FM47" s="221">
        <f t="shared" si="229"/>
        <v>0</v>
      </c>
      <c r="FN47" s="221">
        <f t="shared" si="229"/>
        <v>0</v>
      </c>
      <c r="FO47" s="221">
        <f t="shared" si="229"/>
        <v>0</v>
      </c>
      <c r="FP47" s="221">
        <f t="shared" si="229"/>
        <v>0</v>
      </c>
      <c r="FQ47" s="221">
        <f t="shared" si="230"/>
        <v>0</v>
      </c>
      <c r="FR47" s="221">
        <f t="shared" si="230"/>
        <v>0</v>
      </c>
      <c r="FS47" s="221">
        <f t="shared" si="230"/>
        <v>0</v>
      </c>
      <c r="FT47" s="221">
        <f t="shared" si="230"/>
        <v>0</v>
      </c>
      <c r="FU47" s="221">
        <f t="shared" si="230"/>
        <v>0</v>
      </c>
      <c r="FV47" s="221">
        <f t="shared" si="230"/>
        <v>0</v>
      </c>
      <c r="FW47" s="221">
        <f t="shared" si="230"/>
        <v>0</v>
      </c>
      <c r="FX47" s="221">
        <f t="shared" si="230"/>
        <v>0</v>
      </c>
      <c r="FY47" s="221">
        <f t="shared" si="230"/>
        <v>0</v>
      </c>
      <c r="FZ47" s="221">
        <f t="shared" si="230"/>
        <v>0</v>
      </c>
      <c r="GA47" s="221">
        <f t="shared" si="230"/>
        <v>0</v>
      </c>
      <c r="GB47" s="221">
        <f t="shared" si="230"/>
        <v>0</v>
      </c>
      <c r="GC47" s="221">
        <f t="shared" si="230"/>
        <v>0</v>
      </c>
      <c r="GD47" s="221">
        <f t="shared" si="230"/>
        <v>0</v>
      </c>
      <c r="GE47" s="221">
        <f t="shared" si="230"/>
        <v>0</v>
      </c>
      <c r="GF47" s="221">
        <f t="shared" si="230"/>
        <v>0</v>
      </c>
      <c r="GG47" s="221">
        <f t="shared" si="231"/>
        <v>0</v>
      </c>
      <c r="GH47" s="221">
        <f t="shared" si="231"/>
        <v>0</v>
      </c>
      <c r="GI47" s="221">
        <f t="shared" si="231"/>
        <v>0</v>
      </c>
      <c r="GJ47" s="221">
        <f t="shared" si="231"/>
        <v>0</v>
      </c>
      <c r="GK47" s="221">
        <f t="shared" si="231"/>
        <v>0</v>
      </c>
      <c r="GL47" s="221">
        <f t="shared" si="231"/>
        <v>0</v>
      </c>
      <c r="GM47" s="221">
        <f t="shared" si="231"/>
        <v>0</v>
      </c>
      <c r="GN47" s="221">
        <f t="shared" si="231"/>
        <v>0</v>
      </c>
      <c r="GO47" s="221">
        <f t="shared" si="231"/>
        <v>0</v>
      </c>
      <c r="GP47" s="221">
        <f t="shared" si="231"/>
        <v>0</v>
      </c>
      <c r="GQ47" s="221">
        <f t="shared" si="231"/>
        <v>0</v>
      </c>
      <c r="GR47" s="221">
        <f t="shared" si="231"/>
        <v>0</v>
      </c>
      <c r="GS47" s="221">
        <f t="shared" si="231"/>
        <v>0</v>
      </c>
      <c r="GT47" s="221">
        <f t="shared" si="231"/>
        <v>0</v>
      </c>
      <c r="GU47" s="221">
        <f t="shared" si="231"/>
        <v>0</v>
      </c>
      <c r="GV47" s="221">
        <f t="shared" si="231"/>
        <v>0</v>
      </c>
      <c r="GW47" s="221">
        <f t="shared" si="232"/>
        <v>0</v>
      </c>
      <c r="GX47" s="221">
        <f t="shared" si="232"/>
        <v>0</v>
      </c>
      <c r="GY47" s="221">
        <f t="shared" si="232"/>
        <v>0</v>
      </c>
      <c r="GZ47" s="221">
        <f t="shared" si="232"/>
        <v>0</v>
      </c>
      <c r="HA47" s="221">
        <f t="shared" si="232"/>
        <v>0</v>
      </c>
      <c r="HB47" s="221">
        <f t="shared" si="232"/>
        <v>0</v>
      </c>
      <c r="HC47" s="221">
        <f t="shared" si="232"/>
        <v>0</v>
      </c>
      <c r="HD47" s="221">
        <f t="shared" si="232"/>
        <v>0</v>
      </c>
      <c r="HE47" s="221">
        <f t="shared" si="232"/>
        <v>0</v>
      </c>
      <c r="HF47" s="221">
        <f t="shared" si="232"/>
        <v>0</v>
      </c>
      <c r="HG47" s="221">
        <f t="shared" si="232"/>
        <v>0</v>
      </c>
      <c r="HH47" s="221">
        <f t="shared" si="232"/>
        <v>0</v>
      </c>
      <c r="HI47" s="221">
        <f t="shared" si="232"/>
        <v>0</v>
      </c>
      <c r="HJ47" s="221">
        <f t="shared" si="232"/>
        <v>0</v>
      </c>
      <c r="HK47" s="221">
        <f t="shared" si="232"/>
        <v>0</v>
      </c>
      <c r="HL47" s="221">
        <f t="shared" si="232"/>
        <v>0</v>
      </c>
      <c r="HM47" s="221">
        <f t="shared" si="233"/>
        <v>0</v>
      </c>
      <c r="HN47" s="221">
        <f t="shared" si="233"/>
        <v>0</v>
      </c>
      <c r="HO47" s="221">
        <f t="shared" si="233"/>
        <v>0</v>
      </c>
      <c r="HP47" s="221">
        <f t="shared" si="233"/>
        <v>0</v>
      </c>
      <c r="HQ47" s="221">
        <f t="shared" si="233"/>
        <v>0</v>
      </c>
      <c r="HR47" s="221">
        <f t="shared" si="233"/>
        <v>0</v>
      </c>
      <c r="HS47" s="221">
        <f t="shared" si="233"/>
        <v>0</v>
      </c>
      <c r="HT47" s="221">
        <f t="shared" si="233"/>
        <v>0</v>
      </c>
      <c r="HU47" s="221">
        <f t="shared" si="233"/>
        <v>0</v>
      </c>
      <c r="HV47" s="221">
        <f t="shared" si="233"/>
        <v>0</v>
      </c>
      <c r="HW47" s="221">
        <f t="shared" si="233"/>
        <v>0</v>
      </c>
      <c r="HX47" s="221">
        <f t="shared" si="233"/>
        <v>0</v>
      </c>
      <c r="HY47" s="221">
        <f t="shared" si="233"/>
        <v>0</v>
      </c>
      <c r="HZ47" s="221">
        <f t="shared" si="233"/>
        <v>0</v>
      </c>
      <c r="IA47" s="221">
        <f t="shared" si="233"/>
        <v>0</v>
      </c>
      <c r="IB47" s="221">
        <f t="shared" si="233"/>
        <v>0</v>
      </c>
      <c r="IC47" s="221">
        <f t="shared" si="234"/>
        <v>0</v>
      </c>
      <c r="ID47" s="221">
        <f t="shared" si="234"/>
        <v>0</v>
      </c>
      <c r="IE47" s="221">
        <f t="shared" si="234"/>
        <v>0</v>
      </c>
      <c r="IF47" s="221">
        <f t="shared" si="234"/>
        <v>0</v>
      </c>
      <c r="IG47" s="221">
        <f t="shared" si="234"/>
        <v>0</v>
      </c>
      <c r="IH47" s="221">
        <f t="shared" si="234"/>
        <v>0</v>
      </c>
      <c r="II47" s="221">
        <f t="shared" si="234"/>
        <v>0</v>
      </c>
      <c r="IJ47" s="221">
        <f t="shared" si="234"/>
        <v>0</v>
      </c>
      <c r="IK47" s="221">
        <f t="shared" si="234"/>
        <v>0</v>
      </c>
      <c r="IL47" s="221">
        <f t="shared" si="234"/>
        <v>0</v>
      </c>
      <c r="IM47" s="221">
        <f t="shared" si="234"/>
        <v>0</v>
      </c>
      <c r="IN47" s="221">
        <f t="shared" si="234"/>
        <v>0</v>
      </c>
      <c r="IO47" s="221">
        <f t="shared" si="234"/>
        <v>0</v>
      </c>
      <c r="IP47" s="221">
        <f t="shared" si="234"/>
        <v>0</v>
      </c>
      <c r="IQ47" s="221">
        <f t="shared" si="234"/>
        <v>0</v>
      </c>
      <c r="IR47" s="221">
        <f t="shared" si="234"/>
        <v>0</v>
      </c>
      <c r="IS47" s="221">
        <f t="shared" si="235"/>
        <v>0</v>
      </c>
      <c r="IT47" s="221">
        <f t="shared" si="235"/>
        <v>0</v>
      </c>
      <c r="IU47" s="221">
        <f t="shared" si="235"/>
        <v>0</v>
      </c>
      <c r="IV47" s="221">
        <f t="shared" si="235"/>
        <v>0</v>
      </c>
      <c r="IW47" s="221">
        <f t="shared" si="235"/>
        <v>0</v>
      </c>
      <c r="IX47" s="221">
        <f t="shared" si="235"/>
        <v>0</v>
      </c>
      <c r="IY47" s="221">
        <f t="shared" si="235"/>
        <v>0</v>
      </c>
      <c r="IZ47" s="221">
        <f t="shared" si="235"/>
        <v>0</v>
      </c>
      <c r="JA47" s="221">
        <f t="shared" si="235"/>
        <v>0</v>
      </c>
      <c r="JB47" s="221">
        <f t="shared" si="235"/>
        <v>0</v>
      </c>
      <c r="JC47" s="221">
        <f t="shared" si="235"/>
        <v>0</v>
      </c>
      <c r="JD47" s="221">
        <f t="shared" si="235"/>
        <v>0</v>
      </c>
      <c r="JE47" s="221">
        <f t="shared" si="235"/>
        <v>0</v>
      </c>
      <c r="JF47" s="221">
        <f t="shared" si="235"/>
        <v>0</v>
      </c>
      <c r="JG47" s="221">
        <f t="shared" si="235"/>
        <v>0</v>
      </c>
      <c r="JH47" s="221">
        <f t="shared" si="235"/>
        <v>0</v>
      </c>
      <c r="JI47" s="221">
        <f t="shared" si="236"/>
        <v>0</v>
      </c>
      <c r="JJ47" s="221">
        <f t="shared" si="236"/>
        <v>0</v>
      </c>
      <c r="JK47" s="221">
        <f t="shared" si="236"/>
        <v>0</v>
      </c>
      <c r="JL47" s="221">
        <f t="shared" si="236"/>
        <v>0</v>
      </c>
      <c r="JM47" s="221">
        <f t="shared" si="236"/>
        <v>0</v>
      </c>
      <c r="JN47" s="221">
        <f t="shared" si="236"/>
        <v>0</v>
      </c>
      <c r="JO47" s="221">
        <f t="shared" si="236"/>
        <v>0</v>
      </c>
      <c r="JP47" s="221">
        <f t="shared" si="236"/>
        <v>0</v>
      </c>
      <c r="JQ47" s="221">
        <f t="shared" si="236"/>
        <v>0</v>
      </c>
      <c r="JR47" s="221">
        <f t="shared" si="236"/>
        <v>0</v>
      </c>
      <c r="JS47" s="221">
        <f t="shared" si="236"/>
        <v>0</v>
      </c>
      <c r="JT47" s="221">
        <f t="shared" si="236"/>
        <v>0</v>
      </c>
      <c r="JU47" s="221">
        <f t="shared" si="236"/>
        <v>0</v>
      </c>
      <c r="JV47" s="221">
        <f t="shared" si="236"/>
        <v>0</v>
      </c>
      <c r="JW47" s="221">
        <f t="shared" si="236"/>
        <v>0</v>
      </c>
      <c r="JX47" s="221">
        <f t="shared" si="236"/>
        <v>0</v>
      </c>
      <c r="JY47" s="221">
        <f t="shared" si="237"/>
        <v>0</v>
      </c>
      <c r="JZ47" s="221">
        <f t="shared" si="237"/>
        <v>0</v>
      </c>
      <c r="KA47" s="221">
        <f t="shared" si="237"/>
        <v>0</v>
      </c>
      <c r="KB47" s="221">
        <f t="shared" si="237"/>
        <v>0</v>
      </c>
      <c r="KC47" s="221">
        <f t="shared" si="237"/>
        <v>0</v>
      </c>
    </row>
    <row r="48" spans="2:289" ht="16.5" x14ac:dyDescent="0.35">
      <c r="B48" s="234" t="s">
        <v>488</v>
      </c>
      <c r="C48" s="235">
        <f>Dev_Fee_Total/SUM(I41:I47,I38,I31)</f>
        <v>0</v>
      </c>
      <c r="D48" s="215">
        <v>0</v>
      </c>
      <c r="E48" s="215">
        <v>0</v>
      </c>
      <c r="F48" s="216" t="s">
        <v>26</v>
      </c>
      <c r="G48" s="236">
        <f t="shared" si="206"/>
        <v>0</v>
      </c>
      <c r="H48" s="224">
        <f t="shared" si="207"/>
        <v>0</v>
      </c>
      <c r="I48" s="237">
        <v>0</v>
      </c>
      <c r="P48" s="152" t="str">
        <f t="shared" si="208"/>
        <v/>
      </c>
      <c r="Q48" s="226">
        <f t="shared" si="209"/>
        <v>0</v>
      </c>
      <c r="R48" s="226">
        <f t="shared" si="209"/>
        <v>0</v>
      </c>
      <c r="S48" s="226">
        <f t="shared" si="209"/>
        <v>0</v>
      </c>
      <c r="T48" s="226">
        <f t="shared" si="209"/>
        <v>0</v>
      </c>
      <c r="U48" s="226">
        <f t="shared" si="209"/>
        <v>0</v>
      </c>
      <c r="V48" s="226">
        <f t="shared" si="209"/>
        <v>0</v>
      </c>
      <c r="W48" s="226">
        <f t="shared" si="209"/>
        <v>0</v>
      </c>
      <c r="X48" s="226">
        <f t="shared" si="209"/>
        <v>0</v>
      </c>
      <c r="Y48" s="226">
        <f t="shared" si="209"/>
        <v>0</v>
      </c>
      <c r="Z48" s="226">
        <f t="shared" si="209"/>
        <v>0</v>
      </c>
      <c r="AA48" s="226">
        <f t="shared" si="210"/>
        <v>0</v>
      </c>
      <c r="AB48" s="226">
        <f t="shared" si="210"/>
        <v>0</v>
      </c>
      <c r="AC48" s="226">
        <f t="shared" si="210"/>
        <v>0</v>
      </c>
      <c r="AD48" s="226">
        <f t="shared" si="210"/>
        <v>0</v>
      </c>
      <c r="AE48" s="226">
        <f t="shared" si="210"/>
        <v>0</v>
      </c>
      <c r="AF48" s="226">
        <f t="shared" si="210"/>
        <v>0</v>
      </c>
      <c r="AG48" s="226">
        <f t="shared" si="210"/>
        <v>0</v>
      </c>
      <c r="AH48" s="226">
        <f t="shared" si="210"/>
        <v>0</v>
      </c>
      <c r="AI48" s="226">
        <f t="shared" si="210"/>
        <v>0</v>
      </c>
      <c r="AJ48" s="226">
        <f t="shared" si="210"/>
        <v>0</v>
      </c>
      <c r="AK48" s="226">
        <f t="shared" si="211"/>
        <v>0</v>
      </c>
      <c r="AL48" s="226">
        <f t="shared" si="211"/>
        <v>0</v>
      </c>
      <c r="AM48" s="226">
        <f t="shared" si="211"/>
        <v>0</v>
      </c>
      <c r="AN48" s="226">
        <f t="shared" si="211"/>
        <v>0</v>
      </c>
      <c r="AO48" s="226">
        <f t="shared" si="211"/>
        <v>0</v>
      </c>
      <c r="AP48" s="226">
        <f t="shared" si="211"/>
        <v>0</v>
      </c>
      <c r="AQ48" s="226">
        <f t="shared" si="211"/>
        <v>0</v>
      </c>
      <c r="AR48" s="226">
        <f t="shared" si="211"/>
        <v>0</v>
      </c>
      <c r="AS48" s="226">
        <f t="shared" si="211"/>
        <v>0</v>
      </c>
      <c r="AT48" s="226">
        <f t="shared" si="211"/>
        <v>0</v>
      </c>
      <c r="AU48" s="226">
        <f t="shared" si="212"/>
        <v>0</v>
      </c>
      <c r="AV48" s="226">
        <f t="shared" si="212"/>
        <v>0</v>
      </c>
      <c r="AW48" s="226">
        <f t="shared" si="212"/>
        <v>0</v>
      </c>
      <c r="AX48" s="226">
        <f t="shared" si="212"/>
        <v>0</v>
      </c>
      <c r="AY48" s="226">
        <f t="shared" si="212"/>
        <v>0</v>
      </c>
      <c r="AZ48" s="226">
        <f t="shared" si="212"/>
        <v>0</v>
      </c>
      <c r="BA48" s="226">
        <f t="shared" si="212"/>
        <v>0</v>
      </c>
      <c r="BB48" s="226">
        <f t="shared" si="212"/>
        <v>0</v>
      </c>
      <c r="BC48" s="226">
        <f t="shared" si="212"/>
        <v>0</v>
      </c>
      <c r="BD48" s="226">
        <f t="shared" si="212"/>
        <v>0</v>
      </c>
      <c r="BE48" s="226">
        <f t="shared" si="213"/>
        <v>0</v>
      </c>
      <c r="BF48" s="226">
        <f t="shared" si="213"/>
        <v>0</v>
      </c>
      <c r="BG48" s="226">
        <f t="shared" si="213"/>
        <v>0</v>
      </c>
      <c r="BH48" s="226">
        <f t="shared" si="213"/>
        <v>0</v>
      </c>
      <c r="BI48" s="226">
        <f t="shared" si="213"/>
        <v>0</v>
      </c>
      <c r="BJ48" s="226">
        <f t="shared" si="213"/>
        <v>0</v>
      </c>
      <c r="BK48" s="226">
        <f t="shared" si="213"/>
        <v>0</v>
      </c>
      <c r="BL48" s="226">
        <f t="shared" si="213"/>
        <v>0</v>
      </c>
      <c r="BM48" s="226">
        <f t="shared" si="213"/>
        <v>0</v>
      </c>
      <c r="BN48" s="226">
        <f t="shared" si="213"/>
        <v>0</v>
      </c>
      <c r="BO48" s="226">
        <f t="shared" si="214"/>
        <v>0</v>
      </c>
      <c r="BP48" s="226">
        <f t="shared" si="214"/>
        <v>0</v>
      </c>
      <c r="BQ48" s="226">
        <f t="shared" si="214"/>
        <v>0</v>
      </c>
      <c r="BR48" s="226">
        <f t="shared" si="214"/>
        <v>0</v>
      </c>
      <c r="BS48" s="226">
        <f t="shared" si="214"/>
        <v>0</v>
      </c>
      <c r="BT48" s="226">
        <f t="shared" si="214"/>
        <v>0</v>
      </c>
      <c r="BU48" s="226">
        <f t="shared" si="214"/>
        <v>0</v>
      </c>
      <c r="BV48" s="226">
        <f t="shared" si="214"/>
        <v>0</v>
      </c>
      <c r="BW48" s="226">
        <f t="shared" si="214"/>
        <v>0</v>
      </c>
      <c r="BX48" s="226">
        <f t="shared" si="214"/>
        <v>0</v>
      </c>
      <c r="BY48" s="226">
        <f t="shared" si="215"/>
        <v>0</v>
      </c>
      <c r="BZ48" s="226">
        <f t="shared" si="215"/>
        <v>0</v>
      </c>
      <c r="CA48" s="226">
        <f t="shared" si="215"/>
        <v>0</v>
      </c>
      <c r="CB48" s="226">
        <f t="shared" si="215"/>
        <v>0</v>
      </c>
      <c r="CC48" s="226">
        <f t="shared" si="215"/>
        <v>0</v>
      </c>
      <c r="CD48" s="226">
        <f t="shared" si="215"/>
        <v>0</v>
      </c>
      <c r="CE48" s="226">
        <f t="shared" si="215"/>
        <v>0</v>
      </c>
      <c r="CF48" s="226">
        <f t="shared" si="215"/>
        <v>0</v>
      </c>
      <c r="CG48" s="226">
        <f t="shared" si="215"/>
        <v>0</v>
      </c>
      <c r="CH48" s="226">
        <f t="shared" si="215"/>
        <v>0</v>
      </c>
      <c r="CI48" s="226">
        <f t="shared" si="216"/>
        <v>0</v>
      </c>
      <c r="CJ48" s="226">
        <f t="shared" si="216"/>
        <v>0</v>
      </c>
      <c r="CK48" s="226">
        <f t="shared" si="216"/>
        <v>0</v>
      </c>
      <c r="CL48" s="226">
        <f t="shared" si="216"/>
        <v>0</v>
      </c>
      <c r="CM48" s="226">
        <f t="shared" si="216"/>
        <v>0</v>
      </c>
      <c r="CN48" s="226">
        <f t="shared" si="216"/>
        <v>0</v>
      </c>
      <c r="CO48" s="226">
        <f t="shared" si="216"/>
        <v>0</v>
      </c>
      <c r="CP48" s="226">
        <f t="shared" si="216"/>
        <v>0</v>
      </c>
      <c r="CQ48" s="226">
        <f t="shared" si="216"/>
        <v>0</v>
      </c>
      <c r="CR48" s="226">
        <f t="shared" si="216"/>
        <v>0</v>
      </c>
      <c r="CS48" s="226">
        <f t="shared" si="217"/>
        <v>0</v>
      </c>
      <c r="CT48" s="226">
        <f t="shared" si="217"/>
        <v>0</v>
      </c>
      <c r="CU48" s="226">
        <f t="shared" si="217"/>
        <v>0</v>
      </c>
      <c r="CV48" s="226">
        <f t="shared" si="217"/>
        <v>0</v>
      </c>
      <c r="CW48" s="226">
        <f t="shared" si="217"/>
        <v>0</v>
      </c>
      <c r="CX48" s="226">
        <f t="shared" si="217"/>
        <v>0</v>
      </c>
      <c r="CY48" s="226">
        <f t="shared" si="217"/>
        <v>0</v>
      </c>
      <c r="CZ48" s="226">
        <f t="shared" si="217"/>
        <v>0</v>
      </c>
      <c r="DA48" s="226">
        <f t="shared" si="217"/>
        <v>0</v>
      </c>
      <c r="DB48" s="226">
        <f t="shared" si="217"/>
        <v>0</v>
      </c>
      <c r="DC48" s="226">
        <f t="shared" si="218"/>
        <v>0</v>
      </c>
      <c r="DD48" s="226">
        <f t="shared" si="218"/>
        <v>0</v>
      </c>
      <c r="DE48" s="226">
        <f t="shared" si="218"/>
        <v>0</v>
      </c>
      <c r="DF48" s="226">
        <f t="shared" si="218"/>
        <v>0</v>
      </c>
      <c r="DG48" s="226">
        <f t="shared" si="218"/>
        <v>0</v>
      </c>
      <c r="DH48" s="226">
        <f t="shared" si="218"/>
        <v>0</v>
      </c>
      <c r="DI48" s="226">
        <f t="shared" si="218"/>
        <v>0</v>
      </c>
      <c r="DJ48" s="226">
        <f t="shared" si="218"/>
        <v>0</v>
      </c>
      <c r="DK48" s="226">
        <f t="shared" si="218"/>
        <v>0</v>
      </c>
      <c r="DL48" s="226">
        <f t="shared" si="218"/>
        <v>0</v>
      </c>
      <c r="DM48" s="226">
        <f t="shared" si="219"/>
        <v>0</v>
      </c>
      <c r="DN48" s="226">
        <f t="shared" si="219"/>
        <v>0</v>
      </c>
      <c r="DO48" s="226">
        <f t="shared" si="219"/>
        <v>0</v>
      </c>
      <c r="DP48" s="226">
        <f t="shared" si="219"/>
        <v>0</v>
      </c>
      <c r="DQ48" s="226">
        <f t="shared" si="219"/>
        <v>0</v>
      </c>
      <c r="DR48" s="226">
        <f t="shared" si="219"/>
        <v>0</v>
      </c>
      <c r="DS48" s="226">
        <f t="shared" si="219"/>
        <v>0</v>
      </c>
      <c r="DT48" s="226">
        <f t="shared" si="219"/>
        <v>0</v>
      </c>
      <c r="DU48" s="226">
        <f t="shared" si="219"/>
        <v>0</v>
      </c>
      <c r="DV48" s="226">
        <f t="shared" si="219"/>
        <v>0</v>
      </c>
      <c r="DW48" s="226">
        <f t="shared" si="220"/>
        <v>0</v>
      </c>
      <c r="DX48" s="226">
        <f t="shared" si="220"/>
        <v>0</v>
      </c>
      <c r="DY48" s="226">
        <f t="shared" si="220"/>
        <v>0</v>
      </c>
      <c r="DZ48" s="226">
        <f t="shared" si="220"/>
        <v>0</v>
      </c>
      <c r="EA48" s="226">
        <f t="shared" si="220"/>
        <v>0</v>
      </c>
      <c r="EB48" s="226">
        <f t="shared" si="220"/>
        <v>0</v>
      </c>
      <c r="EC48" s="226">
        <f t="shared" si="220"/>
        <v>0</v>
      </c>
      <c r="ED48" s="226">
        <f t="shared" si="220"/>
        <v>0</v>
      </c>
      <c r="EE48" s="226">
        <f t="shared" si="220"/>
        <v>0</v>
      </c>
      <c r="EF48" s="226">
        <f t="shared" si="220"/>
        <v>0</v>
      </c>
      <c r="EG48" s="226">
        <f t="shared" si="221"/>
        <v>0</v>
      </c>
      <c r="EH48" s="226">
        <f t="shared" si="221"/>
        <v>0</v>
      </c>
      <c r="EI48" s="226">
        <f t="shared" si="221"/>
        <v>0</v>
      </c>
      <c r="EJ48" s="226">
        <f t="shared" si="221"/>
        <v>0</v>
      </c>
      <c r="EK48" s="226">
        <f t="shared" si="221"/>
        <v>0</v>
      </c>
      <c r="EL48" s="226">
        <f t="shared" si="221"/>
        <v>0</v>
      </c>
      <c r="EM48" s="226">
        <f t="shared" si="221"/>
        <v>0</v>
      </c>
      <c r="EN48" s="226">
        <f t="shared" si="221"/>
        <v>0</v>
      </c>
      <c r="EO48" s="226">
        <f t="shared" si="221"/>
        <v>0</v>
      </c>
      <c r="EP48" s="226">
        <f t="shared" si="221"/>
        <v>0</v>
      </c>
      <c r="EQ48" s="226">
        <f t="shared" si="222"/>
        <v>0</v>
      </c>
      <c r="ER48" s="226">
        <f t="shared" si="222"/>
        <v>0</v>
      </c>
      <c r="ES48" s="226">
        <f t="shared" si="222"/>
        <v>0</v>
      </c>
      <c r="EU48" s="221">
        <f t="shared" si="223"/>
        <v>0</v>
      </c>
      <c r="EV48" s="222">
        <f t="shared" si="224"/>
        <v>45688</v>
      </c>
      <c r="EW48" s="222">
        <f t="shared" si="225"/>
        <v>45688</v>
      </c>
      <c r="EX48" s="221">
        <f t="shared" si="226"/>
        <v>1</v>
      </c>
      <c r="EY48" s="153" t="str">
        <f t="shared" si="227"/>
        <v>Straight-Line</v>
      </c>
      <c r="EZ48" s="223">
        <f t="shared" si="228"/>
        <v>0.16666666666666666</v>
      </c>
      <c r="FA48" s="221">
        <f t="shared" si="229"/>
        <v>0</v>
      </c>
      <c r="FB48" s="221">
        <f t="shared" si="229"/>
        <v>0</v>
      </c>
      <c r="FC48" s="221">
        <f t="shared" si="229"/>
        <v>0</v>
      </c>
      <c r="FD48" s="221">
        <f t="shared" si="229"/>
        <v>0</v>
      </c>
      <c r="FE48" s="221">
        <f t="shared" si="229"/>
        <v>0</v>
      </c>
      <c r="FF48" s="221">
        <f t="shared" si="229"/>
        <v>0</v>
      </c>
      <c r="FG48" s="221">
        <f t="shared" si="229"/>
        <v>0</v>
      </c>
      <c r="FH48" s="221">
        <f t="shared" si="229"/>
        <v>0</v>
      </c>
      <c r="FI48" s="221">
        <f t="shared" si="229"/>
        <v>0</v>
      </c>
      <c r="FJ48" s="221">
        <f t="shared" si="229"/>
        <v>0</v>
      </c>
      <c r="FK48" s="221">
        <f t="shared" si="229"/>
        <v>0</v>
      </c>
      <c r="FL48" s="221">
        <f t="shared" si="229"/>
        <v>0</v>
      </c>
      <c r="FM48" s="221">
        <f t="shared" si="229"/>
        <v>0</v>
      </c>
      <c r="FN48" s="221">
        <f t="shared" si="229"/>
        <v>0</v>
      </c>
      <c r="FO48" s="221">
        <f t="shared" si="229"/>
        <v>0</v>
      </c>
      <c r="FP48" s="221">
        <f t="shared" si="229"/>
        <v>0</v>
      </c>
      <c r="FQ48" s="221">
        <f t="shared" si="230"/>
        <v>0</v>
      </c>
      <c r="FR48" s="221">
        <f t="shared" si="230"/>
        <v>0</v>
      </c>
      <c r="FS48" s="221">
        <f t="shared" si="230"/>
        <v>0</v>
      </c>
      <c r="FT48" s="221">
        <f t="shared" si="230"/>
        <v>0</v>
      </c>
      <c r="FU48" s="221">
        <f t="shared" si="230"/>
        <v>0</v>
      </c>
      <c r="FV48" s="221">
        <f t="shared" si="230"/>
        <v>0</v>
      </c>
      <c r="FW48" s="221">
        <f t="shared" si="230"/>
        <v>0</v>
      </c>
      <c r="FX48" s="221">
        <f t="shared" si="230"/>
        <v>0</v>
      </c>
      <c r="FY48" s="221">
        <f t="shared" si="230"/>
        <v>0</v>
      </c>
      <c r="FZ48" s="221">
        <f t="shared" si="230"/>
        <v>0</v>
      </c>
      <c r="GA48" s="221">
        <f t="shared" si="230"/>
        <v>0</v>
      </c>
      <c r="GB48" s="221">
        <f t="shared" si="230"/>
        <v>0</v>
      </c>
      <c r="GC48" s="221">
        <f t="shared" si="230"/>
        <v>0</v>
      </c>
      <c r="GD48" s="221">
        <f t="shared" si="230"/>
        <v>0</v>
      </c>
      <c r="GE48" s="221">
        <f t="shared" si="230"/>
        <v>0</v>
      </c>
      <c r="GF48" s="221">
        <f t="shared" si="230"/>
        <v>0</v>
      </c>
      <c r="GG48" s="221">
        <f t="shared" si="231"/>
        <v>0</v>
      </c>
      <c r="GH48" s="221">
        <f t="shared" si="231"/>
        <v>0</v>
      </c>
      <c r="GI48" s="221">
        <f t="shared" si="231"/>
        <v>0</v>
      </c>
      <c r="GJ48" s="221">
        <f t="shared" si="231"/>
        <v>0</v>
      </c>
      <c r="GK48" s="221">
        <f t="shared" si="231"/>
        <v>0</v>
      </c>
      <c r="GL48" s="221">
        <f t="shared" si="231"/>
        <v>0</v>
      </c>
      <c r="GM48" s="221">
        <f t="shared" si="231"/>
        <v>0</v>
      </c>
      <c r="GN48" s="221">
        <f t="shared" si="231"/>
        <v>0</v>
      </c>
      <c r="GO48" s="221">
        <f t="shared" si="231"/>
        <v>0</v>
      </c>
      <c r="GP48" s="221">
        <f t="shared" si="231"/>
        <v>0</v>
      </c>
      <c r="GQ48" s="221">
        <f t="shared" si="231"/>
        <v>0</v>
      </c>
      <c r="GR48" s="221">
        <f t="shared" si="231"/>
        <v>0</v>
      </c>
      <c r="GS48" s="221">
        <f t="shared" si="231"/>
        <v>0</v>
      </c>
      <c r="GT48" s="221">
        <f t="shared" si="231"/>
        <v>0</v>
      </c>
      <c r="GU48" s="221">
        <f t="shared" si="231"/>
        <v>0</v>
      </c>
      <c r="GV48" s="221">
        <f t="shared" si="231"/>
        <v>0</v>
      </c>
      <c r="GW48" s="221">
        <f t="shared" si="232"/>
        <v>0</v>
      </c>
      <c r="GX48" s="221">
        <f t="shared" si="232"/>
        <v>0</v>
      </c>
      <c r="GY48" s="221">
        <f t="shared" si="232"/>
        <v>0</v>
      </c>
      <c r="GZ48" s="221">
        <f t="shared" si="232"/>
        <v>0</v>
      </c>
      <c r="HA48" s="221">
        <f t="shared" si="232"/>
        <v>0</v>
      </c>
      <c r="HB48" s="221">
        <f t="shared" si="232"/>
        <v>0</v>
      </c>
      <c r="HC48" s="221">
        <f t="shared" si="232"/>
        <v>0</v>
      </c>
      <c r="HD48" s="221">
        <f t="shared" si="232"/>
        <v>0</v>
      </c>
      <c r="HE48" s="221">
        <f t="shared" si="232"/>
        <v>0</v>
      </c>
      <c r="HF48" s="221">
        <f t="shared" si="232"/>
        <v>0</v>
      </c>
      <c r="HG48" s="221">
        <f t="shared" si="232"/>
        <v>0</v>
      </c>
      <c r="HH48" s="221">
        <f t="shared" si="232"/>
        <v>0</v>
      </c>
      <c r="HI48" s="221">
        <f t="shared" si="232"/>
        <v>0</v>
      </c>
      <c r="HJ48" s="221">
        <f t="shared" si="232"/>
        <v>0</v>
      </c>
      <c r="HK48" s="221">
        <f t="shared" si="232"/>
        <v>0</v>
      </c>
      <c r="HL48" s="221">
        <f t="shared" si="232"/>
        <v>0</v>
      </c>
      <c r="HM48" s="221">
        <f t="shared" si="233"/>
        <v>0</v>
      </c>
      <c r="HN48" s="221">
        <f t="shared" si="233"/>
        <v>0</v>
      </c>
      <c r="HO48" s="221">
        <f t="shared" si="233"/>
        <v>0</v>
      </c>
      <c r="HP48" s="221">
        <f t="shared" si="233"/>
        <v>0</v>
      </c>
      <c r="HQ48" s="221">
        <f t="shared" si="233"/>
        <v>0</v>
      </c>
      <c r="HR48" s="221">
        <f t="shared" si="233"/>
        <v>0</v>
      </c>
      <c r="HS48" s="221">
        <f t="shared" si="233"/>
        <v>0</v>
      </c>
      <c r="HT48" s="221">
        <f t="shared" si="233"/>
        <v>0</v>
      </c>
      <c r="HU48" s="221">
        <f t="shared" si="233"/>
        <v>0</v>
      </c>
      <c r="HV48" s="221">
        <f t="shared" si="233"/>
        <v>0</v>
      </c>
      <c r="HW48" s="221">
        <f t="shared" si="233"/>
        <v>0</v>
      </c>
      <c r="HX48" s="221">
        <f t="shared" si="233"/>
        <v>0</v>
      </c>
      <c r="HY48" s="221">
        <f t="shared" si="233"/>
        <v>0</v>
      </c>
      <c r="HZ48" s="221">
        <f t="shared" si="233"/>
        <v>0</v>
      </c>
      <c r="IA48" s="221">
        <f t="shared" si="233"/>
        <v>0</v>
      </c>
      <c r="IB48" s="221">
        <f t="shared" si="233"/>
        <v>0</v>
      </c>
      <c r="IC48" s="221">
        <f t="shared" si="234"/>
        <v>0</v>
      </c>
      <c r="ID48" s="221">
        <f t="shared" si="234"/>
        <v>0</v>
      </c>
      <c r="IE48" s="221">
        <f t="shared" si="234"/>
        <v>0</v>
      </c>
      <c r="IF48" s="221">
        <f t="shared" si="234"/>
        <v>0</v>
      </c>
      <c r="IG48" s="221">
        <f t="shared" si="234"/>
        <v>0</v>
      </c>
      <c r="IH48" s="221">
        <f t="shared" si="234"/>
        <v>0</v>
      </c>
      <c r="II48" s="221">
        <f t="shared" si="234"/>
        <v>0</v>
      </c>
      <c r="IJ48" s="221">
        <f t="shared" si="234"/>
        <v>0</v>
      </c>
      <c r="IK48" s="221">
        <f t="shared" si="234"/>
        <v>0</v>
      </c>
      <c r="IL48" s="221">
        <f t="shared" si="234"/>
        <v>0</v>
      </c>
      <c r="IM48" s="221">
        <f t="shared" si="234"/>
        <v>0</v>
      </c>
      <c r="IN48" s="221">
        <f t="shared" si="234"/>
        <v>0</v>
      </c>
      <c r="IO48" s="221">
        <f t="shared" si="234"/>
        <v>0</v>
      </c>
      <c r="IP48" s="221">
        <f t="shared" si="234"/>
        <v>0</v>
      </c>
      <c r="IQ48" s="221">
        <f t="shared" si="234"/>
        <v>0</v>
      </c>
      <c r="IR48" s="221">
        <f t="shared" si="234"/>
        <v>0</v>
      </c>
      <c r="IS48" s="221">
        <f t="shared" si="235"/>
        <v>0</v>
      </c>
      <c r="IT48" s="221">
        <f t="shared" si="235"/>
        <v>0</v>
      </c>
      <c r="IU48" s="221">
        <f t="shared" si="235"/>
        <v>0</v>
      </c>
      <c r="IV48" s="221">
        <f t="shared" si="235"/>
        <v>0</v>
      </c>
      <c r="IW48" s="221">
        <f t="shared" si="235"/>
        <v>0</v>
      </c>
      <c r="IX48" s="221">
        <f t="shared" si="235"/>
        <v>0</v>
      </c>
      <c r="IY48" s="221">
        <f t="shared" si="235"/>
        <v>0</v>
      </c>
      <c r="IZ48" s="221">
        <f t="shared" si="235"/>
        <v>0</v>
      </c>
      <c r="JA48" s="221">
        <f t="shared" si="235"/>
        <v>0</v>
      </c>
      <c r="JB48" s="221">
        <f t="shared" si="235"/>
        <v>0</v>
      </c>
      <c r="JC48" s="221">
        <f t="shared" si="235"/>
        <v>0</v>
      </c>
      <c r="JD48" s="221">
        <f t="shared" si="235"/>
        <v>0</v>
      </c>
      <c r="JE48" s="221">
        <f t="shared" si="235"/>
        <v>0</v>
      </c>
      <c r="JF48" s="221">
        <f t="shared" si="235"/>
        <v>0</v>
      </c>
      <c r="JG48" s="221">
        <f t="shared" si="235"/>
        <v>0</v>
      </c>
      <c r="JH48" s="221">
        <f t="shared" si="235"/>
        <v>0</v>
      </c>
      <c r="JI48" s="221">
        <f t="shared" si="236"/>
        <v>0</v>
      </c>
      <c r="JJ48" s="221">
        <f t="shared" si="236"/>
        <v>0</v>
      </c>
      <c r="JK48" s="221">
        <f t="shared" si="236"/>
        <v>0</v>
      </c>
      <c r="JL48" s="221">
        <f t="shared" si="236"/>
        <v>0</v>
      </c>
      <c r="JM48" s="221">
        <f t="shared" si="236"/>
        <v>0</v>
      </c>
      <c r="JN48" s="221">
        <f t="shared" si="236"/>
        <v>0</v>
      </c>
      <c r="JO48" s="221">
        <f t="shared" si="236"/>
        <v>0</v>
      </c>
      <c r="JP48" s="221">
        <f t="shared" si="236"/>
        <v>0</v>
      </c>
      <c r="JQ48" s="221">
        <f t="shared" si="236"/>
        <v>0</v>
      </c>
      <c r="JR48" s="221">
        <f t="shared" si="236"/>
        <v>0</v>
      </c>
      <c r="JS48" s="221">
        <f t="shared" si="236"/>
        <v>0</v>
      </c>
      <c r="JT48" s="221">
        <f t="shared" si="236"/>
        <v>0</v>
      </c>
      <c r="JU48" s="221">
        <f t="shared" si="236"/>
        <v>0</v>
      </c>
      <c r="JV48" s="221">
        <f t="shared" si="236"/>
        <v>0</v>
      </c>
      <c r="JW48" s="221">
        <f t="shared" si="236"/>
        <v>0</v>
      </c>
      <c r="JX48" s="221">
        <f t="shared" si="236"/>
        <v>0</v>
      </c>
      <c r="JY48" s="221">
        <f t="shared" si="237"/>
        <v>0</v>
      </c>
      <c r="JZ48" s="221">
        <f t="shared" si="237"/>
        <v>0</v>
      </c>
      <c r="KA48" s="221">
        <f t="shared" si="237"/>
        <v>0</v>
      </c>
      <c r="KB48" s="221">
        <f t="shared" si="237"/>
        <v>0</v>
      </c>
      <c r="KC48" s="221">
        <f t="shared" si="237"/>
        <v>0</v>
      </c>
    </row>
    <row r="49" spans="1:289" x14ac:dyDescent="0.25">
      <c r="B49" s="227" t="s">
        <v>35</v>
      </c>
      <c r="C49" s="196"/>
      <c r="D49" s="228">
        <f>MIN(D41:D48)</f>
        <v>0</v>
      </c>
      <c r="E49" s="228">
        <f>MAX(E41:E48)</f>
        <v>14</v>
      </c>
      <c r="F49" s="216"/>
      <c r="G49" s="217">
        <f>SUM(G41:G48)</f>
        <v>18.067010309278349</v>
      </c>
      <c r="H49" s="218">
        <f>SUM(H41:H48)</f>
        <v>18401.25</v>
      </c>
      <c r="I49" s="229">
        <f>SUM(I41:I48)</f>
        <v>294420</v>
      </c>
      <c r="P49" s="152" t="str">
        <f t="shared" si="208"/>
        <v/>
      </c>
      <c r="Q49" s="220">
        <f t="shared" ref="Q49:AV49" si="242">SUM(Q41:Q48)</f>
        <v>252002.85714285713</v>
      </c>
      <c r="R49" s="220">
        <f t="shared" si="242"/>
        <v>2002.8571428571429</v>
      </c>
      <c r="S49" s="220">
        <f t="shared" si="242"/>
        <v>2002.8571428571429</v>
      </c>
      <c r="T49" s="220">
        <f t="shared" si="242"/>
        <v>2002.8571428571429</v>
      </c>
      <c r="U49" s="220">
        <f t="shared" si="242"/>
        <v>2002.8571428571429</v>
      </c>
      <c r="V49" s="220">
        <f t="shared" si="242"/>
        <v>2002.8571428571429</v>
      </c>
      <c r="W49" s="220">
        <f t="shared" si="242"/>
        <v>2002.8571428571429</v>
      </c>
      <c r="X49" s="220">
        <f t="shared" si="242"/>
        <v>0</v>
      </c>
      <c r="Y49" s="220">
        <f t="shared" si="242"/>
        <v>0</v>
      </c>
      <c r="Z49" s="220">
        <f t="shared" si="242"/>
        <v>0</v>
      </c>
      <c r="AA49" s="220">
        <f t="shared" si="242"/>
        <v>0</v>
      </c>
      <c r="AB49" s="220">
        <f t="shared" si="242"/>
        <v>0</v>
      </c>
      <c r="AC49" s="220">
        <f t="shared" si="242"/>
        <v>0</v>
      </c>
      <c r="AD49" s="220">
        <f t="shared" si="242"/>
        <v>15200</v>
      </c>
      <c r="AE49" s="220">
        <f t="shared" si="242"/>
        <v>15200</v>
      </c>
      <c r="AF49" s="220">
        <f t="shared" si="242"/>
        <v>0</v>
      </c>
      <c r="AG49" s="220">
        <f t="shared" si="242"/>
        <v>0</v>
      </c>
      <c r="AH49" s="220">
        <f t="shared" si="242"/>
        <v>0</v>
      </c>
      <c r="AI49" s="220">
        <f t="shared" si="242"/>
        <v>0</v>
      </c>
      <c r="AJ49" s="220">
        <f t="shared" si="242"/>
        <v>0</v>
      </c>
      <c r="AK49" s="220">
        <f t="shared" si="242"/>
        <v>0</v>
      </c>
      <c r="AL49" s="220">
        <f t="shared" si="242"/>
        <v>0</v>
      </c>
      <c r="AM49" s="220">
        <f t="shared" si="242"/>
        <v>0</v>
      </c>
      <c r="AN49" s="220">
        <f t="shared" si="242"/>
        <v>0</v>
      </c>
      <c r="AO49" s="220">
        <f t="shared" si="242"/>
        <v>0</v>
      </c>
      <c r="AP49" s="220">
        <f t="shared" si="242"/>
        <v>0</v>
      </c>
      <c r="AQ49" s="220">
        <f t="shared" si="242"/>
        <v>0</v>
      </c>
      <c r="AR49" s="220">
        <f t="shared" si="242"/>
        <v>0</v>
      </c>
      <c r="AS49" s="220">
        <f t="shared" si="242"/>
        <v>0</v>
      </c>
      <c r="AT49" s="220">
        <f t="shared" si="242"/>
        <v>0</v>
      </c>
      <c r="AU49" s="220">
        <f t="shared" si="242"/>
        <v>0</v>
      </c>
      <c r="AV49" s="220">
        <f t="shared" si="242"/>
        <v>0</v>
      </c>
      <c r="AW49" s="220">
        <f t="shared" ref="AW49:CB49" si="243">SUM(AW41:AW48)</f>
        <v>0</v>
      </c>
      <c r="AX49" s="220">
        <f t="shared" si="243"/>
        <v>0</v>
      </c>
      <c r="AY49" s="220">
        <f t="shared" si="243"/>
        <v>0</v>
      </c>
      <c r="AZ49" s="220">
        <f t="shared" si="243"/>
        <v>0</v>
      </c>
      <c r="BA49" s="220">
        <f t="shared" si="243"/>
        <v>0</v>
      </c>
      <c r="BB49" s="220">
        <f t="shared" si="243"/>
        <v>0</v>
      </c>
      <c r="BC49" s="220">
        <f t="shared" si="243"/>
        <v>0</v>
      </c>
      <c r="BD49" s="220">
        <f t="shared" si="243"/>
        <v>0</v>
      </c>
      <c r="BE49" s="220">
        <f t="shared" si="243"/>
        <v>0</v>
      </c>
      <c r="BF49" s="220">
        <f t="shared" si="243"/>
        <v>0</v>
      </c>
      <c r="BG49" s="220">
        <f t="shared" si="243"/>
        <v>0</v>
      </c>
      <c r="BH49" s="220">
        <f t="shared" si="243"/>
        <v>0</v>
      </c>
      <c r="BI49" s="220">
        <f t="shared" si="243"/>
        <v>0</v>
      </c>
      <c r="BJ49" s="220">
        <f t="shared" si="243"/>
        <v>0</v>
      </c>
      <c r="BK49" s="220">
        <f t="shared" si="243"/>
        <v>0</v>
      </c>
      <c r="BL49" s="220">
        <f t="shared" si="243"/>
        <v>0</v>
      </c>
      <c r="BM49" s="220">
        <f t="shared" si="243"/>
        <v>0</v>
      </c>
      <c r="BN49" s="220">
        <f t="shared" si="243"/>
        <v>0</v>
      </c>
      <c r="BO49" s="220">
        <f t="shared" si="243"/>
        <v>0</v>
      </c>
      <c r="BP49" s="220">
        <f t="shared" si="243"/>
        <v>0</v>
      </c>
      <c r="BQ49" s="220">
        <f t="shared" si="243"/>
        <v>0</v>
      </c>
      <c r="BR49" s="220">
        <f t="shared" si="243"/>
        <v>0</v>
      </c>
      <c r="BS49" s="220">
        <f t="shared" si="243"/>
        <v>0</v>
      </c>
      <c r="BT49" s="220">
        <f t="shared" si="243"/>
        <v>0</v>
      </c>
      <c r="BU49" s="220">
        <f t="shared" si="243"/>
        <v>0</v>
      </c>
      <c r="BV49" s="220">
        <f t="shared" si="243"/>
        <v>0</v>
      </c>
      <c r="BW49" s="220">
        <f t="shared" si="243"/>
        <v>0</v>
      </c>
      <c r="BX49" s="220">
        <f t="shared" si="243"/>
        <v>0</v>
      </c>
      <c r="BY49" s="220">
        <f t="shared" si="243"/>
        <v>0</v>
      </c>
      <c r="BZ49" s="220">
        <f t="shared" si="243"/>
        <v>0</v>
      </c>
      <c r="CA49" s="220">
        <f t="shared" si="243"/>
        <v>0</v>
      </c>
      <c r="CB49" s="220">
        <f t="shared" si="243"/>
        <v>0</v>
      </c>
      <c r="CC49" s="220">
        <f t="shared" ref="CC49:DH49" si="244">SUM(CC41:CC48)</f>
        <v>0</v>
      </c>
      <c r="CD49" s="220">
        <f t="shared" si="244"/>
        <v>0</v>
      </c>
      <c r="CE49" s="220">
        <f t="shared" si="244"/>
        <v>0</v>
      </c>
      <c r="CF49" s="220">
        <f t="shared" si="244"/>
        <v>0</v>
      </c>
      <c r="CG49" s="220">
        <f t="shared" si="244"/>
        <v>0</v>
      </c>
      <c r="CH49" s="220">
        <f t="shared" si="244"/>
        <v>0</v>
      </c>
      <c r="CI49" s="220">
        <f t="shared" si="244"/>
        <v>0</v>
      </c>
      <c r="CJ49" s="220">
        <f t="shared" si="244"/>
        <v>0</v>
      </c>
      <c r="CK49" s="220">
        <f t="shared" si="244"/>
        <v>0</v>
      </c>
      <c r="CL49" s="220">
        <f t="shared" si="244"/>
        <v>0</v>
      </c>
      <c r="CM49" s="220">
        <f t="shared" si="244"/>
        <v>0</v>
      </c>
      <c r="CN49" s="220">
        <f t="shared" si="244"/>
        <v>0</v>
      </c>
      <c r="CO49" s="220">
        <f t="shared" si="244"/>
        <v>0</v>
      </c>
      <c r="CP49" s="220">
        <f t="shared" si="244"/>
        <v>0</v>
      </c>
      <c r="CQ49" s="220">
        <f t="shared" si="244"/>
        <v>0</v>
      </c>
      <c r="CR49" s="220">
        <f t="shared" si="244"/>
        <v>0</v>
      </c>
      <c r="CS49" s="220">
        <f t="shared" si="244"/>
        <v>0</v>
      </c>
      <c r="CT49" s="220">
        <f t="shared" si="244"/>
        <v>0</v>
      </c>
      <c r="CU49" s="220">
        <f t="shared" si="244"/>
        <v>0</v>
      </c>
      <c r="CV49" s="220">
        <f t="shared" si="244"/>
        <v>0</v>
      </c>
      <c r="CW49" s="220">
        <f t="shared" si="244"/>
        <v>0</v>
      </c>
      <c r="CX49" s="220">
        <f t="shared" si="244"/>
        <v>0</v>
      </c>
      <c r="CY49" s="220">
        <f t="shared" si="244"/>
        <v>0</v>
      </c>
      <c r="CZ49" s="220">
        <f t="shared" si="244"/>
        <v>0</v>
      </c>
      <c r="DA49" s="220">
        <f t="shared" si="244"/>
        <v>0</v>
      </c>
      <c r="DB49" s="220">
        <f t="shared" si="244"/>
        <v>0</v>
      </c>
      <c r="DC49" s="220">
        <f t="shared" si="244"/>
        <v>0</v>
      </c>
      <c r="DD49" s="220">
        <f t="shared" si="244"/>
        <v>0</v>
      </c>
      <c r="DE49" s="220">
        <f t="shared" si="244"/>
        <v>0</v>
      </c>
      <c r="DF49" s="220">
        <f t="shared" si="244"/>
        <v>0</v>
      </c>
      <c r="DG49" s="220">
        <f t="shared" si="244"/>
        <v>0</v>
      </c>
      <c r="DH49" s="220">
        <f t="shared" si="244"/>
        <v>0</v>
      </c>
      <c r="DI49" s="220">
        <f t="shared" ref="DI49:EN49" si="245">SUM(DI41:DI48)</f>
        <v>0</v>
      </c>
      <c r="DJ49" s="220">
        <f t="shared" si="245"/>
        <v>0</v>
      </c>
      <c r="DK49" s="220">
        <f t="shared" si="245"/>
        <v>0</v>
      </c>
      <c r="DL49" s="220">
        <f t="shared" si="245"/>
        <v>0</v>
      </c>
      <c r="DM49" s="220">
        <f t="shared" si="245"/>
        <v>0</v>
      </c>
      <c r="DN49" s="220">
        <f t="shared" si="245"/>
        <v>0</v>
      </c>
      <c r="DO49" s="220">
        <f t="shared" si="245"/>
        <v>0</v>
      </c>
      <c r="DP49" s="220">
        <f t="shared" si="245"/>
        <v>0</v>
      </c>
      <c r="DQ49" s="220">
        <f t="shared" si="245"/>
        <v>0</v>
      </c>
      <c r="DR49" s="220">
        <f t="shared" si="245"/>
        <v>0</v>
      </c>
      <c r="DS49" s="220">
        <f t="shared" si="245"/>
        <v>0</v>
      </c>
      <c r="DT49" s="220">
        <f t="shared" si="245"/>
        <v>0</v>
      </c>
      <c r="DU49" s="220">
        <f t="shared" si="245"/>
        <v>0</v>
      </c>
      <c r="DV49" s="220">
        <f t="shared" si="245"/>
        <v>0</v>
      </c>
      <c r="DW49" s="220">
        <f t="shared" si="245"/>
        <v>0</v>
      </c>
      <c r="DX49" s="220">
        <f t="shared" si="245"/>
        <v>0</v>
      </c>
      <c r="DY49" s="220">
        <f t="shared" si="245"/>
        <v>0</v>
      </c>
      <c r="DZ49" s="220">
        <f t="shared" si="245"/>
        <v>0</v>
      </c>
      <c r="EA49" s="220">
        <f t="shared" si="245"/>
        <v>0</v>
      </c>
      <c r="EB49" s="220">
        <f t="shared" si="245"/>
        <v>0</v>
      </c>
      <c r="EC49" s="220">
        <f t="shared" si="245"/>
        <v>0</v>
      </c>
      <c r="ED49" s="220">
        <f t="shared" si="245"/>
        <v>0</v>
      </c>
      <c r="EE49" s="220">
        <f t="shared" si="245"/>
        <v>0</v>
      </c>
      <c r="EF49" s="220">
        <f t="shared" si="245"/>
        <v>0</v>
      </c>
      <c r="EG49" s="220">
        <f t="shared" si="245"/>
        <v>0</v>
      </c>
      <c r="EH49" s="220">
        <f t="shared" si="245"/>
        <v>0</v>
      </c>
      <c r="EI49" s="220">
        <f t="shared" si="245"/>
        <v>0</v>
      </c>
      <c r="EJ49" s="220">
        <f t="shared" si="245"/>
        <v>0</v>
      </c>
      <c r="EK49" s="220">
        <f t="shared" si="245"/>
        <v>0</v>
      </c>
      <c r="EL49" s="220">
        <f t="shared" si="245"/>
        <v>0</v>
      </c>
      <c r="EM49" s="220">
        <f t="shared" si="245"/>
        <v>0</v>
      </c>
      <c r="EN49" s="220">
        <f t="shared" si="245"/>
        <v>0</v>
      </c>
      <c r="EO49" s="220">
        <f t="shared" ref="EO49:ES49" si="246">SUM(EO41:EO48)</f>
        <v>0</v>
      </c>
      <c r="EP49" s="220">
        <f t="shared" si="246"/>
        <v>0</v>
      </c>
      <c r="EQ49" s="220">
        <f t="shared" si="246"/>
        <v>0</v>
      </c>
      <c r="ER49" s="220">
        <f t="shared" si="246"/>
        <v>0</v>
      </c>
      <c r="ES49" s="220">
        <f t="shared" si="246"/>
        <v>0</v>
      </c>
      <c r="EU49" s="153"/>
      <c r="EV49" s="154" t="s">
        <v>195</v>
      </c>
      <c r="EW49" s="230">
        <f>COUNTA($B$41:$B$48)</f>
        <v>8</v>
      </c>
      <c r="EX49" s="153"/>
      <c r="EY49" s="153"/>
      <c r="EZ49" s="154"/>
      <c r="FA49" s="153"/>
      <c r="FB49" s="153"/>
      <c r="FC49" s="153"/>
      <c r="FD49" s="153"/>
      <c r="FE49" s="153"/>
      <c r="FF49" s="153"/>
      <c r="FG49" s="153"/>
      <c r="FH49" s="153"/>
      <c r="FI49" s="153"/>
      <c r="FJ49" s="153"/>
      <c r="FK49" s="153"/>
      <c r="FL49" s="153"/>
      <c r="FM49" s="153"/>
      <c r="FN49" s="153"/>
      <c r="FO49" s="153"/>
      <c r="FP49" s="153"/>
      <c r="FQ49" s="153"/>
      <c r="FR49" s="153"/>
      <c r="FS49" s="153"/>
      <c r="FT49" s="153"/>
      <c r="FU49" s="153"/>
      <c r="FV49" s="153"/>
      <c r="FW49" s="153"/>
      <c r="FX49" s="153"/>
      <c r="FY49" s="153"/>
      <c r="FZ49" s="153"/>
      <c r="GA49" s="153"/>
      <c r="GB49" s="153"/>
      <c r="GC49" s="153"/>
      <c r="GD49" s="153"/>
      <c r="GE49" s="153"/>
      <c r="GF49" s="153"/>
      <c r="GG49" s="153"/>
      <c r="GH49" s="153"/>
      <c r="GI49" s="153"/>
      <c r="GJ49" s="153"/>
      <c r="GK49" s="153"/>
      <c r="GL49" s="153"/>
      <c r="GM49" s="153"/>
      <c r="GN49" s="153"/>
      <c r="GO49" s="153"/>
      <c r="GP49" s="153"/>
      <c r="GQ49" s="153"/>
      <c r="GR49" s="153"/>
      <c r="GS49" s="153"/>
      <c r="GT49" s="153"/>
      <c r="GU49" s="153"/>
      <c r="GV49" s="153"/>
      <c r="GW49" s="153"/>
      <c r="GX49" s="153"/>
      <c r="GY49" s="153"/>
      <c r="GZ49" s="153"/>
      <c r="HA49" s="153"/>
      <c r="HB49" s="153"/>
      <c r="HC49" s="153"/>
      <c r="HD49" s="153"/>
      <c r="HE49" s="153"/>
      <c r="HF49" s="153"/>
      <c r="HG49" s="153"/>
      <c r="HH49" s="153"/>
      <c r="HI49" s="153"/>
      <c r="HJ49" s="153"/>
      <c r="HK49" s="153"/>
      <c r="HL49" s="153"/>
      <c r="HM49" s="153"/>
      <c r="HN49" s="153"/>
      <c r="HO49" s="153"/>
      <c r="HP49" s="153"/>
      <c r="HQ49" s="153"/>
      <c r="HR49" s="153"/>
      <c r="HS49" s="153"/>
      <c r="HT49" s="153"/>
      <c r="HU49" s="153"/>
      <c r="HV49" s="153"/>
      <c r="HW49" s="153"/>
      <c r="HX49" s="153"/>
      <c r="HY49" s="153"/>
      <c r="HZ49" s="153"/>
      <c r="IA49" s="153"/>
      <c r="IB49" s="153"/>
      <c r="IC49" s="153"/>
      <c r="ID49" s="153"/>
      <c r="IE49" s="153"/>
      <c r="IF49" s="153"/>
      <c r="IG49" s="153"/>
      <c r="IH49" s="153"/>
      <c r="II49" s="153"/>
      <c r="IJ49" s="153"/>
      <c r="IK49" s="153"/>
      <c r="IL49" s="153"/>
      <c r="IM49" s="153"/>
      <c r="IN49" s="153"/>
      <c r="IO49" s="153"/>
      <c r="IP49" s="153"/>
      <c r="IQ49" s="153"/>
      <c r="IR49" s="153"/>
      <c r="IS49" s="153"/>
      <c r="IT49" s="153"/>
      <c r="IU49" s="153"/>
      <c r="IV49" s="153"/>
      <c r="IW49" s="153"/>
      <c r="IX49" s="153"/>
      <c r="IY49" s="153"/>
      <c r="IZ49" s="153"/>
      <c r="JA49" s="153"/>
      <c r="JB49" s="153"/>
      <c r="JC49" s="153"/>
      <c r="JD49" s="153"/>
      <c r="JE49" s="153"/>
      <c r="JF49" s="153"/>
      <c r="JG49" s="153"/>
      <c r="JH49" s="153"/>
      <c r="JI49" s="153"/>
      <c r="JJ49" s="153"/>
      <c r="JK49" s="153"/>
      <c r="JL49" s="153"/>
      <c r="JM49" s="153"/>
      <c r="JN49" s="153"/>
      <c r="JO49" s="153"/>
      <c r="JP49" s="153"/>
      <c r="JQ49" s="153"/>
      <c r="JR49" s="153"/>
      <c r="JS49" s="153"/>
      <c r="JT49" s="153"/>
      <c r="JU49" s="153"/>
      <c r="JV49" s="153"/>
      <c r="JW49" s="153"/>
      <c r="JX49" s="153"/>
      <c r="JY49" s="153"/>
      <c r="JZ49" s="153"/>
      <c r="KA49" s="153"/>
      <c r="KB49" s="153"/>
      <c r="KC49" s="153"/>
    </row>
    <row r="50" spans="1:289" ht="4.9000000000000004" customHeight="1" x14ac:dyDescent="0.25">
      <c r="B50" s="231"/>
      <c r="C50" s="196"/>
      <c r="D50" s="215"/>
      <c r="E50" s="196"/>
      <c r="F50" s="215"/>
      <c r="G50" s="238"/>
      <c r="H50" s="232"/>
      <c r="I50" s="232"/>
      <c r="EU50" s="153"/>
      <c r="EV50" s="153"/>
      <c r="EW50" s="153"/>
      <c r="EX50" s="153"/>
      <c r="EY50" s="153"/>
      <c r="EZ50" s="154"/>
      <c r="FA50" s="153"/>
      <c r="FB50" s="153"/>
      <c r="FC50" s="153"/>
      <c r="FD50" s="153"/>
      <c r="FE50" s="153"/>
      <c r="FF50" s="153"/>
      <c r="FG50" s="153"/>
      <c r="FH50" s="153"/>
      <c r="FI50" s="153"/>
      <c r="FJ50" s="153"/>
      <c r="FK50" s="153"/>
      <c r="FL50" s="153"/>
      <c r="FM50" s="153"/>
      <c r="FN50" s="153"/>
      <c r="FO50" s="153"/>
      <c r="FP50" s="153"/>
      <c r="FQ50" s="153"/>
      <c r="FR50" s="153"/>
      <c r="FS50" s="153"/>
      <c r="FT50" s="153"/>
      <c r="FU50" s="153"/>
      <c r="FV50" s="153"/>
      <c r="FW50" s="153"/>
      <c r="FX50" s="153"/>
      <c r="FY50" s="153"/>
      <c r="FZ50" s="153"/>
      <c r="GA50" s="153"/>
      <c r="GB50" s="153"/>
      <c r="GC50" s="153"/>
      <c r="GD50" s="153"/>
      <c r="GE50" s="153"/>
      <c r="GF50" s="153"/>
      <c r="GG50" s="153"/>
      <c r="GH50" s="153"/>
      <c r="GI50" s="153"/>
      <c r="GJ50" s="153"/>
      <c r="GK50" s="153"/>
      <c r="GL50" s="153"/>
      <c r="GM50" s="153"/>
      <c r="GN50" s="153"/>
      <c r="GO50" s="153"/>
      <c r="GP50" s="153"/>
      <c r="GQ50" s="153"/>
      <c r="GR50" s="153"/>
      <c r="GS50" s="153"/>
      <c r="GT50" s="153"/>
      <c r="GU50" s="153"/>
      <c r="GV50" s="153"/>
      <c r="GW50" s="153"/>
      <c r="GX50" s="153"/>
      <c r="GY50" s="153"/>
      <c r="GZ50" s="153"/>
      <c r="HA50" s="153"/>
      <c r="HB50" s="153"/>
      <c r="HC50" s="153"/>
      <c r="HD50" s="153"/>
      <c r="HE50" s="153"/>
      <c r="HF50" s="153"/>
      <c r="HG50" s="153"/>
      <c r="HH50" s="153"/>
      <c r="HI50" s="153"/>
      <c r="HJ50" s="153"/>
      <c r="HK50" s="153"/>
      <c r="HL50" s="153"/>
      <c r="HM50" s="153"/>
      <c r="HN50" s="153"/>
      <c r="HO50" s="153"/>
      <c r="HP50" s="153"/>
      <c r="HQ50" s="153"/>
      <c r="HR50" s="153"/>
      <c r="HS50" s="153"/>
      <c r="HT50" s="153"/>
      <c r="HU50" s="153"/>
      <c r="HV50" s="153"/>
      <c r="HW50" s="153"/>
      <c r="HX50" s="153"/>
      <c r="HY50" s="153"/>
      <c r="HZ50" s="153"/>
      <c r="IA50" s="153"/>
      <c r="IB50" s="153"/>
      <c r="IC50" s="153"/>
      <c r="ID50" s="153"/>
      <c r="IE50" s="153"/>
      <c r="IF50" s="153"/>
      <c r="IG50" s="153"/>
      <c r="IH50" s="153"/>
      <c r="II50" s="153"/>
      <c r="IJ50" s="153"/>
      <c r="IK50" s="153"/>
      <c r="IL50" s="153"/>
      <c r="IM50" s="153"/>
      <c r="IN50" s="153"/>
      <c r="IO50" s="153"/>
      <c r="IP50" s="153"/>
      <c r="IQ50" s="153"/>
      <c r="IR50" s="153"/>
      <c r="IS50" s="153"/>
      <c r="IT50" s="153"/>
      <c r="IU50" s="153"/>
      <c r="IV50" s="153"/>
      <c r="IW50" s="153"/>
      <c r="IX50" s="153"/>
      <c r="IY50" s="153"/>
      <c r="IZ50" s="153"/>
      <c r="JA50" s="153"/>
      <c r="JB50" s="153"/>
      <c r="JC50" s="153"/>
      <c r="JD50" s="153"/>
      <c r="JE50" s="153"/>
      <c r="JF50" s="153"/>
      <c r="JG50" s="153"/>
      <c r="JH50" s="153"/>
      <c r="JI50" s="153"/>
      <c r="JJ50" s="153"/>
      <c r="JK50" s="153"/>
      <c r="JL50" s="153"/>
      <c r="JM50" s="153"/>
      <c r="JN50" s="153"/>
      <c r="JO50" s="153"/>
      <c r="JP50" s="153"/>
      <c r="JQ50" s="153"/>
      <c r="JR50" s="153"/>
      <c r="JS50" s="153"/>
      <c r="JT50" s="153"/>
      <c r="JU50" s="153"/>
      <c r="JV50" s="153"/>
      <c r="JW50" s="153"/>
      <c r="JX50" s="153"/>
      <c r="JY50" s="153"/>
      <c r="JZ50" s="153"/>
      <c r="KA50" s="153"/>
      <c r="KB50" s="153"/>
      <c r="KC50" s="153"/>
    </row>
    <row r="51" spans="1:289" s="242" customFormat="1" x14ac:dyDescent="0.25">
      <c r="A51" s="150"/>
      <c r="B51" s="227" t="s">
        <v>478</v>
      </c>
      <c r="C51" s="239"/>
      <c r="D51" s="228"/>
      <c r="E51" s="239"/>
      <c r="F51" s="228"/>
      <c r="G51" s="240">
        <f>+G49+G38+G31</f>
        <v>235.60505645557188</v>
      </c>
      <c r="H51" s="241">
        <f>+H49+H38+H31</f>
        <v>239963.75</v>
      </c>
      <c r="I51" s="241">
        <f>+I49+I38+I31</f>
        <v>3839420</v>
      </c>
      <c r="K51" s="559"/>
      <c r="Q51" s="243">
        <f t="shared" ref="Q51:AV51" si="247">+Q49+Q38+Q31</f>
        <v>752002.85714285716</v>
      </c>
      <c r="R51" s="243">
        <f t="shared" si="247"/>
        <v>16840.908265539307</v>
      </c>
      <c r="S51" s="243">
        <f t="shared" si="247"/>
        <v>52504.923287438098</v>
      </c>
      <c r="T51" s="243">
        <f t="shared" si="247"/>
        <v>136519.80154125288</v>
      </c>
      <c r="U51" s="243">
        <f t="shared" si="247"/>
        <v>282437.29328717594</v>
      </c>
      <c r="V51" s="243">
        <f t="shared" si="247"/>
        <v>459629.91406893102</v>
      </c>
      <c r="W51" s="243">
        <f t="shared" si="247"/>
        <v>586584.30240680568</v>
      </c>
      <c r="X51" s="243">
        <f t="shared" si="247"/>
        <v>584581.44526394852</v>
      </c>
      <c r="Y51" s="243">
        <f t="shared" si="247"/>
        <v>457627.05692607397</v>
      </c>
      <c r="Z51" s="243">
        <f t="shared" si="247"/>
        <v>280434.43614431861</v>
      </c>
      <c r="AA51" s="243">
        <f t="shared" si="247"/>
        <v>134516.94439839578</v>
      </c>
      <c r="AB51" s="243">
        <f t="shared" si="247"/>
        <v>50502.066144580931</v>
      </c>
      <c r="AC51" s="243">
        <f t="shared" si="247"/>
        <v>14838.051122682213</v>
      </c>
      <c r="AD51" s="243">
        <f t="shared" si="247"/>
        <v>15200</v>
      </c>
      <c r="AE51" s="243">
        <f t="shared" si="247"/>
        <v>15200</v>
      </c>
      <c r="AF51" s="243">
        <f t="shared" si="247"/>
        <v>0</v>
      </c>
      <c r="AG51" s="243">
        <f t="shared" si="247"/>
        <v>0</v>
      </c>
      <c r="AH51" s="243">
        <f t="shared" si="247"/>
        <v>0</v>
      </c>
      <c r="AI51" s="243">
        <f t="shared" si="247"/>
        <v>0</v>
      </c>
      <c r="AJ51" s="243">
        <f t="shared" si="247"/>
        <v>0</v>
      </c>
      <c r="AK51" s="243">
        <f t="shared" si="247"/>
        <v>0</v>
      </c>
      <c r="AL51" s="243">
        <f t="shared" si="247"/>
        <v>0</v>
      </c>
      <c r="AM51" s="243">
        <f t="shared" si="247"/>
        <v>0</v>
      </c>
      <c r="AN51" s="243">
        <f t="shared" si="247"/>
        <v>0</v>
      </c>
      <c r="AO51" s="243">
        <f t="shared" si="247"/>
        <v>0</v>
      </c>
      <c r="AP51" s="243">
        <f t="shared" si="247"/>
        <v>0</v>
      </c>
      <c r="AQ51" s="243">
        <f t="shared" si="247"/>
        <v>0</v>
      </c>
      <c r="AR51" s="243">
        <f t="shared" si="247"/>
        <v>0</v>
      </c>
      <c r="AS51" s="243">
        <f t="shared" si="247"/>
        <v>0</v>
      </c>
      <c r="AT51" s="243">
        <f t="shared" si="247"/>
        <v>0</v>
      </c>
      <c r="AU51" s="243">
        <f t="shared" si="247"/>
        <v>0</v>
      </c>
      <c r="AV51" s="243">
        <f t="shared" si="247"/>
        <v>0</v>
      </c>
      <c r="AW51" s="243">
        <f t="shared" ref="AW51:CB51" si="248">+AW49+AW38+AW31</f>
        <v>0</v>
      </c>
      <c r="AX51" s="243">
        <f t="shared" si="248"/>
        <v>0</v>
      </c>
      <c r="AY51" s="243">
        <f t="shared" si="248"/>
        <v>0</v>
      </c>
      <c r="AZ51" s="243">
        <f t="shared" si="248"/>
        <v>0</v>
      </c>
      <c r="BA51" s="243">
        <f t="shared" si="248"/>
        <v>0</v>
      </c>
      <c r="BB51" s="243">
        <f t="shared" si="248"/>
        <v>0</v>
      </c>
      <c r="BC51" s="243">
        <f t="shared" si="248"/>
        <v>0</v>
      </c>
      <c r="BD51" s="243">
        <f t="shared" si="248"/>
        <v>0</v>
      </c>
      <c r="BE51" s="243">
        <f t="shared" si="248"/>
        <v>0</v>
      </c>
      <c r="BF51" s="243">
        <f t="shared" si="248"/>
        <v>0</v>
      </c>
      <c r="BG51" s="243">
        <f t="shared" si="248"/>
        <v>0</v>
      </c>
      <c r="BH51" s="243">
        <f t="shared" si="248"/>
        <v>0</v>
      </c>
      <c r="BI51" s="243">
        <f t="shared" si="248"/>
        <v>0</v>
      </c>
      <c r="BJ51" s="243">
        <f t="shared" si="248"/>
        <v>0</v>
      </c>
      <c r="BK51" s="243">
        <f t="shared" si="248"/>
        <v>0</v>
      </c>
      <c r="BL51" s="243">
        <f t="shared" si="248"/>
        <v>0</v>
      </c>
      <c r="BM51" s="243">
        <f t="shared" si="248"/>
        <v>0</v>
      </c>
      <c r="BN51" s="243">
        <f t="shared" si="248"/>
        <v>0</v>
      </c>
      <c r="BO51" s="243">
        <f t="shared" si="248"/>
        <v>0</v>
      </c>
      <c r="BP51" s="243">
        <f t="shared" si="248"/>
        <v>0</v>
      </c>
      <c r="BQ51" s="243">
        <f t="shared" si="248"/>
        <v>0</v>
      </c>
      <c r="BR51" s="243">
        <f t="shared" si="248"/>
        <v>0</v>
      </c>
      <c r="BS51" s="243">
        <f t="shared" si="248"/>
        <v>0</v>
      </c>
      <c r="BT51" s="243">
        <f t="shared" si="248"/>
        <v>0</v>
      </c>
      <c r="BU51" s="243">
        <f t="shared" si="248"/>
        <v>0</v>
      </c>
      <c r="BV51" s="243">
        <f t="shared" si="248"/>
        <v>0</v>
      </c>
      <c r="BW51" s="243">
        <f t="shared" si="248"/>
        <v>0</v>
      </c>
      <c r="BX51" s="243">
        <f t="shared" si="248"/>
        <v>0</v>
      </c>
      <c r="BY51" s="243">
        <f t="shared" si="248"/>
        <v>0</v>
      </c>
      <c r="BZ51" s="243">
        <f t="shared" si="248"/>
        <v>0</v>
      </c>
      <c r="CA51" s="243">
        <f t="shared" si="248"/>
        <v>0</v>
      </c>
      <c r="CB51" s="243">
        <f t="shared" si="248"/>
        <v>0</v>
      </c>
      <c r="CC51" s="243">
        <f t="shared" ref="CC51:DH51" si="249">+CC49+CC38+CC31</f>
        <v>0</v>
      </c>
      <c r="CD51" s="243">
        <f t="shared" si="249"/>
        <v>0</v>
      </c>
      <c r="CE51" s="243">
        <f t="shared" si="249"/>
        <v>0</v>
      </c>
      <c r="CF51" s="243">
        <f t="shared" si="249"/>
        <v>0</v>
      </c>
      <c r="CG51" s="243">
        <f t="shared" si="249"/>
        <v>0</v>
      </c>
      <c r="CH51" s="243">
        <f t="shared" si="249"/>
        <v>0</v>
      </c>
      <c r="CI51" s="243">
        <f t="shared" si="249"/>
        <v>0</v>
      </c>
      <c r="CJ51" s="243">
        <f t="shared" si="249"/>
        <v>0</v>
      </c>
      <c r="CK51" s="243">
        <f t="shared" si="249"/>
        <v>0</v>
      </c>
      <c r="CL51" s="243">
        <f t="shared" si="249"/>
        <v>0</v>
      </c>
      <c r="CM51" s="243">
        <f t="shared" si="249"/>
        <v>0</v>
      </c>
      <c r="CN51" s="243">
        <f t="shared" si="249"/>
        <v>0</v>
      </c>
      <c r="CO51" s="243">
        <f t="shared" si="249"/>
        <v>0</v>
      </c>
      <c r="CP51" s="243">
        <f t="shared" si="249"/>
        <v>0</v>
      </c>
      <c r="CQ51" s="243">
        <f t="shared" si="249"/>
        <v>0</v>
      </c>
      <c r="CR51" s="243">
        <f t="shared" si="249"/>
        <v>0</v>
      </c>
      <c r="CS51" s="243">
        <f t="shared" si="249"/>
        <v>0</v>
      </c>
      <c r="CT51" s="243">
        <f t="shared" si="249"/>
        <v>0</v>
      </c>
      <c r="CU51" s="243">
        <f t="shared" si="249"/>
        <v>0</v>
      </c>
      <c r="CV51" s="243">
        <f t="shared" si="249"/>
        <v>0</v>
      </c>
      <c r="CW51" s="243">
        <f t="shared" si="249"/>
        <v>0</v>
      </c>
      <c r="CX51" s="243">
        <f t="shared" si="249"/>
        <v>0</v>
      </c>
      <c r="CY51" s="243">
        <f t="shared" si="249"/>
        <v>0</v>
      </c>
      <c r="CZ51" s="243">
        <f t="shared" si="249"/>
        <v>0</v>
      </c>
      <c r="DA51" s="243">
        <f t="shared" si="249"/>
        <v>0</v>
      </c>
      <c r="DB51" s="243">
        <f t="shared" si="249"/>
        <v>0</v>
      </c>
      <c r="DC51" s="243">
        <f t="shared" si="249"/>
        <v>0</v>
      </c>
      <c r="DD51" s="243">
        <f t="shared" si="249"/>
        <v>0</v>
      </c>
      <c r="DE51" s="243">
        <f t="shared" si="249"/>
        <v>0</v>
      </c>
      <c r="DF51" s="243">
        <f t="shared" si="249"/>
        <v>0</v>
      </c>
      <c r="DG51" s="243">
        <f t="shared" si="249"/>
        <v>0</v>
      </c>
      <c r="DH51" s="243">
        <f t="shared" si="249"/>
        <v>0</v>
      </c>
      <c r="DI51" s="243">
        <f t="shared" ref="DI51:ES51" si="250">+DI49+DI38+DI31</f>
        <v>0</v>
      </c>
      <c r="DJ51" s="243">
        <f t="shared" si="250"/>
        <v>0</v>
      </c>
      <c r="DK51" s="243">
        <f t="shared" si="250"/>
        <v>0</v>
      </c>
      <c r="DL51" s="243">
        <f t="shared" si="250"/>
        <v>0</v>
      </c>
      <c r="DM51" s="243">
        <f t="shared" si="250"/>
        <v>0</v>
      </c>
      <c r="DN51" s="243">
        <f t="shared" si="250"/>
        <v>0</v>
      </c>
      <c r="DO51" s="243">
        <f t="shared" si="250"/>
        <v>0</v>
      </c>
      <c r="DP51" s="243">
        <f t="shared" si="250"/>
        <v>0</v>
      </c>
      <c r="DQ51" s="243">
        <f t="shared" si="250"/>
        <v>0</v>
      </c>
      <c r="DR51" s="243">
        <f t="shared" si="250"/>
        <v>0</v>
      </c>
      <c r="DS51" s="243">
        <f t="shared" si="250"/>
        <v>0</v>
      </c>
      <c r="DT51" s="243">
        <f t="shared" si="250"/>
        <v>0</v>
      </c>
      <c r="DU51" s="243">
        <f t="shared" si="250"/>
        <v>0</v>
      </c>
      <c r="DV51" s="243">
        <f t="shared" si="250"/>
        <v>0</v>
      </c>
      <c r="DW51" s="243">
        <f t="shared" si="250"/>
        <v>0</v>
      </c>
      <c r="DX51" s="243">
        <f t="shared" si="250"/>
        <v>0</v>
      </c>
      <c r="DY51" s="243">
        <f t="shared" si="250"/>
        <v>0</v>
      </c>
      <c r="DZ51" s="243">
        <f t="shared" si="250"/>
        <v>0</v>
      </c>
      <c r="EA51" s="243">
        <f t="shared" si="250"/>
        <v>0</v>
      </c>
      <c r="EB51" s="243">
        <f t="shared" si="250"/>
        <v>0</v>
      </c>
      <c r="EC51" s="243">
        <f t="shared" si="250"/>
        <v>0</v>
      </c>
      <c r="ED51" s="243">
        <f t="shared" si="250"/>
        <v>0</v>
      </c>
      <c r="EE51" s="243">
        <f t="shared" si="250"/>
        <v>0</v>
      </c>
      <c r="EF51" s="243">
        <f t="shared" si="250"/>
        <v>0</v>
      </c>
      <c r="EG51" s="243">
        <f t="shared" si="250"/>
        <v>0</v>
      </c>
      <c r="EH51" s="243">
        <f t="shared" si="250"/>
        <v>0</v>
      </c>
      <c r="EI51" s="243">
        <f t="shared" si="250"/>
        <v>0</v>
      </c>
      <c r="EJ51" s="243">
        <f t="shared" si="250"/>
        <v>0</v>
      </c>
      <c r="EK51" s="243">
        <f t="shared" si="250"/>
        <v>0</v>
      </c>
      <c r="EL51" s="243">
        <f t="shared" si="250"/>
        <v>0</v>
      </c>
      <c r="EM51" s="243">
        <f t="shared" si="250"/>
        <v>0</v>
      </c>
      <c r="EN51" s="243">
        <f t="shared" si="250"/>
        <v>0</v>
      </c>
      <c r="EO51" s="243">
        <f t="shared" si="250"/>
        <v>0</v>
      </c>
      <c r="EP51" s="243">
        <f t="shared" si="250"/>
        <v>0</v>
      </c>
      <c r="EQ51" s="243">
        <f t="shared" si="250"/>
        <v>0</v>
      </c>
      <c r="ER51" s="243">
        <f t="shared" si="250"/>
        <v>0</v>
      </c>
      <c r="ES51" s="243">
        <f t="shared" si="250"/>
        <v>0</v>
      </c>
      <c r="EU51" s="244"/>
      <c r="EV51" s="244"/>
      <c r="EW51" s="244"/>
      <c r="EX51" s="244"/>
      <c r="EY51" s="244"/>
      <c r="EZ51" s="245"/>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c r="HF51" s="244"/>
      <c r="HG51" s="244"/>
      <c r="HH51" s="244"/>
      <c r="HI51" s="244"/>
      <c r="HJ51" s="244"/>
      <c r="HK51" s="244"/>
      <c r="HL51" s="244"/>
      <c r="HM51" s="244"/>
      <c r="HN51" s="244"/>
      <c r="HO51" s="244"/>
      <c r="HP51" s="244"/>
      <c r="HQ51" s="244"/>
      <c r="HR51" s="244"/>
      <c r="HS51" s="244"/>
      <c r="HT51" s="244"/>
      <c r="HU51" s="244"/>
      <c r="HV51" s="244"/>
      <c r="HW51" s="244"/>
      <c r="HX51" s="244"/>
      <c r="HY51" s="244"/>
      <c r="HZ51" s="244"/>
      <c r="IA51" s="244"/>
      <c r="IB51" s="244"/>
      <c r="IC51" s="244"/>
      <c r="ID51" s="244"/>
      <c r="IE51" s="244"/>
      <c r="IF51" s="244"/>
      <c r="IG51" s="244"/>
      <c r="IH51" s="244"/>
      <c r="II51" s="244"/>
      <c r="IJ51" s="244"/>
      <c r="IK51" s="244"/>
      <c r="IL51" s="244"/>
      <c r="IM51" s="244"/>
      <c r="IN51" s="244"/>
      <c r="IO51" s="244"/>
      <c r="IP51" s="244"/>
      <c r="IQ51" s="244"/>
      <c r="IR51" s="244"/>
      <c r="IS51" s="244"/>
      <c r="IT51" s="244"/>
      <c r="IU51" s="244"/>
      <c r="IV51" s="244"/>
      <c r="IW51" s="244"/>
      <c r="IX51" s="244"/>
      <c r="IY51" s="244"/>
      <c r="IZ51" s="244"/>
      <c r="JA51" s="244"/>
      <c r="JB51" s="244"/>
      <c r="JC51" s="244"/>
      <c r="JD51" s="244"/>
      <c r="JE51" s="244"/>
      <c r="JF51" s="244"/>
      <c r="JG51" s="244"/>
      <c r="JH51" s="244"/>
      <c r="JI51" s="244"/>
      <c r="JJ51" s="244"/>
      <c r="JK51" s="244"/>
      <c r="JL51" s="244"/>
      <c r="JM51" s="244"/>
      <c r="JN51" s="244"/>
      <c r="JO51" s="244"/>
      <c r="JP51" s="244"/>
      <c r="JQ51" s="244"/>
      <c r="JR51" s="244"/>
      <c r="JS51" s="244"/>
      <c r="JT51" s="244"/>
      <c r="JU51" s="244"/>
      <c r="JV51" s="244"/>
      <c r="JW51" s="244"/>
      <c r="JX51" s="244"/>
      <c r="JY51" s="244"/>
      <c r="JZ51" s="244"/>
      <c r="KA51" s="244"/>
      <c r="KB51" s="244"/>
      <c r="KC51" s="244"/>
    </row>
    <row r="52" spans="1:289" ht="5.0999999999999996" customHeight="1" x14ac:dyDescent="0.25">
      <c r="B52" s="231"/>
      <c r="C52" s="196"/>
      <c r="D52" s="215"/>
      <c r="E52" s="196"/>
      <c r="F52" s="215"/>
      <c r="G52" s="238"/>
      <c r="H52" s="232"/>
      <c r="I52" s="232"/>
      <c r="EU52" s="153"/>
      <c r="EV52" s="153"/>
      <c r="EW52" s="153"/>
      <c r="EX52" s="153"/>
      <c r="EY52" s="153"/>
      <c r="EZ52" s="154"/>
      <c r="FA52" s="153"/>
      <c r="FB52" s="153"/>
      <c r="FC52" s="153"/>
      <c r="FD52" s="153"/>
      <c r="FE52" s="153"/>
      <c r="FF52" s="153"/>
      <c r="FG52" s="153"/>
      <c r="FH52" s="153"/>
      <c r="FI52" s="153"/>
      <c r="FJ52" s="153"/>
      <c r="FK52" s="153"/>
      <c r="FL52" s="153"/>
      <c r="FM52" s="153"/>
      <c r="FN52" s="153"/>
      <c r="FO52" s="153"/>
      <c r="FP52" s="153"/>
      <c r="FQ52" s="153"/>
      <c r="FR52" s="153"/>
      <c r="FS52" s="153"/>
      <c r="FT52" s="153"/>
      <c r="FU52" s="153"/>
      <c r="FV52" s="153"/>
      <c r="FW52" s="153"/>
      <c r="FX52" s="153"/>
      <c r="FY52" s="153"/>
      <c r="FZ52" s="153"/>
      <c r="GA52" s="153"/>
      <c r="GB52" s="153"/>
      <c r="GC52" s="153"/>
      <c r="GD52" s="153"/>
      <c r="GE52" s="153"/>
      <c r="GF52" s="153"/>
      <c r="GG52" s="153"/>
      <c r="GH52" s="153"/>
      <c r="GI52" s="153"/>
      <c r="GJ52" s="153"/>
      <c r="GK52" s="153"/>
      <c r="GL52" s="153"/>
      <c r="GM52" s="153"/>
      <c r="GN52" s="153"/>
      <c r="GO52" s="153"/>
      <c r="GP52" s="153"/>
      <c r="GQ52" s="153"/>
      <c r="GR52" s="153"/>
      <c r="GS52" s="153"/>
      <c r="GT52" s="153"/>
      <c r="GU52" s="153"/>
      <c r="GV52" s="153"/>
      <c r="GW52" s="153"/>
      <c r="GX52" s="153"/>
      <c r="GY52" s="153"/>
      <c r="GZ52" s="153"/>
      <c r="HA52" s="153"/>
      <c r="HB52" s="153"/>
      <c r="HC52" s="153"/>
      <c r="HD52" s="153"/>
      <c r="HE52" s="153"/>
      <c r="HF52" s="153"/>
      <c r="HG52" s="153"/>
      <c r="HH52" s="153"/>
      <c r="HI52" s="153"/>
      <c r="HJ52" s="153"/>
      <c r="HK52" s="153"/>
      <c r="HL52" s="153"/>
      <c r="HM52" s="153"/>
      <c r="HN52" s="153"/>
      <c r="HO52" s="153"/>
      <c r="HP52" s="153"/>
      <c r="HQ52" s="153"/>
      <c r="HR52" s="153"/>
      <c r="HS52" s="153"/>
      <c r="HT52" s="153"/>
      <c r="HU52" s="153"/>
      <c r="HV52" s="153"/>
      <c r="HW52" s="153"/>
      <c r="HX52" s="153"/>
      <c r="HY52" s="153"/>
      <c r="HZ52" s="153"/>
      <c r="IA52" s="153"/>
      <c r="IB52" s="153"/>
      <c r="IC52" s="153"/>
      <c r="ID52" s="153"/>
      <c r="IE52" s="153"/>
      <c r="IF52" s="153"/>
      <c r="IG52" s="153"/>
      <c r="IH52" s="153"/>
      <c r="II52" s="153"/>
      <c r="IJ52" s="153"/>
      <c r="IK52" s="153"/>
      <c r="IL52" s="153"/>
      <c r="IM52" s="153"/>
      <c r="IN52" s="153"/>
      <c r="IO52" s="153"/>
      <c r="IP52" s="153"/>
      <c r="IQ52" s="153"/>
      <c r="IR52" s="153"/>
      <c r="IS52" s="153"/>
      <c r="IT52" s="153"/>
      <c r="IU52" s="153"/>
      <c r="IV52" s="153"/>
      <c r="IW52" s="153"/>
      <c r="IX52" s="153"/>
      <c r="IY52" s="153"/>
      <c r="IZ52" s="153"/>
      <c r="JA52" s="153"/>
      <c r="JB52" s="153"/>
      <c r="JC52" s="153"/>
      <c r="JD52" s="153"/>
      <c r="JE52" s="153"/>
      <c r="JF52" s="153"/>
      <c r="JG52" s="153"/>
      <c r="JH52" s="153"/>
      <c r="JI52" s="153"/>
      <c r="JJ52" s="153"/>
      <c r="JK52" s="153"/>
      <c r="JL52" s="153"/>
      <c r="JM52" s="153"/>
      <c r="JN52" s="153"/>
      <c r="JO52" s="153"/>
      <c r="JP52" s="153"/>
      <c r="JQ52" s="153"/>
      <c r="JR52" s="153"/>
      <c r="JS52" s="153"/>
      <c r="JT52" s="153"/>
      <c r="JU52" s="153"/>
      <c r="JV52" s="153"/>
      <c r="JW52" s="153"/>
      <c r="JX52" s="153"/>
      <c r="JY52" s="153"/>
      <c r="JZ52" s="153"/>
      <c r="KA52" s="153"/>
      <c r="KB52" s="153"/>
      <c r="KC52" s="153"/>
    </row>
    <row r="53" spans="1:289" x14ac:dyDescent="0.25">
      <c r="B53" s="227" t="s">
        <v>36</v>
      </c>
      <c r="C53" s="196"/>
      <c r="D53" s="215"/>
      <c r="E53" s="196"/>
      <c r="F53" s="246" t="s">
        <v>599</v>
      </c>
      <c r="G53" s="238"/>
      <c r="H53" s="232"/>
      <c r="I53" s="232"/>
      <c r="EU53" s="247" t="s">
        <v>85</v>
      </c>
      <c r="EV53" s="153"/>
      <c r="EW53" s="153"/>
      <c r="EX53" s="153"/>
      <c r="EY53" s="153"/>
      <c r="EZ53" s="207" t="s">
        <v>68</v>
      </c>
      <c r="FA53" s="248">
        <f t="shared" ref="FA53:GF53" si="251">FA3</f>
        <v>0</v>
      </c>
      <c r="FB53" s="248">
        <f t="shared" si="251"/>
        <v>1</v>
      </c>
      <c r="FC53" s="248">
        <f t="shared" si="251"/>
        <v>2</v>
      </c>
      <c r="FD53" s="248">
        <f t="shared" si="251"/>
        <v>3</v>
      </c>
      <c r="FE53" s="248">
        <f t="shared" si="251"/>
        <v>4</v>
      </c>
      <c r="FF53" s="248">
        <f t="shared" si="251"/>
        <v>5</v>
      </c>
      <c r="FG53" s="248">
        <f t="shared" si="251"/>
        <v>6</v>
      </c>
      <c r="FH53" s="248">
        <f t="shared" si="251"/>
        <v>7</v>
      </c>
      <c r="FI53" s="248">
        <f t="shared" si="251"/>
        <v>8</v>
      </c>
      <c r="FJ53" s="248">
        <f t="shared" si="251"/>
        <v>9</v>
      </c>
      <c r="FK53" s="248">
        <f t="shared" si="251"/>
        <v>10</v>
      </c>
      <c r="FL53" s="248">
        <f t="shared" si="251"/>
        <v>11</v>
      </c>
      <c r="FM53" s="248">
        <f t="shared" si="251"/>
        <v>12</v>
      </c>
      <c r="FN53" s="248">
        <f t="shared" si="251"/>
        <v>13</v>
      </c>
      <c r="FO53" s="248">
        <f t="shared" si="251"/>
        <v>14</v>
      </c>
      <c r="FP53" s="248">
        <f t="shared" si="251"/>
        <v>15</v>
      </c>
      <c r="FQ53" s="248">
        <f t="shared" si="251"/>
        <v>16</v>
      </c>
      <c r="FR53" s="248">
        <f t="shared" si="251"/>
        <v>17</v>
      </c>
      <c r="FS53" s="248">
        <f t="shared" si="251"/>
        <v>18</v>
      </c>
      <c r="FT53" s="248">
        <f t="shared" si="251"/>
        <v>19</v>
      </c>
      <c r="FU53" s="248">
        <f t="shared" si="251"/>
        <v>20</v>
      </c>
      <c r="FV53" s="248">
        <f t="shared" si="251"/>
        <v>21</v>
      </c>
      <c r="FW53" s="248">
        <f t="shared" si="251"/>
        <v>22</v>
      </c>
      <c r="FX53" s="248">
        <f t="shared" si="251"/>
        <v>23</v>
      </c>
      <c r="FY53" s="248">
        <f t="shared" si="251"/>
        <v>24</v>
      </c>
      <c r="FZ53" s="248">
        <f t="shared" si="251"/>
        <v>25</v>
      </c>
      <c r="GA53" s="248">
        <f t="shared" si="251"/>
        <v>26</v>
      </c>
      <c r="GB53" s="248">
        <f t="shared" si="251"/>
        <v>27</v>
      </c>
      <c r="GC53" s="248">
        <f t="shared" si="251"/>
        <v>28</v>
      </c>
      <c r="GD53" s="248">
        <f t="shared" si="251"/>
        <v>29</v>
      </c>
      <c r="GE53" s="248">
        <f t="shared" si="251"/>
        <v>30</v>
      </c>
      <c r="GF53" s="248">
        <f t="shared" si="251"/>
        <v>31</v>
      </c>
      <c r="GG53" s="248">
        <f t="shared" ref="GG53:HL53" si="252">GG3</f>
        <v>32</v>
      </c>
      <c r="GH53" s="248">
        <f t="shared" si="252"/>
        <v>33</v>
      </c>
      <c r="GI53" s="248">
        <f t="shared" si="252"/>
        <v>34</v>
      </c>
      <c r="GJ53" s="248">
        <f t="shared" si="252"/>
        <v>35</v>
      </c>
      <c r="GK53" s="248">
        <f t="shared" si="252"/>
        <v>36</v>
      </c>
      <c r="GL53" s="248">
        <f t="shared" si="252"/>
        <v>37</v>
      </c>
      <c r="GM53" s="248">
        <f t="shared" si="252"/>
        <v>38</v>
      </c>
      <c r="GN53" s="248">
        <f t="shared" si="252"/>
        <v>39</v>
      </c>
      <c r="GO53" s="248">
        <f t="shared" si="252"/>
        <v>40</v>
      </c>
      <c r="GP53" s="248">
        <f t="shared" si="252"/>
        <v>41</v>
      </c>
      <c r="GQ53" s="248">
        <f t="shared" si="252"/>
        <v>42</v>
      </c>
      <c r="GR53" s="248">
        <f t="shared" si="252"/>
        <v>43</v>
      </c>
      <c r="GS53" s="248">
        <f t="shared" si="252"/>
        <v>44</v>
      </c>
      <c r="GT53" s="248">
        <f t="shared" si="252"/>
        <v>45</v>
      </c>
      <c r="GU53" s="248">
        <f t="shared" si="252"/>
        <v>46</v>
      </c>
      <c r="GV53" s="248">
        <f t="shared" si="252"/>
        <v>47</v>
      </c>
      <c r="GW53" s="248">
        <f t="shared" si="252"/>
        <v>48</v>
      </c>
      <c r="GX53" s="248">
        <f t="shared" si="252"/>
        <v>49</v>
      </c>
      <c r="GY53" s="248">
        <f t="shared" si="252"/>
        <v>50</v>
      </c>
      <c r="GZ53" s="248">
        <f t="shared" si="252"/>
        <v>51</v>
      </c>
      <c r="HA53" s="248">
        <f t="shared" si="252"/>
        <v>52</v>
      </c>
      <c r="HB53" s="248">
        <f t="shared" si="252"/>
        <v>53</v>
      </c>
      <c r="HC53" s="248">
        <f t="shared" si="252"/>
        <v>54</v>
      </c>
      <c r="HD53" s="248">
        <f t="shared" si="252"/>
        <v>55</v>
      </c>
      <c r="HE53" s="248">
        <f t="shared" si="252"/>
        <v>56</v>
      </c>
      <c r="HF53" s="248">
        <f t="shared" si="252"/>
        <v>57</v>
      </c>
      <c r="HG53" s="248">
        <f t="shared" si="252"/>
        <v>58</v>
      </c>
      <c r="HH53" s="248">
        <f t="shared" si="252"/>
        <v>59</v>
      </c>
      <c r="HI53" s="248">
        <f t="shared" si="252"/>
        <v>60</v>
      </c>
      <c r="HJ53" s="248">
        <f t="shared" si="252"/>
        <v>61</v>
      </c>
      <c r="HK53" s="248">
        <f t="shared" si="252"/>
        <v>62</v>
      </c>
      <c r="HL53" s="248">
        <f t="shared" si="252"/>
        <v>63</v>
      </c>
      <c r="HM53" s="248">
        <f t="shared" ref="HM53:IR53" si="253">HM3</f>
        <v>64</v>
      </c>
      <c r="HN53" s="248">
        <f t="shared" si="253"/>
        <v>65</v>
      </c>
      <c r="HO53" s="248">
        <f t="shared" si="253"/>
        <v>66</v>
      </c>
      <c r="HP53" s="248">
        <f t="shared" si="253"/>
        <v>67</v>
      </c>
      <c r="HQ53" s="248">
        <f t="shared" si="253"/>
        <v>68</v>
      </c>
      <c r="HR53" s="248">
        <f t="shared" si="253"/>
        <v>69</v>
      </c>
      <c r="HS53" s="248">
        <f t="shared" si="253"/>
        <v>70</v>
      </c>
      <c r="HT53" s="248">
        <f t="shared" si="253"/>
        <v>71</v>
      </c>
      <c r="HU53" s="248">
        <f t="shared" si="253"/>
        <v>72</v>
      </c>
      <c r="HV53" s="248">
        <f t="shared" si="253"/>
        <v>73</v>
      </c>
      <c r="HW53" s="248">
        <f t="shared" si="253"/>
        <v>74</v>
      </c>
      <c r="HX53" s="248">
        <f t="shared" si="253"/>
        <v>75</v>
      </c>
      <c r="HY53" s="248">
        <f t="shared" si="253"/>
        <v>76</v>
      </c>
      <c r="HZ53" s="248">
        <f t="shared" si="253"/>
        <v>77</v>
      </c>
      <c r="IA53" s="248">
        <f t="shared" si="253"/>
        <v>78</v>
      </c>
      <c r="IB53" s="248">
        <f t="shared" si="253"/>
        <v>79</v>
      </c>
      <c r="IC53" s="248">
        <f t="shared" si="253"/>
        <v>80</v>
      </c>
      <c r="ID53" s="248">
        <f t="shared" si="253"/>
        <v>81</v>
      </c>
      <c r="IE53" s="248">
        <f t="shared" si="253"/>
        <v>82</v>
      </c>
      <c r="IF53" s="248">
        <f t="shared" si="253"/>
        <v>83</v>
      </c>
      <c r="IG53" s="248">
        <f t="shared" si="253"/>
        <v>84</v>
      </c>
      <c r="IH53" s="248">
        <f t="shared" si="253"/>
        <v>85</v>
      </c>
      <c r="II53" s="248">
        <f t="shared" si="253"/>
        <v>86</v>
      </c>
      <c r="IJ53" s="248">
        <f t="shared" si="253"/>
        <v>87</v>
      </c>
      <c r="IK53" s="248">
        <f t="shared" si="253"/>
        <v>88</v>
      </c>
      <c r="IL53" s="248">
        <f t="shared" si="253"/>
        <v>89</v>
      </c>
      <c r="IM53" s="248">
        <f t="shared" si="253"/>
        <v>90</v>
      </c>
      <c r="IN53" s="248">
        <f t="shared" si="253"/>
        <v>91</v>
      </c>
      <c r="IO53" s="248">
        <f t="shared" si="253"/>
        <v>92</v>
      </c>
      <c r="IP53" s="248">
        <f t="shared" si="253"/>
        <v>93</v>
      </c>
      <c r="IQ53" s="248">
        <f t="shared" si="253"/>
        <v>94</v>
      </c>
      <c r="IR53" s="248">
        <f t="shared" si="253"/>
        <v>95</v>
      </c>
      <c r="IS53" s="248">
        <f t="shared" ref="IS53:KC53" si="254">IS3</f>
        <v>96</v>
      </c>
      <c r="IT53" s="248">
        <f t="shared" si="254"/>
        <v>97</v>
      </c>
      <c r="IU53" s="248">
        <f t="shared" si="254"/>
        <v>98</v>
      </c>
      <c r="IV53" s="248">
        <f t="shared" si="254"/>
        <v>99</v>
      </c>
      <c r="IW53" s="248">
        <f t="shared" si="254"/>
        <v>100</v>
      </c>
      <c r="IX53" s="248">
        <f t="shared" si="254"/>
        <v>101</v>
      </c>
      <c r="IY53" s="248">
        <f t="shared" si="254"/>
        <v>102</v>
      </c>
      <c r="IZ53" s="248">
        <f t="shared" si="254"/>
        <v>103</v>
      </c>
      <c r="JA53" s="248">
        <f t="shared" si="254"/>
        <v>104</v>
      </c>
      <c r="JB53" s="248">
        <f t="shared" si="254"/>
        <v>105</v>
      </c>
      <c r="JC53" s="248">
        <f t="shared" si="254"/>
        <v>106</v>
      </c>
      <c r="JD53" s="248">
        <f t="shared" si="254"/>
        <v>107</v>
      </c>
      <c r="JE53" s="248">
        <f t="shared" si="254"/>
        <v>108</v>
      </c>
      <c r="JF53" s="248">
        <f t="shared" si="254"/>
        <v>109</v>
      </c>
      <c r="JG53" s="248">
        <f t="shared" si="254"/>
        <v>110</v>
      </c>
      <c r="JH53" s="248">
        <f t="shared" si="254"/>
        <v>111</v>
      </c>
      <c r="JI53" s="248">
        <f t="shared" si="254"/>
        <v>112</v>
      </c>
      <c r="JJ53" s="248">
        <f t="shared" si="254"/>
        <v>113</v>
      </c>
      <c r="JK53" s="248">
        <f t="shared" si="254"/>
        <v>114</v>
      </c>
      <c r="JL53" s="248">
        <f t="shared" si="254"/>
        <v>115</v>
      </c>
      <c r="JM53" s="248">
        <f t="shared" si="254"/>
        <v>116</v>
      </c>
      <c r="JN53" s="248">
        <f t="shared" si="254"/>
        <v>117</v>
      </c>
      <c r="JO53" s="248">
        <f t="shared" si="254"/>
        <v>118</v>
      </c>
      <c r="JP53" s="248">
        <f t="shared" si="254"/>
        <v>119</v>
      </c>
      <c r="JQ53" s="248">
        <f t="shared" si="254"/>
        <v>120</v>
      </c>
      <c r="JR53" s="248">
        <f t="shared" si="254"/>
        <v>121</v>
      </c>
      <c r="JS53" s="248">
        <f t="shared" si="254"/>
        <v>122</v>
      </c>
      <c r="JT53" s="248">
        <f t="shared" si="254"/>
        <v>123</v>
      </c>
      <c r="JU53" s="248">
        <f t="shared" si="254"/>
        <v>124</v>
      </c>
      <c r="JV53" s="248">
        <f t="shared" si="254"/>
        <v>125</v>
      </c>
      <c r="JW53" s="248">
        <f t="shared" si="254"/>
        <v>126</v>
      </c>
      <c r="JX53" s="248">
        <f t="shared" si="254"/>
        <v>127</v>
      </c>
      <c r="JY53" s="248">
        <f t="shared" si="254"/>
        <v>128</v>
      </c>
      <c r="JZ53" s="248">
        <f t="shared" si="254"/>
        <v>129</v>
      </c>
      <c r="KA53" s="248">
        <f t="shared" si="254"/>
        <v>130</v>
      </c>
      <c r="KB53" s="248">
        <f t="shared" si="254"/>
        <v>131</v>
      </c>
      <c r="KC53" s="248">
        <f t="shared" si="254"/>
        <v>132</v>
      </c>
    </row>
    <row r="54" spans="1:289" x14ac:dyDescent="0.25">
      <c r="B54" s="234" t="s">
        <v>188</v>
      </c>
      <c r="C54" s="196"/>
      <c r="D54" s="215"/>
      <c r="E54" s="196"/>
      <c r="F54" s="249">
        <v>0</v>
      </c>
      <c r="G54" s="240">
        <f ca="1">I54/Units_SF_M2</f>
        <v>7.8966074253822081</v>
      </c>
      <c r="H54" s="229">
        <f ca="1">I54/Units</f>
        <v>8042.6946627517791</v>
      </c>
      <c r="I54" s="229">
        <f ca="1">SUM(Q54:ES54)</f>
        <v>128683.11460402847</v>
      </c>
      <c r="Q54" s="220">
        <f>FA60</f>
        <v>0</v>
      </c>
      <c r="R54" s="220">
        <f t="shared" ref="R54:CC54" ca="1" si="255">FB60</f>
        <v>0</v>
      </c>
      <c r="S54" s="220">
        <f t="shared" ca="1" si="255"/>
        <v>0</v>
      </c>
      <c r="T54" s="220">
        <f t="shared" ca="1" si="255"/>
        <v>0</v>
      </c>
      <c r="U54" s="220">
        <f t="shared" ca="1" si="255"/>
        <v>0</v>
      </c>
      <c r="V54" s="220">
        <f t="shared" ca="1" si="255"/>
        <v>0</v>
      </c>
      <c r="W54" s="220">
        <f t="shared" ca="1" si="255"/>
        <v>1291.629712288528</v>
      </c>
      <c r="X54" s="220">
        <f t="shared" ca="1" si="255"/>
        <v>6190.5958132809792</v>
      </c>
      <c r="Y54" s="220">
        <f t="shared" ca="1" si="255"/>
        <v>11113.696155591226</v>
      </c>
      <c r="Z54" s="220">
        <f t="shared" ca="1" si="255"/>
        <v>15019.869097938436</v>
      </c>
      <c r="AA54" s="220">
        <f t="shared" ca="1" si="255"/>
        <v>17481.98830829058</v>
      </c>
      <c r="AB54" s="220">
        <f t="shared" ca="1" si="255"/>
        <v>18748.646080846302</v>
      </c>
      <c r="AC54" s="220">
        <f t="shared" ca="1" si="255"/>
        <v>19325.735349391529</v>
      </c>
      <c r="AD54" s="220">
        <f t="shared" ca="1" si="255"/>
        <v>19610.433569992147</v>
      </c>
      <c r="AE54" s="220">
        <f t="shared" ca="1" si="255"/>
        <v>19900.520516408742</v>
      </c>
      <c r="AF54" s="220">
        <f t="shared" ca="1" si="255"/>
        <v>0</v>
      </c>
      <c r="AG54" s="220">
        <f t="shared" ca="1" si="255"/>
        <v>0</v>
      </c>
      <c r="AH54" s="220">
        <f t="shared" ca="1" si="255"/>
        <v>0</v>
      </c>
      <c r="AI54" s="220">
        <f t="shared" ca="1" si="255"/>
        <v>0</v>
      </c>
      <c r="AJ54" s="220">
        <f t="shared" ca="1" si="255"/>
        <v>0</v>
      </c>
      <c r="AK54" s="220">
        <f t="shared" ca="1" si="255"/>
        <v>0</v>
      </c>
      <c r="AL54" s="220">
        <f t="shared" ca="1" si="255"/>
        <v>0</v>
      </c>
      <c r="AM54" s="220">
        <f t="shared" ca="1" si="255"/>
        <v>0</v>
      </c>
      <c r="AN54" s="220">
        <f t="shared" ca="1" si="255"/>
        <v>0</v>
      </c>
      <c r="AO54" s="220">
        <f t="shared" ca="1" si="255"/>
        <v>0</v>
      </c>
      <c r="AP54" s="220">
        <f t="shared" ca="1" si="255"/>
        <v>0</v>
      </c>
      <c r="AQ54" s="220">
        <f t="shared" ca="1" si="255"/>
        <v>0</v>
      </c>
      <c r="AR54" s="220">
        <f t="shared" ca="1" si="255"/>
        <v>0</v>
      </c>
      <c r="AS54" s="220">
        <f t="shared" ca="1" si="255"/>
        <v>0</v>
      </c>
      <c r="AT54" s="220">
        <f t="shared" ca="1" si="255"/>
        <v>0</v>
      </c>
      <c r="AU54" s="220">
        <f t="shared" ca="1" si="255"/>
        <v>0</v>
      </c>
      <c r="AV54" s="220">
        <f t="shared" ca="1" si="255"/>
        <v>0</v>
      </c>
      <c r="AW54" s="220">
        <f t="shared" ca="1" si="255"/>
        <v>0</v>
      </c>
      <c r="AX54" s="220">
        <f t="shared" ca="1" si="255"/>
        <v>0</v>
      </c>
      <c r="AY54" s="220">
        <f t="shared" ca="1" si="255"/>
        <v>0</v>
      </c>
      <c r="AZ54" s="220">
        <f t="shared" ca="1" si="255"/>
        <v>0</v>
      </c>
      <c r="BA54" s="220">
        <f t="shared" ca="1" si="255"/>
        <v>0</v>
      </c>
      <c r="BB54" s="220">
        <f t="shared" ca="1" si="255"/>
        <v>0</v>
      </c>
      <c r="BC54" s="220">
        <f t="shared" ca="1" si="255"/>
        <v>0</v>
      </c>
      <c r="BD54" s="220">
        <f t="shared" ca="1" si="255"/>
        <v>0</v>
      </c>
      <c r="BE54" s="220">
        <f t="shared" ca="1" si="255"/>
        <v>0</v>
      </c>
      <c r="BF54" s="220">
        <f t="shared" ca="1" si="255"/>
        <v>0</v>
      </c>
      <c r="BG54" s="220">
        <f t="shared" ca="1" si="255"/>
        <v>0</v>
      </c>
      <c r="BH54" s="220">
        <f t="shared" ca="1" si="255"/>
        <v>0</v>
      </c>
      <c r="BI54" s="220">
        <f t="shared" ca="1" si="255"/>
        <v>0</v>
      </c>
      <c r="BJ54" s="220">
        <f t="shared" ca="1" si="255"/>
        <v>0</v>
      </c>
      <c r="BK54" s="220">
        <f t="shared" ca="1" si="255"/>
        <v>0</v>
      </c>
      <c r="BL54" s="220">
        <f t="shared" ca="1" si="255"/>
        <v>0</v>
      </c>
      <c r="BM54" s="220">
        <f t="shared" ca="1" si="255"/>
        <v>0</v>
      </c>
      <c r="BN54" s="220">
        <f t="shared" ca="1" si="255"/>
        <v>0</v>
      </c>
      <c r="BO54" s="220">
        <f t="shared" ca="1" si="255"/>
        <v>0</v>
      </c>
      <c r="BP54" s="220">
        <f t="shared" ca="1" si="255"/>
        <v>0</v>
      </c>
      <c r="BQ54" s="220">
        <f t="shared" ca="1" si="255"/>
        <v>0</v>
      </c>
      <c r="BR54" s="220">
        <f t="shared" ca="1" si="255"/>
        <v>0</v>
      </c>
      <c r="BS54" s="220">
        <f t="shared" ca="1" si="255"/>
        <v>0</v>
      </c>
      <c r="BT54" s="220">
        <f t="shared" ca="1" si="255"/>
        <v>0</v>
      </c>
      <c r="BU54" s="220">
        <f t="shared" ca="1" si="255"/>
        <v>0</v>
      </c>
      <c r="BV54" s="220">
        <f t="shared" ca="1" si="255"/>
        <v>0</v>
      </c>
      <c r="BW54" s="220">
        <f t="shared" ca="1" si="255"/>
        <v>0</v>
      </c>
      <c r="BX54" s="220">
        <f t="shared" ca="1" si="255"/>
        <v>0</v>
      </c>
      <c r="BY54" s="220">
        <f t="shared" ca="1" si="255"/>
        <v>0</v>
      </c>
      <c r="BZ54" s="220">
        <f t="shared" ca="1" si="255"/>
        <v>0</v>
      </c>
      <c r="CA54" s="220">
        <f t="shared" ca="1" si="255"/>
        <v>0</v>
      </c>
      <c r="CB54" s="220">
        <f t="shared" ca="1" si="255"/>
        <v>0</v>
      </c>
      <c r="CC54" s="220">
        <f t="shared" ca="1" si="255"/>
        <v>0</v>
      </c>
      <c r="CD54" s="220">
        <f t="shared" ref="CD54:EO54" ca="1" si="256">HN60</f>
        <v>0</v>
      </c>
      <c r="CE54" s="220">
        <f t="shared" ca="1" si="256"/>
        <v>0</v>
      </c>
      <c r="CF54" s="220">
        <f t="shared" ca="1" si="256"/>
        <v>0</v>
      </c>
      <c r="CG54" s="220">
        <f t="shared" ca="1" si="256"/>
        <v>0</v>
      </c>
      <c r="CH54" s="220">
        <f t="shared" ca="1" si="256"/>
        <v>0</v>
      </c>
      <c r="CI54" s="220">
        <f t="shared" ca="1" si="256"/>
        <v>0</v>
      </c>
      <c r="CJ54" s="220">
        <f t="shared" ca="1" si="256"/>
        <v>0</v>
      </c>
      <c r="CK54" s="220">
        <f t="shared" ca="1" si="256"/>
        <v>0</v>
      </c>
      <c r="CL54" s="220">
        <f t="shared" ca="1" si="256"/>
        <v>0</v>
      </c>
      <c r="CM54" s="220">
        <f t="shared" ca="1" si="256"/>
        <v>0</v>
      </c>
      <c r="CN54" s="220">
        <f t="shared" ca="1" si="256"/>
        <v>0</v>
      </c>
      <c r="CO54" s="220">
        <f t="shared" ca="1" si="256"/>
        <v>0</v>
      </c>
      <c r="CP54" s="220">
        <f t="shared" ca="1" si="256"/>
        <v>0</v>
      </c>
      <c r="CQ54" s="220">
        <f t="shared" ca="1" si="256"/>
        <v>0</v>
      </c>
      <c r="CR54" s="220">
        <f t="shared" ca="1" si="256"/>
        <v>0</v>
      </c>
      <c r="CS54" s="220">
        <f t="shared" ca="1" si="256"/>
        <v>0</v>
      </c>
      <c r="CT54" s="220">
        <f t="shared" ca="1" si="256"/>
        <v>0</v>
      </c>
      <c r="CU54" s="220">
        <f t="shared" ca="1" si="256"/>
        <v>0</v>
      </c>
      <c r="CV54" s="220">
        <f t="shared" ca="1" si="256"/>
        <v>0</v>
      </c>
      <c r="CW54" s="220">
        <f t="shared" ca="1" si="256"/>
        <v>0</v>
      </c>
      <c r="CX54" s="220">
        <f t="shared" ca="1" si="256"/>
        <v>0</v>
      </c>
      <c r="CY54" s="220">
        <f t="shared" ca="1" si="256"/>
        <v>0</v>
      </c>
      <c r="CZ54" s="220">
        <f t="shared" ca="1" si="256"/>
        <v>0</v>
      </c>
      <c r="DA54" s="220">
        <f t="shared" ca="1" si="256"/>
        <v>0</v>
      </c>
      <c r="DB54" s="220">
        <f t="shared" ca="1" si="256"/>
        <v>0</v>
      </c>
      <c r="DC54" s="220">
        <f t="shared" ca="1" si="256"/>
        <v>0</v>
      </c>
      <c r="DD54" s="220">
        <f t="shared" ca="1" si="256"/>
        <v>0</v>
      </c>
      <c r="DE54" s="220">
        <f t="shared" ca="1" si="256"/>
        <v>0</v>
      </c>
      <c r="DF54" s="220">
        <f t="shared" ca="1" si="256"/>
        <v>0</v>
      </c>
      <c r="DG54" s="220">
        <f t="shared" ca="1" si="256"/>
        <v>0</v>
      </c>
      <c r="DH54" s="220">
        <f t="shared" ca="1" si="256"/>
        <v>0</v>
      </c>
      <c r="DI54" s="220">
        <f t="shared" ca="1" si="256"/>
        <v>0</v>
      </c>
      <c r="DJ54" s="220">
        <f t="shared" ca="1" si="256"/>
        <v>0</v>
      </c>
      <c r="DK54" s="220">
        <f t="shared" ca="1" si="256"/>
        <v>0</v>
      </c>
      <c r="DL54" s="220">
        <f t="shared" ca="1" si="256"/>
        <v>0</v>
      </c>
      <c r="DM54" s="220">
        <f t="shared" ca="1" si="256"/>
        <v>0</v>
      </c>
      <c r="DN54" s="220">
        <f t="shared" ca="1" si="256"/>
        <v>0</v>
      </c>
      <c r="DO54" s="220">
        <f t="shared" ca="1" si="256"/>
        <v>0</v>
      </c>
      <c r="DP54" s="220">
        <f t="shared" ca="1" si="256"/>
        <v>0</v>
      </c>
      <c r="DQ54" s="220">
        <f t="shared" ca="1" si="256"/>
        <v>0</v>
      </c>
      <c r="DR54" s="220">
        <f t="shared" ca="1" si="256"/>
        <v>0</v>
      </c>
      <c r="DS54" s="220">
        <f t="shared" ca="1" si="256"/>
        <v>0</v>
      </c>
      <c r="DT54" s="220">
        <f t="shared" ca="1" si="256"/>
        <v>0</v>
      </c>
      <c r="DU54" s="220">
        <f t="shared" ca="1" si="256"/>
        <v>0</v>
      </c>
      <c r="DV54" s="220">
        <f t="shared" ca="1" si="256"/>
        <v>0</v>
      </c>
      <c r="DW54" s="220">
        <f t="shared" ca="1" si="256"/>
        <v>0</v>
      </c>
      <c r="DX54" s="220">
        <f t="shared" ca="1" si="256"/>
        <v>0</v>
      </c>
      <c r="DY54" s="220">
        <f t="shared" ca="1" si="256"/>
        <v>0</v>
      </c>
      <c r="DZ54" s="220">
        <f t="shared" ca="1" si="256"/>
        <v>0</v>
      </c>
      <c r="EA54" s="220">
        <f t="shared" ca="1" si="256"/>
        <v>0</v>
      </c>
      <c r="EB54" s="220">
        <f t="shared" ca="1" si="256"/>
        <v>0</v>
      </c>
      <c r="EC54" s="220">
        <f t="shared" ca="1" si="256"/>
        <v>0</v>
      </c>
      <c r="ED54" s="220">
        <f t="shared" ca="1" si="256"/>
        <v>0</v>
      </c>
      <c r="EE54" s="220">
        <f t="shared" ca="1" si="256"/>
        <v>0</v>
      </c>
      <c r="EF54" s="220">
        <f t="shared" ca="1" si="256"/>
        <v>0</v>
      </c>
      <c r="EG54" s="220">
        <f t="shared" ca="1" si="256"/>
        <v>0</v>
      </c>
      <c r="EH54" s="220">
        <f t="shared" ca="1" si="256"/>
        <v>0</v>
      </c>
      <c r="EI54" s="220">
        <f t="shared" ca="1" si="256"/>
        <v>0</v>
      </c>
      <c r="EJ54" s="220">
        <f t="shared" ca="1" si="256"/>
        <v>0</v>
      </c>
      <c r="EK54" s="220">
        <f t="shared" ca="1" si="256"/>
        <v>0</v>
      </c>
      <c r="EL54" s="220">
        <f t="shared" ca="1" si="256"/>
        <v>0</v>
      </c>
      <c r="EM54" s="220">
        <f t="shared" ca="1" si="256"/>
        <v>0</v>
      </c>
      <c r="EN54" s="220">
        <f t="shared" ca="1" si="256"/>
        <v>0</v>
      </c>
      <c r="EO54" s="220">
        <f t="shared" ca="1" si="256"/>
        <v>0</v>
      </c>
      <c r="EP54" s="220">
        <f ca="1">JZ60</f>
        <v>0</v>
      </c>
      <c r="EQ54" s="220">
        <f ca="1">KA60</f>
        <v>0</v>
      </c>
      <c r="ER54" s="220">
        <f ca="1">KB60</f>
        <v>0</v>
      </c>
      <c r="ES54" s="220">
        <f ca="1">KC60</f>
        <v>0</v>
      </c>
      <c r="EU54" s="153" t="s">
        <v>72</v>
      </c>
      <c r="EV54" s="153"/>
      <c r="EW54" s="153"/>
      <c r="EX54" s="153"/>
      <c r="EY54" s="153"/>
      <c r="EZ54" s="250">
        <f>SUM(FA54:KC54)</f>
        <v>3839419.9999999995</v>
      </c>
      <c r="FA54" s="221">
        <f t="shared" ref="FA54:GF54" si="257">Q49+Q38+Q31</f>
        <v>752002.85714285716</v>
      </c>
      <c r="FB54" s="221">
        <f t="shared" si="257"/>
        <v>16840.908265539307</v>
      </c>
      <c r="FC54" s="221">
        <f t="shared" si="257"/>
        <v>52504.923287438098</v>
      </c>
      <c r="FD54" s="221">
        <f t="shared" si="257"/>
        <v>136519.80154125288</v>
      </c>
      <c r="FE54" s="221">
        <f t="shared" si="257"/>
        <v>282437.29328717594</v>
      </c>
      <c r="FF54" s="221">
        <f t="shared" si="257"/>
        <v>459629.91406893102</v>
      </c>
      <c r="FG54" s="221">
        <f t="shared" si="257"/>
        <v>586584.30240680568</v>
      </c>
      <c r="FH54" s="221">
        <f t="shared" si="257"/>
        <v>584581.44526394852</v>
      </c>
      <c r="FI54" s="221">
        <f t="shared" si="257"/>
        <v>457627.05692607397</v>
      </c>
      <c r="FJ54" s="221">
        <f t="shared" si="257"/>
        <v>280434.43614431861</v>
      </c>
      <c r="FK54" s="221">
        <f t="shared" si="257"/>
        <v>134516.94439839578</v>
      </c>
      <c r="FL54" s="221">
        <f t="shared" si="257"/>
        <v>50502.066144580931</v>
      </c>
      <c r="FM54" s="221">
        <f t="shared" si="257"/>
        <v>14838.051122682213</v>
      </c>
      <c r="FN54" s="221">
        <f t="shared" si="257"/>
        <v>15200</v>
      </c>
      <c r="FO54" s="221">
        <f t="shared" si="257"/>
        <v>15200</v>
      </c>
      <c r="FP54" s="221">
        <f t="shared" si="257"/>
        <v>0</v>
      </c>
      <c r="FQ54" s="221">
        <f t="shared" si="257"/>
        <v>0</v>
      </c>
      <c r="FR54" s="221">
        <f t="shared" si="257"/>
        <v>0</v>
      </c>
      <c r="FS54" s="221">
        <f t="shared" si="257"/>
        <v>0</v>
      </c>
      <c r="FT54" s="221">
        <f t="shared" si="257"/>
        <v>0</v>
      </c>
      <c r="FU54" s="221">
        <f t="shared" si="257"/>
        <v>0</v>
      </c>
      <c r="FV54" s="221">
        <f t="shared" si="257"/>
        <v>0</v>
      </c>
      <c r="FW54" s="221">
        <f t="shared" si="257"/>
        <v>0</v>
      </c>
      <c r="FX54" s="221">
        <f t="shared" si="257"/>
        <v>0</v>
      </c>
      <c r="FY54" s="221">
        <f t="shared" si="257"/>
        <v>0</v>
      </c>
      <c r="FZ54" s="221">
        <f t="shared" si="257"/>
        <v>0</v>
      </c>
      <c r="GA54" s="221">
        <f t="shared" si="257"/>
        <v>0</v>
      </c>
      <c r="GB54" s="221">
        <f t="shared" si="257"/>
        <v>0</v>
      </c>
      <c r="GC54" s="221">
        <f t="shared" si="257"/>
        <v>0</v>
      </c>
      <c r="GD54" s="221">
        <f t="shared" si="257"/>
        <v>0</v>
      </c>
      <c r="GE54" s="221">
        <f t="shared" si="257"/>
        <v>0</v>
      </c>
      <c r="GF54" s="221">
        <f t="shared" si="257"/>
        <v>0</v>
      </c>
      <c r="GG54" s="221">
        <f t="shared" ref="GG54:HL54" si="258">AW49+AW38+AW31</f>
        <v>0</v>
      </c>
      <c r="GH54" s="221">
        <f t="shared" si="258"/>
        <v>0</v>
      </c>
      <c r="GI54" s="221">
        <f t="shared" si="258"/>
        <v>0</v>
      </c>
      <c r="GJ54" s="221">
        <f t="shared" si="258"/>
        <v>0</v>
      </c>
      <c r="GK54" s="221">
        <f t="shared" si="258"/>
        <v>0</v>
      </c>
      <c r="GL54" s="221">
        <f t="shared" si="258"/>
        <v>0</v>
      </c>
      <c r="GM54" s="221">
        <f t="shared" si="258"/>
        <v>0</v>
      </c>
      <c r="GN54" s="221">
        <f t="shared" si="258"/>
        <v>0</v>
      </c>
      <c r="GO54" s="221">
        <f t="shared" si="258"/>
        <v>0</v>
      </c>
      <c r="GP54" s="221">
        <f t="shared" si="258"/>
        <v>0</v>
      </c>
      <c r="GQ54" s="221">
        <f t="shared" si="258"/>
        <v>0</v>
      </c>
      <c r="GR54" s="221">
        <f t="shared" si="258"/>
        <v>0</v>
      </c>
      <c r="GS54" s="221">
        <f t="shared" si="258"/>
        <v>0</v>
      </c>
      <c r="GT54" s="221">
        <f t="shared" si="258"/>
        <v>0</v>
      </c>
      <c r="GU54" s="221">
        <f t="shared" si="258"/>
        <v>0</v>
      </c>
      <c r="GV54" s="221">
        <f t="shared" si="258"/>
        <v>0</v>
      </c>
      <c r="GW54" s="221">
        <f t="shared" si="258"/>
        <v>0</v>
      </c>
      <c r="GX54" s="221">
        <f t="shared" si="258"/>
        <v>0</v>
      </c>
      <c r="GY54" s="221">
        <f t="shared" si="258"/>
        <v>0</v>
      </c>
      <c r="GZ54" s="221">
        <f t="shared" si="258"/>
        <v>0</v>
      </c>
      <c r="HA54" s="221">
        <f t="shared" si="258"/>
        <v>0</v>
      </c>
      <c r="HB54" s="221">
        <f t="shared" si="258"/>
        <v>0</v>
      </c>
      <c r="HC54" s="221">
        <f t="shared" si="258"/>
        <v>0</v>
      </c>
      <c r="HD54" s="221">
        <f t="shared" si="258"/>
        <v>0</v>
      </c>
      <c r="HE54" s="221">
        <f t="shared" si="258"/>
        <v>0</v>
      </c>
      <c r="HF54" s="221">
        <f t="shared" si="258"/>
        <v>0</v>
      </c>
      <c r="HG54" s="221">
        <f t="shared" si="258"/>
        <v>0</v>
      </c>
      <c r="HH54" s="221">
        <f t="shared" si="258"/>
        <v>0</v>
      </c>
      <c r="HI54" s="221">
        <f t="shared" si="258"/>
        <v>0</v>
      </c>
      <c r="HJ54" s="221">
        <f t="shared" si="258"/>
        <v>0</v>
      </c>
      <c r="HK54" s="221">
        <f t="shared" si="258"/>
        <v>0</v>
      </c>
      <c r="HL54" s="221">
        <f t="shared" si="258"/>
        <v>0</v>
      </c>
      <c r="HM54" s="221">
        <f t="shared" ref="HM54:IR54" si="259">CC49+CC38+CC31</f>
        <v>0</v>
      </c>
      <c r="HN54" s="221">
        <f t="shared" si="259"/>
        <v>0</v>
      </c>
      <c r="HO54" s="221">
        <f t="shared" si="259"/>
        <v>0</v>
      </c>
      <c r="HP54" s="221">
        <f t="shared" si="259"/>
        <v>0</v>
      </c>
      <c r="HQ54" s="221">
        <f t="shared" si="259"/>
        <v>0</v>
      </c>
      <c r="HR54" s="221">
        <f t="shared" si="259"/>
        <v>0</v>
      </c>
      <c r="HS54" s="221">
        <f t="shared" si="259"/>
        <v>0</v>
      </c>
      <c r="HT54" s="221">
        <f t="shared" si="259"/>
        <v>0</v>
      </c>
      <c r="HU54" s="221">
        <f t="shared" si="259"/>
        <v>0</v>
      </c>
      <c r="HV54" s="221">
        <f t="shared" si="259"/>
        <v>0</v>
      </c>
      <c r="HW54" s="221">
        <f t="shared" si="259"/>
        <v>0</v>
      </c>
      <c r="HX54" s="221">
        <f t="shared" si="259"/>
        <v>0</v>
      </c>
      <c r="HY54" s="221">
        <f t="shared" si="259"/>
        <v>0</v>
      </c>
      <c r="HZ54" s="221">
        <f t="shared" si="259"/>
        <v>0</v>
      </c>
      <c r="IA54" s="221">
        <f t="shared" si="259"/>
        <v>0</v>
      </c>
      <c r="IB54" s="221">
        <f t="shared" si="259"/>
        <v>0</v>
      </c>
      <c r="IC54" s="221">
        <f t="shared" si="259"/>
        <v>0</v>
      </c>
      <c r="ID54" s="221">
        <f t="shared" si="259"/>
        <v>0</v>
      </c>
      <c r="IE54" s="221">
        <f t="shared" si="259"/>
        <v>0</v>
      </c>
      <c r="IF54" s="221">
        <f t="shared" si="259"/>
        <v>0</v>
      </c>
      <c r="IG54" s="221">
        <f t="shared" si="259"/>
        <v>0</v>
      </c>
      <c r="IH54" s="221">
        <f t="shared" si="259"/>
        <v>0</v>
      </c>
      <c r="II54" s="221">
        <f t="shared" si="259"/>
        <v>0</v>
      </c>
      <c r="IJ54" s="221">
        <f t="shared" si="259"/>
        <v>0</v>
      </c>
      <c r="IK54" s="221">
        <f t="shared" si="259"/>
        <v>0</v>
      </c>
      <c r="IL54" s="221">
        <f t="shared" si="259"/>
        <v>0</v>
      </c>
      <c r="IM54" s="221">
        <f t="shared" si="259"/>
        <v>0</v>
      </c>
      <c r="IN54" s="221">
        <f t="shared" si="259"/>
        <v>0</v>
      </c>
      <c r="IO54" s="221">
        <f t="shared" si="259"/>
        <v>0</v>
      </c>
      <c r="IP54" s="221">
        <f t="shared" si="259"/>
        <v>0</v>
      </c>
      <c r="IQ54" s="221">
        <f t="shared" si="259"/>
        <v>0</v>
      </c>
      <c r="IR54" s="221">
        <f t="shared" si="259"/>
        <v>0</v>
      </c>
      <c r="IS54" s="221">
        <f t="shared" ref="IS54:JX54" si="260">DI49+DI38+DI31</f>
        <v>0</v>
      </c>
      <c r="IT54" s="221">
        <f t="shared" si="260"/>
        <v>0</v>
      </c>
      <c r="IU54" s="221">
        <f t="shared" si="260"/>
        <v>0</v>
      </c>
      <c r="IV54" s="221">
        <f t="shared" si="260"/>
        <v>0</v>
      </c>
      <c r="IW54" s="221">
        <f t="shared" si="260"/>
        <v>0</v>
      </c>
      <c r="IX54" s="221">
        <f t="shared" si="260"/>
        <v>0</v>
      </c>
      <c r="IY54" s="221">
        <f t="shared" si="260"/>
        <v>0</v>
      </c>
      <c r="IZ54" s="221">
        <f t="shared" si="260"/>
        <v>0</v>
      </c>
      <c r="JA54" s="221">
        <f t="shared" si="260"/>
        <v>0</v>
      </c>
      <c r="JB54" s="221">
        <f t="shared" si="260"/>
        <v>0</v>
      </c>
      <c r="JC54" s="221">
        <f t="shared" si="260"/>
        <v>0</v>
      </c>
      <c r="JD54" s="221">
        <f t="shared" si="260"/>
        <v>0</v>
      </c>
      <c r="JE54" s="221">
        <f t="shared" si="260"/>
        <v>0</v>
      </c>
      <c r="JF54" s="221">
        <f t="shared" si="260"/>
        <v>0</v>
      </c>
      <c r="JG54" s="221">
        <f t="shared" si="260"/>
        <v>0</v>
      </c>
      <c r="JH54" s="221">
        <f t="shared" si="260"/>
        <v>0</v>
      </c>
      <c r="JI54" s="221">
        <f t="shared" si="260"/>
        <v>0</v>
      </c>
      <c r="JJ54" s="221">
        <f t="shared" si="260"/>
        <v>0</v>
      </c>
      <c r="JK54" s="221">
        <f t="shared" si="260"/>
        <v>0</v>
      </c>
      <c r="JL54" s="221">
        <f t="shared" si="260"/>
        <v>0</v>
      </c>
      <c r="JM54" s="221">
        <f t="shared" si="260"/>
        <v>0</v>
      </c>
      <c r="JN54" s="221">
        <f t="shared" si="260"/>
        <v>0</v>
      </c>
      <c r="JO54" s="221">
        <f t="shared" si="260"/>
        <v>0</v>
      </c>
      <c r="JP54" s="221">
        <f t="shared" si="260"/>
        <v>0</v>
      </c>
      <c r="JQ54" s="221">
        <f t="shared" si="260"/>
        <v>0</v>
      </c>
      <c r="JR54" s="221">
        <f t="shared" si="260"/>
        <v>0</v>
      </c>
      <c r="JS54" s="221">
        <f t="shared" si="260"/>
        <v>0</v>
      </c>
      <c r="JT54" s="221">
        <f t="shared" si="260"/>
        <v>0</v>
      </c>
      <c r="JU54" s="221">
        <f t="shared" si="260"/>
        <v>0</v>
      </c>
      <c r="JV54" s="221">
        <f t="shared" si="260"/>
        <v>0</v>
      </c>
      <c r="JW54" s="221">
        <f t="shared" si="260"/>
        <v>0</v>
      </c>
      <c r="JX54" s="221">
        <f t="shared" si="260"/>
        <v>0</v>
      </c>
      <c r="JY54" s="221">
        <f t="shared" ref="JY54:KC54" si="261">EO49+EO38+EO31</f>
        <v>0</v>
      </c>
      <c r="JZ54" s="221">
        <f t="shared" si="261"/>
        <v>0</v>
      </c>
      <c r="KA54" s="221">
        <f t="shared" si="261"/>
        <v>0</v>
      </c>
      <c r="KB54" s="221">
        <f t="shared" si="261"/>
        <v>0</v>
      </c>
      <c r="KC54" s="221">
        <f t="shared" si="261"/>
        <v>0</v>
      </c>
    </row>
    <row r="55" spans="1:289" x14ac:dyDescent="0.25">
      <c r="B55" s="214" t="s">
        <v>186</v>
      </c>
      <c r="C55" s="196"/>
      <c r="D55" s="215">
        <v>0</v>
      </c>
      <c r="E55" s="215">
        <f>D55</f>
        <v>0</v>
      </c>
      <c r="F55" s="239" t="s">
        <v>26</v>
      </c>
      <c r="G55" s="217">
        <f>I55/Units_SF_M2</f>
        <v>4.3262150220913105</v>
      </c>
      <c r="H55" s="218">
        <f>I55/Units</f>
        <v>4406.25</v>
      </c>
      <c r="I55" s="219">
        <f>0.03*2350000</f>
        <v>70500</v>
      </c>
      <c r="K55" s="152" t="s">
        <v>863</v>
      </c>
      <c r="P55" s="152" t="str">
        <f>IF(ROUND(SUM(Q55:ES55),0)=ROUND(I55,0),"","Incomplete")</f>
        <v/>
      </c>
      <c r="Q55" s="220">
        <f t="shared" ref="Q55:AV55" si="262">AND(Q$22&gt;=$D55,Q$22&lt;=$E55)*$I55/($E$55-$D$55+1)</f>
        <v>70500</v>
      </c>
      <c r="R55" s="220">
        <f t="shared" si="262"/>
        <v>0</v>
      </c>
      <c r="S55" s="220">
        <f t="shared" si="262"/>
        <v>0</v>
      </c>
      <c r="T55" s="220">
        <f t="shared" si="262"/>
        <v>0</v>
      </c>
      <c r="U55" s="220">
        <f t="shared" si="262"/>
        <v>0</v>
      </c>
      <c r="V55" s="220">
        <f t="shared" si="262"/>
        <v>0</v>
      </c>
      <c r="W55" s="220">
        <f t="shared" si="262"/>
        <v>0</v>
      </c>
      <c r="X55" s="220">
        <f t="shared" si="262"/>
        <v>0</v>
      </c>
      <c r="Y55" s="220">
        <f t="shared" si="262"/>
        <v>0</v>
      </c>
      <c r="Z55" s="220">
        <f t="shared" si="262"/>
        <v>0</v>
      </c>
      <c r="AA55" s="220">
        <f t="shared" si="262"/>
        <v>0</v>
      </c>
      <c r="AB55" s="220">
        <f t="shared" si="262"/>
        <v>0</v>
      </c>
      <c r="AC55" s="220">
        <f t="shared" si="262"/>
        <v>0</v>
      </c>
      <c r="AD55" s="220">
        <f t="shared" si="262"/>
        <v>0</v>
      </c>
      <c r="AE55" s="220">
        <f t="shared" si="262"/>
        <v>0</v>
      </c>
      <c r="AF55" s="220">
        <f t="shared" si="262"/>
        <v>0</v>
      </c>
      <c r="AG55" s="220">
        <f t="shared" si="262"/>
        <v>0</v>
      </c>
      <c r="AH55" s="220">
        <f t="shared" si="262"/>
        <v>0</v>
      </c>
      <c r="AI55" s="220">
        <f t="shared" si="262"/>
        <v>0</v>
      </c>
      <c r="AJ55" s="220">
        <f t="shared" si="262"/>
        <v>0</v>
      </c>
      <c r="AK55" s="220">
        <f t="shared" si="262"/>
        <v>0</v>
      </c>
      <c r="AL55" s="220">
        <f t="shared" si="262"/>
        <v>0</v>
      </c>
      <c r="AM55" s="220">
        <f t="shared" si="262"/>
        <v>0</v>
      </c>
      <c r="AN55" s="220">
        <f t="shared" si="262"/>
        <v>0</v>
      </c>
      <c r="AO55" s="220">
        <f t="shared" si="262"/>
        <v>0</v>
      </c>
      <c r="AP55" s="220">
        <f t="shared" si="262"/>
        <v>0</v>
      </c>
      <c r="AQ55" s="220">
        <f t="shared" si="262"/>
        <v>0</v>
      </c>
      <c r="AR55" s="220">
        <f t="shared" si="262"/>
        <v>0</v>
      </c>
      <c r="AS55" s="220">
        <f t="shared" si="262"/>
        <v>0</v>
      </c>
      <c r="AT55" s="220">
        <f t="shared" si="262"/>
        <v>0</v>
      </c>
      <c r="AU55" s="220">
        <f t="shared" si="262"/>
        <v>0</v>
      </c>
      <c r="AV55" s="220">
        <f t="shared" si="262"/>
        <v>0</v>
      </c>
      <c r="AW55" s="220">
        <f t="shared" ref="AW55:CB55" si="263">AND(AW$22&gt;=$D55,AW$22&lt;=$E55)*$I55/($E$55-$D$55+1)</f>
        <v>0</v>
      </c>
      <c r="AX55" s="220">
        <f t="shared" si="263"/>
        <v>0</v>
      </c>
      <c r="AY55" s="220">
        <f t="shared" si="263"/>
        <v>0</v>
      </c>
      <c r="AZ55" s="220">
        <f t="shared" si="263"/>
        <v>0</v>
      </c>
      <c r="BA55" s="220">
        <f t="shared" si="263"/>
        <v>0</v>
      </c>
      <c r="BB55" s="220">
        <f t="shared" si="263"/>
        <v>0</v>
      </c>
      <c r="BC55" s="220">
        <f t="shared" si="263"/>
        <v>0</v>
      </c>
      <c r="BD55" s="220">
        <f t="shared" si="263"/>
        <v>0</v>
      </c>
      <c r="BE55" s="220">
        <f t="shared" si="263"/>
        <v>0</v>
      </c>
      <c r="BF55" s="220">
        <f t="shared" si="263"/>
        <v>0</v>
      </c>
      <c r="BG55" s="220">
        <f t="shared" si="263"/>
        <v>0</v>
      </c>
      <c r="BH55" s="220">
        <f t="shared" si="263"/>
        <v>0</v>
      </c>
      <c r="BI55" s="220">
        <f t="shared" si="263"/>
        <v>0</v>
      </c>
      <c r="BJ55" s="220">
        <f t="shared" si="263"/>
        <v>0</v>
      </c>
      <c r="BK55" s="220">
        <f t="shared" si="263"/>
        <v>0</v>
      </c>
      <c r="BL55" s="220">
        <f t="shared" si="263"/>
        <v>0</v>
      </c>
      <c r="BM55" s="220">
        <f t="shared" si="263"/>
        <v>0</v>
      </c>
      <c r="BN55" s="220">
        <f t="shared" si="263"/>
        <v>0</v>
      </c>
      <c r="BO55" s="220">
        <f t="shared" si="263"/>
        <v>0</v>
      </c>
      <c r="BP55" s="220">
        <f t="shared" si="263"/>
        <v>0</v>
      </c>
      <c r="BQ55" s="220">
        <f t="shared" si="263"/>
        <v>0</v>
      </c>
      <c r="BR55" s="220">
        <f t="shared" si="263"/>
        <v>0</v>
      </c>
      <c r="BS55" s="220">
        <f t="shared" si="263"/>
        <v>0</v>
      </c>
      <c r="BT55" s="220">
        <f t="shared" si="263"/>
        <v>0</v>
      </c>
      <c r="BU55" s="220">
        <f t="shared" si="263"/>
        <v>0</v>
      </c>
      <c r="BV55" s="220">
        <f t="shared" si="263"/>
        <v>0</v>
      </c>
      <c r="BW55" s="220">
        <f t="shared" si="263"/>
        <v>0</v>
      </c>
      <c r="BX55" s="220">
        <f t="shared" si="263"/>
        <v>0</v>
      </c>
      <c r="BY55" s="220">
        <f t="shared" si="263"/>
        <v>0</v>
      </c>
      <c r="BZ55" s="220">
        <f t="shared" si="263"/>
        <v>0</v>
      </c>
      <c r="CA55" s="220">
        <f t="shared" si="263"/>
        <v>0</v>
      </c>
      <c r="CB55" s="220">
        <f t="shared" si="263"/>
        <v>0</v>
      </c>
      <c r="CC55" s="220">
        <f t="shared" ref="CC55:DH55" si="264">AND(CC$22&gt;=$D55,CC$22&lt;=$E55)*$I55/($E$55-$D$55+1)</f>
        <v>0</v>
      </c>
      <c r="CD55" s="220">
        <f t="shared" si="264"/>
        <v>0</v>
      </c>
      <c r="CE55" s="220">
        <f t="shared" si="264"/>
        <v>0</v>
      </c>
      <c r="CF55" s="220">
        <f t="shared" si="264"/>
        <v>0</v>
      </c>
      <c r="CG55" s="220">
        <f t="shared" si="264"/>
        <v>0</v>
      </c>
      <c r="CH55" s="220">
        <f t="shared" si="264"/>
        <v>0</v>
      </c>
      <c r="CI55" s="220">
        <f t="shared" si="264"/>
        <v>0</v>
      </c>
      <c r="CJ55" s="220">
        <f t="shared" si="264"/>
        <v>0</v>
      </c>
      <c r="CK55" s="220">
        <f t="shared" si="264"/>
        <v>0</v>
      </c>
      <c r="CL55" s="220">
        <f t="shared" si="264"/>
        <v>0</v>
      </c>
      <c r="CM55" s="220">
        <f t="shared" si="264"/>
        <v>0</v>
      </c>
      <c r="CN55" s="220">
        <f t="shared" si="264"/>
        <v>0</v>
      </c>
      <c r="CO55" s="220">
        <f t="shared" si="264"/>
        <v>0</v>
      </c>
      <c r="CP55" s="220">
        <f t="shared" si="264"/>
        <v>0</v>
      </c>
      <c r="CQ55" s="220">
        <f t="shared" si="264"/>
        <v>0</v>
      </c>
      <c r="CR55" s="220">
        <f t="shared" si="264"/>
        <v>0</v>
      </c>
      <c r="CS55" s="220">
        <f t="shared" si="264"/>
        <v>0</v>
      </c>
      <c r="CT55" s="220">
        <f t="shared" si="264"/>
        <v>0</v>
      </c>
      <c r="CU55" s="220">
        <f t="shared" si="264"/>
        <v>0</v>
      </c>
      <c r="CV55" s="220">
        <f t="shared" si="264"/>
        <v>0</v>
      </c>
      <c r="CW55" s="220">
        <f t="shared" si="264"/>
        <v>0</v>
      </c>
      <c r="CX55" s="220">
        <f t="shared" si="264"/>
        <v>0</v>
      </c>
      <c r="CY55" s="220">
        <f t="shared" si="264"/>
        <v>0</v>
      </c>
      <c r="CZ55" s="220">
        <f t="shared" si="264"/>
        <v>0</v>
      </c>
      <c r="DA55" s="220">
        <f t="shared" si="264"/>
        <v>0</v>
      </c>
      <c r="DB55" s="220">
        <f t="shared" si="264"/>
        <v>0</v>
      </c>
      <c r="DC55" s="220">
        <f t="shared" si="264"/>
        <v>0</v>
      </c>
      <c r="DD55" s="220">
        <f t="shared" si="264"/>
        <v>0</v>
      </c>
      <c r="DE55" s="220">
        <f t="shared" si="264"/>
        <v>0</v>
      </c>
      <c r="DF55" s="220">
        <f t="shared" si="264"/>
        <v>0</v>
      </c>
      <c r="DG55" s="220">
        <f t="shared" si="264"/>
        <v>0</v>
      </c>
      <c r="DH55" s="220">
        <f t="shared" si="264"/>
        <v>0</v>
      </c>
      <c r="DI55" s="220">
        <f t="shared" ref="DI55:ES55" si="265">AND(DI$22&gt;=$D55,DI$22&lt;=$E55)*$I55/($E$55-$D$55+1)</f>
        <v>0</v>
      </c>
      <c r="DJ55" s="220">
        <f t="shared" si="265"/>
        <v>0</v>
      </c>
      <c r="DK55" s="220">
        <f t="shared" si="265"/>
        <v>0</v>
      </c>
      <c r="DL55" s="220">
        <f t="shared" si="265"/>
        <v>0</v>
      </c>
      <c r="DM55" s="220">
        <f t="shared" si="265"/>
        <v>0</v>
      </c>
      <c r="DN55" s="220">
        <f t="shared" si="265"/>
        <v>0</v>
      </c>
      <c r="DO55" s="220">
        <f t="shared" si="265"/>
        <v>0</v>
      </c>
      <c r="DP55" s="220">
        <f t="shared" si="265"/>
        <v>0</v>
      </c>
      <c r="DQ55" s="220">
        <f t="shared" si="265"/>
        <v>0</v>
      </c>
      <c r="DR55" s="220">
        <f t="shared" si="265"/>
        <v>0</v>
      </c>
      <c r="DS55" s="220">
        <f t="shared" si="265"/>
        <v>0</v>
      </c>
      <c r="DT55" s="220">
        <f t="shared" si="265"/>
        <v>0</v>
      </c>
      <c r="DU55" s="220">
        <f t="shared" si="265"/>
        <v>0</v>
      </c>
      <c r="DV55" s="220">
        <f t="shared" si="265"/>
        <v>0</v>
      </c>
      <c r="DW55" s="220">
        <f t="shared" si="265"/>
        <v>0</v>
      </c>
      <c r="DX55" s="220">
        <f t="shared" si="265"/>
        <v>0</v>
      </c>
      <c r="DY55" s="220">
        <f t="shared" si="265"/>
        <v>0</v>
      </c>
      <c r="DZ55" s="220">
        <f t="shared" si="265"/>
        <v>0</v>
      </c>
      <c r="EA55" s="220">
        <f t="shared" si="265"/>
        <v>0</v>
      </c>
      <c r="EB55" s="220">
        <f t="shared" si="265"/>
        <v>0</v>
      </c>
      <c r="EC55" s="220">
        <f t="shared" si="265"/>
        <v>0</v>
      </c>
      <c r="ED55" s="220">
        <f t="shared" si="265"/>
        <v>0</v>
      </c>
      <c r="EE55" s="220">
        <f t="shared" si="265"/>
        <v>0</v>
      </c>
      <c r="EF55" s="220">
        <f t="shared" si="265"/>
        <v>0</v>
      </c>
      <c r="EG55" s="220">
        <f t="shared" si="265"/>
        <v>0</v>
      </c>
      <c r="EH55" s="220">
        <f t="shared" si="265"/>
        <v>0</v>
      </c>
      <c r="EI55" s="220">
        <f t="shared" si="265"/>
        <v>0</v>
      </c>
      <c r="EJ55" s="220">
        <f t="shared" si="265"/>
        <v>0</v>
      </c>
      <c r="EK55" s="220">
        <f t="shared" si="265"/>
        <v>0</v>
      </c>
      <c r="EL55" s="220">
        <f t="shared" si="265"/>
        <v>0</v>
      </c>
      <c r="EM55" s="220">
        <f t="shared" si="265"/>
        <v>0</v>
      </c>
      <c r="EN55" s="220">
        <f t="shared" si="265"/>
        <v>0</v>
      </c>
      <c r="EO55" s="220">
        <f t="shared" si="265"/>
        <v>0</v>
      </c>
      <c r="EP55" s="220">
        <f t="shared" si="265"/>
        <v>0</v>
      </c>
      <c r="EQ55" s="220">
        <f t="shared" si="265"/>
        <v>0</v>
      </c>
      <c r="ER55" s="220">
        <f t="shared" si="265"/>
        <v>0</v>
      </c>
      <c r="ES55" s="220">
        <f t="shared" si="265"/>
        <v>0</v>
      </c>
      <c r="EU55" s="221" t="s">
        <v>36</v>
      </c>
      <c r="EV55" s="222"/>
      <c r="EW55" s="222"/>
      <c r="EX55" s="221"/>
      <c r="EY55" s="153"/>
      <c r="EZ55" s="251">
        <f ca="1">SUM(FA55:KC55)</f>
        <v>199183.11460402849</v>
      </c>
      <c r="FA55" s="252">
        <f>SUM(Q54:Q56)</f>
        <v>70500</v>
      </c>
      <c r="FB55" s="252">
        <f t="shared" ref="FB55:HM55" ca="1" si="266">SUM(R54:R56)</f>
        <v>0</v>
      </c>
      <c r="FC55" s="252">
        <f t="shared" ca="1" si="266"/>
        <v>0</v>
      </c>
      <c r="FD55" s="252">
        <f t="shared" ca="1" si="266"/>
        <v>0</v>
      </c>
      <c r="FE55" s="252">
        <f t="shared" ca="1" si="266"/>
        <v>0</v>
      </c>
      <c r="FF55" s="252">
        <f t="shared" ca="1" si="266"/>
        <v>0</v>
      </c>
      <c r="FG55" s="252">
        <f t="shared" ca="1" si="266"/>
        <v>1291.629712288528</v>
      </c>
      <c r="FH55" s="252">
        <f t="shared" ca="1" si="266"/>
        <v>6190.5958132809792</v>
      </c>
      <c r="FI55" s="252">
        <f t="shared" ca="1" si="266"/>
        <v>11113.696155591226</v>
      </c>
      <c r="FJ55" s="252">
        <f t="shared" ca="1" si="266"/>
        <v>15019.869097938436</v>
      </c>
      <c r="FK55" s="252">
        <f t="shared" ca="1" si="266"/>
        <v>17481.98830829058</v>
      </c>
      <c r="FL55" s="252">
        <f t="shared" ca="1" si="266"/>
        <v>18748.646080846302</v>
      </c>
      <c r="FM55" s="252">
        <f t="shared" ca="1" si="266"/>
        <v>19325.735349391529</v>
      </c>
      <c r="FN55" s="252">
        <f t="shared" ca="1" si="266"/>
        <v>19610.433569992147</v>
      </c>
      <c r="FO55" s="252">
        <f t="shared" ca="1" si="266"/>
        <v>19900.520516408742</v>
      </c>
      <c r="FP55" s="252">
        <f t="shared" ca="1" si="266"/>
        <v>0</v>
      </c>
      <c r="FQ55" s="252">
        <f t="shared" ca="1" si="266"/>
        <v>0</v>
      </c>
      <c r="FR55" s="252">
        <f t="shared" ca="1" si="266"/>
        <v>0</v>
      </c>
      <c r="FS55" s="252">
        <f t="shared" ca="1" si="266"/>
        <v>0</v>
      </c>
      <c r="FT55" s="252">
        <f t="shared" ca="1" si="266"/>
        <v>0</v>
      </c>
      <c r="FU55" s="252">
        <f t="shared" ca="1" si="266"/>
        <v>0</v>
      </c>
      <c r="FV55" s="252">
        <f t="shared" ca="1" si="266"/>
        <v>0</v>
      </c>
      <c r="FW55" s="252">
        <f t="shared" ca="1" si="266"/>
        <v>0</v>
      </c>
      <c r="FX55" s="252">
        <f t="shared" ca="1" si="266"/>
        <v>0</v>
      </c>
      <c r="FY55" s="252">
        <f t="shared" ca="1" si="266"/>
        <v>0</v>
      </c>
      <c r="FZ55" s="252">
        <f t="shared" ca="1" si="266"/>
        <v>0</v>
      </c>
      <c r="GA55" s="252">
        <f t="shared" ca="1" si="266"/>
        <v>0</v>
      </c>
      <c r="GB55" s="252">
        <f t="shared" ca="1" si="266"/>
        <v>0</v>
      </c>
      <c r="GC55" s="252">
        <f t="shared" ca="1" si="266"/>
        <v>0</v>
      </c>
      <c r="GD55" s="252">
        <f t="shared" ca="1" si="266"/>
        <v>0</v>
      </c>
      <c r="GE55" s="252">
        <f t="shared" ca="1" si="266"/>
        <v>0</v>
      </c>
      <c r="GF55" s="252">
        <f t="shared" ca="1" si="266"/>
        <v>0</v>
      </c>
      <c r="GG55" s="252">
        <f t="shared" ca="1" si="266"/>
        <v>0</v>
      </c>
      <c r="GH55" s="252">
        <f t="shared" ca="1" si="266"/>
        <v>0</v>
      </c>
      <c r="GI55" s="252">
        <f t="shared" ca="1" si="266"/>
        <v>0</v>
      </c>
      <c r="GJ55" s="252">
        <f t="shared" ca="1" si="266"/>
        <v>0</v>
      </c>
      <c r="GK55" s="252">
        <f t="shared" ca="1" si="266"/>
        <v>0</v>
      </c>
      <c r="GL55" s="252">
        <f t="shared" ca="1" si="266"/>
        <v>0</v>
      </c>
      <c r="GM55" s="252">
        <f t="shared" ca="1" si="266"/>
        <v>0</v>
      </c>
      <c r="GN55" s="252">
        <f t="shared" ca="1" si="266"/>
        <v>0</v>
      </c>
      <c r="GO55" s="252">
        <f t="shared" ca="1" si="266"/>
        <v>0</v>
      </c>
      <c r="GP55" s="252">
        <f t="shared" ca="1" si="266"/>
        <v>0</v>
      </c>
      <c r="GQ55" s="252">
        <f t="shared" ca="1" si="266"/>
        <v>0</v>
      </c>
      <c r="GR55" s="252">
        <f t="shared" ca="1" si="266"/>
        <v>0</v>
      </c>
      <c r="GS55" s="252">
        <f t="shared" ca="1" si="266"/>
        <v>0</v>
      </c>
      <c r="GT55" s="252">
        <f t="shared" ca="1" si="266"/>
        <v>0</v>
      </c>
      <c r="GU55" s="252">
        <f t="shared" ca="1" si="266"/>
        <v>0</v>
      </c>
      <c r="GV55" s="252">
        <f t="shared" ca="1" si="266"/>
        <v>0</v>
      </c>
      <c r="GW55" s="252">
        <f t="shared" ca="1" si="266"/>
        <v>0</v>
      </c>
      <c r="GX55" s="252">
        <f t="shared" ca="1" si="266"/>
        <v>0</v>
      </c>
      <c r="GY55" s="252">
        <f t="shared" ca="1" si="266"/>
        <v>0</v>
      </c>
      <c r="GZ55" s="252">
        <f t="shared" ca="1" si="266"/>
        <v>0</v>
      </c>
      <c r="HA55" s="252">
        <f t="shared" ca="1" si="266"/>
        <v>0</v>
      </c>
      <c r="HB55" s="252">
        <f t="shared" ca="1" si="266"/>
        <v>0</v>
      </c>
      <c r="HC55" s="252">
        <f t="shared" ca="1" si="266"/>
        <v>0</v>
      </c>
      <c r="HD55" s="252">
        <f t="shared" ca="1" si="266"/>
        <v>0</v>
      </c>
      <c r="HE55" s="252">
        <f t="shared" ca="1" si="266"/>
        <v>0</v>
      </c>
      <c r="HF55" s="252">
        <f t="shared" ca="1" si="266"/>
        <v>0</v>
      </c>
      <c r="HG55" s="252">
        <f t="shared" ca="1" si="266"/>
        <v>0</v>
      </c>
      <c r="HH55" s="252">
        <f t="shared" ca="1" si="266"/>
        <v>0</v>
      </c>
      <c r="HI55" s="252">
        <f t="shared" ca="1" si="266"/>
        <v>0</v>
      </c>
      <c r="HJ55" s="252">
        <f t="shared" ca="1" si="266"/>
        <v>0</v>
      </c>
      <c r="HK55" s="252">
        <f t="shared" ca="1" si="266"/>
        <v>0</v>
      </c>
      <c r="HL55" s="252">
        <f t="shared" ca="1" si="266"/>
        <v>0</v>
      </c>
      <c r="HM55" s="252">
        <f t="shared" ca="1" si="266"/>
        <v>0</v>
      </c>
      <c r="HN55" s="252">
        <f t="shared" ref="HN55:JY55" ca="1" si="267">SUM(CD54:CD56)</f>
        <v>0</v>
      </c>
      <c r="HO55" s="252">
        <f t="shared" ca="1" si="267"/>
        <v>0</v>
      </c>
      <c r="HP55" s="252">
        <f t="shared" ca="1" si="267"/>
        <v>0</v>
      </c>
      <c r="HQ55" s="252">
        <f t="shared" ca="1" si="267"/>
        <v>0</v>
      </c>
      <c r="HR55" s="252">
        <f t="shared" ca="1" si="267"/>
        <v>0</v>
      </c>
      <c r="HS55" s="252">
        <f t="shared" ca="1" si="267"/>
        <v>0</v>
      </c>
      <c r="HT55" s="252">
        <f t="shared" ca="1" si="267"/>
        <v>0</v>
      </c>
      <c r="HU55" s="252">
        <f t="shared" ca="1" si="267"/>
        <v>0</v>
      </c>
      <c r="HV55" s="252">
        <f t="shared" ca="1" si="267"/>
        <v>0</v>
      </c>
      <c r="HW55" s="252">
        <f t="shared" ca="1" si="267"/>
        <v>0</v>
      </c>
      <c r="HX55" s="252">
        <f t="shared" ca="1" si="267"/>
        <v>0</v>
      </c>
      <c r="HY55" s="252">
        <f t="shared" ca="1" si="267"/>
        <v>0</v>
      </c>
      <c r="HZ55" s="252">
        <f t="shared" ca="1" si="267"/>
        <v>0</v>
      </c>
      <c r="IA55" s="252">
        <f t="shared" ca="1" si="267"/>
        <v>0</v>
      </c>
      <c r="IB55" s="252">
        <f t="shared" ca="1" si="267"/>
        <v>0</v>
      </c>
      <c r="IC55" s="252">
        <f t="shared" ca="1" si="267"/>
        <v>0</v>
      </c>
      <c r="ID55" s="252">
        <f t="shared" ca="1" si="267"/>
        <v>0</v>
      </c>
      <c r="IE55" s="252">
        <f t="shared" ca="1" si="267"/>
        <v>0</v>
      </c>
      <c r="IF55" s="252">
        <f t="shared" ca="1" si="267"/>
        <v>0</v>
      </c>
      <c r="IG55" s="252">
        <f t="shared" ca="1" si="267"/>
        <v>0</v>
      </c>
      <c r="IH55" s="252">
        <f t="shared" ca="1" si="267"/>
        <v>0</v>
      </c>
      <c r="II55" s="252">
        <f t="shared" ca="1" si="267"/>
        <v>0</v>
      </c>
      <c r="IJ55" s="252">
        <f t="shared" ca="1" si="267"/>
        <v>0</v>
      </c>
      <c r="IK55" s="252">
        <f t="shared" ca="1" si="267"/>
        <v>0</v>
      </c>
      <c r="IL55" s="252">
        <f t="shared" ca="1" si="267"/>
        <v>0</v>
      </c>
      <c r="IM55" s="252">
        <f t="shared" ca="1" si="267"/>
        <v>0</v>
      </c>
      <c r="IN55" s="252">
        <f t="shared" ca="1" si="267"/>
        <v>0</v>
      </c>
      <c r="IO55" s="252">
        <f t="shared" ca="1" si="267"/>
        <v>0</v>
      </c>
      <c r="IP55" s="252">
        <f t="shared" ca="1" si="267"/>
        <v>0</v>
      </c>
      <c r="IQ55" s="252">
        <f t="shared" ca="1" si="267"/>
        <v>0</v>
      </c>
      <c r="IR55" s="252">
        <f t="shared" ca="1" si="267"/>
        <v>0</v>
      </c>
      <c r="IS55" s="252">
        <f t="shared" ca="1" si="267"/>
        <v>0</v>
      </c>
      <c r="IT55" s="252">
        <f t="shared" ca="1" si="267"/>
        <v>0</v>
      </c>
      <c r="IU55" s="252">
        <f t="shared" ca="1" si="267"/>
        <v>0</v>
      </c>
      <c r="IV55" s="252">
        <f t="shared" ca="1" si="267"/>
        <v>0</v>
      </c>
      <c r="IW55" s="252">
        <f t="shared" ca="1" si="267"/>
        <v>0</v>
      </c>
      <c r="IX55" s="252">
        <f t="shared" ca="1" si="267"/>
        <v>0</v>
      </c>
      <c r="IY55" s="252">
        <f t="shared" ca="1" si="267"/>
        <v>0</v>
      </c>
      <c r="IZ55" s="252">
        <f t="shared" ca="1" si="267"/>
        <v>0</v>
      </c>
      <c r="JA55" s="252">
        <f t="shared" ca="1" si="267"/>
        <v>0</v>
      </c>
      <c r="JB55" s="252">
        <f t="shared" ca="1" si="267"/>
        <v>0</v>
      </c>
      <c r="JC55" s="252">
        <f t="shared" ca="1" si="267"/>
        <v>0</v>
      </c>
      <c r="JD55" s="252">
        <f t="shared" ca="1" si="267"/>
        <v>0</v>
      </c>
      <c r="JE55" s="252">
        <f t="shared" ca="1" si="267"/>
        <v>0</v>
      </c>
      <c r="JF55" s="252">
        <f t="shared" ca="1" si="267"/>
        <v>0</v>
      </c>
      <c r="JG55" s="252">
        <f t="shared" ca="1" si="267"/>
        <v>0</v>
      </c>
      <c r="JH55" s="252">
        <f t="shared" ca="1" si="267"/>
        <v>0</v>
      </c>
      <c r="JI55" s="252">
        <f t="shared" ca="1" si="267"/>
        <v>0</v>
      </c>
      <c r="JJ55" s="252">
        <f t="shared" ca="1" si="267"/>
        <v>0</v>
      </c>
      <c r="JK55" s="252">
        <f t="shared" ca="1" si="267"/>
        <v>0</v>
      </c>
      <c r="JL55" s="252">
        <f t="shared" ca="1" si="267"/>
        <v>0</v>
      </c>
      <c r="JM55" s="252">
        <f t="shared" ca="1" si="267"/>
        <v>0</v>
      </c>
      <c r="JN55" s="252">
        <f t="shared" ca="1" si="267"/>
        <v>0</v>
      </c>
      <c r="JO55" s="252">
        <f t="shared" ca="1" si="267"/>
        <v>0</v>
      </c>
      <c r="JP55" s="252">
        <f t="shared" ca="1" si="267"/>
        <v>0</v>
      </c>
      <c r="JQ55" s="252">
        <f t="shared" ca="1" si="267"/>
        <v>0</v>
      </c>
      <c r="JR55" s="252">
        <f t="shared" ca="1" si="267"/>
        <v>0</v>
      </c>
      <c r="JS55" s="252">
        <f t="shared" ca="1" si="267"/>
        <v>0</v>
      </c>
      <c r="JT55" s="252">
        <f t="shared" ca="1" si="267"/>
        <v>0</v>
      </c>
      <c r="JU55" s="252">
        <f t="shared" ca="1" si="267"/>
        <v>0</v>
      </c>
      <c r="JV55" s="252">
        <f t="shared" ca="1" si="267"/>
        <v>0</v>
      </c>
      <c r="JW55" s="252">
        <f t="shared" ca="1" si="267"/>
        <v>0</v>
      </c>
      <c r="JX55" s="252">
        <f t="shared" ca="1" si="267"/>
        <v>0</v>
      </c>
      <c r="JY55" s="252">
        <f t="shared" ca="1" si="267"/>
        <v>0</v>
      </c>
      <c r="JZ55" s="252">
        <f ca="1">SUM(EP54:EP56)</f>
        <v>0</v>
      </c>
      <c r="KA55" s="252">
        <f ca="1">SUM(EQ54:EQ56)</f>
        <v>0</v>
      </c>
      <c r="KB55" s="252">
        <f ca="1">SUM(ER54:ER56)</f>
        <v>0</v>
      </c>
      <c r="KC55" s="252">
        <f ca="1">SUM(ES54:ES56)</f>
        <v>0</v>
      </c>
    </row>
    <row r="56" spans="1:289" x14ac:dyDescent="0.25">
      <c r="B56" s="234" t="s">
        <v>33</v>
      </c>
      <c r="C56" s="196"/>
      <c r="D56" s="215"/>
      <c r="E56" s="196"/>
      <c r="F56" s="196"/>
      <c r="G56" s="253">
        <f ca="1">I56/Units_SF_M2</f>
        <v>0</v>
      </c>
      <c r="H56" s="254">
        <f ca="1">I56/Units</f>
        <v>0</v>
      </c>
      <c r="I56" s="254">
        <f ca="1">SUM(Q56:ES56)</f>
        <v>0</v>
      </c>
      <c r="P56" s="152" t="str">
        <f ca="1">IF(ROUND(SUM(Q56:ES56),0)=ROUND(I56,0),"","Incomplete")</f>
        <v/>
      </c>
      <c r="Q56" s="255">
        <f>FA61</f>
        <v>0</v>
      </c>
      <c r="R56" s="255">
        <f t="shared" ref="R56:AW56" ca="1" si="268">FB61</f>
        <v>0</v>
      </c>
      <c r="S56" s="255">
        <f t="shared" ca="1" si="268"/>
        <v>0</v>
      </c>
      <c r="T56" s="255">
        <f t="shared" ca="1" si="268"/>
        <v>0</v>
      </c>
      <c r="U56" s="255">
        <f t="shared" ca="1" si="268"/>
        <v>0</v>
      </c>
      <c r="V56" s="255">
        <f t="shared" ca="1" si="268"/>
        <v>0</v>
      </c>
      <c r="W56" s="255">
        <f t="shared" ca="1" si="268"/>
        <v>0</v>
      </c>
      <c r="X56" s="255">
        <f t="shared" ca="1" si="268"/>
        <v>0</v>
      </c>
      <c r="Y56" s="255">
        <f t="shared" ca="1" si="268"/>
        <v>0</v>
      </c>
      <c r="Z56" s="255">
        <f t="shared" ca="1" si="268"/>
        <v>0</v>
      </c>
      <c r="AA56" s="255">
        <f t="shared" ca="1" si="268"/>
        <v>0</v>
      </c>
      <c r="AB56" s="255">
        <f t="shared" ca="1" si="268"/>
        <v>0</v>
      </c>
      <c r="AC56" s="255">
        <f t="shared" ca="1" si="268"/>
        <v>0</v>
      </c>
      <c r="AD56" s="255">
        <f t="shared" ca="1" si="268"/>
        <v>0</v>
      </c>
      <c r="AE56" s="255">
        <f t="shared" ca="1" si="268"/>
        <v>0</v>
      </c>
      <c r="AF56" s="255">
        <f t="shared" ca="1" si="268"/>
        <v>0</v>
      </c>
      <c r="AG56" s="255">
        <f t="shared" ca="1" si="268"/>
        <v>0</v>
      </c>
      <c r="AH56" s="255">
        <f t="shared" ca="1" si="268"/>
        <v>0</v>
      </c>
      <c r="AI56" s="255">
        <f t="shared" ca="1" si="268"/>
        <v>0</v>
      </c>
      <c r="AJ56" s="255">
        <f t="shared" ca="1" si="268"/>
        <v>0</v>
      </c>
      <c r="AK56" s="255">
        <f t="shared" ca="1" si="268"/>
        <v>0</v>
      </c>
      <c r="AL56" s="255">
        <f t="shared" ca="1" si="268"/>
        <v>0</v>
      </c>
      <c r="AM56" s="255">
        <f t="shared" ca="1" si="268"/>
        <v>0</v>
      </c>
      <c r="AN56" s="255">
        <f t="shared" ca="1" si="268"/>
        <v>0</v>
      </c>
      <c r="AO56" s="255">
        <f t="shared" ca="1" si="268"/>
        <v>0</v>
      </c>
      <c r="AP56" s="255">
        <f t="shared" ca="1" si="268"/>
        <v>0</v>
      </c>
      <c r="AQ56" s="255">
        <f t="shared" ca="1" si="268"/>
        <v>0</v>
      </c>
      <c r="AR56" s="255">
        <f t="shared" ca="1" si="268"/>
        <v>0</v>
      </c>
      <c r="AS56" s="255">
        <f t="shared" ca="1" si="268"/>
        <v>0</v>
      </c>
      <c r="AT56" s="255">
        <f t="shared" ca="1" si="268"/>
        <v>0</v>
      </c>
      <c r="AU56" s="255">
        <f t="shared" ca="1" si="268"/>
        <v>0</v>
      </c>
      <c r="AV56" s="255">
        <f t="shared" ca="1" si="268"/>
        <v>0</v>
      </c>
      <c r="AW56" s="255">
        <f t="shared" ca="1" si="268"/>
        <v>0</v>
      </c>
      <c r="AX56" s="255">
        <f t="shared" ref="AX56:CC56" ca="1" si="269">GH61</f>
        <v>0</v>
      </c>
      <c r="AY56" s="255">
        <f t="shared" ca="1" si="269"/>
        <v>0</v>
      </c>
      <c r="AZ56" s="255">
        <f t="shared" ca="1" si="269"/>
        <v>0</v>
      </c>
      <c r="BA56" s="255">
        <f t="shared" ca="1" si="269"/>
        <v>0</v>
      </c>
      <c r="BB56" s="255">
        <f t="shared" ca="1" si="269"/>
        <v>0</v>
      </c>
      <c r="BC56" s="255">
        <f t="shared" ca="1" si="269"/>
        <v>0</v>
      </c>
      <c r="BD56" s="255">
        <f t="shared" ca="1" si="269"/>
        <v>0</v>
      </c>
      <c r="BE56" s="255">
        <f t="shared" ca="1" si="269"/>
        <v>0</v>
      </c>
      <c r="BF56" s="255">
        <f t="shared" ca="1" si="269"/>
        <v>0</v>
      </c>
      <c r="BG56" s="255">
        <f t="shared" ca="1" si="269"/>
        <v>0</v>
      </c>
      <c r="BH56" s="255">
        <f t="shared" ca="1" si="269"/>
        <v>0</v>
      </c>
      <c r="BI56" s="255">
        <f t="shared" ca="1" si="269"/>
        <v>0</v>
      </c>
      <c r="BJ56" s="255">
        <f t="shared" ca="1" si="269"/>
        <v>0</v>
      </c>
      <c r="BK56" s="255">
        <f t="shared" ca="1" si="269"/>
        <v>0</v>
      </c>
      <c r="BL56" s="255">
        <f t="shared" ca="1" si="269"/>
        <v>0</v>
      </c>
      <c r="BM56" s="255">
        <f t="shared" ca="1" si="269"/>
        <v>0</v>
      </c>
      <c r="BN56" s="255">
        <f t="shared" ca="1" si="269"/>
        <v>0</v>
      </c>
      <c r="BO56" s="255">
        <f t="shared" ca="1" si="269"/>
        <v>0</v>
      </c>
      <c r="BP56" s="255">
        <f t="shared" ca="1" si="269"/>
        <v>0</v>
      </c>
      <c r="BQ56" s="255">
        <f t="shared" ca="1" si="269"/>
        <v>0</v>
      </c>
      <c r="BR56" s="255">
        <f t="shared" ca="1" si="269"/>
        <v>0</v>
      </c>
      <c r="BS56" s="255">
        <f t="shared" ca="1" si="269"/>
        <v>0</v>
      </c>
      <c r="BT56" s="255">
        <f t="shared" ca="1" si="269"/>
        <v>0</v>
      </c>
      <c r="BU56" s="255">
        <f t="shared" ca="1" si="269"/>
        <v>0</v>
      </c>
      <c r="BV56" s="255">
        <f t="shared" ca="1" si="269"/>
        <v>0</v>
      </c>
      <c r="BW56" s="255">
        <f t="shared" ca="1" si="269"/>
        <v>0</v>
      </c>
      <c r="BX56" s="255">
        <f t="shared" ca="1" si="269"/>
        <v>0</v>
      </c>
      <c r="BY56" s="255">
        <f t="shared" ca="1" si="269"/>
        <v>0</v>
      </c>
      <c r="BZ56" s="255">
        <f t="shared" ca="1" si="269"/>
        <v>0</v>
      </c>
      <c r="CA56" s="255">
        <f t="shared" ca="1" si="269"/>
        <v>0</v>
      </c>
      <c r="CB56" s="255">
        <f t="shared" ca="1" si="269"/>
        <v>0</v>
      </c>
      <c r="CC56" s="255">
        <f t="shared" ca="1" si="269"/>
        <v>0</v>
      </c>
      <c r="CD56" s="255">
        <f t="shared" ref="CD56:DI56" ca="1" si="270">HN61</f>
        <v>0</v>
      </c>
      <c r="CE56" s="255">
        <f t="shared" ca="1" si="270"/>
        <v>0</v>
      </c>
      <c r="CF56" s="255">
        <f t="shared" ca="1" si="270"/>
        <v>0</v>
      </c>
      <c r="CG56" s="255">
        <f t="shared" ca="1" si="270"/>
        <v>0</v>
      </c>
      <c r="CH56" s="255">
        <f t="shared" ca="1" si="270"/>
        <v>0</v>
      </c>
      <c r="CI56" s="255">
        <f t="shared" ca="1" si="270"/>
        <v>0</v>
      </c>
      <c r="CJ56" s="255">
        <f t="shared" ca="1" si="270"/>
        <v>0</v>
      </c>
      <c r="CK56" s="255">
        <f t="shared" ca="1" si="270"/>
        <v>0</v>
      </c>
      <c r="CL56" s="255">
        <f t="shared" ca="1" si="270"/>
        <v>0</v>
      </c>
      <c r="CM56" s="255">
        <f t="shared" ca="1" si="270"/>
        <v>0</v>
      </c>
      <c r="CN56" s="255">
        <f t="shared" ca="1" si="270"/>
        <v>0</v>
      </c>
      <c r="CO56" s="255">
        <f t="shared" ca="1" si="270"/>
        <v>0</v>
      </c>
      <c r="CP56" s="255">
        <f t="shared" ca="1" si="270"/>
        <v>0</v>
      </c>
      <c r="CQ56" s="255">
        <f t="shared" ca="1" si="270"/>
        <v>0</v>
      </c>
      <c r="CR56" s="255">
        <f t="shared" ca="1" si="270"/>
        <v>0</v>
      </c>
      <c r="CS56" s="255">
        <f t="shared" ca="1" si="270"/>
        <v>0</v>
      </c>
      <c r="CT56" s="255">
        <f t="shared" ca="1" si="270"/>
        <v>0</v>
      </c>
      <c r="CU56" s="255">
        <f t="shared" ca="1" si="270"/>
        <v>0</v>
      </c>
      <c r="CV56" s="255">
        <f t="shared" ca="1" si="270"/>
        <v>0</v>
      </c>
      <c r="CW56" s="255">
        <f t="shared" ca="1" si="270"/>
        <v>0</v>
      </c>
      <c r="CX56" s="255">
        <f t="shared" ca="1" si="270"/>
        <v>0</v>
      </c>
      <c r="CY56" s="255">
        <f t="shared" ca="1" si="270"/>
        <v>0</v>
      </c>
      <c r="CZ56" s="255">
        <f t="shared" ca="1" si="270"/>
        <v>0</v>
      </c>
      <c r="DA56" s="255">
        <f t="shared" ca="1" si="270"/>
        <v>0</v>
      </c>
      <c r="DB56" s="255">
        <f t="shared" ca="1" si="270"/>
        <v>0</v>
      </c>
      <c r="DC56" s="255">
        <f t="shared" ca="1" si="270"/>
        <v>0</v>
      </c>
      <c r="DD56" s="255">
        <f t="shared" ca="1" si="270"/>
        <v>0</v>
      </c>
      <c r="DE56" s="255">
        <f t="shared" ca="1" si="270"/>
        <v>0</v>
      </c>
      <c r="DF56" s="255">
        <f t="shared" ca="1" si="270"/>
        <v>0</v>
      </c>
      <c r="DG56" s="255">
        <f t="shared" ca="1" si="270"/>
        <v>0</v>
      </c>
      <c r="DH56" s="255">
        <f t="shared" ca="1" si="270"/>
        <v>0</v>
      </c>
      <c r="DI56" s="255">
        <f t="shared" ca="1" si="270"/>
        <v>0</v>
      </c>
      <c r="DJ56" s="255">
        <f t="shared" ref="DJ56:EO56" ca="1" si="271">IT61</f>
        <v>0</v>
      </c>
      <c r="DK56" s="255">
        <f t="shared" ca="1" si="271"/>
        <v>0</v>
      </c>
      <c r="DL56" s="255">
        <f t="shared" ca="1" si="271"/>
        <v>0</v>
      </c>
      <c r="DM56" s="255">
        <f t="shared" ca="1" si="271"/>
        <v>0</v>
      </c>
      <c r="DN56" s="255">
        <f t="shared" ca="1" si="271"/>
        <v>0</v>
      </c>
      <c r="DO56" s="255">
        <f t="shared" ca="1" si="271"/>
        <v>0</v>
      </c>
      <c r="DP56" s="255">
        <f t="shared" ca="1" si="271"/>
        <v>0</v>
      </c>
      <c r="DQ56" s="255">
        <f t="shared" ca="1" si="271"/>
        <v>0</v>
      </c>
      <c r="DR56" s="255">
        <f t="shared" ca="1" si="271"/>
        <v>0</v>
      </c>
      <c r="DS56" s="255">
        <f t="shared" ca="1" si="271"/>
        <v>0</v>
      </c>
      <c r="DT56" s="255">
        <f t="shared" ca="1" si="271"/>
        <v>0</v>
      </c>
      <c r="DU56" s="255">
        <f t="shared" ca="1" si="271"/>
        <v>0</v>
      </c>
      <c r="DV56" s="255">
        <f t="shared" ca="1" si="271"/>
        <v>0</v>
      </c>
      <c r="DW56" s="255">
        <f t="shared" ca="1" si="271"/>
        <v>0</v>
      </c>
      <c r="DX56" s="255">
        <f t="shared" ca="1" si="271"/>
        <v>0</v>
      </c>
      <c r="DY56" s="255">
        <f t="shared" ca="1" si="271"/>
        <v>0</v>
      </c>
      <c r="DZ56" s="255">
        <f t="shared" ca="1" si="271"/>
        <v>0</v>
      </c>
      <c r="EA56" s="255">
        <f t="shared" ca="1" si="271"/>
        <v>0</v>
      </c>
      <c r="EB56" s="255">
        <f t="shared" ca="1" si="271"/>
        <v>0</v>
      </c>
      <c r="EC56" s="255">
        <f t="shared" ca="1" si="271"/>
        <v>0</v>
      </c>
      <c r="ED56" s="255">
        <f t="shared" ca="1" si="271"/>
        <v>0</v>
      </c>
      <c r="EE56" s="255">
        <f t="shared" ca="1" si="271"/>
        <v>0</v>
      </c>
      <c r="EF56" s="255">
        <f t="shared" ca="1" si="271"/>
        <v>0</v>
      </c>
      <c r="EG56" s="255">
        <f t="shared" ca="1" si="271"/>
        <v>0</v>
      </c>
      <c r="EH56" s="255">
        <f t="shared" ca="1" si="271"/>
        <v>0</v>
      </c>
      <c r="EI56" s="255">
        <f t="shared" ca="1" si="271"/>
        <v>0</v>
      </c>
      <c r="EJ56" s="255">
        <f t="shared" ca="1" si="271"/>
        <v>0</v>
      </c>
      <c r="EK56" s="255">
        <f t="shared" ca="1" si="271"/>
        <v>0</v>
      </c>
      <c r="EL56" s="255">
        <f t="shared" ca="1" si="271"/>
        <v>0</v>
      </c>
      <c r="EM56" s="255">
        <f t="shared" ca="1" si="271"/>
        <v>0</v>
      </c>
      <c r="EN56" s="255">
        <f t="shared" ca="1" si="271"/>
        <v>0</v>
      </c>
      <c r="EO56" s="255">
        <f t="shared" ca="1" si="271"/>
        <v>0</v>
      </c>
      <c r="EP56" s="255">
        <f ca="1">JZ61</f>
        <v>0</v>
      </c>
      <c r="EQ56" s="255">
        <f ca="1">KA61</f>
        <v>0</v>
      </c>
      <c r="ER56" s="255">
        <f ca="1">KB61</f>
        <v>0</v>
      </c>
      <c r="ES56" s="255">
        <f ca="1">KC61</f>
        <v>0</v>
      </c>
      <c r="EU56" s="153" t="str">
        <f>B59</f>
        <v>Total Uses</v>
      </c>
      <c r="EV56" s="153"/>
      <c r="EW56" s="153"/>
      <c r="EX56" s="153"/>
      <c r="EY56" s="153"/>
      <c r="EZ56" s="250">
        <f ca="1">SUM(FA56:KC56)</f>
        <v>4038603.1146040289</v>
      </c>
      <c r="FA56" s="221">
        <f t="shared" ref="FA56:GF56" si="272">Q59</f>
        <v>822502.85714285716</v>
      </c>
      <c r="FB56" s="221">
        <f t="shared" ca="1" si="272"/>
        <v>16840.908265539307</v>
      </c>
      <c r="FC56" s="221">
        <f t="shared" ca="1" si="272"/>
        <v>52504.923287438098</v>
      </c>
      <c r="FD56" s="221">
        <f t="shared" ca="1" si="272"/>
        <v>136519.80154125288</v>
      </c>
      <c r="FE56" s="221">
        <f t="shared" ca="1" si="272"/>
        <v>282437.29328717594</v>
      </c>
      <c r="FF56" s="221">
        <f t="shared" ca="1" si="272"/>
        <v>459629.91406893102</v>
      </c>
      <c r="FG56" s="221">
        <f t="shared" ca="1" si="272"/>
        <v>587875.93211909418</v>
      </c>
      <c r="FH56" s="221">
        <f t="shared" ca="1" si="272"/>
        <v>590772.04107722954</v>
      </c>
      <c r="FI56" s="221">
        <f t="shared" ca="1" si="272"/>
        <v>468740.7530816652</v>
      </c>
      <c r="FJ56" s="221">
        <f t="shared" ca="1" si="272"/>
        <v>295454.30524225702</v>
      </c>
      <c r="FK56" s="221">
        <f t="shared" ca="1" si="272"/>
        <v>151998.93270668635</v>
      </c>
      <c r="FL56" s="221">
        <f t="shared" ca="1" si="272"/>
        <v>69250.71222542724</v>
      </c>
      <c r="FM56" s="221">
        <f t="shared" ca="1" si="272"/>
        <v>34163.786472073742</v>
      </c>
      <c r="FN56" s="221">
        <f t="shared" ca="1" si="272"/>
        <v>34810.43356999215</v>
      </c>
      <c r="FO56" s="221">
        <f t="shared" ca="1" si="272"/>
        <v>35100.520516408738</v>
      </c>
      <c r="FP56" s="221">
        <f t="shared" ca="1" si="272"/>
        <v>0</v>
      </c>
      <c r="FQ56" s="221">
        <f t="shared" ca="1" si="272"/>
        <v>0</v>
      </c>
      <c r="FR56" s="221">
        <f t="shared" ca="1" si="272"/>
        <v>0</v>
      </c>
      <c r="FS56" s="221">
        <f t="shared" ca="1" si="272"/>
        <v>0</v>
      </c>
      <c r="FT56" s="221">
        <f t="shared" ca="1" si="272"/>
        <v>0</v>
      </c>
      <c r="FU56" s="221">
        <f t="shared" ca="1" si="272"/>
        <v>0</v>
      </c>
      <c r="FV56" s="221">
        <f t="shared" ca="1" si="272"/>
        <v>0</v>
      </c>
      <c r="FW56" s="221">
        <f t="shared" ca="1" si="272"/>
        <v>0</v>
      </c>
      <c r="FX56" s="221">
        <f t="shared" ca="1" si="272"/>
        <v>0</v>
      </c>
      <c r="FY56" s="221">
        <f t="shared" ca="1" si="272"/>
        <v>0</v>
      </c>
      <c r="FZ56" s="221">
        <f t="shared" ca="1" si="272"/>
        <v>0</v>
      </c>
      <c r="GA56" s="221">
        <f t="shared" ca="1" si="272"/>
        <v>0</v>
      </c>
      <c r="GB56" s="221">
        <f t="shared" ca="1" si="272"/>
        <v>0</v>
      </c>
      <c r="GC56" s="221">
        <f t="shared" ca="1" si="272"/>
        <v>0</v>
      </c>
      <c r="GD56" s="221">
        <f t="shared" ca="1" si="272"/>
        <v>0</v>
      </c>
      <c r="GE56" s="221">
        <f t="shared" ca="1" si="272"/>
        <v>0</v>
      </c>
      <c r="GF56" s="221">
        <f t="shared" ca="1" si="272"/>
        <v>0</v>
      </c>
      <c r="GG56" s="221">
        <f t="shared" ref="GG56:HL56" ca="1" si="273">AW59</f>
        <v>0</v>
      </c>
      <c r="GH56" s="221">
        <f t="shared" ca="1" si="273"/>
        <v>0</v>
      </c>
      <c r="GI56" s="221">
        <f t="shared" ca="1" si="273"/>
        <v>0</v>
      </c>
      <c r="GJ56" s="221">
        <f t="shared" ca="1" si="273"/>
        <v>0</v>
      </c>
      <c r="GK56" s="221">
        <f t="shared" ca="1" si="273"/>
        <v>0</v>
      </c>
      <c r="GL56" s="221">
        <f t="shared" ca="1" si="273"/>
        <v>0</v>
      </c>
      <c r="GM56" s="221">
        <f t="shared" ca="1" si="273"/>
        <v>0</v>
      </c>
      <c r="GN56" s="221">
        <f t="shared" ca="1" si="273"/>
        <v>0</v>
      </c>
      <c r="GO56" s="221">
        <f t="shared" ca="1" si="273"/>
        <v>0</v>
      </c>
      <c r="GP56" s="221">
        <f t="shared" ca="1" si="273"/>
        <v>0</v>
      </c>
      <c r="GQ56" s="221">
        <f t="shared" ca="1" si="273"/>
        <v>0</v>
      </c>
      <c r="GR56" s="221">
        <f t="shared" ca="1" si="273"/>
        <v>0</v>
      </c>
      <c r="GS56" s="221">
        <f t="shared" ca="1" si="273"/>
        <v>0</v>
      </c>
      <c r="GT56" s="221">
        <f t="shared" ca="1" si="273"/>
        <v>0</v>
      </c>
      <c r="GU56" s="221">
        <f t="shared" ca="1" si="273"/>
        <v>0</v>
      </c>
      <c r="GV56" s="221">
        <f t="shared" ca="1" si="273"/>
        <v>0</v>
      </c>
      <c r="GW56" s="221">
        <f t="shared" ca="1" si="273"/>
        <v>0</v>
      </c>
      <c r="GX56" s="221">
        <f t="shared" ca="1" si="273"/>
        <v>0</v>
      </c>
      <c r="GY56" s="221">
        <f t="shared" ca="1" si="273"/>
        <v>0</v>
      </c>
      <c r="GZ56" s="221">
        <f t="shared" ca="1" si="273"/>
        <v>0</v>
      </c>
      <c r="HA56" s="221">
        <f t="shared" ca="1" si="273"/>
        <v>0</v>
      </c>
      <c r="HB56" s="221">
        <f t="shared" ca="1" si="273"/>
        <v>0</v>
      </c>
      <c r="HC56" s="221">
        <f t="shared" ca="1" si="273"/>
        <v>0</v>
      </c>
      <c r="HD56" s="221">
        <f t="shared" ca="1" si="273"/>
        <v>0</v>
      </c>
      <c r="HE56" s="221">
        <f t="shared" ca="1" si="273"/>
        <v>0</v>
      </c>
      <c r="HF56" s="221">
        <f t="shared" ca="1" si="273"/>
        <v>0</v>
      </c>
      <c r="HG56" s="221">
        <f t="shared" ca="1" si="273"/>
        <v>0</v>
      </c>
      <c r="HH56" s="221">
        <f t="shared" ca="1" si="273"/>
        <v>0</v>
      </c>
      <c r="HI56" s="221">
        <f t="shared" ca="1" si="273"/>
        <v>0</v>
      </c>
      <c r="HJ56" s="221">
        <f t="shared" ca="1" si="273"/>
        <v>0</v>
      </c>
      <c r="HK56" s="221">
        <f t="shared" ca="1" si="273"/>
        <v>0</v>
      </c>
      <c r="HL56" s="221">
        <f t="shared" ca="1" si="273"/>
        <v>0</v>
      </c>
      <c r="HM56" s="221">
        <f t="shared" ref="HM56:IR56" ca="1" si="274">CC59</f>
        <v>0</v>
      </c>
      <c r="HN56" s="221">
        <f t="shared" ca="1" si="274"/>
        <v>0</v>
      </c>
      <c r="HO56" s="221">
        <f t="shared" ca="1" si="274"/>
        <v>0</v>
      </c>
      <c r="HP56" s="221">
        <f t="shared" ca="1" si="274"/>
        <v>0</v>
      </c>
      <c r="HQ56" s="221">
        <f t="shared" ca="1" si="274"/>
        <v>0</v>
      </c>
      <c r="HR56" s="221">
        <f t="shared" ca="1" si="274"/>
        <v>0</v>
      </c>
      <c r="HS56" s="221">
        <f t="shared" ca="1" si="274"/>
        <v>0</v>
      </c>
      <c r="HT56" s="221">
        <f t="shared" ca="1" si="274"/>
        <v>0</v>
      </c>
      <c r="HU56" s="221">
        <f t="shared" ca="1" si="274"/>
        <v>0</v>
      </c>
      <c r="HV56" s="221">
        <f t="shared" ca="1" si="274"/>
        <v>0</v>
      </c>
      <c r="HW56" s="221">
        <f t="shared" ca="1" si="274"/>
        <v>0</v>
      </c>
      <c r="HX56" s="221">
        <f t="shared" ca="1" si="274"/>
        <v>0</v>
      </c>
      <c r="HY56" s="221">
        <f t="shared" ca="1" si="274"/>
        <v>0</v>
      </c>
      <c r="HZ56" s="221">
        <f t="shared" ca="1" si="274"/>
        <v>0</v>
      </c>
      <c r="IA56" s="221">
        <f t="shared" ca="1" si="274"/>
        <v>0</v>
      </c>
      <c r="IB56" s="221">
        <f t="shared" ca="1" si="274"/>
        <v>0</v>
      </c>
      <c r="IC56" s="221">
        <f t="shared" ca="1" si="274"/>
        <v>0</v>
      </c>
      <c r="ID56" s="221">
        <f t="shared" ca="1" si="274"/>
        <v>0</v>
      </c>
      <c r="IE56" s="221">
        <f t="shared" ca="1" si="274"/>
        <v>0</v>
      </c>
      <c r="IF56" s="221">
        <f t="shared" ca="1" si="274"/>
        <v>0</v>
      </c>
      <c r="IG56" s="221">
        <f t="shared" ca="1" si="274"/>
        <v>0</v>
      </c>
      <c r="IH56" s="221">
        <f t="shared" ca="1" si="274"/>
        <v>0</v>
      </c>
      <c r="II56" s="221">
        <f t="shared" ca="1" si="274"/>
        <v>0</v>
      </c>
      <c r="IJ56" s="221">
        <f t="shared" ca="1" si="274"/>
        <v>0</v>
      </c>
      <c r="IK56" s="221">
        <f t="shared" ca="1" si="274"/>
        <v>0</v>
      </c>
      <c r="IL56" s="221">
        <f t="shared" ca="1" si="274"/>
        <v>0</v>
      </c>
      <c r="IM56" s="221">
        <f t="shared" ca="1" si="274"/>
        <v>0</v>
      </c>
      <c r="IN56" s="221">
        <f t="shared" ca="1" si="274"/>
        <v>0</v>
      </c>
      <c r="IO56" s="221">
        <f t="shared" ca="1" si="274"/>
        <v>0</v>
      </c>
      <c r="IP56" s="221">
        <f t="shared" ca="1" si="274"/>
        <v>0</v>
      </c>
      <c r="IQ56" s="221">
        <f t="shared" ca="1" si="274"/>
        <v>0</v>
      </c>
      <c r="IR56" s="221">
        <f t="shared" ca="1" si="274"/>
        <v>0</v>
      </c>
      <c r="IS56" s="221">
        <f t="shared" ref="IS56:JX56" ca="1" si="275">DI59</f>
        <v>0</v>
      </c>
      <c r="IT56" s="221">
        <f t="shared" ca="1" si="275"/>
        <v>0</v>
      </c>
      <c r="IU56" s="221">
        <f t="shared" ca="1" si="275"/>
        <v>0</v>
      </c>
      <c r="IV56" s="221">
        <f t="shared" ca="1" si="275"/>
        <v>0</v>
      </c>
      <c r="IW56" s="221">
        <f t="shared" ca="1" si="275"/>
        <v>0</v>
      </c>
      <c r="IX56" s="221">
        <f t="shared" ca="1" si="275"/>
        <v>0</v>
      </c>
      <c r="IY56" s="221">
        <f t="shared" ca="1" si="275"/>
        <v>0</v>
      </c>
      <c r="IZ56" s="221">
        <f t="shared" ca="1" si="275"/>
        <v>0</v>
      </c>
      <c r="JA56" s="221">
        <f t="shared" ca="1" si="275"/>
        <v>0</v>
      </c>
      <c r="JB56" s="221">
        <f t="shared" ca="1" si="275"/>
        <v>0</v>
      </c>
      <c r="JC56" s="221">
        <f t="shared" ca="1" si="275"/>
        <v>0</v>
      </c>
      <c r="JD56" s="221">
        <f t="shared" ca="1" si="275"/>
        <v>0</v>
      </c>
      <c r="JE56" s="221">
        <f t="shared" ca="1" si="275"/>
        <v>0</v>
      </c>
      <c r="JF56" s="221">
        <f t="shared" ca="1" si="275"/>
        <v>0</v>
      </c>
      <c r="JG56" s="221">
        <f t="shared" ca="1" si="275"/>
        <v>0</v>
      </c>
      <c r="JH56" s="221">
        <f t="shared" ca="1" si="275"/>
        <v>0</v>
      </c>
      <c r="JI56" s="221">
        <f t="shared" ca="1" si="275"/>
        <v>0</v>
      </c>
      <c r="JJ56" s="221">
        <f t="shared" ca="1" si="275"/>
        <v>0</v>
      </c>
      <c r="JK56" s="221">
        <f t="shared" ca="1" si="275"/>
        <v>0</v>
      </c>
      <c r="JL56" s="221">
        <f t="shared" ca="1" si="275"/>
        <v>0</v>
      </c>
      <c r="JM56" s="221">
        <f t="shared" ca="1" si="275"/>
        <v>0</v>
      </c>
      <c r="JN56" s="221">
        <f t="shared" ca="1" si="275"/>
        <v>0</v>
      </c>
      <c r="JO56" s="221">
        <f t="shared" ca="1" si="275"/>
        <v>0</v>
      </c>
      <c r="JP56" s="221">
        <f t="shared" ca="1" si="275"/>
        <v>0</v>
      </c>
      <c r="JQ56" s="221">
        <f t="shared" ca="1" si="275"/>
        <v>0</v>
      </c>
      <c r="JR56" s="221">
        <f t="shared" ca="1" si="275"/>
        <v>0</v>
      </c>
      <c r="JS56" s="221">
        <f t="shared" ca="1" si="275"/>
        <v>0</v>
      </c>
      <c r="JT56" s="221">
        <f t="shared" ca="1" si="275"/>
        <v>0</v>
      </c>
      <c r="JU56" s="221">
        <f t="shared" ca="1" si="275"/>
        <v>0</v>
      </c>
      <c r="JV56" s="221">
        <f t="shared" ca="1" si="275"/>
        <v>0</v>
      </c>
      <c r="JW56" s="221">
        <f t="shared" ca="1" si="275"/>
        <v>0</v>
      </c>
      <c r="JX56" s="221">
        <f t="shared" ca="1" si="275"/>
        <v>0</v>
      </c>
      <c r="JY56" s="221">
        <f ca="1">EO59</f>
        <v>0</v>
      </c>
      <c r="JZ56" s="221">
        <f ca="1">EP59</f>
        <v>0</v>
      </c>
      <c r="KA56" s="221">
        <f ca="1">EQ59</f>
        <v>0</v>
      </c>
      <c r="KB56" s="221">
        <f ca="1">ER59</f>
        <v>0</v>
      </c>
      <c r="KC56" s="221">
        <f ca="1">ES59</f>
        <v>0</v>
      </c>
    </row>
    <row r="57" spans="1:289" x14ac:dyDescent="0.25">
      <c r="B57" s="227" t="s">
        <v>37</v>
      </c>
      <c r="C57" s="196"/>
      <c r="D57" s="228"/>
      <c r="E57" s="196"/>
      <c r="F57" s="196"/>
      <c r="G57" s="240">
        <f ca="1">SUM(G54:G56)</f>
        <v>12.222822447473519</v>
      </c>
      <c r="H57" s="229">
        <f ca="1">SUM(H54:H56)</f>
        <v>12448.944662751779</v>
      </c>
      <c r="I57" s="229">
        <f ca="1">SUM(I54:I56)</f>
        <v>199183.11460402847</v>
      </c>
      <c r="P57" s="152" t="str">
        <f ca="1">IF(ROUND(SUM(Q57:ES57),0)=ROUND(I57,0),"","Incomplete")</f>
        <v/>
      </c>
      <c r="Q57" s="220">
        <f t="shared" ref="Q57:CB57" si="276">SUM(Q54:Q56)</f>
        <v>70500</v>
      </c>
      <c r="R57" s="220">
        <f t="shared" ca="1" si="276"/>
        <v>0</v>
      </c>
      <c r="S57" s="220">
        <f t="shared" ca="1" si="276"/>
        <v>0</v>
      </c>
      <c r="T57" s="220">
        <f t="shared" ca="1" si="276"/>
        <v>0</v>
      </c>
      <c r="U57" s="220">
        <f t="shared" ca="1" si="276"/>
        <v>0</v>
      </c>
      <c r="V57" s="220">
        <f t="shared" ca="1" si="276"/>
        <v>0</v>
      </c>
      <c r="W57" s="220">
        <f t="shared" ca="1" si="276"/>
        <v>1291.629712288528</v>
      </c>
      <c r="X57" s="220">
        <f t="shared" ca="1" si="276"/>
        <v>6190.5958132809792</v>
      </c>
      <c r="Y57" s="220">
        <f t="shared" ca="1" si="276"/>
        <v>11113.696155591226</v>
      </c>
      <c r="Z57" s="220">
        <f t="shared" ca="1" si="276"/>
        <v>15019.869097938436</v>
      </c>
      <c r="AA57" s="220">
        <f t="shared" ca="1" si="276"/>
        <v>17481.98830829058</v>
      </c>
      <c r="AB57" s="220">
        <f t="shared" ca="1" si="276"/>
        <v>18748.646080846302</v>
      </c>
      <c r="AC57" s="220">
        <f t="shared" ca="1" si="276"/>
        <v>19325.735349391529</v>
      </c>
      <c r="AD57" s="220">
        <f t="shared" ca="1" si="276"/>
        <v>19610.433569992147</v>
      </c>
      <c r="AE57" s="220">
        <f t="shared" ca="1" si="276"/>
        <v>19900.520516408742</v>
      </c>
      <c r="AF57" s="220">
        <f t="shared" ca="1" si="276"/>
        <v>0</v>
      </c>
      <c r="AG57" s="220">
        <f t="shared" ca="1" si="276"/>
        <v>0</v>
      </c>
      <c r="AH57" s="220">
        <f t="shared" ca="1" si="276"/>
        <v>0</v>
      </c>
      <c r="AI57" s="220">
        <f t="shared" ca="1" si="276"/>
        <v>0</v>
      </c>
      <c r="AJ57" s="220">
        <f t="shared" ca="1" si="276"/>
        <v>0</v>
      </c>
      <c r="AK57" s="220">
        <f t="shared" ca="1" si="276"/>
        <v>0</v>
      </c>
      <c r="AL57" s="220">
        <f t="shared" ca="1" si="276"/>
        <v>0</v>
      </c>
      <c r="AM57" s="220">
        <f t="shared" ca="1" si="276"/>
        <v>0</v>
      </c>
      <c r="AN57" s="220">
        <f t="shared" ca="1" si="276"/>
        <v>0</v>
      </c>
      <c r="AO57" s="220">
        <f t="shared" ca="1" si="276"/>
        <v>0</v>
      </c>
      <c r="AP57" s="220">
        <f t="shared" ca="1" si="276"/>
        <v>0</v>
      </c>
      <c r="AQ57" s="220">
        <f t="shared" ca="1" si="276"/>
        <v>0</v>
      </c>
      <c r="AR57" s="220">
        <f t="shared" ca="1" si="276"/>
        <v>0</v>
      </c>
      <c r="AS57" s="220">
        <f t="shared" ca="1" si="276"/>
        <v>0</v>
      </c>
      <c r="AT57" s="220">
        <f t="shared" ca="1" si="276"/>
        <v>0</v>
      </c>
      <c r="AU57" s="220">
        <f t="shared" ca="1" si="276"/>
        <v>0</v>
      </c>
      <c r="AV57" s="220">
        <f t="shared" ca="1" si="276"/>
        <v>0</v>
      </c>
      <c r="AW57" s="220">
        <f t="shared" ca="1" si="276"/>
        <v>0</v>
      </c>
      <c r="AX57" s="220">
        <f t="shared" ca="1" si="276"/>
        <v>0</v>
      </c>
      <c r="AY57" s="220">
        <f t="shared" ca="1" si="276"/>
        <v>0</v>
      </c>
      <c r="AZ57" s="220">
        <f t="shared" ca="1" si="276"/>
        <v>0</v>
      </c>
      <c r="BA57" s="220">
        <f t="shared" ca="1" si="276"/>
        <v>0</v>
      </c>
      <c r="BB57" s="220">
        <f t="shared" ca="1" si="276"/>
        <v>0</v>
      </c>
      <c r="BC57" s="220">
        <f t="shared" ca="1" si="276"/>
        <v>0</v>
      </c>
      <c r="BD57" s="220">
        <f t="shared" ca="1" si="276"/>
        <v>0</v>
      </c>
      <c r="BE57" s="220">
        <f t="shared" ca="1" si="276"/>
        <v>0</v>
      </c>
      <c r="BF57" s="220">
        <f t="shared" ca="1" si="276"/>
        <v>0</v>
      </c>
      <c r="BG57" s="220">
        <f t="shared" ca="1" si="276"/>
        <v>0</v>
      </c>
      <c r="BH57" s="220">
        <f t="shared" ca="1" si="276"/>
        <v>0</v>
      </c>
      <c r="BI57" s="220">
        <f t="shared" ca="1" si="276"/>
        <v>0</v>
      </c>
      <c r="BJ57" s="220">
        <f t="shared" ca="1" si="276"/>
        <v>0</v>
      </c>
      <c r="BK57" s="220">
        <f t="shared" ca="1" si="276"/>
        <v>0</v>
      </c>
      <c r="BL57" s="220">
        <f t="shared" ca="1" si="276"/>
        <v>0</v>
      </c>
      <c r="BM57" s="220">
        <f t="shared" ca="1" si="276"/>
        <v>0</v>
      </c>
      <c r="BN57" s="220">
        <f t="shared" ca="1" si="276"/>
        <v>0</v>
      </c>
      <c r="BO57" s="220">
        <f t="shared" ca="1" si="276"/>
        <v>0</v>
      </c>
      <c r="BP57" s="220">
        <f t="shared" ca="1" si="276"/>
        <v>0</v>
      </c>
      <c r="BQ57" s="220">
        <f t="shared" ca="1" si="276"/>
        <v>0</v>
      </c>
      <c r="BR57" s="220">
        <f t="shared" ca="1" si="276"/>
        <v>0</v>
      </c>
      <c r="BS57" s="220">
        <f t="shared" ca="1" si="276"/>
        <v>0</v>
      </c>
      <c r="BT57" s="220">
        <f t="shared" ca="1" si="276"/>
        <v>0</v>
      </c>
      <c r="BU57" s="220">
        <f t="shared" ca="1" si="276"/>
        <v>0</v>
      </c>
      <c r="BV57" s="220">
        <f t="shared" ca="1" si="276"/>
        <v>0</v>
      </c>
      <c r="BW57" s="220">
        <f t="shared" ca="1" si="276"/>
        <v>0</v>
      </c>
      <c r="BX57" s="220">
        <f t="shared" ca="1" si="276"/>
        <v>0</v>
      </c>
      <c r="BY57" s="220">
        <f t="shared" ca="1" si="276"/>
        <v>0</v>
      </c>
      <c r="BZ57" s="220">
        <f t="shared" ca="1" si="276"/>
        <v>0</v>
      </c>
      <c r="CA57" s="220">
        <f t="shared" ca="1" si="276"/>
        <v>0</v>
      </c>
      <c r="CB57" s="220">
        <f t="shared" ca="1" si="276"/>
        <v>0</v>
      </c>
      <c r="CC57" s="220">
        <f t="shared" ref="CC57:EN57" ca="1" si="277">SUM(CC54:CC56)</f>
        <v>0</v>
      </c>
      <c r="CD57" s="220">
        <f t="shared" ca="1" si="277"/>
        <v>0</v>
      </c>
      <c r="CE57" s="220">
        <f t="shared" ca="1" si="277"/>
        <v>0</v>
      </c>
      <c r="CF57" s="220">
        <f t="shared" ca="1" si="277"/>
        <v>0</v>
      </c>
      <c r="CG57" s="220">
        <f t="shared" ca="1" si="277"/>
        <v>0</v>
      </c>
      <c r="CH57" s="220">
        <f t="shared" ca="1" si="277"/>
        <v>0</v>
      </c>
      <c r="CI57" s="220">
        <f t="shared" ca="1" si="277"/>
        <v>0</v>
      </c>
      <c r="CJ57" s="220">
        <f t="shared" ca="1" si="277"/>
        <v>0</v>
      </c>
      <c r="CK57" s="220">
        <f t="shared" ca="1" si="277"/>
        <v>0</v>
      </c>
      <c r="CL57" s="220">
        <f t="shared" ca="1" si="277"/>
        <v>0</v>
      </c>
      <c r="CM57" s="220">
        <f t="shared" ca="1" si="277"/>
        <v>0</v>
      </c>
      <c r="CN57" s="220">
        <f t="shared" ca="1" si="277"/>
        <v>0</v>
      </c>
      <c r="CO57" s="220">
        <f t="shared" ca="1" si="277"/>
        <v>0</v>
      </c>
      <c r="CP57" s="220">
        <f t="shared" ca="1" si="277"/>
        <v>0</v>
      </c>
      <c r="CQ57" s="220">
        <f t="shared" ca="1" si="277"/>
        <v>0</v>
      </c>
      <c r="CR57" s="220">
        <f t="shared" ca="1" si="277"/>
        <v>0</v>
      </c>
      <c r="CS57" s="220">
        <f t="shared" ca="1" si="277"/>
        <v>0</v>
      </c>
      <c r="CT57" s="220">
        <f t="shared" ca="1" si="277"/>
        <v>0</v>
      </c>
      <c r="CU57" s="220">
        <f t="shared" ca="1" si="277"/>
        <v>0</v>
      </c>
      <c r="CV57" s="220">
        <f t="shared" ca="1" si="277"/>
        <v>0</v>
      </c>
      <c r="CW57" s="220">
        <f t="shared" ca="1" si="277"/>
        <v>0</v>
      </c>
      <c r="CX57" s="220">
        <f t="shared" ca="1" si="277"/>
        <v>0</v>
      </c>
      <c r="CY57" s="220">
        <f t="shared" ca="1" si="277"/>
        <v>0</v>
      </c>
      <c r="CZ57" s="220">
        <f t="shared" ca="1" si="277"/>
        <v>0</v>
      </c>
      <c r="DA57" s="220">
        <f t="shared" ca="1" si="277"/>
        <v>0</v>
      </c>
      <c r="DB57" s="220">
        <f t="shared" ca="1" si="277"/>
        <v>0</v>
      </c>
      <c r="DC57" s="220">
        <f t="shared" ca="1" si="277"/>
        <v>0</v>
      </c>
      <c r="DD57" s="220">
        <f t="shared" ca="1" si="277"/>
        <v>0</v>
      </c>
      <c r="DE57" s="220">
        <f t="shared" ca="1" si="277"/>
        <v>0</v>
      </c>
      <c r="DF57" s="220">
        <f t="shared" ca="1" si="277"/>
        <v>0</v>
      </c>
      <c r="DG57" s="220">
        <f t="shared" ca="1" si="277"/>
        <v>0</v>
      </c>
      <c r="DH57" s="220">
        <f t="shared" ca="1" si="277"/>
        <v>0</v>
      </c>
      <c r="DI57" s="220">
        <f t="shared" ca="1" si="277"/>
        <v>0</v>
      </c>
      <c r="DJ57" s="220">
        <f t="shared" ca="1" si="277"/>
        <v>0</v>
      </c>
      <c r="DK57" s="220">
        <f t="shared" ca="1" si="277"/>
        <v>0</v>
      </c>
      <c r="DL57" s="220">
        <f t="shared" ca="1" si="277"/>
        <v>0</v>
      </c>
      <c r="DM57" s="220">
        <f t="shared" ca="1" si="277"/>
        <v>0</v>
      </c>
      <c r="DN57" s="220">
        <f t="shared" ca="1" si="277"/>
        <v>0</v>
      </c>
      <c r="DO57" s="220">
        <f t="shared" ca="1" si="277"/>
        <v>0</v>
      </c>
      <c r="DP57" s="220">
        <f t="shared" ca="1" si="277"/>
        <v>0</v>
      </c>
      <c r="DQ57" s="220">
        <f t="shared" ca="1" si="277"/>
        <v>0</v>
      </c>
      <c r="DR57" s="220">
        <f t="shared" ca="1" si="277"/>
        <v>0</v>
      </c>
      <c r="DS57" s="220">
        <f t="shared" ca="1" si="277"/>
        <v>0</v>
      </c>
      <c r="DT57" s="220">
        <f t="shared" ca="1" si="277"/>
        <v>0</v>
      </c>
      <c r="DU57" s="220">
        <f t="shared" ca="1" si="277"/>
        <v>0</v>
      </c>
      <c r="DV57" s="220">
        <f t="shared" ca="1" si="277"/>
        <v>0</v>
      </c>
      <c r="DW57" s="220">
        <f t="shared" ca="1" si="277"/>
        <v>0</v>
      </c>
      <c r="DX57" s="220">
        <f t="shared" ca="1" si="277"/>
        <v>0</v>
      </c>
      <c r="DY57" s="220">
        <f t="shared" ca="1" si="277"/>
        <v>0</v>
      </c>
      <c r="DZ57" s="220">
        <f t="shared" ca="1" si="277"/>
        <v>0</v>
      </c>
      <c r="EA57" s="220">
        <f t="shared" ca="1" si="277"/>
        <v>0</v>
      </c>
      <c r="EB57" s="220">
        <f t="shared" ca="1" si="277"/>
        <v>0</v>
      </c>
      <c r="EC57" s="220">
        <f t="shared" ca="1" si="277"/>
        <v>0</v>
      </c>
      <c r="ED57" s="220">
        <f t="shared" ca="1" si="277"/>
        <v>0</v>
      </c>
      <c r="EE57" s="220">
        <f t="shared" ca="1" si="277"/>
        <v>0</v>
      </c>
      <c r="EF57" s="220">
        <f t="shared" ca="1" si="277"/>
        <v>0</v>
      </c>
      <c r="EG57" s="220">
        <f t="shared" ca="1" si="277"/>
        <v>0</v>
      </c>
      <c r="EH57" s="220">
        <f t="shared" ca="1" si="277"/>
        <v>0</v>
      </c>
      <c r="EI57" s="220">
        <f t="shared" ca="1" si="277"/>
        <v>0</v>
      </c>
      <c r="EJ57" s="220">
        <f t="shared" ca="1" si="277"/>
        <v>0</v>
      </c>
      <c r="EK57" s="220">
        <f t="shared" ca="1" si="277"/>
        <v>0</v>
      </c>
      <c r="EL57" s="220">
        <f t="shared" ca="1" si="277"/>
        <v>0</v>
      </c>
      <c r="EM57" s="220">
        <f t="shared" ca="1" si="277"/>
        <v>0</v>
      </c>
      <c r="EN57" s="220">
        <f t="shared" ca="1" si="277"/>
        <v>0</v>
      </c>
      <c r="EO57" s="220">
        <f ca="1">SUM(EO54:EO56)</f>
        <v>0</v>
      </c>
      <c r="EP57" s="220">
        <f ca="1">SUM(EP54:EP56)</f>
        <v>0</v>
      </c>
      <c r="EQ57" s="220">
        <f ca="1">SUM(EQ54:EQ56)</f>
        <v>0</v>
      </c>
      <c r="ER57" s="220">
        <f ca="1">SUM(ER54:ER56)</f>
        <v>0</v>
      </c>
      <c r="ES57" s="220">
        <f ca="1">SUM(ES54:ES56)</f>
        <v>0</v>
      </c>
      <c r="EU57" s="256" t="s">
        <v>66</v>
      </c>
      <c r="EV57" s="153"/>
      <c r="EW57" s="153"/>
      <c r="EX57" s="153"/>
      <c r="EY57" s="154"/>
      <c r="EZ57" s="207" t="s">
        <v>68</v>
      </c>
      <c r="FA57" s="248">
        <f t="shared" ref="FA57:GF57" si="278">FA3</f>
        <v>0</v>
      </c>
      <c r="FB57" s="248">
        <f t="shared" si="278"/>
        <v>1</v>
      </c>
      <c r="FC57" s="248">
        <f t="shared" si="278"/>
        <v>2</v>
      </c>
      <c r="FD57" s="248">
        <f t="shared" si="278"/>
        <v>3</v>
      </c>
      <c r="FE57" s="248">
        <f t="shared" si="278"/>
        <v>4</v>
      </c>
      <c r="FF57" s="248">
        <f t="shared" si="278"/>
        <v>5</v>
      </c>
      <c r="FG57" s="248">
        <f t="shared" si="278"/>
        <v>6</v>
      </c>
      <c r="FH57" s="248">
        <f t="shared" si="278"/>
        <v>7</v>
      </c>
      <c r="FI57" s="248">
        <f t="shared" si="278"/>
        <v>8</v>
      </c>
      <c r="FJ57" s="248">
        <f t="shared" si="278"/>
        <v>9</v>
      </c>
      <c r="FK57" s="248">
        <f t="shared" si="278"/>
        <v>10</v>
      </c>
      <c r="FL57" s="248">
        <f t="shared" si="278"/>
        <v>11</v>
      </c>
      <c r="FM57" s="248">
        <f t="shared" si="278"/>
        <v>12</v>
      </c>
      <c r="FN57" s="248">
        <f t="shared" si="278"/>
        <v>13</v>
      </c>
      <c r="FO57" s="248">
        <f t="shared" si="278"/>
        <v>14</v>
      </c>
      <c r="FP57" s="248">
        <f t="shared" si="278"/>
        <v>15</v>
      </c>
      <c r="FQ57" s="248">
        <f t="shared" si="278"/>
        <v>16</v>
      </c>
      <c r="FR57" s="248">
        <f t="shared" si="278"/>
        <v>17</v>
      </c>
      <c r="FS57" s="248">
        <f t="shared" si="278"/>
        <v>18</v>
      </c>
      <c r="FT57" s="248">
        <f t="shared" si="278"/>
        <v>19</v>
      </c>
      <c r="FU57" s="248">
        <f t="shared" si="278"/>
        <v>20</v>
      </c>
      <c r="FV57" s="248">
        <f t="shared" si="278"/>
        <v>21</v>
      </c>
      <c r="FW57" s="248">
        <f t="shared" si="278"/>
        <v>22</v>
      </c>
      <c r="FX57" s="248">
        <f t="shared" si="278"/>
        <v>23</v>
      </c>
      <c r="FY57" s="248">
        <f t="shared" si="278"/>
        <v>24</v>
      </c>
      <c r="FZ57" s="248">
        <f t="shared" si="278"/>
        <v>25</v>
      </c>
      <c r="GA57" s="248">
        <f t="shared" si="278"/>
        <v>26</v>
      </c>
      <c r="GB57" s="248">
        <f t="shared" si="278"/>
        <v>27</v>
      </c>
      <c r="GC57" s="248">
        <f t="shared" si="278"/>
        <v>28</v>
      </c>
      <c r="GD57" s="248">
        <f t="shared" si="278"/>
        <v>29</v>
      </c>
      <c r="GE57" s="248">
        <f t="shared" si="278"/>
        <v>30</v>
      </c>
      <c r="GF57" s="248">
        <f t="shared" si="278"/>
        <v>31</v>
      </c>
      <c r="GG57" s="248">
        <f t="shared" ref="GG57:HL57" si="279">GG3</f>
        <v>32</v>
      </c>
      <c r="GH57" s="248">
        <f t="shared" si="279"/>
        <v>33</v>
      </c>
      <c r="GI57" s="248">
        <f t="shared" si="279"/>
        <v>34</v>
      </c>
      <c r="GJ57" s="248">
        <f t="shared" si="279"/>
        <v>35</v>
      </c>
      <c r="GK57" s="248">
        <f t="shared" si="279"/>
        <v>36</v>
      </c>
      <c r="GL57" s="248">
        <f t="shared" si="279"/>
        <v>37</v>
      </c>
      <c r="GM57" s="248">
        <f t="shared" si="279"/>
        <v>38</v>
      </c>
      <c r="GN57" s="248">
        <f t="shared" si="279"/>
        <v>39</v>
      </c>
      <c r="GO57" s="248">
        <f t="shared" si="279"/>
        <v>40</v>
      </c>
      <c r="GP57" s="248">
        <f t="shared" si="279"/>
        <v>41</v>
      </c>
      <c r="GQ57" s="248">
        <f t="shared" si="279"/>
        <v>42</v>
      </c>
      <c r="GR57" s="248">
        <f t="shared" si="279"/>
        <v>43</v>
      </c>
      <c r="GS57" s="248">
        <f t="shared" si="279"/>
        <v>44</v>
      </c>
      <c r="GT57" s="248">
        <f t="shared" si="279"/>
        <v>45</v>
      </c>
      <c r="GU57" s="248">
        <f t="shared" si="279"/>
        <v>46</v>
      </c>
      <c r="GV57" s="248">
        <f t="shared" si="279"/>
        <v>47</v>
      </c>
      <c r="GW57" s="248">
        <f t="shared" si="279"/>
        <v>48</v>
      </c>
      <c r="GX57" s="248">
        <f t="shared" si="279"/>
        <v>49</v>
      </c>
      <c r="GY57" s="248">
        <f t="shared" si="279"/>
        <v>50</v>
      </c>
      <c r="GZ57" s="248">
        <f t="shared" si="279"/>
        <v>51</v>
      </c>
      <c r="HA57" s="248">
        <f t="shared" si="279"/>
        <v>52</v>
      </c>
      <c r="HB57" s="248">
        <f t="shared" si="279"/>
        <v>53</v>
      </c>
      <c r="HC57" s="248">
        <f t="shared" si="279"/>
        <v>54</v>
      </c>
      <c r="HD57" s="248">
        <f t="shared" si="279"/>
        <v>55</v>
      </c>
      <c r="HE57" s="248">
        <f t="shared" si="279"/>
        <v>56</v>
      </c>
      <c r="HF57" s="248">
        <f t="shared" si="279"/>
        <v>57</v>
      </c>
      <c r="HG57" s="248">
        <f t="shared" si="279"/>
        <v>58</v>
      </c>
      <c r="HH57" s="248">
        <f t="shared" si="279"/>
        <v>59</v>
      </c>
      <c r="HI57" s="248">
        <f t="shared" si="279"/>
        <v>60</v>
      </c>
      <c r="HJ57" s="248">
        <f t="shared" si="279"/>
        <v>61</v>
      </c>
      <c r="HK57" s="248">
        <f t="shared" si="279"/>
        <v>62</v>
      </c>
      <c r="HL57" s="248">
        <f t="shared" si="279"/>
        <v>63</v>
      </c>
      <c r="HM57" s="248">
        <f t="shared" ref="HM57:IR57" si="280">HM3</f>
        <v>64</v>
      </c>
      <c r="HN57" s="248">
        <f t="shared" si="280"/>
        <v>65</v>
      </c>
      <c r="HO57" s="248">
        <f t="shared" si="280"/>
        <v>66</v>
      </c>
      <c r="HP57" s="248">
        <f t="shared" si="280"/>
        <v>67</v>
      </c>
      <c r="HQ57" s="248">
        <f t="shared" si="280"/>
        <v>68</v>
      </c>
      <c r="HR57" s="248">
        <f t="shared" si="280"/>
        <v>69</v>
      </c>
      <c r="HS57" s="248">
        <f t="shared" si="280"/>
        <v>70</v>
      </c>
      <c r="HT57" s="248">
        <f t="shared" si="280"/>
        <v>71</v>
      </c>
      <c r="HU57" s="248">
        <f t="shared" si="280"/>
        <v>72</v>
      </c>
      <c r="HV57" s="248">
        <f t="shared" si="280"/>
        <v>73</v>
      </c>
      <c r="HW57" s="248">
        <f t="shared" si="280"/>
        <v>74</v>
      </c>
      <c r="HX57" s="248">
        <f t="shared" si="280"/>
        <v>75</v>
      </c>
      <c r="HY57" s="248">
        <f t="shared" si="280"/>
        <v>76</v>
      </c>
      <c r="HZ57" s="248">
        <f t="shared" si="280"/>
        <v>77</v>
      </c>
      <c r="IA57" s="248">
        <f t="shared" si="280"/>
        <v>78</v>
      </c>
      <c r="IB57" s="248">
        <f t="shared" si="280"/>
        <v>79</v>
      </c>
      <c r="IC57" s="248">
        <f t="shared" si="280"/>
        <v>80</v>
      </c>
      <c r="ID57" s="248">
        <f t="shared" si="280"/>
        <v>81</v>
      </c>
      <c r="IE57" s="248">
        <f t="shared" si="280"/>
        <v>82</v>
      </c>
      <c r="IF57" s="248">
        <f t="shared" si="280"/>
        <v>83</v>
      </c>
      <c r="IG57" s="248">
        <f t="shared" si="280"/>
        <v>84</v>
      </c>
      <c r="IH57" s="248">
        <f t="shared" si="280"/>
        <v>85</v>
      </c>
      <c r="II57" s="248">
        <f t="shared" si="280"/>
        <v>86</v>
      </c>
      <c r="IJ57" s="248">
        <f t="shared" si="280"/>
        <v>87</v>
      </c>
      <c r="IK57" s="248">
        <f t="shared" si="280"/>
        <v>88</v>
      </c>
      <c r="IL57" s="248">
        <f t="shared" si="280"/>
        <v>89</v>
      </c>
      <c r="IM57" s="248">
        <f t="shared" si="280"/>
        <v>90</v>
      </c>
      <c r="IN57" s="248">
        <f t="shared" si="280"/>
        <v>91</v>
      </c>
      <c r="IO57" s="248">
        <f t="shared" si="280"/>
        <v>92</v>
      </c>
      <c r="IP57" s="248">
        <f t="shared" si="280"/>
        <v>93</v>
      </c>
      <c r="IQ57" s="248">
        <f t="shared" si="280"/>
        <v>94</v>
      </c>
      <c r="IR57" s="248">
        <f t="shared" si="280"/>
        <v>95</v>
      </c>
      <c r="IS57" s="248">
        <f t="shared" ref="IS57:KC57" si="281">IS3</f>
        <v>96</v>
      </c>
      <c r="IT57" s="248">
        <f t="shared" si="281"/>
        <v>97</v>
      </c>
      <c r="IU57" s="248">
        <f t="shared" si="281"/>
        <v>98</v>
      </c>
      <c r="IV57" s="248">
        <f t="shared" si="281"/>
        <v>99</v>
      </c>
      <c r="IW57" s="248">
        <f t="shared" si="281"/>
        <v>100</v>
      </c>
      <c r="IX57" s="248">
        <f t="shared" si="281"/>
        <v>101</v>
      </c>
      <c r="IY57" s="248">
        <f t="shared" si="281"/>
        <v>102</v>
      </c>
      <c r="IZ57" s="248">
        <f t="shared" si="281"/>
        <v>103</v>
      </c>
      <c r="JA57" s="248">
        <f t="shared" si="281"/>
        <v>104</v>
      </c>
      <c r="JB57" s="248">
        <f t="shared" si="281"/>
        <v>105</v>
      </c>
      <c r="JC57" s="248">
        <f t="shared" si="281"/>
        <v>106</v>
      </c>
      <c r="JD57" s="248">
        <f t="shared" si="281"/>
        <v>107</v>
      </c>
      <c r="JE57" s="248">
        <f t="shared" si="281"/>
        <v>108</v>
      </c>
      <c r="JF57" s="248">
        <f t="shared" si="281"/>
        <v>109</v>
      </c>
      <c r="JG57" s="248">
        <f t="shared" si="281"/>
        <v>110</v>
      </c>
      <c r="JH57" s="248">
        <f t="shared" si="281"/>
        <v>111</v>
      </c>
      <c r="JI57" s="248">
        <f t="shared" si="281"/>
        <v>112</v>
      </c>
      <c r="JJ57" s="248">
        <f t="shared" si="281"/>
        <v>113</v>
      </c>
      <c r="JK57" s="248">
        <f t="shared" si="281"/>
        <v>114</v>
      </c>
      <c r="JL57" s="248">
        <f t="shared" si="281"/>
        <v>115</v>
      </c>
      <c r="JM57" s="248">
        <f t="shared" si="281"/>
        <v>116</v>
      </c>
      <c r="JN57" s="248">
        <f t="shared" si="281"/>
        <v>117</v>
      </c>
      <c r="JO57" s="248">
        <f t="shared" si="281"/>
        <v>118</v>
      </c>
      <c r="JP57" s="248">
        <f t="shared" si="281"/>
        <v>119</v>
      </c>
      <c r="JQ57" s="248">
        <f t="shared" si="281"/>
        <v>120</v>
      </c>
      <c r="JR57" s="248">
        <f t="shared" si="281"/>
        <v>121</v>
      </c>
      <c r="JS57" s="248">
        <f t="shared" si="281"/>
        <v>122</v>
      </c>
      <c r="JT57" s="248">
        <f t="shared" si="281"/>
        <v>123</v>
      </c>
      <c r="JU57" s="248">
        <f t="shared" si="281"/>
        <v>124</v>
      </c>
      <c r="JV57" s="248">
        <f t="shared" si="281"/>
        <v>125</v>
      </c>
      <c r="JW57" s="248">
        <f t="shared" si="281"/>
        <v>126</v>
      </c>
      <c r="JX57" s="248">
        <f t="shared" si="281"/>
        <v>127</v>
      </c>
      <c r="JY57" s="248">
        <f t="shared" si="281"/>
        <v>128</v>
      </c>
      <c r="JZ57" s="248">
        <f t="shared" si="281"/>
        <v>129</v>
      </c>
      <c r="KA57" s="248">
        <f t="shared" si="281"/>
        <v>130</v>
      </c>
      <c r="KB57" s="248">
        <f t="shared" si="281"/>
        <v>131</v>
      </c>
      <c r="KC57" s="248">
        <f t="shared" si="281"/>
        <v>132</v>
      </c>
    </row>
    <row r="58" spans="1:289" x14ac:dyDescent="0.25">
      <c r="B58" s="231"/>
      <c r="C58" s="196"/>
      <c r="D58" s="215"/>
      <c r="E58" s="196"/>
      <c r="F58" s="196"/>
      <c r="G58" s="240"/>
      <c r="H58" s="241"/>
      <c r="I58" s="241"/>
      <c r="EU58" s="257" t="s">
        <v>59</v>
      </c>
      <c r="EV58" s="153"/>
      <c r="EW58" s="153"/>
      <c r="EX58" s="153"/>
      <c r="EY58" s="153"/>
      <c r="EZ58" s="250">
        <f>SUM(FA58:KC58)</f>
        <v>1615440.1321185711</v>
      </c>
      <c r="FA58" s="221">
        <f>MIN(EZ71,FA54+Q55)</f>
        <v>822502.85714285716</v>
      </c>
      <c r="FB58" s="221">
        <f t="shared" ref="FB58:HM58" si="282">MIN(FA71,FB54+R55)</f>
        <v>16840.908265539307</v>
      </c>
      <c r="FC58" s="221">
        <f t="shared" si="282"/>
        <v>52504.923287438098</v>
      </c>
      <c r="FD58" s="221">
        <f t="shared" si="282"/>
        <v>136519.80154125288</v>
      </c>
      <c r="FE58" s="221">
        <f t="shared" si="282"/>
        <v>282437.29328717594</v>
      </c>
      <c r="FF58" s="221">
        <f t="shared" si="282"/>
        <v>304634.34859430767</v>
      </c>
      <c r="FG58" s="221">
        <f t="shared" si="282"/>
        <v>0</v>
      </c>
      <c r="FH58" s="221">
        <f t="shared" si="282"/>
        <v>0</v>
      </c>
      <c r="FI58" s="221">
        <f t="shared" si="282"/>
        <v>0</v>
      </c>
      <c r="FJ58" s="221">
        <f t="shared" si="282"/>
        <v>0</v>
      </c>
      <c r="FK58" s="221">
        <f t="shared" si="282"/>
        <v>0</v>
      </c>
      <c r="FL58" s="221">
        <f t="shared" si="282"/>
        <v>0</v>
      </c>
      <c r="FM58" s="221">
        <f t="shared" si="282"/>
        <v>0</v>
      </c>
      <c r="FN58" s="221">
        <f t="shared" si="282"/>
        <v>0</v>
      </c>
      <c r="FO58" s="221">
        <f t="shared" si="282"/>
        <v>0</v>
      </c>
      <c r="FP58" s="221">
        <f t="shared" si="282"/>
        <v>0</v>
      </c>
      <c r="FQ58" s="221">
        <f t="shared" si="282"/>
        <v>0</v>
      </c>
      <c r="FR58" s="221">
        <f t="shared" si="282"/>
        <v>0</v>
      </c>
      <c r="FS58" s="221">
        <f t="shared" si="282"/>
        <v>0</v>
      </c>
      <c r="FT58" s="221">
        <f t="shared" si="282"/>
        <v>0</v>
      </c>
      <c r="FU58" s="221">
        <f t="shared" si="282"/>
        <v>0</v>
      </c>
      <c r="FV58" s="221">
        <f t="shared" si="282"/>
        <v>0</v>
      </c>
      <c r="FW58" s="221">
        <f t="shared" si="282"/>
        <v>0</v>
      </c>
      <c r="FX58" s="221">
        <f t="shared" si="282"/>
        <v>0</v>
      </c>
      <c r="FY58" s="221">
        <f t="shared" si="282"/>
        <v>0</v>
      </c>
      <c r="FZ58" s="221">
        <f t="shared" si="282"/>
        <v>0</v>
      </c>
      <c r="GA58" s="221">
        <f t="shared" si="282"/>
        <v>0</v>
      </c>
      <c r="GB58" s="221">
        <f t="shared" si="282"/>
        <v>0</v>
      </c>
      <c r="GC58" s="221">
        <f t="shared" si="282"/>
        <v>0</v>
      </c>
      <c r="GD58" s="221">
        <f t="shared" si="282"/>
        <v>0</v>
      </c>
      <c r="GE58" s="221">
        <f t="shared" si="282"/>
        <v>0</v>
      </c>
      <c r="GF58" s="221">
        <f t="shared" si="282"/>
        <v>0</v>
      </c>
      <c r="GG58" s="221">
        <f t="shared" si="282"/>
        <v>0</v>
      </c>
      <c r="GH58" s="221">
        <f t="shared" si="282"/>
        <v>0</v>
      </c>
      <c r="GI58" s="221">
        <f t="shared" si="282"/>
        <v>0</v>
      </c>
      <c r="GJ58" s="221">
        <f t="shared" si="282"/>
        <v>0</v>
      </c>
      <c r="GK58" s="221">
        <f t="shared" si="282"/>
        <v>0</v>
      </c>
      <c r="GL58" s="221">
        <f t="shared" si="282"/>
        <v>0</v>
      </c>
      <c r="GM58" s="221">
        <f t="shared" si="282"/>
        <v>0</v>
      </c>
      <c r="GN58" s="221">
        <f t="shared" si="282"/>
        <v>0</v>
      </c>
      <c r="GO58" s="221">
        <f t="shared" si="282"/>
        <v>0</v>
      </c>
      <c r="GP58" s="221">
        <f t="shared" si="282"/>
        <v>0</v>
      </c>
      <c r="GQ58" s="221">
        <f t="shared" si="282"/>
        <v>0</v>
      </c>
      <c r="GR58" s="221">
        <f t="shared" si="282"/>
        <v>0</v>
      </c>
      <c r="GS58" s="221">
        <f t="shared" si="282"/>
        <v>0</v>
      </c>
      <c r="GT58" s="221">
        <f t="shared" si="282"/>
        <v>0</v>
      </c>
      <c r="GU58" s="221">
        <f t="shared" si="282"/>
        <v>0</v>
      </c>
      <c r="GV58" s="221">
        <f t="shared" si="282"/>
        <v>0</v>
      </c>
      <c r="GW58" s="221">
        <f t="shared" si="282"/>
        <v>0</v>
      </c>
      <c r="GX58" s="221">
        <f t="shared" si="282"/>
        <v>0</v>
      </c>
      <c r="GY58" s="221">
        <f t="shared" si="282"/>
        <v>0</v>
      </c>
      <c r="GZ58" s="221">
        <f t="shared" si="282"/>
        <v>0</v>
      </c>
      <c r="HA58" s="221">
        <f t="shared" si="282"/>
        <v>0</v>
      </c>
      <c r="HB58" s="221">
        <f t="shared" si="282"/>
        <v>0</v>
      </c>
      <c r="HC58" s="221">
        <f t="shared" si="282"/>
        <v>0</v>
      </c>
      <c r="HD58" s="221">
        <f t="shared" si="282"/>
        <v>0</v>
      </c>
      <c r="HE58" s="221">
        <f t="shared" si="282"/>
        <v>0</v>
      </c>
      <c r="HF58" s="221">
        <f t="shared" si="282"/>
        <v>0</v>
      </c>
      <c r="HG58" s="221">
        <f t="shared" si="282"/>
        <v>0</v>
      </c>
      <c r="HH58" s="221">
        <f t="shared" si="282"/>
        <v>0</v>
      </c>
      <c r="HI58" s="221">
        <f t="shared" si="282"/>
        <v>0</v>
      </c>
      <c r="HJ58" s="221">
        <f t="shared" si="282"/>
        <v>0</v>
      </c>
      <c r="HK58" s="221">
        <f t="shared" si="282"/>
        <v>0</v>
      </c>
      <c r="HL58" s="221">
        <f t="shared" si="282"/>
        <v>0</v>
      </c>
      <c r="HM58" s="221">
        <f t="shared" si="282"/>
        <v>0</v>
      </c>
      <c r="HN58" s="221">
        <f t="shared" ref="HN58:JY58" si="283">MIN(HM71,HN54+CD55)</f>
        <v>0</v>
      </c>
      <c r="HO58" s="221">
        <f t="shared" si="283"/>
        <v>0</v>
      </c>
      <c r="HP58" s="221">
        <f t="shared" si="283"/>
        <v>0</v>
      </c>
      <c r="HQ58" s="221">
        <f t="shared" si="283"/>
        <v>0</v>
      </c>
      <c r="HR58" s="221">
        <f t="shared" si="283"/>
        <v>0</v>
      </c>
      <c r="HS58" s="221">
        <f t="shared" si="283"/>
        <v>0</v>
      </c>
      <c r="HT58" s="221">
        <f t="shared" si="283"/>
        <v>0</v>
      </c>
      <c r="HU58" s="221">
        <f t="shared" si="283"/>
        <v>0</v>
      </c>
      <c r="HV58" s="221">
        <f t="shared" si="283"/>
        <v>0</v>
      </c>
      <c r="HW58" s="221">
        <f t="shared" si="283"/>
        <v>0</v>
      </c>
      <c r="HX58" s="221">
        <f t="shared" si="283"/>
        <v>0</v>
      </c>
      <c r="HY58" s="221">
        <f t="shared" si="283"/>
        <v>0</v>
      </c>
      <c r="HZ58" s="221">
        <f t="shared" si="283"/>
        <v>0</v>
      </c>
      <c r="IA58" s="221">
        <f t="shared" si="283"/>
        <v>0</v>
      </c>
      <c r="IB58" s="221">
        <f t="shared" si="283"/>
        <v>0</v>
      </c>
      <c r="IC58" s="221">
        <f t="shared" si="283"/>
        <v>0</v>
      </c>
      <c r="ID58" s="221">
        <f t="shared" si="283"/>
        <v>0</v>
      </c>
      <c r="IE58" s="221">
        <f t="shared" si="283"/>
        <v>0</v>
      </c>
      <c r="IF58" s="221">
        <f t="shared" si="283"/>
        <v>0</v>
      </c>
      <c r="IG58" s="221">
        <f t="shared" si="283"/>
        <v>0</v>
      </c>
      <c r="IH58" s="221">
        <f t="shared" si="283"/>
        <v>0</v>
      </c>
      <c r="II58" s="221">
        <f t="shared" si="283"/>
        <v>0</v>
      </c>
      <c r="IJ58" s="221">
        <f t="shared" si="283"/>
        <v>0</v>
      </c>
      <c r="IK58" s="221">
        <f t="shared" si="283"/>
        <v>0</v>
      </c>
      <c r="IL58" s="221">
        <f t="shared" si="283"/>
        <v>0</v>
      </c>
      <c r="IM58" s="221">
        <f t="shared" si="283"/>
        <v>0</v>
      </c>
      <c r="IN58" s="221">
        <f t="shared" si="283"/>
        <v>0</v>
      </c>
      <c r="IO58" s="221">
        <f t="shared" si="283"/>
        <v>0</v>
      </c>
      <c r="IP58" s="221">
        <f t="shared" si="283"/>
        <v>0</v>
      </c>
      <c r="IQ58" s="221">
        <f t="shared" si="283"/>
        <v>0</v>
      </c>
      <c r="IR58" s="221">
        <f t="shared" si="283"/>
        <v>0</v>
      </c>
      <c r="IS58" s="221">
        <f t="shared" si="283"/>
        <v>0</v>
      </c>
      <c r="IT58" s="221">
        <f t="shared" si="283"/>
        <v>0</v>
      </c>
      <c r="IU58" s="221">
        <f t="shared" si="283"/>
        <v>0</v>
      </c>
      <c r="IV58" s="221">
        <f t="shared" si="283"/>
        <v>0</v>
      </c>
      <c r="IW58" s="221">
        <f t="shared" si="283"/>
        <v>0</v>
      </c>
      <c r="IX58" s="221">
        <f t="shared" si="283"/>
        <v>0</v>
      </c>
      <c r="IY58" s="221">
        <f t="shared" si="283"/>
        <v>0</v>
      </c>
      <c r="IZ58" s="221">
        <f t="shared" si="283"/>
        <v>0</v>
      </c>
      <c r="JA58" s="221">
        <f t="shared" si="283"/>
        <v>0</v>
      </c>
      <c r="JB58" s="221">
        <f t="shared" si="283"/>
        <v>0</v>
      </c>
      <c r="JC58" s="221">
        <f t="shared" si="283"/>
        <v>0</v>
      </c>
      <c r="JD58" s="221">
        <f t="shared" si="283"/>
        <v>0</v>
      </c>
      <c r="JE58" s="221">
        <f t="shared" si="283"/>
        <v>0</v>
      </c>
      <c r="JF58" s="221">
        <f t="shared" si="283"/>
        <v>0</v>
      </c>
      <c r="JG58" s="221">
        <f t="shared" si="283"/>
        <v>0</v>
      </c>
      <c r="JH58" s="221">
        <f t="shared" si="283"/>
        <v>0</v>
      </c>
      <c r="JI58" s="221">
        <f t="shared" si="283"/>
        <v>0</v>
      </c>
      <c r="JJ58" s="221">
        <f t="shared" si="283"/>
        <v>0</v>
      </c>
      <c r="JK58" s="221">
        <f t="shared" si="283"/>
        <v>0</v>
      </c>
      <c r="JL58" s="221">
        <f t="shared" si="283"/>
        <v>0</v>
      </c>
      <c r="JM58" s="221">
        <f t="shared" si="283"/>
        <v>0</v>
      </c>
      <c r="JN58" s="221">
        <f t="shared" si="283"/>
        <v>0</v>
      </c>
      <c r="JO58" s="221">
        <f t="shared" si="283"/>
        <v>0</v>
      </c>
      <c r="JP58" s="221">
        <f t="shared" si="283"/>
        <v>0</v>
      </c>
      <c r="JQ58" s="221">
        <f t="shared" si="283"/>
        <v>0</v>
      </c>
      <c r="JR58" s="221">
        <f t="shared" si="283"/>
        <v>0</v>
      </c>
      <c r="JS58" s="221">
        <f t="shared" si="283"/>
        <v>0</v>
      </c>
      <c r="JT58" s="221">
        <f t="shared" si="283"/>
        <v>0</v>
      </c>
      <c r="JU58" s="221">
        <f t="shared" si="283"/>
        <v>0</v>
      </c>
      <c r="JV58" s="221">
        <f t="shared" si="283"/>
        <v>0</v>
      </c>
      <c r="JW58" s="221">
        <f t="shared" si="283"/>
        <v>0</v>
      </c>
      <c r="JX58" s="221">
        <f t="shared" si="283"/>
        <v>0</v>
      </c>
      <c r="JY58" s="221">
        <f t="shared" si="283"/>
        <v>0</v>
      </c>
      <c r="JZ58" s="221">
        <f>MIN(JY71,JZ54+EP55)</f>
        <v>0</v>
      </c>
      <c r="KA58" s="221">
        <f>MIN(JZ71,KA54+EQ55)</f>
        <v>0</v>
      </c>
      <c r="KB58" s="221">
        <f>MIN(KA71,KB54+ER55)</f>
        <v>0</v>
      </c>
      <c r="KC58" s="221">
        <f>MIN(KB71,KC54+ES55)</f>
        <v>0</v>
      </c>
    </row>
    <row r="59" spans="1:289" s="264" customFormat="1" x14ac:dyDescent="0.25">
      <c r="A59" s="258"/>
      <c r="B59" s="259" t="s">
        <v>81</v>
      </c>
      <c r="C59" s="260"/>
      <c r="D59" s="261">
        <f>MIN(D55,D49,D38,D31)</f>
        <v>0</v>
      </c>
      <c r="E59" s="261">
        <f>MAX(E55,E49,E38,E31)</f>
        <v>14</v>
      </c>
      <c r="F59" s="261"/>
      <c r="G59" s="262">
        <f ca="1">G57+G49+G38+G31</f>
        <v>247.82787890304542</v>
      </c>
      <c r="H59" s="263">
        <f ca="1">H57+H49+H38+H31</f>
        <v>252412.69466275178</v>
      </c>
      <c r="I59" s="263">
        <f ca="1">I57+I49+I38+I31</f>
        <v>4038603.1146040284</v>
      </c>
      <c r="P59" s="264" t="str">
        <f ca="1">IF(ROUND(SUM(Q59:ES59),0)=ROUND(I59,0),"","Incomplete")</f>
        <v/>
      </c>
      <c r="Q59" s="265">
        <f t="shared" ref="Q59:AV59" si="284">+Q57+Q49+Q38+Q31</f>
        <v>822502.85714285716</v>
      </c>
      <c r="R59" s="265">
        <f t="shared" ca="1" si="284"/>
        <v>16840.908265539307</v>
      </c>
      <c r="S59" s="265">
        <f t="shared" ca="1" si="284"/>
        <v>52504.923287438098</v>
      </c>
      <c r="T59" s="265">
        <f t="shared" ca="1" si="284"/>
        <v>136519.80154125288</v>
      </c>
      <c r="U59" s="265">
        <f t="shared" ca="1" si="284"/>
        <v>282437.29328717594</v>
      </c>
      <c r="V59" s="265">
        <f t="shared" ca="1" si="284"/>
        <v>459629.91406893102</v>
      </c>
      <c r="W59" s="265">
        <f t="shared" ca="1" si="284"/>
        <v>587875.93211909418</v>
      </c>
      <c r="X59" s="265">
        <f t="shared" ca="1" si="284"/>
        <v>590772.04107722954</v>
      </c>
      <c r="Y59" s="265">
        <f t="shared" ca="1" si="284"/>
        <v>468740.7530816652</v>
      </c>
      <c r="Z59" s="265">
        <f t="shared" ca="1" si="284"/>
        <v>295454.30524225702</v>
      </c>
      <c r="AA59" s="265">
        <f t="shared" ca="1" si="284"/>
        <v>151998.93270668635</v>
      </c>
      <c r="AB59" s="265">
        <f t="shared" ca="1" si="284"/>
        <v>69250.71222542724</v>
      </c>
      <c r="AC59" s="265">
        <f t="shared" ca="1" si="284"/>
        <v>34163.786472073742</v>
      </c>
      <c r="AD59" s="265">
        <f t="shared" ca="1" si="284"/>
        <v>34810.43356999215</v>
      </c>
      <c r="AE59" s="265">
        <f t="shared" ca="1" si="284"/>
        <v>35100.520516408738</v>
      </c>
      <c r="AF59" s="265">
        <f t="shared" ca="1" si="284"/>
        <v>0</v>
      </c>
      <c r="AG59" s="265">
        <f t="shared" ca="1" si="284"/>
        <v>0</v>
      </c>
      <c r="AH59" s="265">
        <f t="shared" ca="1" si="284"/>
        <v>0</v>
      </c>
      <c r="AI59" s="265">
        <f t="shared" ca="1" si="284"/>
        <v>0</v>
      </c>
      <c r="AJ59" s="265">
        <f t="shared" ca="1" si="284"/>
        <v>0</v>
      </c>
      <c r="AK59" s="265">
        <f t="shared" ca="1" si="284"/>
        <v>0</v>
      </c>
      <c r="AL59" s="265">
        <f t="shared" ca="1" si="284"/>
        <v>0</v>
      </c>
      <c r="AM59" s="265">
        <f t="shared" ca="1" si="284"/>
        <v>0</v>
      </c>
      <c r="AN59" s="265">
        <f t="shared" ca="1" si="284"/>
        <v>0</v>
      </c>
      <c r="AO59" s="265">
        <f t="shared" ca="1" si="284"/>
        <v>0</v>
      </c>
      <c r="AP59" s="265">
        <f t="shared" ca="1" si="284"/>
        <v>0</v>
      </c>
      <c r="AQ59" s="265">
        <f t="shared" ca="1" si="284"/>
        <v>0</v>
      </c>
      <c r="AR59" s="265">
        <f t="shared" ca="1" si="284"/>
        <v>0</v>
      </c>
      <c r="AS59" s="265">
        <f t="shared" ca="1" si="284"/>
        <v>0</v>
      </c>
      <c r="AT59" s="265">
        <f t="shared" ca="1" si="284"/>
        <v>0</v>
      </c>
      <c r="AU59" s="265">
        <f t="shared" ca="1" si="284"/>
        <v>0</v>
      </c>
      <c r="AV59" s="265">
        <f t="shared" ca="1" si="284"/>
        <v>0</v>
      </c>
      <c r="AW59" s="265">
        <f t="shared" ref="AW59:CB59" ca="1" si="285">+AW57+AW49+AW38+AW31</f>
        <v>0</v>
      </c>
      <c r="AX59" s="265">
        <f t="shared" ca="1" si="285"/>
        <v>0</v>
      </c>
      <c r="AY59" s="265">
        <f t="shared" ca="1" si="285"/>
        <v>0</v>
      </c>
      <c r="AZ59" s="265">
        <f t="shared" ca="1" si="285"/>
        <v>0</v>
      </c>
      <c r="BA59" s="265">
        <f t="shared" ca="1" si="285"/>
        <v>0</v>
      </c>
      <c r="BB59" s="265">
        <f t="shared" ca="1" si="285"/>
        <v>0</v>
      </c>
      <c r="BC59" s="265">
        <f t="shared" ca="1" si="285"/>
        <v>0</v>
      </c>
      <c r="BD59" s="265">
        <f t="shared" ca="1" si="285"/>
        <v>0</v>
      </c>
      <c r="BE59" s="265">
        <f t="shared" ca="1" si="285"/>
        <v>0</v>
      </c>
      <c r="BF59" s="265">
        <f t="shared" ca="1" si="285"/>
        <v>0</v>
      </c>
      <c r="BG59" s="265">
        <f t="shared" ca="1" si="285"/>
        <v>0</v>
      </c>
      <c r="BH59" s="265">
        <f t="shared" ca="1" si="285"/>
        <v>0</v>
      </c>
      <c r="BI59" s="265">
        <f t="shared" ca="1" si="285"/>
        <v>0</v>
      </c>
      <c r="BJ59" s="265">
        <f t="shared" ca="1" si="285"/>
        <v>0</v>
      </c>
      <c r="BK59" s="265">
        <f t="shared" ca="1" si="285"/>
        <v>0</v>
      </c>
      <c r="BL59" s="265">
        <f t="shared" ca="1" si="285"/>
        <v>0</v>
      </c>
      <c r="BM59" s="265">
        <f t="shared" ca="1" si="285"/>
        <v>0</v>
      </c>
      <c r="BN59" s="265">
        <f t="shared" ca="1" si="285"/>
        <v>0</v>
      </c>
      <c r="BO59" s="265">
        <f t="shared" ca="1" si="285"/>
        <v>0</v>
      </c>
      <c r="BP59" s="265">
        <f t="shared" ca="1" si="285"/>
        <v>0</v>
      </c>
      <c r="BQ59" s="265">
        <f t="shared" ca="1" si="285"/>
        <v>0</v>
      </c>
      <c r="BR59" s="265">
        <f t="shared" ca="1" si="285"/>
        <v>0</v>
      </c>
      <c r="BS59" s="265">
        <f t="shared" ca="1" si="285"/>
        <v>0</v>
      </c>
      <c r="BT59" s="265">
        <f t="shared" ca="1" si="285"/>
        <v>0</v>
      </c>
      <c r="BU59" s="265">
        <f t="shared" ca="1" si="285"/>
        <v>0</v>
      </c>
      <c r="BV59" s="265">
        <f t="shared" ca="1" si="285"/>
        <v>0</v>
      </c>
      <c r="BW59" s="265">
        <f t="shared" ca="1" si="285"/>
        <v>0</v>
      </c>
      <c r="BX59" s="265">
        <f t="shared" ca="1" si="285"/>
        <v>0</v>
      </c>
      <c r="BY59" s="265">
        <f t="shared" ca="1" si="285"/>
        <v>0</v>
      </c>
      <c r="BZ59" s="265">
        <f t="shared" ca="1" si="285"/>
        <v>0</v>
      </c>
      <c r="CA59" s="265">
        <f t="shared" ca="1" si="285"/>
        <v>0</v>
      </c>
      <c r="CB59" s="265">
        <f t="shared" ca="1" si="285"/>
        <v>0</v>
      </c>
      <c r="CC59" s="265">
        <f t="shared" ref="CC59:DH59" ca="1" si="286">+CC57+CC49+CC38+CC31</f>
        <v>0</v>
      </c>
      <c r="CD59" s="265">
        <f t="shared" ca="1" si="286"/>
        <v>0</v>
      </c>
      <c r="CE59" s="265">
        <f t="shared" ca="1" si="286"/>
        <v>0</v>
      </c>
      <c r="CF59" s="265">
        <f t="shared" ca="1" si="286"/>
        <v>0</v>
      </c>
      <c r="CG59" s="265">
        <f t="shared" ca="1" si="286"/>
        <v>0</v>
      </c>
      <c r="CH59" s="265">
        <f t="shared" ca="1" si="286"/>
        <v>0</v>
      </c>
      <c r="CI59" s="265">
        <f t="shared" ca="1" si="286"/>
        <v>0</v>
      </c>
      <c r="CJ59" s="265">
        <f t="shared" ca="1" si="286"/>
        <v>0</v>
      </c>
      <c r="CK59" s="265">
        <f t="shared" ca="1" si="286"/>
        <v>0</v>
      </c>
      <c r="CL59" s="265">
        <f t="shared" ca="1" si="286"/>
        <v>0</v>
      </c>
      <c r="CM59" s="265">
        <f t="shared" ca="1" si="286"/>
        <v>0</v>
      </c>
      <c r="CN59" s="265">
        <f t="shared" ca="1" si="286"/>
        <v>0</v>
      </c>
      <c r="CO59" s="265">
        <f t="shared" ca="1" si="286"/>
        <v>0</v>
      </c>
      <c r="CP59" s="265">
        <f t="shared" ca="1" si="286"/>
        <v>0</v>
      </c>
      <c r="CQ59" s="265">
        <f t="shared" ca="1" si="286"/>
        <v>0</v>
      </c>
      <c r="CR59" s="265">
        <f t="shared" ca="1" si="286"/>
        <v>0</v>
      </c>
      <c r="CS59" s="265">
        <f t="shared" ca="1" si="286"/>
        <v>0</v>
      </c>
      <c r="CT59" s="265">
        <f t="shared" ca="1" si="286"/>
        <v>0</v>
      </c>
      <c r="CU59" s="265">
        <f t="shared" ca="1" si="286"/>
        <v>0</v>
      </c>
      <c r="CV59" s="265">
        <f t="shared" ca="1" si="286"/>
        <v>0</v>
      </c>
      <c r="CW59" s="265">
        <f t="shared" ca="1" si="286"/>
        <v>0</v>
      </c>
      <c r="CX59" s="265">
        <f t="shared" ca="1" si="286"/>
        <v>0</v>
      </c>
      <c r="CY59" s="265">
        <f t="shared" ca="1" si="286"/>
        <v>0</v>
      </c>
      <c r="CZ59" s="265">
        <f t="shared" ca="1" si="286"/>
        <v>0</v>
      </c>
      <c r="DA59" s="265">
        <f t="shared" ca="1" si="286"/>
        <v>0</v>
      </c>
      <c r="DB59" s="265">
        <f t="shared" ca="1" si="286"/>
        <v>0</v>
      </c>
      <c r="DC59" s="265">
        <f t="shared" ca="1" si="286"/>
        <v>0</v>
      </c>
      <c r="DD59" s="265">
        <f t="shared" ca="1" si="286"/>
        <v>0</v>
      </c>
      <c r="DE59" s="265">
        <f t="shared" ca="1" si="286"/>
        <v>0</v>
      </c>
      <c r="DF59" s="265">
        <f t="shared" ca="1" si="286"/>
        <v>0</v>
      </c>
      <c r="DG59" s="265">
        <f t="shared" ca="1" si="286"/>
        <v>0</v>
      </c>
      <c r="DH59" s="265">
        <f t="shared" ca="1" si="286"/>
        <v>0</v>
      </c>
      <c r="DI59" s="265">
        <f t="shared" ref="DI59:ES59" ca="1" si="287">+DI57+DI49+DI38+DI31</f>
        <v>0</v>
      </c>
      <c r="DJ59" s="265">
        <f t="shared" ca="1" si="287"/>
        <v>0</v>
      </c>
      <c r="DK59" s="265">
        <f t="shared" ca="1" si="287"/>
        <v>0</v>
      </c>
      <c r="DL59" s="265">
        <f t="shared" ca="1" si="287"/>
        <v>0</v>
      </c>
      <c r="DM59" s="265">
        <f t="shared" ca="1" si="287"/>
        <v>0</v>
      </c>
      <c r="DN59" s="265">
        <f t="shared" ca="1" si="287"/>
        <v>0</v>
      </c>
      <c r="DO59" s="265">
        <f t="shared" ca="1" si="287"/>
        <v>0</v>
      </c>
      <c r="DP59" s="265">
        <f t="shared" ca="1" si="287"/>
        <v>0</v>
      </c>
      <c r="DQ59" s="265">
        <f t="shared" ca="1" si="287"/>
        <v>0</v>
      </c>
      <c r="DR59" s="265">
        <f t="shared" ca="1" si="287"/>
        <v>0</v>
      </c>
      <c r="DS59" s="265">
        <f t="shared" ca="1" si="287"/>
        <v>0</v>
      </c>
      <c r="DT59" s="265">
        <f t="shared" ca="1" si="287"/>
        <v>0</v>
      </c>
      <c r="DU59" s="265">
        <f t="shared" ca="1" si="287"/>
        <v>0</v>
      </c>
      <c r="DV59" s="265">
        <f t="shared" ca="1" si="287"/>
        <v>0</v>
      </c>
      <c r="DW59" s="265">
        <f t="shared" ca="1" si="287"/>
        <v>0</v>
      </c>
      <c r="DX59" s="265">
        <f t="shared" ca="1" si="287"/>
        <v>0</v>
      </c>
      <c r="DY59" s="265">
        <f t="shared" ca="1" si="287"/>
        <v>0</v>
      </c>
      <c r="DZ59" s="265">
        <f t="shared" ca="1" si="287"/>
        <v>0</v>
      </c>
      <c r="EA59" s="265">
        <f t="shared" ca="1" si="287"/>
        <v>0</v>
      </c>
      <c r="EB59" s="265">
        <f t="shared" ca="1" si="287"/>
        <v>0</v>
      </c>
      <c r="EC59" s="265">
        <f t="shared" ca="1" si="287"/>
        <v>0</v>
      </c>
      <c r="ED59" s="265">
        <f t="shared" ca="1" si="287"/>
        <v>0</v>
      </c>
      <c r="EE59" s="265">
        <f t="shared" ca="1" si="287"/>
        <v>0</v>
      </c>
      <c r="EF59" s="265">
        <f t="shared" ca="1" si="287"/>
        <v>0</v>
      </c>
      <c r="EG59" s="265">
        <f t="shared" ca="1" si="287"/>
        <v>0</v>
      </c>
      <c r="EH59" s="265">
        <f t="shared" ca="1" si="287"/>
        <v>0</v>
      </c>
      <c r="EI59" s="265">
        <f t="shared" ca="1" si="287"/>
        <v>0</v>
      </c>
      <c r="EJ59" s="265">
        <f t="shared" ca="1" si="287"/>
        <v>0</v>
      </c>
      <c r="EK59" s="265">
        <f t="shared" ca="1" si="287"/>
        <v>0</v>
      </c>
      <c r="EL59" s="265">
        <f t="shared" ca="1" si="287"/>
        <v>0</v>
      </c>
      <c r="EM59" s="265">
        <f t="shared" ca="1" si="287"/>
        <v>0</v>
      </c>
      <c r="EN59" s="265">
        <f t="shared" ca="1" si="287"/>
        <v>0</v>
      </c>
      <c r="EO59" s="265">
        <f t="shared" ca="1" si="287"/>
        <v>0</v>
      </c>
      <c r="EP59" s="265">
        <f t="shared" ca="1" si="287"/>
        <v>0</v>
      </c>
      <c r="EQ59" s="265">
        <f t="shared" ca="1" si="287"/>
        <v>0</v>
      </c>
      <c r="ER59" s="265">
        <f t="shared" ca="1" si="287"/>
        <v>0</v>
      </c>
      <c r="ES59" s="265">
        <f t="shared" ca="1" si="287"/>
        <v>0</v>
      </c>
      <c r="EU59" s="257" t="s">
        <v>69</v>
      </c>
      <c r="EV59" s="153"/>
      <c r="EW59" s="153"/>
      <c r="EX59" s="153"/>
      <c r="EY59" s="153"/>
      <c r="EZ59" s="250">
        <f>EZ72</f>
        <v>2294479.8678814285</v>
      </c>
      <c r="FA59" s="221">
        <f>MIN(EZ72,FA54+Q55-FA58)</f>
        <v>0</v>
      </c>
      <c r="FB59" s="221">
        <f t="shared" ref="FB59:HM59" si="288">MIN(FA72,FB54+R55-FB58)</f>
        <v>0</v>
      </c>
      <c r="FC59" s="221">
        <f t="shared" si="288"/>
        <v>0</v>
      </c>
      <c r="FD59" s="221">
        <f t="shared" si="288"/>
        <v>0</v>
      </c>
      <c r="FE59" s="221">
        <f t="shared" si="288"/>
        <v>0</v>
      </c>
      <c r="FF59" s="221">
        <f t="shared" si="288"/>
        <v>154995.56547462335</v>
      </c>
      <c r="FG59" s="221">
        <f t="shared" si="288"/>
        <v>586584.30240680568</v>
      </c>
      <c r="FH59" s="221">
        <f t="shared" si="288"/>
        <v>584581.44526394852</v>
      </c>
      <c r="FI59" s="221">
        <f t="shared" si="288"/>
        <v>457627.05692607397</v>
      </c>
      <c r="FJ59" s="221">
        <f t="shared" si="288"/>
        <v>280434.43614431861</v>
      </c>
      <c r="FK59" s="221">
        <f t="shared" si="288"/>
        <v>134516.94439839578</v>
      </c>
      <c r="FL59" s="221">
        <f t="shared" si="288"/>
        <v>50502.066144580931</v>
      </c>
      <c r="FM59" s="221">
        <f t="shared" si="288"/>
        <v>14838.051122682213</v>
      </c>
      <c r="FN59" s="221">
        <f t="shared" si="288"/>
        <v>15200</v>
      </c>
      <c r="FO59" s="221">
        <f t="shared" si="288"/>
        <v>15199.999999999513</v>
      </c>
      <c r="FP59" s="221">
        <f t="shared" si="288"/>
        <v>0</v>
      </c>
      <c r="FQ59" s="221">
        <f t="shared" si="288"/>
        <v>0</v>
      </c>
      <c r="FR59" s="221">
        <f t="shared" si="288"/>
        <v>0</v>
      </c>
      <c r="FS59" s="221">
        <f t="shared" si="288"/>
        <v>0</v>
      </c>
      <c r="FT59" s="221">
        <f t="shared" si="288"/>
        <v>0</v>
      </c>
      <c r="FU59" s="221">
        <f t="shared" si="288"/>
        <v>0</v>
      </c>
      <c r="FV59" s="221">
        <f t="shared" si="288"/>
        <v>0</v>
      </c>
      <c r="FW59" s="221">
        <f t="shared" si="288"/>
        <v>0</v>
      </c>
      <c r="FX59" s="221">
        <f t="shared" si="288"/>
        <v>0</v>
      </c>
      <c r="FY59" s="221">
        <f t="shared" si="288"/>
        <v>0</v>
      </c>
      <c r="FZ59" s="221">
        <f t="shared" si="288"/>
        <v>0</v>
      </c>
      <c r="GA59" s="221">
        <f t="shared" si="288"/>
        <v>0</v>
      </c>
      <c r="GB59" s="221">
        <f t="shared" si="288"/>
        <v>0</v>
      </c>
      <c r="GC59" s="221">
        <f t="shared" si="288"/>
        <v>0</v>
      </c>
      <c r="GD59" s="221">
        <f t="shared" si="288"/>
        <v>0</v>
      </c>
      <c r="GE59" s="221">
        <f t="shared" si="288"/>
        <v>0</v>
      </c>
      <c r="GF59" s="221">
        <f t="shared" si="288"/>
        <v>0</v>
      </c>
      <c r="GG59" s="221">
        <f t="shared" si="288"/>
        <v>0</v>
      </c>
      <c r="GH59" s="221">
        <f t="shared" si="288"/>
        <v>0</v>
      </c>
      <c r="GI59" s="221">
        <f t="shared" si="288"/>
        <v>0</v>
      </c>
      <c r="GJ59" s="221">
        <f t="shared" si="288"/>
        <v>0</v>
      </c>
      <c r="GK59" s="221">
        <f t="shared" si="288"/>
        <v>0</v>
      </c>
      <c r="GL59" s="221">
        <f t="shared" si="288"/>
        <v>0</v>
      </c>
      <c r="GM59" s="221">
        <f t="shared" si="288"/>
        <v>0</v>
      </c>
      <c r="GN59" s="221">
        <f t="shared" si="288"/>
        <v>0</v>
      </c>
      <c r="GO59" s="221">
        <f t="shared" si="288"/>
        <v>0</v>
      </c>
      <c r="GP59" s="221">
        <f t="shared" si="288"/>
        <v>0</v>
      </c>
      <c r="GQ59" s="221">
        <f t="shared" si="288"/>
        <v>0</v>
      </c>
      <c r="GR59" s="221">
        <f t="shared" si="288"/>
        <v>0</v>
      </c>
      <c r="GS59" s="221">
        <f t="shared" si="288"/>
        <v>0</v>
      </c>
      <c r="GT59" s="221">
        <f t="shared" si="288"/>
        <v>0</v>
      </c>
      <c r="GU59" s="221">
        <f t="shared" si="288"/>
        <v>0</v>
      </c>
      <c r="GV59" s="221">
        <f t="shared" si="288"/>
        <v>0</v>
      </c>
      <c r="GW59" s="221">
        <f t="shared" si="288"/>
        <v>0</v>
      </c>
      <c r="GX59" s="221">
        <f t="shared" si="288"/>
        <v>0</v>
      </c>
      <c r="GY59" s="221">
        <f t="shared" si="288"/>
        <v>0</v>
      </c>
      <c r="GZ59" s="221">
        <f t="shared" si="288"/>
        <v>0</v>
      </c>
      <c r="HA59" s="221">
        <f t="shared" si="288"/>
        <v>0</v>
      </c>
      <c r="HB59" s="221">
        <f t="shared" si="288"/>
        <v>0</v>
      </c>
      <c r="HC59" s="221">
        <f t="shared" si="288"/>
        <v>0</v>
      </c>
      <c r="HD59" s="221">
        <f t="shared" si="288"/>
        <v>0</v>
      </c>
      <c r="HE59" s="221">
        <f t="shared" si="288"/>
        <v>0</v>
      </c>
      <c r="HF59" s="221">
        <f t="shared" si="288"/>
        <v>0</v>
      </c>
      <c r="HG59" s="221">
        <f t="shared" si="288"/>
        <v>0</v>
      </c>
      <c r="HH59" s="221">
        <f t="shared" si="288"/>
        <v>0</v>
      </c>
      <c r="HI59" s="221">
        <f t="shared" si="288"/>
        <v>0</v>
      </c>
      <c r="HJ59" s="221">
        <f t="shared" si="288"/>
        <v>0</v>
      </c>
      <c r="HK59" s="221">
        <f t="shared" si="288"/>
        <v>0</v>
      </c>
      <c r="HL59" s="221">
        <f t="shared" si="288"/>
        <v>0</v>
      </c>
      <c r="HM59" s="221">
        <f t="shared" si="288"/>
        <v>0</v>
      </c>
      <c r="HN59" s="221">
        <f t="shared" ref="HN59:JY59" si="289">MIN(HM72,HN54+CD55-HN58)</f>
        <v>0</v>
      </c>
      <c r="HO59" s="221">
        <f t="shared" si="289"/>
        <v>0</v>
      </c>
      <c r="HP59" s="221">
        <f t="shared" si="289"/>
        <v>0</v>
      </c>
      <c r="HQ59" s="221">
        <f t="shared" si="289"/>
        <v>0</v>
      </c>
      <c r="HR59" s="221">
        <f t="shared" si="289"/>
        <v>0</v>
      </c>
      <c r="HS59" s="221">
        <f t="shared" si="289"/>
        <v>0</v>
      </c>
      <c r="HT59" s="221">
        <f t="shared" si="289"/>
        <v>0</v>
      </c>
      <c r="HU59" s="221">
        <f t="shared" si="289"/>
        <v>0</v>
      </c>
      <c r="HV59" s="221">
        <f t="shared" si="289"/>
        <v>0</v>
      </c>
      <c r="HW59" s="221">
        <f t="shared" si="289"/>
        <v>0</v>
      </c>
      <c r="HX59" s="221">
        <f t="shared" si="289"/>
        <v>0</v>
      </c>
      <c r="HY59" s="221">
        <f t="shared" si="289"/>
        <v>0</v>
      </c>
      <c r="HZ59" s="221">
        <f t="shared" si="289"/>
        <v>0</v>
      </c>
      <c r="IA59" s="221">
        <f t="shared" si="289"/>
        <v>0</v>
      </c>
      <c r="IB59" s="221">
        <f t="shared" si="289"/>
        <v>0</v>
      </c>
      <c r="IC59" s="221">
        <f t="shared" si="289"/>
        <v>0</v>
      </c>
      <c r="ID59" s="221">
        <f t="shared" si="289"/>
        <v>0</v>
      </c>
      <c r="IE59" s="221">
        <f t="shared" si="289"/>
        <v>0</v>
      </c>
      <c r="IF59" s="221">
        <f t="shared" si="289"/>
        <v>0</v>
      </c>
      <c r="IG59" s="221">
        <f t="shared" si="289"/>
        <v>0</v>
      </c>
      <c r="IH59" s="221">
        <f t="shared" si="289"/>
        <v>0</v>
      </c>
      <c r="II59" s="221">
        <f t="shared" si="289"/>
        <v>0</v>
      </c>
      <c r="IJ59" s="221">
        <f t="shared" si="289"/>
        <v>0</v>
      </c>
      <c r="IK59" s="221">
        <f t="shared" si="289"/>
        <v>0</v>
      </c>
      <c r="IL59" s="221">
        <f t="shared" si="289"/>
        <v>0</v>
      </c>
      <c r="IM59" s="221">
        <f t="shared" si="289"/>
        <v>0</v>
      </c>
      <c r="IN59" s="221">
        <f t="shared" si="289"/>
        <v>0</v>
      </c>
      <c r="IO59" s="221">
        <f t="shared" si="289"/>
        <v>0</v>
      </c>
      <c r="IP59" s="221">
        <f t="shared" si="289"/>
        <v>0</v>
      </c>
      <c r="IQ59" s="221">
        <f t="shared" si="289"/>
        <v>0</v>
      </c>
      <c r="IR59" s="221">
        <f t="shared" si="289"/>
        <v>0</v>
      </c>
      <c r="IS59" s="221">
        <f t="shared" si="289"/>
        <v>0</v>
      </c>
      <c r="IT59" s="221">
        <f t="shared" si="289"/>
        <v>0</v>
      </c>
      <c r="IU59" s="221">
        <f t="shared" si="289"/>
        <v>0</v>
      </c>
      <c r="IV59" s="221">
        <f t="shared" si="289"/>
        <v>0</v>
      </c>
      <c r="IW59" s="221">
        <f t="shared" si="289"/>
        <v>0</v>
      </c>
      <c r="IX59" s="221">
        <f t="shared" si="289"/>
        <v>0</v>
      </c>
      <c r="IY59" s="221">
        <f t="shared" si="289"/>
        <v>0</v>
      </c>
      <c r="IZ59" s="221">
        <f t="shared" si="289"/>
        <v>0</v>
      </c>
      <c r="JA59" s="221">
        <f t="shared" si="289"/>
        <v>0</v>
      </c>
      <c r="JB59" s="221">
        <f t="shared" si="289"/>
        <v>0</v>
      </c>
      <c r="JC59" s="221">
        <f t="shared" si="289"/>
        <v>0</v>
      </c>
      <c r="JD59" s="221">
        <f t="shared" si="289"/>
        <v>0</v>
      </c>
      <c r="JE59" s="221">
        <f t="shared" si="289"/>
        <v>0</v>
      </c>
      <c r="JF59" s="221">
        <f t="shared" si="289"/>
        <v>0</v>
      </c>
      <c r="JG59" s="221">
        <f t="shared" si="289"/>
        <v>0</v>
      </c>
      <c r="JH59" s="221">
        <f t="shared" si="289"/>
        <v>0</v>
      </c>
      <c r="JI59" s="221">
        <f t="shared" si="289"/>
        <v>0</v>
      </c>
      <c r="JJ59" s="221">
        <f t="shared" si="289"/>
        <v>0</v>
      </c>
      <c r="JK59" s="221">
        <f t="shared" si="289"/>
        <v>0</v>
      </c>
      <c r="JL59" s="221">
        <f t="shared" si="289"/>
        <v>0</v>
      </c>
      <c r="JM59" s="221">
        <f t="shared" si="289"/>
        <v>0</v>
      </c>
      <c r="JN59" s="221">
        <f t="shared" si="289"/>
        <v>0</v>
      </c>
      <c r="JO59" s="221">
        <f t="shared" si="289"/>
        <v>0</v>
      </c>
      <c r="JP59" s="221">
        <f t="shared" si="289"/>
        <v>0</v>
      </c>
      <c r="JQ59" s="221">
        <f t="shared" si="289"/>
        <v>0</v>
      </c>
      <c r="JR59" s="221">
        <f t="shared" si="289"/>
        <v>0</v>
      </c>
      <c r="JS59" s="221">
        <f t="shared" si="289"/>
        <v>0</v>
      </c>
      <c r="JT59" s="221">
        <f t="shared" si="289"/>
        <v>0</v>
      </c>
      <c r="JU59" s="221">
        <f t="shared" si="289"/>
        <v>0</v>
      </c>
      <c r="JV59" s="221">
        <f t="shared" si="289"/>
        <v>0</v>
      </c>
      <c r="JW59" s="221">
        <f t="shared" si="289"/>
        <v>0</v>
      </c>
      <c r="JX59" s="221">
        <f t="shared" si="289"/>
        <v>0</v>
      </c>
      <c r="JY59" s="221">
        <f t="shared" si="289"/>
        <v>0</v>
      </c>
      <c r="JZ59" s="221">
        <f>MIN(JY72,JZ54+EP55-JZ58)</f>
        <v>0</v>
      </c>
      <c r="KA59" s="221">
        <f>MIN(JZ72,KA54+EQ55-KA58)</f>
        <v>0</v>
      </c>
      <c r="KB59" s="221">
        <f>MIN(KA72,KB54+ER55-KB58)</f>
        <v>0</v>
      </c>
      <c r="KC59" s="221">
        <f>MIN(KB72,KC54+ES55-KC58)</f>
        <v>0</v>
      </c>
    </row>
    <row r="60" spans="1:289" x14ac:dyDescent="0.25">
      <c r="B60" s="180"/>
      <c r="C60" s="181"/>
      <c r="D60" s="181"/>
      <c r="E60" s="181"/>
      <c r="F60" s="181"/>
      <c r="G60" s="196"/>
      <c r="H60" s="181"/>
      <c r="I60" s="181"/>
      <c r="P60" s="220"/>
      <c r="EU60" s="257" t="s">
        <v>74</v>
      </c>
      <c r="EV60" s="153"/>
      <c r="EW60" s="153"/>
      <c r="EX60" s="153"/>
      <c r="EY60" s="207"/>
      <c r="EZ60" s="250">
        <f ca="1">SUM(FA60:KC60)</f>
        <v>128683.11460402847</v>
      </c>
      <c r="FA60" s="221">
        <f t="shared" ref="FA60:GF60" si="290">FA63-FA64</f>
        <v>0</v>
      </c>
      <c r="FB60" s="221">
        <f t="shared" ca="1" si="290"/>
        <v>0</v>
      </c>
      <c r="FC60" s="221">
        <f t="shared" ca="1" si="290"/>
        <v>0</v>
      </c>
      <c r="FD60" s="221">
        <f t="shared" ca="1" si="290"/>
        <v>0</v>
      </c>
      <c r="FE60" s="221">
        <f t="shared" ca="1" si="290"/>
        <v>0</v>
      </c>
      <c r="FF60" s="221">
        <f t="shared" ca="1" si="290"/>
        <v>0</v>
      </c>
      <c r="FG60" s="221">
        <f t="shared" ca="1" si="290"/>
        <v>1291.629712288528</v>
      </c>
      <c r="FH60" s="221">
        <f t="shared" ca="1" si="290"/>
        <v>6190.5958132809792</v>
      </c>
      <c r="FI60" s="221">
        <f t="shared" ca="1" si="290"/>
        <v>11113.696155591226</v>
      </c>
      <c r="FJ60" s="221">
        <f t="shared" ca="1" si="290"/>
        <v>15019.869097938436</v>
      </c>
      <c r="FK60" s="221">
        <f t="shared" ca="1" si="290"/>
        <v>17481.98830829058</v>
      </c>
      <c r="FL60" s="221">
        <f t="shared" ca="1" si="290"/>
        <v>18748.646080846302</v>
      </c>
      <c r="FM60" s="221">
        <f t="shared" ca="1" si="290"/>
        <v>19325.735349391529</v>
      </c>
      <c r="FN60" s="221">
        <f t="shared" ca="1" si="290"/>
        <v>19610.433569992147</v>
      </c>
      <c r="FO60" s="221">
        <f t="shared" ca="1" si="290"/>
        <v>19900.520516408742</v>
      </c>
      <c r="FP60" s="221">
        <f t="shared" ca="1" si="290"/>
        <v>0</v>
      </c>
      <c r="FQ60" s="221">
        <f t="shared" ca="1" si="290"/>
        <v>0</v>
      </c>
      <c r="FR60" s="221">
        <f t="shared" ca="1" si="290"/>
        <v>0</v>
      </c>
      <c r="FS60" s="221">
        <f t="shared" ca="1" si="290"/>
        <v>0</v>
      </c>
      <c r="FT60" s="221">
        <f t="shared" ca="1" si="290"/>
        <v>0</v>
      </c>
      <c r="FU60" s="221">
        <f t="shared" ca="1" si="290"/>
        <v>0</v>
      </c>
      <c r="FV60" s="221">
        <f t="shared" ca="1" si="290"/>
        <v>0</v>
      </c>
      <c r="FW60" s="221">
        <f t="shared" ca="1" si="290"/>
        <v>0</v>
      </c>
      <c r="FX60" s="221">
        <f t="shared" ca="1" si="290"/>
        <v>0</v>
      </c>
      <c r="FY60" s="221">
        <f t="shared" ca="1" si="290"/>
        <v>0</v>
      </c>
      <c r="FZ60" s="221">
        <f t="shared" ca="1" si="290"/>
        <v>0</v>
      </c>
      <c r="GA60" s="221">
        <f t="shared" ca="1" si="290"/>
        <v>0</v>
      </c>
      <c r="GB60" s="221">
        <f t="shared" ca="1" si="290"/>
        <v>0</v>
      </c>
      <c r="GC60" s="221">
        <f t="shared" ca="1" si="290"/>
        <v>0</v>
      </c>
      <c r="GD60" s="221">
        <f t="shared" ca="1" si="290"/>
        <v>0</v>
      </c>
      <c r="GE60" s="221">
        <f t="shared" ca="1" si="290"/>
        <v>0</v>
      </c>
      <c r="GF60" s="221">
        <f t="shared" ca="1" si="290"/>
        <v>0</v>
      </c>
      <c r="GG60" s="221">
        <f t="shared" ref="GG60:HL60" ca="1" si="291">GG63-GG64</f>
        <v>0</v>
      </c>
      <c r="GH60" s="221">
        <f t="shared" ca="1" si="291"/>
        <v>0</v>
      </c>
      <c r="GI60" s="221">
        <f t="shared" ca="1" si="291"/>
        <v>0</v>
      </c>
      <c r="GJ60" s="221">
        <f t="shared" ca="1" si="291"/>
        <v>0</v>
      </c>
      <c r="GK60" s="221">
        <f t="shared" ca="1" si="291"/>
        <v>0</v>
      </c>
      <c r="GL60" s="221">
        <f t="shared" ca="1" si="291"/>
        <v>0</v>
      </c>
      <c r="GM60" s="221">
        <f t="shared" ca="1" si="291"/>
        <v>0</v>
      </c>
      <c r="GN60" s="221">
        <f t="shared" ca="1" si="291"/>
        <v>0</v>
      </c>
      <c r="GO60" s="221">
        <f t="shared" ca="1" si="291"/>
        <v>0</v>
      </c>
      <c r="GP60" s="221">
        <f t="shared" ca="1" si="291"/>
        <v>0</v>
      </c>
      <c r="GQ60" s="221">
        <f t="shared" ca="1" si="291"/>
        <v>0</v>
      </c>
      <c r="GR60" s="221">
        <f t="shared" ca="1" si="291"/>
        <v>0</v>
      </c>
      <c r="GS60" s="221">
        <f t="shared" ca="1" si="291"/>
        <v>0</v>
      </c>
      <c r="GT60" s="221">
        <f t="shared" ca="1" si="291"/>
        <v>0</v>
      </c>
      <c r="GU60" s="221">
        <f t="shared" ca="1" si="291"/>
        <v>0</v>
      </c>
      <c r="GV60" s="221">
        <f t="shared" ca="1" si="291"/>
        <v>0</v>
      </c>
      <c r="GW60" s="221">
        <f t="shared" ca="1" si="291"/>
        <v>0</v>
      </c>
      <c r="GX60" s="221">
        <f t="shared" ca="1" si="291"/>
        <v>0</v>
      </c>
      <c r="GY60" s="221">
        <f t="shared" ca="1" si="291"/>
        <v>0</v>
      </c>
      <c r="GZ60" s="221">
        <f t="shared" ca="1" si="291"/>
        <v>0</v>
      </c>
      <c r="HA60" s="221">
        <f t="shared" ca="1" si="291"/>
        <v>0</v>
      </c>
      <c r="HB60" s="221">
        <f t="shared" ca="1" si="291"/>
        <v>0</v>
      </c>
      <c r="HC60" s="221">
        <f t="shared" ca="1" si="291"/>
        <v>0</v>
      </c>
      <c r="HD60" s="221">
        <f t="shared" ca="1" si="291"/>
        <v>0</v>
      </c>
      <c r="HE60" s="221">
        <f t="shared" ca="1" si="291"/>
        <v>0</v>
      </c>
      <c r="HF60" s="221">
        <f t="shared" ca="1" si="291"/>
        <v>0</v>
      </c>
      <c r="HG60" s="221">
        <f t="shared" ca="1" si="291"/>
        <v>0</v>
      </c>
      <c r="HH60" s="221">
        <f t="shared" ca="1" si="291"/>
        <v>0</v>
      </c>
      <c r="HI60" s="221">
        <f t="shared" ca="1" si="291"/>
        <v>0</v>
      </c>
      <c r="HJ60" s="221">
        <f t="shared" ca="1" si="291"/>
        <v>0</v>
      </c>
      <c r="HK60" s="221">
        <f t="shared" ca="1" si="291"/>
        <v>0</v>
      </c>
      <c r="HL60" s="221">
        <f t="shared" ca="1" si="291"/>
        <v>0</v>
      </c>
      <c r="HM60" s="221">
        <f t="shared" ref="HM60:IR60" ca="1" si="292">HM63-HM64</f>
        <v>0</v>
      </c>
      <c r="HN60" s="221">
        <f t="shared" ca="1" si="292"/>
        <v>0</v>
      </c>
      <c r="HO60" s="221">
        <f t="shared" ca="1" si="292"/>
        <v>0</v>
      </c>
      <c r="HP60" s="221">
        <f t="shared" ca="1" si="292"/>
        <v>0</v>
      </c>
      <c r="HQ60" s="221">
        <f t="shared" ca="1" si="292"/>
        <v>0</v>
      </c>
      <c r="HR60" s="221">
        <f t="shared" ca="1" si="292"/>
        <v>0</v>
      </c>
      <c r="HS60" s="221">
        <f t="shared" ca="1" si="292"/>
        <v>0</v>
      </c>
      <c r="HT60" s="221">
        <f t="shared" ca="1" si="292"/>
        <v>0</v>
      </c>
      <c r="HU60" s="221">
        <f t="shared" ca="1" si="292"/>
        <v>0</v>
      </c>
      <c r="HV60" s="221">
        <f t="shared" ca="1" si="292"/>
        <v>0</v>
      </c>
      <c r="HW60" s="221">
        <f t="shared" ca="1" si="292"/>
        <v>0</v>
      </c>
      <c r="HX60" s="221">
        <f t="shared" ca="1" si="292"/>
        <v>0</v>
      </c>
      <c r="HY60" s="221">
        <f t="shared" ca="1" si="292"/>
        <v>0</v>
      </c>
      <c r="HZ60" s="221">
        <f t="shared" ca="1" si="292"/>
        <v>0</v>
      </c>
      <c r="IA60" s="221">
        <f t="shared" ca="1" si="292"/>
        <v>0</v>
      </c>
      <c r="IB60" s="221">
        <f t="shared" ca="1" si="292"/>
        <v>0</v>
      </c>
      <c r="IC60" s="221">
        <f t="shared" ca="1" si="292"/>
        <v>0</v>
      </c>
      <c r="ID60" s="221">
        <f t="shared" ca="1" si="292"/>
        <v>0</v>
      </c>
      <c r="IE60" s="221">
        <f t="shared" ca="1" si="292"/>
        <v>0</v>
      </c>
      <c r="IF60" s="221">
        <f t="shared" ca="1" si="292"/>
        <v>0</v>
      </c>
      <c r="IG60" s="221">
        <f t="shared" ca="1" si="292"/>
        <v>0</v>
      </c>
      <c r="IH60" s="221">
        <f t="shared" ca="1" si="292"/>
        <v>0</v>
      </c>
      <c r="II60" s="221">
        <f t="shared" ca="1" si="292"/>
        <v>0</v>
      </c>
      <c r="IJ60" s="221">
        <f t="shared" ca="1" si="292"/>
        <v>0</v>
      </c>
      <c r="IK60" s="221">
        <f t="shared" ca="1" si="292"/>
        <v>0</v>
      </c>
      <c r="IL60" s="221">
        <f t="shared" ca="1" si="292"/>
        <v>0</v>
      </c>
      <c r="IM60" s="221">
        <f t="shared" ca="1" si="292"/>
        <v>0</v>
      </c>
      <c r="IN60" s="221">
        <f t="shared" ca="1" si="292"/>
        <v>0</v>
      </c>
      <c r="IO60" s="221">
        <f t="shared" ca="1" si="292"/>
        <v>0</v>
      </c>
      <c r="IP60" s="221">
        <f t="shared" ca="1" si="292"/>
        <v>0</v>
      </c>
      <c r="IQ60" s="221">
        <f t="shared" ca="1" si="292"/>
        <v>0</v>
      </c>
      <c r="IR60" s="221">
        <f t="shared" ca="1" si="292"/>
        <v>0</v>
      </c>
      <c r="IS60" s="221">
        <f t="shared" ref="IS60:KC60" ca="1" si="293">IS63-IS64</f>
        <v>0</v>
      </c>
      <c r="IT60" s="221">
        <f t="shared" ca="1" si="293"/>
        <v>0</v>
      </c>
      <c r="IU60" s="221">
        <f t="shared" ca="1" si="293"/>
        <v>0</v>
      </c>
      <c r="IV60" s="221">
        <f t="shared" ca="1" si="293"/>
        <v>0</v>
      </c>
      <c r="IW60" s="221">
        <f t="shared" ca="1" si="293"/>
        <v>0</v>
      </c>
      <c r="IX60" s="221">
        <f t="shared" ca="1" si="293"/>
        <v>0</v>
      </c>
      <c r="IY60" s="221">
        <f t="shared" ca="1" si="293"/>
        <v>0</v>
      </c>
      <c r="IZ60" s="221">
        <f t="shared" ca="1" si="293"/>
        <v>0</v>
      </c>
      <c r="JA60" s="221">
        <f t="shared" ca="1" si="293"/>
        <v>0</v>
      </c>
      <c r="JB60" s="221">
        <f t="shared" ca="1" si="293"/>
        <v>0</v>
      </c>
      <c r="JC60" s="221">
        <f t="shared" ca="1" si="293"/>
        <v>0</v>
      </c>
      <c r="JD60" s="221">
        <f t="shared" ca="1" si="293"/>
        <v>0</v>
      </c>
      <c r="JE60" s="221">
        <f t="shared" ca="1" si="293"/>
        <v>0</v>
      </c>
      <c r="JF60" s="221">
        <f t="shared" ca="1" si="293"/>
        <v>0</v>
      </c>
      <c r="JG60" s="221">
        <f t="shared" ca="1" si="293"/>
        <v>0</v>
      </c>
      <c r="JH60" s="221">
        <f t="shared" ca="1" si="293"/>
        <v>0</v>
      </c>
      <c r="JI60" s="221">
        <f t="shared" ca="1" si="293"/>
        <v>0</v>
      </c>
      <c r="JJ60" s="221">
        <f t="shared" ca="1" si="293"/>
        <v>0</v>
      </c>
      <c r="JK60" s="221">
        <f t="shared" ca="1" si="293"/>
        <v>0</v>
      </c>
      <c r="JL60" s="221">
        <f t="shared" ca="1" si="293"/>
        <v>0</v>
      </c>
      <c r="JM60" s="221">
        <f t="shared" ca="1" si="293"/>
        <v>0</v>
      </c>
      <c r="JN60" s="221">
        <f t="shared" ca="1" si="293"/>
        <v>0</v>
      </c>
      <c r="JO60" s="221">
        <f t="shared" ca="1" si="293"/>
        <v>0</v>
      </c>
      <c r="JP60" s="221">
        <f t="shared" ca="1" si="293"/>
        <v>0</v>
      </c>
      <c r="JQ60" s="221">
        <f t="shared" ca="1" si="293"/>
        <v>0</v>
      </c>
      <c r="JR60" s="221">
        <f t="shared" ca="1" si="293"/>
        <v>0</v>
      </c>
      <c r="JS60" s="221">
        <f t="shared" ca="1" si="293"/>
        <v>0</v>
      </c>
      <c r="JT60" s="221">
        <f t="shared" ca="1" si="293"/>
        <v>0</v>
      </c>
      <c r="JU60" s="221">
        <f t="shared" ca="1" si="293"/>
        <v>0</v>
      </c>
      <c r="JV60" s="221">
        <f t="shared" ca="1" si="293"/>
        <v>0</v>
      </c>
      <c r="JW60" s="221">
        <f t="shared" ca="1" si="293"/>
        <v>0</v>
      </c>
      <c r="JX60" s="221">
        <f t="shared" ca="1" si="293"/>
        <v>0</v>
      </c>
      <c r="JY60" s="221">
        <f t="shared" ca="1" si="293"/>
        <v>0</v>
      </c>
      <c r="JZ60" s="221">
        <f t="shared" ca="1" si="293"/>
        <v>0</v>
      </c>
      <c r="KA60" s="221">
        <f t="shared" ca="1" si="293"/>
        <v>0</v>
      </c>
      <c r="KB60" s="221">
        <f t="shared" ca="1" si="293"/>
        <v>0</v>
      </c>
      <c r="KC60" s="221">
        <f t="shared" ca="1" si="293"/>
        <v>0</v>
      </c>
    </row>
    <row r="61" spans="1:289" x14ac:dyDescent="0.25">
      <c r="B61" s="209" t="s">
        <v>58</v>
      </c>
      <c r="C61" s="210" t="s">
        <v>76</v>
      </c>
      <c r="D61" s="210" t="s">
        <v>64</v>
      </c>
      <c r="E61" s="210" t="s">
        <v>63</v>
      </c>
      <c r="F61" s="210" t="s">
        <v>62</v>
      </c>
      <c r="G61" s="266" t="str">
        <f>G24</f>
        <v>/RENTABLE SF</v>
      </c>
      <c r="H61" s="211" t="s">
        <v>38</v>
      </c>
      <c r="I61" s="210" t="s">
        <v>22</v>
      </c>
      <c r="P61" s="220"/>
      <c r="EU61" s="257" t="s">
        <v>78</v>
      </c>
      <c r="EV61" s="153"/>
      <c r="EW61" s="153"/>
      <c r="EX61" s="153"/>
      <c r="EY61" s="207" t="s">
        <v>71</v>
      </c>
      <c r="EZ61" s="251">
        <f ca="1">SUM(FA61:KC61)</f>
        <v>0</v>
      </c>
      <c r="FA61" s="221">
        <f t="shared" ref="FA61:GF61" si="294">IF(Debt_LTC_Target=0,0,IF(Perm_Debt?,(Q3&lt;=PermDebt_Fund)*-MIN(Q141,0),(Q3&lt;=Timing_Analysis_End_Month)*-MIN(Q141,0)))</f>
        <v>0</v>
      </c>
      <c r="FB61" s="221">
        <f t="shared" ca="1" si="294"/>
        <v>0</v>
      </c>
      <c r="FC61" s="221">
        <f t="shared" ca="1" si="294"/>
        <v>0</v>
      </c>
      <c r="FD61" s="221">
        <f t="shared" ca="1" si="294"/>
        <v>0</v>
      </c>
      <c r="FE61" s="221">
        <f t="shared" ca="1" si="294"/>
        <v>0</v>
      </c>
      <c r="FF61" s="221">
        <f t="shared" ca="1" si="294"/>
        <v>0</v>
      </c>
      <c r="FG61" s="221">
        <f t="shared" ca="1" si="294"/>
        <v>0</v>
      </c>
      <c r="FH61" s="221">
        <f t="shared" ca="1" si="294"/>
        <v>0</v>
      </c>
      <c r="FI61" s="221">
        <f t="shared" ca="1" si="294"/>
        <v>0</v>
      </c>
      <c r="FJ61" s="221">
        <f t="shared" ca="1" si="294"/>
        <v>0</v>
      </c>
      <c r="FK61" s="221">
        <f t="shared" ca="1" si="294"/>
        <v>0</v>
      </c>
      <c r="FL61" s="221">
        <f t="shared" ca="1" si="294"/>
        <v>0</v>
      </c>
      <c r="FM61" s="221">
        <f t="shared" ca="1" si="294"/>
        <v>0</v>
      </c>
      <c r="FN61" s="221">
        <f t="shared" ca="1" si="294"/>
        <v>0</v>
      </c>
      <c r="FO61" s="221">
        <f t="shared" ca="1" si="294"/>
        <v>0</v>
      </c>
      <c r="FP61" s="221">
        <f t="shared" ca="1" si="294"/>
        <v>0</v>
      </c>
      <c r="FQ61" s="221">
        <f t="shared" ca="1" si="294"/>
        <v>0</v>
      </c>
      <c r="FR61" s="221">
        <f t="shared" ca="1" si="294"/>
        <v>0</v>
      </c>
      <c r="FS61" s="221">
        <f t="shared" ca="1" si="294"/>
        <v>0</v>
      </c>
      <c r="FT61" s="221">
        <f t="shared" ca="1" si="294"/>
        <v>0</v>
      </c>
      <c r="FU61" s="221">
        <f t="shared" ca="1" si="294"/>
        <v>0</v>
      </c>
      <c r="FV61" s="221">
        <f t="shared" ca="1" si="294"/>
        <v>0</v>
      </c>
      <c r="FW61" s="221">
        <f t="shared" ca="1" si="294"/>
        <v>0</v>
      </c>
      <c r="FX61" s="221">
        <f t="shared" ca="1" si="294"/>
        <v>0</v>
      </c>
      <c r="FY61" s="221">
        <f t="shared" ca="1" si="294"/>
        <v>0</v>
      </c>
      <c r="FZ61" s="221">
        <f t="shared" ca="1" si="294"/>
        <v>0</v>
      </c>
      <c r="GA61" s="221">
        <f t="shared" ca="1" si="294"/>
        <v>0</v>
      </c>
      <c r="GB61" s="221">
        <f t="shared" ca="1" si="294"/>
        <v>0</v>
      </c>
      <c r="GC61" s="221">
        <f t="shared" ca="1" si="294"/>
        <v>0</v>
      </c>
      <c r="GD61" s="221">
        <f t="shared" ca="1" si="294"/>
        <v>0</v>
      </c>
      <c r="GE61" s="221">
        <f t="shared" ca="1" si="294"/>
        <v>0</v>
      </c>
      <c r="GF61" s="221">
        <f t="shared" ca="1" si="294"/>
        <v>0</v>
      </c>
      <c r="GG61" s="221">
        <f t="shared" ref="GG61:HL61" ca="1" si="295">IF(Debt_LTC_Target=0,0,IF(Perm_Debt?,(AW3&lt;=PermDebt_Fund)*-MIN(AW141,0),(AW3&lt;=Timing_Analysis_End_Month)*-MIN(AW141,0)))</f>
        <v>0</v>
      </c>
      <c r="GH61" s="221">
        <f t="shared" ca="1" si="295"/>
        <v>0</v>
      </c>
      <c r="GI61" s="221">
        <f t="shared" ca="1" si="295"/>
        <v>0</v>
      </c>
      <c r="GJ61" s="221">
        <f t="shared" ca="1" si="295"/>
        <v>0</v>
      </c>
      <c r="GK61" s="221">
        <f t="shared" ca="1" si="295"/>
        <v>0</v>
      </c>
      <c r="GL61" s="221">
        <f t="shared" ca="1" si="295"/>
        <v>0</v>
      </c>
      <c r="GM61" s="221">
        <f t="shared" ca="1" si="295"/>
        <v>0</v>
      </c>
      <c r="GN61" s="221">
        <f t="shared" ca="1" si="295"/>
        <v>0</v>
      </c>
      <c r="GO61" s="221">
        <f t="shared" ca="1" si="295"/>
        <v>0</v>
      </c>
      <c r="GP61" s="221">
        <f t="shared" ca="1" si="295"/>
        <v>0</v>
      </c>
      <c r="GQ61" s="221">
        <f t="shared" ca="1" si="295"/>
        <v>0</v>
      </c>
      <c r="GR61" s="221">
        <f t="shared" ca="1" si="295"/>
        <v>0</v>
      </c>
      <c r="GS61" s="221">
        <f t="shared" ca="1" si="295"/>
        <v>0</v>
      </c>
      <c r="GT61" s="221">
        <f t="shared" ca="1" si="295"/>
        <v>0</v>
      </c>
      <c r="GU61" s="221">
        <f t="shared" ca="1" si="295"/>
        <v>0</v>
      </c>
      <c r="GV61" s="221">
        <f t="shared" ca="1" si="295"/>
        <v>0</v>
      </c>
      <c r="GW61" s="221">
        <f t="shared" ca="1" si="295"/>
        <v>0</v>
      </c>
      <c r="GX61" s="221">
        <f t="shared" ca="1" si="295"/>
        <v>0</v>
      </c>
      <c r="GY61" s="221">
        <f t="shared" ca="1" si="295"/>
        <v>0</v>
      </c>
      <c r="GZ61" s="221">
        <f t="shared" ca="1" si="295"/>
        <v>0</v>
      </c>
      <c r="HA61" s="221">
        <f t="shared" ca="1" si="295"/>
        <v>0</v>
      </c>
      <c r="HB61" s="221">
        <f t="shared" ca="1" si="295"/>
        <v>0</v>
      </c>
      <c r="HC61" s="221">
        <f t="shared" ca="1" si="295"/>
        <v>0</v>
      </c>
      <c r="HD61" s="221">
        <f t="shared" ca="1" si="295"/>
        <v>0</v>
      </c>
      <c r="HE61" s="221">
        <f t="shared" ca="1" si="295"/>
        <v>0</v>
      </c>
      <c r="HF61" s="221">
        <f t="shared" ca="1" si="295"/>
        <v>0</v>
      </c>
      <c r="HG61" s="221">
        <f t="shared" ca="1" si="295"/>
        <v>0</v>
      </c>
      <c r="HH61" s="221">
        <f t="shared" ca="1" si="295"/>
        <v>0</v>
      </c>
      <c r="HI61" s="221">
        <f t="shared" ca="1" si="295"/>
        <v>0</v>
      </c>
      <c r="HJ61" s="221">
        <f t="shared" ca="1" si="295"/>
        <v>0</v>
      </c>
      <c r="HK61" s="221">
        <f t="shared" ca="1" si="295"/>
        <v>0</v>
      </c>
      <c r="HL61" s="221">
        <f t="shared" ca="1" si="295"/>
        <v>0</v>
      </c>
      <c r="HM61" s="221">
        <f t="shared" ref="HM61:IR61" ca="1" si="296">IF(Debt_LTC_Target=0,0,IF(Perm_Debt?,(CC3&lt;=PermDebt_Fund)*-MIN(CC141,0),(CC3&lt;=Timing_Analysis_End_Month)*-MIN(CC141,0)))</f>
        <v>0</v>
      </c>
      <c r="HN61" s="221">
        <f t="shared" ca="1" si="296"/>
        <v>0</v>
      </c>
      <c r="HO61" s="221">
        <f t="shared" ca="1" si="296"/>
        <v>0</v>
      </c>
      <c r="HP61" s="221">
        <f t="shared" ca="1" si="296"/>
        <v>0</v>
      </c>
      <c r="HQ61" s="221">
        <f t="shared" ca="1" si="296"/>
        <v>0</v>
      </c>
      <c r="HR61" s="221">
        <f t="shared" ca="1" si="296"/>
        <v>0</v>
      </c>
      <c r="HS61" s="221">
        <f t="shared" ca="1" si="296"/>
        <v>0</v>
      </c>
      <c r="HT61" s="221">
        <f t="shared" ca="1" si="296"/>
        <v>0</v>
      </c>
      <c r="HU61" s="221">
        <f t="shared" ca="1" si="296"/>
        <v>0</v>
      </c>
      <c r="HV61" s="221">
        <f t="shared" ca="1" si="296"/>
        <v>0</v>
      </c>
      <c r="HW61" s="221">
        <f t="shared" ca="1" si="296"/>
        <v>0</v>
      </c>
      <c r="HX61" s="221">
        <f t="shared" ca="1" si="296"/>
        <v>0</v>
      </c>
      <c r="HY61" s="221">
        <f t="shared" ca="1" si="296"/>
        <v>0</v>
      </c>
      <c r="HZ61" s="221">
        <f t="shared" ca="1" si="296"/>
        <v>0</v>
      </c>
      <c r="IA61" s="221">
        <f t="shared" ca="1" si="296"/>
        <v>0</v>
      </c>
      <c r="IB61" s="221">
        <f t="shared" ca="1" si="296"/>
        <v>0</v>
      </c>
      <c r="IC61" s="221">
        <f t="shared" ca="1" si="296"/>
        <v>0</v>
      </c>
      <c r="ID61" s="221">
        <f t="shared" ca="1" si="296"/>
        <v>0</v>
      </c>
      <c r="IE61" s="221">
        <f t="shared" ca="1" si="296"/>
        <v>0</v>
      </c>
      <c r="IF61" s="221">
        <f t="shared" ca="1" si="296"/>
        <v>0</v>
      </c>
      <c r="IG61" s="221">
        <f t="shared" ca="1" si="296"/>
        <v>0</v>
      </c>
      <c r="IH61" s="221">
        <f t="shared" ca="1" si="296"/>
        <v>0</v>
      </c>
      <c r="II61" s="221">
        <f t="shared" ca="1" si="296"/>
        <v>0</v>
      </c>
      <c r="IJ61" s="221">
        <f t="shared" ca="1" si="296"/>
        <v>0</v>
      </c>
      <c r="IK61" s="221">
        <f t="shared" ca="1" si="296"/>
        <v>0</v>
      </c>
      <c r="IL61" s="221">
        <f t="shared" ca="1" si="296"/>
        <v>0</v>
      </c>
      <c r="IM61" s="221">
        <f t="shared" ca="1" si="296"/>
        <v>0</v>
      </c>
      <c r="IN61" s="221">
        <f t="shared" ca="1" si="296"/>
        <v>0</v>
      </c>
      <c r="IO61" s="221">
        <f t="shared" ca="1" si="296"/>
        <v>0</v>
      </c>
      <c r="IP61" s="221">
        <f t="shared" ca="1" si="296"/>
        <v>0</v>
      </c>
      <c r="IQ61" s="221">
        <f t="shared" ca="1" si="296"/>
        <v>0</v>
      </c>
      <c r="IR61" s="221">
        <f t="shared" ca="1" si="296"/>
        <v>0</v>
      </c>
      <c r="IS61" s="221">
        <f t="shared" ref="IS61:JX61" ca="1" si="297">IF(Debt_LTC_Target=0,0,IF(Perm_Debt?,(DI3&lt;=PermDebt_Fund)*-MIN(DI141,0),(DI3&lt;=Timing_Analysis_End_Month)*-MIN(DI141,0)))</f>
        <v>0</v>
      </c>
      <c r="IT61" s="221">
        <f t="shared" ca="1" si="297"/>
        <v>0</v>
      </c>
      <c r="IU61" s="221">
        <f t="shared" ca="1" si="297"/>
        <v>0</v>
      </c>
      <c r="IV61" s="221">
        <f t="shared" ca="1" si="297"/>
        <v>0</v>
      </c>
      <c r="IW61" s="221">
        <f t="shared" ca="1" si="297"/>
        <v>0</v>
      </c>
      <c r="IX61" s="221">
        <f t="shared" ca="1" si="297"/>
        <v>0</v>
      </c>
      <c r="IY61" s="221">
        <f t="shared" ca="1" si="297"/>
        <v>0</v>
      </c>
      <c r="IZ61" s="221">
        <f t="shared" ca="1" si="297"/>
        <v>0</v>
      </c>
      <c r="JA61" s="221">
        <f t="shared" ca="1" si="297"/>
        <v>0</v>
      </c>
      <c r="JB61" s="221">
        <f t="shared" ca="1" si="297"/>
        <v>0</v>
      </c>
      <c r="JC61" s="221">
        <f t="shared" ca="1" si="297"/>
        <v>0</v>
      </c>
      <c r="JD61" s="221">
        <f t="shared" ca="1" si="297"/>
        <v>0</v>
      </c>
      <c r="JE61" s="221">
        <f t="shared" ca="1" si="297"/>
        <v>0</v>
      </c>
      <c r="JF61" s="221">
        <f t="shared" ca="1" si="297"/>
        <v>0</v>
      </c>
      <c r="JG61" s="221">
        <f t="shared" ca="1" si="297"/>
        <v>0</v>
      </c>
      <c r="JH61" s="221">
        <f t="shared" ca="1" si="297"/>
        <v>0</v>
      </c>
      <c r="JI61" s="221">
        <f t="shared" ca="1" si="297"/>
        <v>0</v>
      </c>
      <c r="JJ61" s="221">
        <f t="shared" ca="1" si="297"/>
        <v>0</v>
      </c>
      <c r="JK61" s="221">
        <f t="shared" ca="1" si="297"/>
        <v>0</v>
      </c>
      <c r="JL61" s="221">
        <f t="shared" ca="1" si="297"/>
        <v>0</v>
      </c>
      <c r="JM61" s="221">
        <f t="shared" ca="1" si="297"/>
        <v>0</v>
      </c>
      <c r="JN61" s="221">
        <f t="shared" ca="1" si="297"/>
        <v>0</v>
      </c>
      <c r="JO61" s="221">
        <f t="shared" ca="1" si="297"/>
        <v>0</v>
      </c>
      <c r="JP61" s="221">
        <f t="shared" ca="1" si="297"/>
        <v>0</v>
      </c>
      <c r="JQ61" s="221">
        <f t="shared" ca="1" si="297"/>
        <v>0</v>
      </c>
      <c r="JR61" s="221">
        <f t="shared" ca="1" si="297"/>
        <v>0</v>
      </c>
      <c r="JS61" s="221">
        <f t="shared" ca="1" si="297"/>
        <v>0</v>
      </c>
      <c r="JT61" s="221">
        <f t="shared" ca="1" si="297"/>
        <v>0</v>
      </c>
      <c r="JU61" s="221">
        <f t="shared" ca="1" si="297"/>
        <v>0</v>
      </c>
      <c r="JV61" s="221">
        <f t="shared" ca="1" si="297"/>
        <v>0</v>
      </c>
      <c r="JW61" s="221">
        <f t="shared" ca="1" si="297"/>
        <v>0</v>
      </c>
      <c r="JX61" s="221">
        <f t="shared" ca="1" si="297"/>
        <v>0</v>
      </c>
      <c r="JY61" s="221">
        <f t="shared" ref="JY61:KC61" ca="1" si="298">IF(Debt_LTC_Target=0,0,IF(Perm_Debt?,(EO3&lt;=PermDebt_Fund)*-MIN(EO141,0),(EO3&lt;=Timing_Analysis_End_Month)*-MIN(EO141,0)))</f>
        <v>0</v>
      </c>
      <c r="JZ61" s="221">
        <f t="shared" ca="1" si="298"/>
        <v>0</v>
      </c>
      <c r="KA61" s="221">
        <f t="shared" ca="1" si="298"/>
        <v>0</v>
      </c>
      <c r="KB61" s="221">
        <f t="shared" ca="1" si="298"/>
        <v>0</v>
      </c>
      <c r="KC61" s="221">
        <f t="shared" ca="1" si="298"/>
        <v>0</v>
      </c>
    </row>
    <row r="62" spans="1:289" x14ac:dyDescent="0.25">
      <c r="B62" s="267" t="s">
        <v>59</v>
      </c>
      <c r="C62" s="268">
        <f>1-Debt_LTC_Target</f>
        <v>0.4</v>
      </c>
      <c r="D62" s="196" t="s">
        <v>687</v>
      </c>
      <c r="E62" s="196" t="s">
        <v>60</v>
      </c>
      <c r="F62" s="269">
        <f ca="1">I62/Project_Cost_Total</f>
        <v>0.39999972423062907</v>
      </c>
      <c r="G62" s="217">
        <f>I62/Units_SF_M2</f>
        <v>99.131083217879919</v>
      </c>
      <c r="H62" s="218">
        <f>I62/Units</f>
        <v>100965.00825741069</v>
      </c>
      <c r="I62" s="218">
        <v>1615440.1321185711</v>
      </c>
      <c r="P62" s="270"/>
      <c r="Q62" s="271" t="s">
        <v>639</v>
      </c>
      <c r="R62" s="270"/>
      <c r="S62" s="270"/>
      <c r="T62" s="270"/>
      <c r="U62" s="270"/>
      <c r="V62" s="270"/>
      <c r="W62" s="270"/>
      <c r="X62" s="270"/>
      <c r="Y62" s="270"/>
      <c r="Z62" s="270"/>
      <c r="AA62" s="270"/>
      <c r="AB62" s="270"/>
      <c r="AC62" s="270"/>
      <c r="AD62" s="270"/>
      <c r="AE62" s="270"/>
      <c r="AF62" s="270"/>
      <c r="AG62" s="270"/>
      <c r="AH62" s="270"/>
      <c r="AI62" s="270"/>
      <c r="AJ62" s="270"/>
      <c r="AK62" s="270"/>
      <c r="AL62" s="270"/>
      <c r="AM62" s="270"/>
      <c r="AN62" s="270"/>
      <c r="AO62" s="270"/>
      <c r="AP62" s="270"/>
      <c r="AQ62" s="270"/>
      <c r="AR62" s="270"/>
      <c r="AS62" s="270"/>
      <c r="AT62" s="270"/>
      <c r="AU62" s="270"/>
      <c r="AV62" s="270"/>
      <c r="AW62" s="270"/>
      <c r="AX62" s="270"/>
      <c r="AY62" s="270"/>
      <c r="AZ62" s="270"/>
      <c r="BA62" s="270"/>
      <c r="BB62" s="270"/>
      <c r="BC62" s="270"/>
      <c r="BD62" s="270"/>
      <c r="BE62" s="270"/>
      <c r="BF62" s="270"/>
      <c r="BG62" s="270"/>
      <c r="BH62" s="270"/>
      <c r="BI62" s="270"/>
      <c r="BJ62" s="270"/>
      <c r="BK62" s="270"/>
      <c r="BL62" s="270"/>
      <c r="BM62" s="270"/>
      <c r="BN62" s="270"/>
      <c r="BO62" s="270"/>
      <c r="BP62" s="270"/>
      <c r="BQ62" s="270"/>
      <c r="BR62" s="270"/>
      <c r="BS62" s="270"/>
      <c r="BT62" s="270"/>
      <c r="BU62" s="270"/>
      <c r="BV62" s="270"/>
      <c r="BW62" s="270"/>
      <c r="BX62" s="270"/>
      <c r="BY62" s="270"/>
      <c r="BZ62" s="270"/>
      <c r="CA62" s="270"/>
      <c r="CB62" s="270"/>
      <c r="CC62" s="270"/>
      <c r="CD62" s="270"/>
      <c r="CE62" s="270"/>
      <c r="CF62" s="270"/>
      <c r="CG62" s="270"/>
      <c r="CH62" s="270"/>
      <c r="CI62" s="270"/>
      <c r="CJ62" s="270"/>
      <c r="CK62" s="270"/>
      <c r="CL62" s="270"/>
      <c r="CM62" s="270"/>
      <c r="CN62" s="270"/>
      <c r="CO62" s="270"/>
      <c r="CP62" s="270"/>
      <c r="CQ62" s="270"/>
      <c r="CR62" s="270"/>
      <c r="CS62" s="270"/>
      <c r="CT62" s="270"/>
      <c r="CU62" s="270"/>
      <c r="CV62" s="270"/>
      <c r="CW62" s="270"/>
      <c r="CX62" s="270"/>
      <c r="CY62" s="270"/>
      <c r="CZ62" s="270"/>
      <c r="DA62" s="270"/>
      <c r="DB62" s="270"/>
      <c r="DC62" s="270"/>
      <c r="DD62" s="270"/>
      <c r="DE62" s="270"/>
      <c r="DF62" s="270"/>
      <c r="DG62" s="270"/>
      <c r="DH62" s="270"/>
      <c r="DI62" s="270"/>
      <c r="DJ62" s="270"/>
      <c r="DK62" s="270"/>
      <c r="DL62" s="270"/>
      <c r="DM62" s="270"/>
      <c r="DN62" s="270"/>
      <c r="DO62" s="270"/>
      <c r="DP62" s="270"/>
      <c r="DQ62" s="270"/>
      <c r="DR62" s="270"/>
      <c r="DS62" s="270"/>
      <c r="DT62" s="270"/>
      <c r="DU62" s="270"/>
      <c r="DV62" s="270"/>
      <c r="DW62" s="270"/>
      <c r="DX62" s="270"/>
      <c r="DY62" s="270"/>
      <c r="DZ62" s="270"/>
      <c r="EA62" s="270"/>
      <c r="EB62" s="270"/>
      <c r="EC62" s="270"/>
      <c r="ED62" s="270"/>
      <c r="EE62" s="270"/>
      <c r="EF62" s="270"/>
      <c r="EG62" s="270"/>
      <c r="EH62" s="270"/>
      <c r="EI62" s="270"/>
      <c r="EJ62" s="270"/>
      <c r="EK62" s="270"/>
      <c r="EL62" s="270"/>
      <c r="EM62" s="270"/>
      <c r="EN62" s="270"/>
      <c r="EO62" s="270"/>
      <c r="EP62" s="270"/>
      <c r="EQ62" s="270"/>
      <c r="ER62" s="270"/>
      <c r="ES62" s="270"/>
      <c r="EU62" s="153" t="s">
        <v>73</v>
      </c>
      <c r="EV62" s="153"/>
      <c r="EW62" s="153"/>
      <c r="EX62" s="153"/>
      <c r="EY62" s="250" t="str">
        <f ca="1">IF(AND(ROUND(EZ62,0)=ROUND(SUM($FA$62:$KC$62),0),ROUND(EZ62,0)=ROUND(Project_Cost_Total,0)),"OK","ERR")</f>
        <v>OK</v>
      </c>
      <c r="EZ62" s="250">
        <f ca="1">SUM(EZ58:EZ61)</f>
        <v>4038603.1146040279</v>
      </c>
      <c r="FA62" s="221">
        <f t="shared" ref="FA62:HL62" si="299">SUM(FA58:FA61)</f>
        <v>822502.85714285716</v>
      </c>
      <c r="FB62" s="221">
        <f t="shared" ca="1" si="299"/>
        <v>16840.908265539307</v>
      </c>
      <c r="FC62" s="221">
        <f t="shared" ca="1" si="299"/>
        <v>52504.923287438098</v>
      </c>
      <c r="FD62" s="221">
        <f t="shared" ca="1" si="299"/>
        <v>136519.80154125288</v>
      </c>
      <c r="FE62" s="221">
        <f t="shared" ca="1" si="299"/>
        <v>282437.29328717594</v>
      </c>
      <c r="FF62" s="221">
        <f t="shared" ca="1" si="299"/>
        <v>459629.91406893102</v>
      </c>
      <c r="FG62" s="221">
        <f t="shared" ca="1" si="299"/>
        <v>587875.93211909418</v>
      </c>
      <c r="FH62" s="221">
        <f t="shared" ca="1" si="299"/>
        <v>590772.04107722954</v>
      </c>
      <c r="FI62" s="221">
        <f t="shared" ca="1" si="299"/>
        <v>468740.7530816652</v>
      </c>
      <c r="FJ62" s="221">
        <f t="shared" ca="1" si="299"/>
        <v>295454.30524225702</v>
      </c>
      <c r="FK62" s="221">
        <f t="shared" ca="1" si="299"/>
        <v>151998.93270668635</v>
      </c>
      <c r="FL62" s="221">
        <f t="shared" ca="1" si="299"/>
        <v>69250.71222542724</v>
      </c>
      <c r="FM62" s="221">
        <f t="shared" ca="1" si="299"/>
        <v>34163.786472073742</v>
      </c>
      <c r="FN62" s="221">
        <f t="shared" ca="1" si="299"/>
        <v>34810.43356999215</v>
      </c>
      <c r="FO62" s="221">
        <f t="shared" ca="1" si="299"/>
        <v>35100.520516408258</v>
      </c>
      <c r="FP62" s="221">
        <f t="shared" ca="1" si="299"/>
        <v>0</v>
      </c>
      <c r="FQ62" s="221">
        <f t="shared" ca="1" si="299"/>
        <v>0</v>
      </c>
      <c r="FR62" s="221">
        <f t="shared" ca="1" si="299"/>
        <v>0</v>
      </c>
      <c r="FS62" s="221">
        <f t="shared" ca="1" si="299"/>
        <v>0</v>
      </c>
      <c r="FT62" s="221">
        <f t="shared" ca="1" si="299"/>
        <v>0</v>
      </c>
      <c r="FU62" s="221">
        <f t="shared" ca="1" si="299"/>
        <v>0</v>
      </c>
      <c r="FV62" s="221">
        <f t="shared" ca="1" si="299"/>
        <v>0</v>
      </c>
      <c r="FW62" s="221">
        <f t="shared" ca="1" si="299"/>
        <v>0</v>
      </c>
      <c r="FX62" s="221">
        <f t="shared" ca="1" si="299"/>
        <v>0</v>
      </c>
      <c r="FY62" s="221">
        <f t="shared" ca="1" si="299"/>
        <v>0</v>
      </c>
      <c r="FZ62" s="221">
        <f t="shared" ca="1" si="299"/>
        <v>0</v>
      </c>
      <c r="GA62" s="221">
        <f t="shared" ca="1" si="299"/>
        <v>0</v>
      </c>
      <c r="GB62" s="221">
        <f t="shared" ca="1" si="299"/>
        <v>0</v>
      </c>
      <c r="GC62" s="221">
        <f t="shared" ca="1" si="299"/>
        <v>0</v>
      </c>
      <c r="GD62" s="221">
        <f t="shared" ca="1" si="299"/>
        <v>0</v>
      </c>
      <c r="GE62" s="221">
        <f t="shared" ca="1" si="299"/>
        <v>0</v>
      </c>
      <c r="GF62" s="221">
        <f t="shared" ca="1" si="299"/>
        <v>0</v>
      </c>
      <c r="GG62" s="221">
        <f t="shared" ca="1" si="299"/>
        <v>0</v>
      </c>
      <c r="GH62" s="221">
        <f t="shared" ca="1" si="299"/>
        <v>0</v>
      </c>
      <c r="GI62" s="221">
        <f t="shared" ca="1" si="299"/>
        <v>0</v>
      </c>
      <c r="GJ62" s="221">
        <f t="shared" ca="1" si="299"/>
        <v>0</v>
      </c>
      <c r="GK62" s="221">
        <f t="shared" ca="1" si="299"/>
        <v>0</v>
      </c>
      <c r="GL62" s="221">
        <f t="shared" ca="1" si="299"/>
        <v>0</v>
      </c>
      <c r="GM62" s="221">
        <f t="shared" ca="1" si="299"/>
        <v>0</v>
      </c>
      <c r="GN62" s="221">
        <f t="shared" ca="1" si="299"/>
        <v>0</v>
      </c>
      <c r="GO62" s="221">
        <f t="shared" ca="1" si="299"/>
        <v>0</v>
      </c>
      <c r="GP62" s="221">
        <f t="shared" ca="1" si="299"/>
        <v>0</v>
      </c>
      <c r="GQ62" s="221">
        <f t="shared" ca="1" si="299"/>
        <v>0</v>
      </c>
      <c r="GR62" s="221">
        <f t="shared" ca="1" si="299"/>
        <v>0</v>
      </c>
      <c r="GS62" s="221">
        <f t="shared" ca="1" si="299"/>
        <v>0</v>
      </c>
      <c r="GT62" s="221">
        <f t="shared" ca="1" si="299"/>
        <v>0</v>
      </c>
      <c r="GU62" s="221">
        <f t="shared" ca="1" si="299"/>
        <v>0</v>
      </c>
      <c r="GV62" s="221">
        <f t="shared" ca="1" si="299"/>
        <v>0</v>
      </c>
      <c r="GW62" s="221">
        <f t="shared" ca="1" si="299"/>
        <v>0</v>
      </c>
      <c r="GX62" s="221">
        <f t="shared" ca="1" si="299"/>
        <v>0</v>
      </c>
      <c r="GY62" s="221">
        <f t="shared" ca="1" si="299"/>
        <v>0</v>
      </c>
      <c r="GZ62" s="221">
        <f t="shared" ca="1" si="299"/>
        <v>0</v>
      </c>
      <c r="HA62" s="221">
        <f t="shared" ca="1" si="299"/>
        <v>0</v>
      </c>
      <c r="HB62" s="221">
        <f t="shared" ca="1" si="299"/>
        <v>0</v>
      </c>
      <c r="HC62" s="221">
        <f t="shared" ca="1" si="299"/>
        <v>0</v>
      </c>
      <c r="HD62" s="221">
        <f t="shared" ca="1" si="299"/>
        <v>0</v>
      </c>
      <c r="HE62" s="221">
        <f t="shared" ca="1" si="299"/>
        <v>0</v>
      </c>
      <c r="HF62" s="221">
        <f t="shared" ca="1" si="299"/>
        <v>0</v>
      </c>
      <c r="HG62" s="221">
        <f t="shared" ca="1" si="299"/>
        <v>0</v>
      </c>
      <c r="HH62" s="221">
        <f t="shared" ca="1" si="299"/>
        <v>0</v>
      </c>
      <c r="HI62" s="221">
        <f t="shared" ca="1" si="299"/>
        <v>0</v>
      </c>
      <c r="HJ62" s="221">
        <f t="shared" ca="1" si="299"/>
        <v>0</v>
      </c>
      <c r="HK62" s="221">
        <f t="shared" ca="1" si="299"/>
        <v>0</v>
      </c>
      <c r="HL62" s="221">
        <f t="shared" ca="1" si="299"/>
        <v>0</v>
      </c>
      <c r="HM62" s="221">
        <f t="shared" ref="HM62:JX62" ca="1" si="300">SUM(HM58:HM61)</f>
        <v>0</v>
      </c>
      <c r="HN62" s="221">
        <f t="shared" ca="1" si="300"/>
        <v>0</v>
      </c>
      <c r="HO62" s="221">
        <f t="shared" ca="1" si="300"/>
        <v>0</v>
      </c>
      <c r="HP62" s="221">
        <f t="shared" ca="1" si="300"/>
        <v>0</v>
      </c>
      <c r="HQ62" s="221">
        <f t="shared" ca="1" si="300"/>
        <v>0</v>
      </c>
      <c r="HR62" s="221">
        <f t="shared" ca="1" si="300"/>
        <v>0</v>
      </c>
      <c r="HS62" s="221">
        <f t="shared" ca="1" si="300"/>
        <v>0</v>
      </c>
      <c r="HT62" s="221">
        <f t="shared" ca="1" si="300"/>
        <v>0</v>
      </c>
      <c r="HU62" s="221">
        <f t="shared" ca="1" si="300"/>
        <v>0</v>
      </c>
      <c r="HV62" s="221">
        <f t="shared" ca="1" si="300"/>
        <v>0</v>
      </c>
      <c r="HW62" s="221">
        <f t="shared" ca="1" si="300"/>
        <v>0</v>
      </c>
      <c r="HX62" s="221">
        <f t="shared" ca="1" si="300"/>
        <v>0</v>
      </c>
      <c r="HY62" s="221">
        <f t="shared" ca="1" si="300"/>
        <v>0</v>
      </c>
      <c r="HZ62" s="221">
        <f t="shared" ca="1" si="300"/>
        <v>0</v>
      </c>
      <c r="IA62" s="221">
        <f t="shared" ca="1" si="300"/>
        <v>0</v>
      </c>
      <c r="IB62" s="221">
        <f t="shared" ca="1" si="300"/>
        <v>0</v>
      </c>
      <c r="IC62" s="221">
        <f t="shared" ca="1" si="300"/>
        <v>0</v>
      </c>
      <c r="ID62" s="221">
        <f t="shared" ca="1" si="300"/>
        <v>0</v>
      </c>
      <c r="IE62" s="221">
        <f t="shared" ca="1" si="300"/>
        <v>0</v>
      </c>
      <c r="IF62" s="221">
        <f t="shared" ca="1" si="300"/>
        <v>0</v>
      </c>
      <c r="IG62" s="221">
        <f t="shared" ca="1" si="300"/>
        <v>0</v>
      </c>
      <c r="IH62" s="221">
        <f t="shared" ca="1" si="300"/>
        <v>0</v>
      </c>
      <c r="II62" s="221">
        <f t="shared" ca="1" si="300"/>
        <v>0</v>
      </c>
      <c r="IJ62" s="221">
        <f t="shared" ca="1" si="300"/>
        <v>0</v>
      </c>
      <c r="IK62" s="221">
        <f t="shared" ca="1" si="300"/>
        <v>0</v>
      </c>
      <c r="IL62" s="221">
        <f t="shared" ca="1" si="300"/>
        <v>0</v>
      </c>
      <c r="IM62" s="221">
        <f t="shared" ca="1" si="300"/>
        <v>0</v>
      </c>
      <c r="IN62" s="221">
        <f t="shared" ca="1" si="300"/>
        <v>0</v>
      </c>
      <c r="IO62" s="221">
        <f t="shared" ca="1" si="300"/>
        <v>0</v>
      </c>
      <c r="IP62" s="221">
        <f t="shared" ca="1" si="300"/>
        <v>0</v>
      </c>
      <c r="IQ62" s="221">
        <f t="shared" ca="1" si="300"/>
        <v>0</v>
      </c>
      <c r="IR62" s="221">
        <f t="shared" ca="1" si="300"/>
        <v>0</v>
      </c>
      <c r="IS62" s="221">
        <f t="shared" ca="1" si="300"/>
        <v>0</v>
      </c>
      <c r="IT62" s="221">
        <f t="shared" ca="1" si="300"/>
        <v>0</v>
      </c>
      <c r="IU62" s="221">
        <f t="shared" ca="1" si="300"/>
        <v>0</v>
      </c>
      <c r="IV62" s="221">
        <f t="shared" ca="1" si="300"/>
        <v>0</v>
      </c>
      <c r="IW62" s="221">
        <f t="shared" ca="1" si="300"/>
        <v>0</v>
      </c>
      <c r="IX62" s="221">
        <f t="shared" ca="1" si="300"/>
        <v>0</v>
      </c>
      <c r="IY62" s="221">
        <f t="shared" ca="1" si="300"/>
        <v>0</v>
      </c>
      <c r="IZ62" s="221">
        <f t="shared" ca="1" si="300"/>
        <v>0</v>
      </c>
      <c r="JA62" s="221">
        <f t="shared" ca="1" si="300"/>
        <v>0</v>
      </c>
      <c r="JB62" s="221">
        <f t="shared" ca="1" si="300"/>
        <v>0</v>
      </c>
      <c r="JC62" s="221">
        <f t="shared" ca="1" si="300"/>
        <v>0</v>
      </c>
      <c r="JD62" s="221">
        <f t="shared" ca="1" si="300"/>
        <v>0</v>
      </c>
      <c r="JE62" s="221">
        <f t="shared" ca="1" si="300"/>
        <v>0</v>
      </c>
      <c r="JF62" s="221">
        <f t="shared" ca="1" si="300"/>
        <v>0</v>
      </c>
      <c r="JG62" s="221">
        <f t="shared" ca="1" si="300"/>
        <v>0</v>
      </c>
      <c r="JH62" s="221">
        <f t="shared" ca="1" si="300"/>
        <v>0</v>
      </c>
      <c r="JI62" s="221">
        <f t="shared" ca="1" si="300"/>
        <v>0</v>
      </c>
      <c r="JJ62" s="221">
        <f t="shared" ca="1" si="300"/>
        <v>0</v>
      </c>
      <c r="JK62" s="221">
        <f t="shared" ca="1" si="300"/>
        <v>0</v>
      </c>
      <c r="JL62" s="221">
        <f t="shared" ca="1" si="300"/>
        <v>0</v>
      </c>
      <c r="JM62" s="221">
        <f t="shared" ca="1" si="300"/>
        <v>0</v>
      </c>
      <c r="JN62" s="221">
        <f t="shared" ca="1" si="300"/>
        <v>0</v>
      </c>
      <c r="JO62" s="221">
        <f t="shared" ca="1" si="300"/>
        <v>0</v>
      </c>
      <c r="JP62" s="221">
        <f t="shared" ca="1" si="300"/>
        <v>0</v>
      </c>
      <c r="JQ62" s="221">
        <f t="shared" ca="1" si="300"/>
        <v>0</v>
      </c>
      <c r="JR62" s="221">
        <f t="shared" ca="1" si="300"/>
        <v>0</v>
      </c>
      <c r="JS62" s="221">
        <f t="shared" ca="1" si="300"/>
        <v>0</v>
      </c>
      <c r="JT62" s="221">
        <f t="shared" ca="1" si="300"/>
        <v>0</v>
      </c>
      <c r="JU62" s="221">
        <f t="shared" ca="1" si="300"/>
        <v>0</v>
      </c>
      <c r="JV62" s="221">
        <f t="shared" ca="1" si="300"/>
        <v>0</v>
      </c>
      <c r="JW62" s="221">
        <f t="shared" ca="1" si="300"/>
        <v>0</v>
      </c>
      <c r="JX62" s="221">
        <f t="shared" ca="1" si="300"/>
        <v>0</v>
      </c>
      <c r="JY62" s="221">
        <f ca="1">SUM(JY58:JY61)</f>
        <v>0</v>
      </c>
      <c r="JZ62" s="221">
        <f ca="1">SUM(JZ58:JZ61)</f>
        <v>0</v>
      </c>
      <c r="KA62" s="221">
        <f ca="1">SUM(KA58:KA61)</f>
        <v>0</v>
      </c>
      <c r="KB62" s="221">
        <f ca="1">SUM(KB58:KB61)</f>
        <v>0</v>
      </c>
      <c r="KC62" s="221">
        <f ca="1">SUM(KC58:KC61)</f>
        <v>0</v>
      </c>
    </row>
    <row r="63" spans="1:289" x14ac:dyDescent="0.25">
      <c r="B63" s="234" t="s">
        <v>560</v>
      </c>
      <c r="C63" s="249">
        <v>0.6</v>
      </c>
      <c r="D63" s="196" t="s">
        <v>688</v>
      </c>
      <c r="E63" s="272">
        <f>IF(Debt_LTC_Target=0,"NA",SUMPRODUCT(FA68:KC68,FA84:KC84)/SUM(FA84:KC84))</f>
        <v>0.10000000000000003</v>
      </c>
      <c r="F63" s="273">
        <f ca="1">I63/Project_Cost_Total</f>
        <v>0.60000027576937087</v>
      </c>
      <c r="G63" s="274">
        <f ca="1">I63/Units_SF_M2</f>
        <v>148.69679568516551</v>
      </c>
      <c r="H63" s="224">
        <f ca="1">I63/Units</f>
        <v>151447.68640534108</v>
      </c>
      <c r="I63" s="224">
        <f ca="1">Project_Cost_Total-Equity_Total</f>
        <v>2423162.9824854573</v>
      </c>
      <c r="P63" s="275" t="str">
        <f>B67</f>
        <v>Construction Loan</v>
      </c>
      <c r="Q63" s="276">
        <f t="shared" ref="Q63:AV63" si="301">IF($D$67=$D$68,SUM(Q74:Q76)*$EU$63,SUM(Q74:Q76)*FA83)</f>
        <v>0</v>
      </c>
      <c r="R63" s="276">
        <f t="shared" ca="1" si="301"/>
        <v>0</v>
      </c>
      <c r="S63" s="276">
        <f t="shared" ca="1" si="301"/>
        <v>0</v>
      </c>
      <c r="T63" s="276">
        <f t="shared" ca="1" si="301"/>
        <v>0</v>
      </c>
      <c r="U63" s="276">
        <f t="shared" ca="1" si="301"/>
        <v>0</v>
      </c>
      <c r="V63" s="276">
        <f t="shared" ca="1" si="301"/>
        <v>154995.56547462335</v>
      </c>
      <c r="W63" s="276">
        <f t="shared" ca="1" si="301"/>
        <v>587875.93211909418</v>
      </c>
      <c r="X63" s="276">
        <f t="shared" ca="1" si="301"/>
        <v>590772.04107722966</v>
      </c>
      <c r="Y63" s="276">
        <f t="shared" ca="1" si="301"/>
        <v>468740.7530816652</v>
      </c>
      <c r="Z63" s="276">
        <f t="shared" ca="1" si="301"/>
        <v>295454.30524225708</v>
      </c>
      <c r="AA63" s="276">
        <f t="shared" ca="1" si="301"/>
        <v>151998.93270668655</v>
      </c>
      <c r="AB63" s="276">
        <f t="shared" ca="1" si="301"/>
        <v>69250.712225427269</v>
      </c>
      <c r="AC63" s="276">
        <f t="shared" ca="1" si="301"/>
        <v>34163.78647207364</v>
      </c>
      <c r="AD63" s="276">
        <f t="shared" ca="1" si="301"/>
        <v>34810.43356999215</v>
      </c>
      <c r="AE63" s="276">
        <f t="shared" ca="1" si="301"/>
        <v>35100.520516408302</v>
      </c>
      <c r="AF63" s="276">
        <f t="shared" ca="1" si="301"/>
        <v>0</v>
      </c>
      <c r="AG63" s="276">
        <f t="shared" ca="1" si="301"/>
        <v>0</v>
      </c>
      <c r="AH63" s="276">
        <f t="shared" ca="1" si="301"/>
        <v>0</v>
      </c>
      <c r="AI63" s="276">
        <f t="shared" ca="1" si="301"/>
        <v>0</v>
      </c>
      <c r="AJ63" s="276">
        <f t="shared" ca="1" si="301"/>
        <v>0</v>
      </c>
      <c r="AK63" s="276">
        <f t="shared" ca="1" si="301"/>
        <v>0</v>
      </c>
      <c r="AL63" s="276">
        <f t="shared" ca="1" si="301"/>
        <v>0</v>
      </c>
      <c r="AM63" s="276">
        <f t="shared" ca="1" si="301"/>
        <v>0</v>
      </c>
      <c r="AN63" s="276">
        <f t="shared" ca="1" si="301"/>
        <v>0</v>
      </c>
      <c r="AO63" s="276">
        <f t="shared" ca="1" si="301"/>
        <v>0</v>
      </c>
      <c r="AP63" s="276">
        <f t="shared" ca="1" si="301"/>
        <v>0</v>
      </c>
      <c r="AQ63" s="276">
        <f t="shared" ca="1" si="301"/>
        <v>0</v>
      </c>
      <c r="AR63" s="276">
        <f t="shared" ca="1" si="301"/>
        <v>0</v>
      </c>
      <c r="AS63" s="276">
        <f t="shared" ca="1" si="301"/>
        <v>0</v>
      </c>
      <c r="AT63" s="276">
        <f t="shared" ca="1" si="301"/>
        <v>0</v>
      </c>
      <c r="AU63" s="276">
        <f t="shared" ca="1" si="301"/>
        <v>0</v>
      </c>
      <c r="AV63" s="276">
        <f t="shared" ca="1" si="301"/>
        <v>0</v>
      </c>
      <c r="AW63" s="276">
        <f t="shared" ref="AW63:CB63" ca="1" si="302">IF($D$67=$D$68,SUM(AW74:AW76)*$EU$63,SUM(AW74:AW76)*GG83)</f>
        <v>0</v>
      </c>
      <c r="AX63" s="276">
        <f t="shared" ca="1" si="302"/>
        <v>0</v>
      </c>
      <c r="AY63" s="276">
        <f t="shared" ca="1" si="302"/>
        <v>0</v>
      </c>
      <c r="AZ63" s="276">
        <f t="shared" ca="1" si="302"/>
        <v>0</v>
      </c>
      <c r="BA63" s="276">
        <f t="shared" ca="1" si="302"/>
        <v>0</v>
      </c>
      <c r="BB63" s="276">
        <f t="shared" ca="1" si="302"/>
        <v>0</v>
      </c>
      <c r="BC63" s="276">
        <f t="shared" ca="1" si="302"/>
        <v>0</v>
      </c>
      <c r="BD63" s="276">
        <f t="shared" ca="1" si="302"/>
        <v>0</v>
      </c>
      <c r="BE63" s="276">
        <f t="shared" ca="1" si="302"/>
        <v>0</v>
      </c>
      <c r="BF63" s="276">
        <f t="shared" ca="1" si="302"/>
        <v>0</v>
      </c>
      <c r="BG63" s="276">
        <f t="shared" ca="1" si="302"/>
        <v>0</v>
      </c>
      <c r="BH63" s="276">
        <f t="shared" ca="1" si="302"/>
        <v>0</v>
      </c>
      <c r="BI63" s="276">
        <f t="shared" ca="1" si="302"/>
        <v>0</v>
      </c>
      <c r="BJ63" s="276">
        <f t="shared" ca="1" si="302"/>
        <v>0</v>
      </c>
      <c r="BK63" s="276">
        <f t="shared" ca="1" si="302"/>
        <v>0</v>
      </c>
      <c r="BL63" s="276">
        <f t="shared" ca="1" si="302"/>
        <v>0</v>
      </c>
      <c r="BM63" s="276">
        <f t="shared" ca="1" si="302"/>
        <v>0</v>
      </c>
      <c r="BN63" s="276">
        <f t="shared" ca="1" si="302"/>
        <v>0</v>
      </c>
      <c r="BO63" s="276">
        <f t="shared" ca="1" si="302"/>
        <v>0</v>
      </c>
      <c r="BP63" s="276">
        <f t="shared" ca="1" si="302"/>
        <v>0</v>
      </c>
      <c r="BQ63" s="276">
        <f t="shared" ca="1" si="302"/>
        <v>0</v>
      </c>
      <c r="BR63" s="276">
        <f t="shared" ca="1" si="302"/>
        <v>0</v>
      </c>
      <c r="BS63" s="276">
        <f t="shared" ca="1" si="302"/>
        <v>0</v>
      </c>
      <c r="BT63" s="276">
        <f t="shared" ca="1" si="302"/>
        <v>0</v>
      </c>
      <c r="BU63" s="276">
        <f t="shared" ca="1" si="302"/>
        <v>0</v>
      </c>
      <c r="BV63" s="276">
        <f t="shared" ca="1" si="302"/>
        <v>0</v>
      </c>
      <c r="BW63" s="276">
        <f t="shared" ca="1" si="302"/>
        <v>0</v>
      </c>
      <c r="BX63" s="276">
        <f t="shared" ca="1" si="302"/>
        <v>0</v>
      </c>
      <c r="BY63" s="276">
        <f t="shared" ca="1" si="302"/>
        <v>0</v>
      </c>
      <c r="BZ63" s="276">
        <f t="shared" ca="1" si="302"/>
        <v>0</v>
      </c>
      <c r="CA63" s="276">
        <f t="shared" ca="1" si="302"/>
        <v>0</v>
      </c>
      <c r="CB63" s="276">
        <f t="shared" ca="1" si="302"/>
        <v>0</v>
      </c>
      <c r="CC63" s="276">
        <f t="shared" ref="CC63:DH63" ca="1" si="303">IF($D$67=$D$68,SUM(CC74:CC76)*$EU$63,SUM(CC74:CC76)*HM83)</f>
        <v>0</v>
      </c>
      <c r="CD63" s="276">
        <f t="shared" ca="1" si="303"/>
        <v>0</v>
      </c>
      <c r="CE63" s="276">
        <f t="shared" ca="1" si="303"/>
        <v>0</v>
      </c>
      <c r="CF63" s="276">
        <f t="shared" ca="1" si="303"/>
        <v>0</v>
      </c>
      <c r="CG63" s="276">
        <f t="shared" ca="1" si="303"/>
        <v>0</v>
      </c>
      <c r="CH63" s="276">
        <f t="shared" ca="1" si="303"/>
        <v>0</v>
      </c>
      <c r="CI63" s="276">
        <f t="shared" ca="1" si="303"/>
        <v>0</v>
      </c>
      <c r="CJ63" s="276">
        <f t="shared" ca="1" si="303"/>
        <v>0</v>
      </c>
      <c r="CK63" s="276">
        <f t="shared" ca="1" si="303"/>
        <v>0</v>
      </c>
      <c r="CL63" s="276">
        <f t="shared" ca="1" si="303"/>
        <v>0</v>
      </c>
      <c r="CM63" s="276">
        <f t="shared" ca="1" si="303"/>
        <v>0</v>
      </c>
      <c r="CN63" s="276">
        <f t="shared" ca="1" si="303"/>
        <v>0</v>
      </c>
      <c r="CO63" s="276">
        <f t="shared" ca="1" si="303"/>
        <v>0</v>
      </c>
      <c r="CP63" s="276">
        <f t="shared" ca="1" si="303"/>
        <v>0</v>
      </c>
      <c r="CQ63" s="276">
        <f t="shared" ca="1" si="303"/>
        <v>0</v>
      </c>
      <c r="CR63" s="276">
        <f t="shared" ca="1" si="303"/>
        <v>0</v>
      </c>
      <c r="CS63" s="276">
        <f t="shared" ca="1" si="303"/>
        <v>0</v>
      </c>
      <c r="CT63" s="276">
        <f t="shared" ca="1" si="303"/>
        <v>0</v>
      </c>
      <c r="CU63" s="276">
        <f t="shared" ca="1" si="303"/>
        <v>0</v>
      </c>
      <c r="CV63" s="276">
        <f t="shared" ca="1" si="303"/>
        <v>0</v>
      </c>
      <c r="CW63" s="276">
        <f t="shared" ca="1" si="303"/>
        <v>0</v>
      </c>
      <c r="CX63" s="276">
        <f t="shared" ca="1" si="303"/>
        <v>0</v>
      </c>
      <c r="CY63" s="276">
        <f t="shared" ca="1" si="303"/>
        <v>0</v>
      </c>
      <c r="CZ63" s="276">
        <f t="shared" ca="1" si="303"/>
        <v>0</v>
      </c>
      <c r="DA63" s="276">
        <f t="shared" ca="1" si="303"/>
        <v>0</v>
      </c>
      <c r="DB63" s="276">
        <f t="shared" ca="1" si="303"/>
        <v>0</v>
      </c>
      <c r="DC63" s="276">
        <f t="shared" ca="1" si="303"/>
        <v>0</v>
      </c>
      <c r="DD63" s="276">
        <f t="shared" ca="1" si="303"/>
        <v>0</v>
      </c>
      <c r="DE63" s="276">
        <f t="shared" ca="1" si="303"/>
        <v>0</v>
      </c>
      <c r="DF63" s="276">
        <f t="shared" ca="1" si="303"/>
        <v>0</v>
      </c>
      <c r="DG63" s="276">
        <f t="shared" ca="1" si="303"/>
        <v>0</v>
      </c>
      <c r="DH63" s="276">
        <f t="shared" ca="1" si="303"/>
        <v>0</v>
      </c>
      <c r="DI63" s="276">
        <f t="shared" ref="DI63:EN63" ca="1" si="304">IF($D$67=$D$68,SUM(DI74:DI76)*$EU$63,SUM(DI74:DI76)*IS83)</f>
        <v>0</v>
      </c>
      <c r="DJ63" s="276">
        <f t="shared" ca="1" si="304"/>
        <v>0</v>
      </c>
      <c r="DK63" s="276">
        <f t="shared" ca="1" si="304"/>
        <v>0</v>
      </c>
      <c r="DL63" s="276">
        <f t="shared" ca="1" si="304"/>
        <v>0</v>
      </c>
      <c r="DM63" s="276">
        <f t="shared" ca="1" si="304"/>
        <v>0</v>
      </c>
      <c r="DN63" s="276">
        <f t="shared" ca="1" si="304"/>
        <v>0</v>
      </c>
      <c r="DO63" s="276">
        <f t="shared" ca="1" si="304"/>
        <v>0</v>
      </c>
      <c r="DP63" s="276">
        <f t="shared" ca="1" si="304"/>
        <v>0</v>
      </c>
      <c r="DQ63" s="276">
        <f t="shared" ca="1" si="304"/>
        <v>0</v>
      </c>
      <c r="DR63" s="276">
        <f t="shared" ca="1" si="304"/>
        <v>0</v>
      </c>
      <c r="DS63" s="276">
        <f t="shared" ca="1" si="304"/>
        <v>0</v>
      </c>
      <c r="DT63" s="276">
        <f t="shared" ca="1" si="304"/>
        <v>0</v>
      </c>
      <c r="DU63" s="276">
        <f t="shared" ca="1" si="304"/>
        <v>0</v>
      </c>
      <c r="DV63" s="276">
        <f t="shared" ca="1" si="304"/>
        <v>0</v>
      </c>
      <c r="DW63" s="276">
        <f t="shared" ca="1" si="304"/>
        <v>0</v>
      </c>
      <c r="DX63" s="276">
        <f t="shared" ca="1" si="304"/>
        <v>0</v>
      </c>
      <c r="DY63" s="276">
        <f t="shared" ca="1" si="304"/>
        <v>0</v>
      </c>
      <c r="DZ63" s="276">
        <f t="shared" ca="1" si="304"/>
        <v>0</v>
      </c>
      <c r="EA63" s="276">
        <f t="shared" ca="1" si="304"/>
        <v>0</v>
      </c>
      <c r="EB63" s="276">
        <f t="shared" ca="1" si="304"/>
        <v>0</v>
      </c>
      <c r="EC63" s="276">
        <f t="shared" ca="1" si="304"/>
        <v>0</v>
      </c>
      <c r="ED63" s="276">
        <f t="shared" ca="1" si="304"/>
        <v>0</v>
      </c>
      <c r="EE63" s="276">
        <f t="shared" ca="1" si="304"/>
        <v>0</v>
      </c>
      <c r="EF63" s="276">
        <f t="shared" ca="1" si="304"/>
        <v>0</v>
      </c>
      <c r="EG63" s="276">
        <f t="shared" ca="1" si="304"/>
        <v>0</v>
      </c>
      <c r="EH63" s="276">
        <f t="shared" ca="1" si="304"/>
        <v>0</v>
      </c>
      <c r="EI63" s="276">
        <f t="shared" ca="1" si="304"/>
        <v>0</v>
      </c>
      <c r="EJ63" s="276">
        <f t="shared" ca="1" si="304"/>
        <v>0</v>
      </c>
      <c r="EK63" s="276">
        <f t="shared" ca="1" si="304"/>
        <v>0</v>
      </c>
      <c r="EL63" s="276">
        <f t="shared" ca="1" si="304"/>
        <v>0</v>
      </c>
      <c r="EM63" s="276">
        <f t="shared" ca="1" si="304"/>
        <v>0</v>
      </c>
      <c r="EN63" s="276">
        <f t="shared" ca="1" si="304"/>
        <v>0</v>
      </c>
      <c r="EO63" s="276">
        <f t="shared" ref="EO63:ES63" ca="1" si="305">IF($D$67=$D$68,SUM(EO74:EO76)*$EU$63,SUM(EO74:EO76)*JY83)</f>
        <v>0</v>
      </c>
      <c r="EP63" s="276">
        <f t="shared" ca="1" si="305"/>
        <v>0</v>
      </c>
      <c r="EQ63" s="276">
        <f t="shared" ca="1" si="305"/>
        <v>0</v>
      </c>
      <c r="ER63" s="276">
        <f t="shared" ca="1" si="305"/>
        <v>0</v>
      </c>
      <c r="ES63" s="276">
        <f t="shared" ca="1" si="305"/>
        <v>0</v>
      </c>
      <c r="EU63" s="277">
        <f>C67/Debt_LTC_Target</f>
        <v>1</v>
      </c>
      <c r="EV63" s="153"/>
      <c r="EW63" s="153"/>
      <c r="EX63" s="153"/>
      <c r="EY63" s="278" t="s">
        <v>75</v>
      </c>
      <c r="EZ63" s="278">
        <f ca="1">SUM(FA63:KC63)</f>
        <v>128683.11460402847</v>
      </c>
      <c r="FA63" s="279"/>
      <c r="FB63" s="279">
        <f>IF(Perm_Debt?,(R3&lt;=PermDebt_Fund)*SUM($FA59:FA61)*FB68/12,(R3&lt;=Timing_Analysis_End_Month)*SUM($FA59:FA61)*FB68/12)</f>
        <v>0</v>
      </c>
      <c r="FC63" s="279">
        <f ca="1">IF(Perm_Debt?,(S3&lt;=PermDebt_Fund)*SUM($FA59:FB61)*FC68/12,(S3&lt;=Timing_Analysis_End_Month)*SUM($FA59:FB61)*FC68/12)</f>
        <v>0</v>
      </c>
      <c r="FD63" s="279">
        <f ca="1">IF(Perm_Debt?,(T3&lt;=PermDebt_Fund)*SUM($FA59:FC61)*FD68/12,(T3&lt;=Timing_Analysis_End_Month)*SUM($FA59:FC61)*FD68/12)</f>
        <v>0</v>
      </c>
      <c r="FE63" s="279">
        <f ca="1">IF(Perm_Debt?,(U3&lt;=PermDebt_Fund)*SUM($FA59:FD61)*FE68/12,(U3&lt;=Timing_Analysis_End_Month)*SUM($FA59:FD61)*FE68/12)</f>
        <v>0</v>
      </c>
      <c r="FF63" s="279">
        <f ca="1">IF(Perm_Debt?,(V3&lt;=PermDebt_Fund)*SUM($FA59:FE61)*FF68/12,(V3&lt;=Timing_Analysis_End_Month)*SUM($FA59:FE61)*FF68/12)</f>
        <v>0</v>
      </c>
      <c r="FG63" s="279">
        <f ca="1">IF(Perm_Debt?,(W3&lt;=PermDebt_Fund)*SUM($FA59:FF61)*FG68/12,(W3&lt;=Timing_Analysis_End_Month)*SUM($FA59:FF61)*FG68/12)</f>
        <v>1291.629712288528</v>
      </c>
      <c r="FH63" s="279">
        <f ca="1">IF(Perm_Debt?,(X3&lt;=PermDebt_Fund)*SUM($FA59:FG61)*FH68/12,(X3&lt;=Timing_Analysis_End_Month)*SUM($FA59:FG61)*FH68/12)</f>
        <v>6190.5958132809792</v>
      </c>
      <c r="FI63" s="279">
        <f ca="1">IF(Perm_Debt?,(Y3&lt;=PermDebt_Fund)*SUM($FA59:FH61)*FI68/12,(Y3&lt;=Timing_Analysis_End_Month)*SUM($FA59:FH61)*FI68/12)</f>
        <v>11113.696155591226</v>
      </c>
      <c r="FJ63" s="279">
        <f ca="1">IF(Perm_Debt?,(Z3&lt;=PermDebt_Fund)*SUM($FA59:FI61)*FJ68/12,(Z3&lt;=Timing_Analysis_End_Month)*SUM($FA59:FI61)*FJ68/12)</f>
        <v>15019.869097938436</v>
      </c>
      <c r="FK63" s="279">
        <f ca="1">IF(Perm_Debt?,(AA3&lt;=PermDebt_Fund)*SUM($FA59:FJ61)*FK68/12,(AA3&lt;=Timing_Analysis_End_Month)*SUM($FA59:FJ61)*FK68/12)</f>
        <v>17481.98830829058</v>
      </c>
      <c r="FL63" s="279">
        <f ca="1">IF(Perm_Debt?,(AB3&lt;=PermDebt_Fund)*SUM($FA59:FK61)*FL68/12,(AB3&lt;=Timing_Analysis_End_Month)*SUM($FA59:FK61)*FL68/12)</f>
        <v>18748.646080846302</v>
      </c>
      <c r="FM63" s="279">
        <f ca="1">IF(Perm_Debt?,(AC3&lt;=PermDebt_Fund)*SUM($FA59:FL61)*FM68/12,(AC3&lt;=Timing_Analysis_End_Month)*SUM($FA59:FL61)*FM68/12)</f>
        <v>19325.735349391529</v>
      </c>
      <c r="FN63" s="279">
        <f ca="1">IF(Perm_Debt?,(AD3&lt;=PermDebt_Fund)*SUM($FA59:FM61)*FN68/12,(AD3&lt;=Timing_Analysis_End_Month)*SUM($FA59:FM61)*FN68/12)</f>
        <v>19610.433569992147</v>
      </c>
      <c r="FO63" s="279">
        <f ca="1">IF(Perm_Debt?,(AE3&lt;=PermDebt_Fund)*SUM($FA59:FN61)*FO68/12,(AE3&lt;=Timing_Analysis_End_Month)*SUM($FA59:FN61)*FO68/12)</f>
        <v>19900.520516408742</v>
      </c>
      <c r="FP63" s="279">
        <f ca="1">IF(Perm_Debt?,(AF3&lt;=PermDebt_Fund)*SUM($FA59:FO61)*FP68/12,(AF3&lt;=Timing_Analysis_End_Month)*SUM($FA59:FO61)*FP68/12)</f>
        <v>0</v>
      </c>
      <c r="FQ63" s="279">
        <f ca="1">IF(Perm_Debt?,(AG3&lt;=PermDebt_Fund)*SUM($FA59:FP61)*FQ68/12,(AG3&lt;=Timing_Analysis_End_Month)*SUM($FA59:FP61)*FQ68/12)</f>
        <v>0</v>
      </c>
      <c r="FR63" s="279">
        <f ca="1">IF(Perm_Debt?,(AH3&lt;=PermDebt_Fund)*SUM($FA59:FQ61)*FR68/12,(AH3&lt;=Timing_Analysis_End_Month)*SUM($FA59:FQ61)*FR68/12)</f>
        <v>0</v>
      </c>
      <c r="FS63" s="279">
        <f ca="1">IF(Perm_Debt?,(AI3&lt;=PermDebt_Fund)*SUM($FA59:FR61)*FS68/12,(AI3&lt;=Timing_Analysis_End_Month)*SUM($FA59:FR61)*FS68/12)</f>
        <v>0</v>
      </c>
      <c r="FT63" s="279">
        <f ca="1">IF(Perm_Debt?,(AJ3&lt;=PermDebt_Fund)*SUM($FA59:FS61)*FT68/12,(AJ3&lt;=Timing_Analysis_End_Month)*SUM($FA59:FS61)*FT68/12)</f>
        <v>0</v>
      </c>
      <c r="FU63" s="279">
        <f ca="1">IF(Perm_Debt?,(AK3&lt;=PermDebt_Fund)*SUM($FA59:FT61)*FU68/12,(AK3&lt;=Timing_Analysis_End_Month)*SUM($FA59:FT61)*FU68/12)</f>
        <v>0</v>
      </c>
      <c r="FV63" s="279">
        <f ca="1">IF(Perm_Debt?,(AL3&lt;=PermDebt_Fund)*SUM($FA59:FU61)*FV68/12,(AL3&lt;=Timing_Analysis_End_Month)*SUM($FA59:FU61)*FV68/12)</f>
        <v>0</v>
      </c>
      <c r="FW63" s="279">
        <f ca="1">IF(Perm_Debt?,(AM3&lt;=PermDebt_Fund)*SUM($FA59:FV61)*FW68/12,(AM3&lt;=Timing_Analysis_End_Month)*SUM($FA59:FV61)*FW68/12)</f>
        <v>0</v>
      </c>
      <c r="FX63" s="279">
        <f ca="1">IF(Perm_Debt?,(AN3&lt;=PermDebt_Fund)*SUM($FA59:FW61)*FX68/12,(AN3&lt;=Timing_Analysis_End_Month)*SUM($FA59:FW61)*FX68/12)</f>
        <v>0</v>
      </c>
      <c r="FY63" s="279">
        <f ca="1">IF(Perm_Debt?,(AO3&lt;=PermDebt_Fund)*SUM($FA59:FX61)*FY68/12,(AO3&lt;=Timing_Analysis_End_Month)*SUM($FA59:FX61)*FY68/12)</f>
        <v>0</v>
      </c>
      <c r="FZ63" s="279">
        <f ca="1">IF(Perm_Debt?,(AP3&lt;=PermDebt_Fund)*SUM($FA59:FY61)*FZ68/12,(AP3&lt;=Timing_Analysis_End_Month)*SUM($FA59:FY61)*FZ68/12)</f>
        <v>0</v>
      </c>
      <c r="GA63" s="279">
        <f ca="1">IF(Perm_Debt?,(AQ3&lt;=PermDebt_Fund)*SUM($FA59:FZ61)*GA68/12,(AQ3&lt;=Timing_Analysis_End_Month)*SUM($FA59:FZ61)*GA68/12)</f>
        <v>0</v>
      </c>
      <c r="GB63" s="279">
        <f ca="1">IF(Perm_Debt?,(AR3&lt;=PermDebt_Fund)*SUM($FA59:GA61)*GB68/12,(AR3&lt;=Timing_Analysis_End_Month)*SUM($FA59:GA61)*GB68/12)</f>
        <v>0</v>
      </c>
      <c r="GC63" s="279">
        <f ca="1">IF(Perm_Debt?,(AS3&lt;=PermDebt_Fund)*SUM($FA59:GB61)*GC68/12,(AS3&lt;=Timing_Analysis_End_Month)*SUM($FA59:GB61)*GC68/12)</f>
        <v>0</v>
      </c>
      <c r="GD63" s="279">
        <f ca="1">IF(Perm_Debt?,(AT3&lt;=PermDebt_Fund)*SUM($FA59:GC61)*GD68/12,(AT3&lt;=Timing_Analysis_End_Month)*SUM($FA59:GC61)*GD68/12)</f>
        <v>0</v>
      </c>
      <c r="GE63" s="279">
        <f ca="1">IF(Perm_Debt?,(AU3&lt;=PermDebt_Fund)*SUM($FA59:GD61)*GE68/12,(AU3&lt;=Timing_Analysis_End_Month)*SUM($FA59:GD61)*GE68/12)</f>
        <v>0</v>
      </c>
      <c r="GF63" s="279">
        <f ca="1">IF(Perm_Debt?,(AV3&lt;=PermDebt_Fund)*SUM($FA59:GE61)*GF68/12,(AV3&lt;=Timing_Analysis_End_Month)*SUM($FA59:GE61)*GF68/12)</f>
        <v>0</v>
      </c>
      <c r="GG63" s="279">
        <f ca="1">IF(Perm_Debt?,(AW3&lt;=PermDebt_Fund)*SUM($FA59:GF61)*GG68/12,(AW3&lt;=Timing_Analysis_End_Month)*SUM($FA59:GF61)*GG68/12)</f>
        <v>0</v>
      </c>
      <c r="GH63" s="279">
        <f ca="1">IF(Perm_Debt?,(AX3&lt;=PermDebt_Fund)*SUM($FA59:GG61)*GH68/12,(AX3&lt;=Timing_Analysis_End_Month)*SUM($FA59:GG61)*GH68/12)</f>
        <v>0</v>
      </c>
      <c r="GI63" s="279">
        <f ca="1">IF(Perm_Debt?,(AY3&lt;=PermDebt_Fund)*SUM($FA59:GH61)*GI68/12,(AY3&lt;=Timing_Analysis_End_Month)*SUM($FA59:GH61)*GI68/12)</f>
        <v>0</v>
      </c>
      <c r="GJ63" s="279">
        <f ca="1">IF(Perm_Debt?,(AZ3&lt;=PermDebt_Fund)*SUM($FA59:GI61)*GJ68/12,(AZ3&lt;=Timing_Analysis_End_Month)*SUM($FA59:GI61)*GJ68/12)</f>
        <v>0</v>
      </c>
      <c r="GK63" s="279">
        <f ca="1">IF(Perm_Debt?,(BA3&lt;=PermDebt_Fund)*SUM($FA59:GJ61)*GK68/12,(BA3&lt;=Timing_Analysis_End_Month)*SUM($FA59:GJ61)*GK68/12)</f>
        <v>0</v>
      </c>
      <c r="GL63" s="279">
        <f ca="1">IF(Perm_Debt?,(BB3&lt;=PermDebt_Fund)*SUM($FA59:GK61)*GL68/12,(BB3&lt;=Timing_Analysis_End_Month)*SUM($FA59:GK61)*GL68/12)</f>
        <v>0</v>
      </c>
      <c r="GM63" s="279">
        <f ca="1">IF(Perm_Debt?,(BC3&lt;=PermDebt_Fund)*SUM($FA59:GL61)*GM68/12,(BC3&lt;=Timing_Analysis_End_Month)*SUM($FA59:GL61)*GM68/12)</f>
        <v>0</v>
      </c>
      <c r="GN63" s="279">
        <f ca="1">IF(Perm_Debt?,(BD3&lt;=PermDebt_Fund)*SUM($FA59:GM61)*GN68/12,(BD3&lt;=Timing_Analysis_End_Month)*SUM($FA59:GM61)*GN68/12)</f>
        <v>0</v>
      </c>
      <c r="GO63" s="279">
        <f ca="1">IF(Perm_Debt?,(BE3&lt;=PermDebt_Fund)*SUM($FA59:GN61)*GO68/12,(BE3&lt;=Timing_Analysis_End_Month)*SUM($FA59:GN61)*GO68/12)</f>
        <v>0</v>
      </c>
      <c r="GP63" s="279">
        <f ca="1">IF(Perm_Debt?,(BF3&lt;=PermDebt_Fund)*SUM($FA59:GO61)*GP68/12,(BF3&lt;=Timing_Analysis_End_Month)*SUM($FA59:GO61)*GP68/12)</f>
        <v>0</v>
      </c>
      <c r="GQ63" s="279">
        <f ca="1">IF(Perm_Debt?,(BG3&lt;=PermDebt_Fund)*SUM($FA59:GP61)*GQ68/12,(BG3&lt;=Timing_Analysis_End_Month)*SUM($FA59:GP61)*GQ68/12)</f>
        <v>0</v>
      </c>
      <c r="GR63" s="279">
        <f ca="1">IF(Perm_Debt?,(BH3&lt;=PermDebt_Fund)*SUM($FA59:GQ61)*GR68/12,(BH3&lt;=Timing_Analysis_End_Month)*SUM($FA59:GQ61)*GR68/12)</f>
        <v>0</v>
      </c>
      <c r="GS63" s="279">
        <f ca="1">IF(Perm_Debt?,(BI3&lt;=PermDebt_Fund)*SUM($FA59:GR61)*GS68/12,(BI3&lt;=Timing_Analysis_End_Month)*SUM($FA59:GR61)*GS68/12)</f>
        <v>0</v>
      </c>
      <c r="GT63" s="279">
        <f ca="1">IF(Perm_Debt?,(BJ3&lt;=PermDebt_Fund)*SUM($FA59:GS61)*GT68/12,(BJ3&lt;=Timing_Analysis_End_Month)*SUM($FA59:GS61)*GT68/12)</f>
        <v>0</v>
      </c>
      <c r="GU63" s="279">
        <f ca="1">IF(Perm_Debt?,(BK3&lt;=PermDebt_Fund)*SUM($FA59:GT61)*GU68/12,(BK3&lt;=Timing_Analysis_End_Month)*SUM($FA59:GT61)*GU68/12)</f>
        <v>0</v>
      </c>
      <c r="GV63" s="279">
        <f ca="1">IF(Perm_Debt?,(BL3&lt;=PermDebt_Fund)*SUM($FA59:GU61)*GV68/12,(BL3&lt;=Timing_Analysis_End_Month)*SUM($FA59:GU61)*GV68/12)</f>
        <v>0</v>
      </c>
      <c r="GW63" s="279">
        <f ca="1">IF(Perm_Debt?,(BM3&lt;=PermDebt_Fund)*SUM($FA59:GV61)*GW68/12,(BM3&lt;=Timing_Analysis_End_Month)*SUM($FA59:GV61)*GW68/12)</f>
        <v>0</v>
      </c>
      <c r="GX63" s="279">
        <f ca="1">IF(Perm_Debt?,(BN3&lt;=PermDebt_Fund)*SUM($FA59:GW61)*GX68/12,(BN3&lt;=Timing_Analysis_End_Month)*SUM($FA59:GW61)*GX68/12)</f>
        <v>0</v>
      </c>
      <c r="GY63" s="279">
        <f ca="1">IF(Perm_Debt?,(BO3&lt;=PermDebt_Fund)*SUM($FA59:GX61)*GY68/12,(BO3&lt;=Timing_Analysis_End_Month)*SUM($FA59:GX61)*GY68/12)</f>
        <v>0</v>
      </c>
      <c r="GZ63" s="279">
        <f ca="1">IF(Perm_Debt?,(BP3&lt;=PermDebt_Fund)*SUM($FA59:GY61)*GZ68/12,(BP3&lt;=Timing_Analysis_End_Month)*SUM($FA59:GY61)*GZ68/12)</f>
        <v>0</v>
      </c>
      <c r="HA63" s="279">
        <f ca="1">IF(Perm_Debt?,(BQ3&lt;=PermDebt_Fund)*SUM($FA59:GZ61)*HA68/12,(BQ3&lt;=Timing_Analysis_End_Month)*SUM($FA59:GZ61)*HA68/12)</f>
        <v>0</v>
      </c>
      <c r="HB63" s="279">
        <f ca="1">IF(Perm_Debt?,(BR3&lt;=PermDebt_Fund)*SUM($FA59:HA61)*HB68/12,(BR3&lt;=Timing_Analysis_End_Month)*SUM($FA59:HA61)*HB68/12)</f>
        <v>0</v>
      </c>
      <c r="HC63" s="279">
        <f ca="1">IF(Perm_Debt?,(BS3&lt;=PermDebt_Fund)*SUM($FA59:HB61)*HC68/12,(BS3&lt;=Timing_Analysis_End_Month)*SUM($FA59:HB61)*HC68/12)</f>
        <v>0</v>
      </c>
      <c r="HD63" s="279">
        <f ca="1">IF(Perm_Debt?,(BT3&lt;=PermDebt_Fund)*SUM($FA59:HC61)*HD68/12,(BT3&lt;=Timing_Analysis_End_Month)*SUM($FA59:HC61)*HD68/12)</f>
        <v>0</v>
      </c>
      <c r="HE63" s="279">
        <f ca="1">IF(Perm_Debt?,(BU3&lt;=PermDebt_Fund)*SUM($FA59:HD61)*HE68/12,(BU3&lt;=Timing_Analysis_End_Month)*SUM($FA59:HD61)*HE68/12)</f>
        <v>0</v>
      </c>
      <c r="HF63" s="279">
        <f ca="1">IF(Perm_Debt?,(BV3&lt;=PermDebt_Fund)*SUM($FA59:HE61)*HF68/12,(BV3&lt;=Timing_Analysis_End_Month)*SUM($FA59:HE61)*HF68/12)</f>
        <v>0</v>
      </c>
      <c r="HG63" s="279">
        <f ca="1">IF(Perm_Debt?,(BW3&lt;=PermDebt_Fund)*SUM($FA59:HF61)*HG68/12,(BW3&lt;=Timing_Analysis_End_Month)*SUM($FA59:HF61)*HG68/12)</f>
        <v>0</v>
      </c>
      <c r="HH63" s="279">
        <f ca="1">IF(Perm_Debt?,(BX3&lt;=PermDebt_Fund)*SUM($FA59:HG61)*HH68/12,(BX3&lt;=Timing_Analysis_End_Month)*SUM($FA59:HG61)*HH68/12)</f>
        <v>0</v>
      </c>
      <c r="HI63" s="279">
        <f ca="1">IF(Perm_Debt?,(BY3&lt;=PermDebt_Fund)*SUM($FA59:HH61)*HI68/12,(BY3&lt;=Timing_Analysis_End_Month)*SUM($FA59:HH61)*HI68/12)</f>
        <v>0</v>
      </c>
      <c r="HJ63" s="279">
        <f ca="1">IF(Perm_Debt?,(BZ3&lt;=PermDebt_Fund)*SUM($FA59:HI61)*HJ68/12,(BZ3&lt;=Timing_Analysis_End_Month)*SUM($FA59:HI61)*HJ68/12)</f>
        <v>0</v>
      </c>
      <c r="HK63" s="279">
        <f ca="1">IF(Perm_Debt?,(CA3&lt;=PermDebt_Fund)*SUM($FA59:HJ61)*HK68/12,(CA3&lt;=Timing_Analysis_End_Month)*SUM($FA59:HJ61)*HK68/12)</f>
        <v>0</v>
      </c>
      <c r="HL63" s="279">
        <f ca="1">IF(Perm_Debt?,(CB3&lt;=PermDebt_Fund)*SUM($FA59:HK61)*HL68/12,(CB3&lt;=Timing_Analysis_End_Month)*SUM($FA59:HK61)*HL68/12)</f>
        <v>0</v>
      </c>
      <c r="HM63" s="279">
        <f ca="1">IF(Perm_Debt?,(CC3&lt;=PermDebt_Fund)*SUM($FA59:HL61)*HM68/12,(CC3&lt;=Timing_Analysis_End_Month)*SUM($FA59:HL61)*HM68/12)</f>
        <v>0</v>
      </c>
      <c r="HN63" s="279">
        <f ca="1">IF(Perm_Debt?,(CD3&lt;=PermDebt_Fund)*SUM($FA59:HM61)*HN68/12,(CD3&lt;=Timing_Analysis_End_Month)*SUM($FA59:HM61)*HN68/12)</f>
        <v>0</v>
      </c>
      <c r="HO63" s="279">
        <f ca="1">IF(Perm_Debt?,(CE3&lt;=PermDebt_Fund)*SUM($FA59:HN61)*HO68/12,(CE3&lt;=Timing_Analysis_End_Month)*SUM($FA59:HN61)*HO68/12)</f>
        <v>0</v>
      </c>
      <c r="HP63" s="279">
        <f ca="1">IF(Perm_Debt?,(CF3&lt;=PermDebt_Fund)*SUM($FA59:HO61)*HP68/12,(CF3&lt;=Timing_Analysis_End_Month)*SUM($FA59:HO61)*HP68/12)</f>
        <v>0</v>
      </c>
      <c r="HQ63" s="279">
        <f ca="1">IF(Perm_Debt?,(CG3&lt;=PermDebt_Fund)*SUM($FA59:HP61)*HQ68/12,(CG3&lt;=Timing_Analysis_End_Month)*SUM($FA59:HP61)*HQ68/12)</f>
        <v>0</v>
      </c>
      <c r="HR63" s="279">
        <f ca="1">IF(Perm_Debt?,(CH3&lt;=PermDebt_Fund)*SUM($FA59:HQ61)*HR68/12,(CH3&lt;=Timing_Analysis_End_Month)*SUM($FA59:HQ61)*HR68/12)</f>
        <v>0</v>
      </c>
      <c r="HS63" s="279">
        <f ca="1">IF(Perm_Debt?,(CI3&lt;=PermDebt_Fund)*SUM($FA59:HR61)*HS68/12,(CI3&lt;=Timing_Analysis_End_Month)*SUM($FA59:HR61)*HS68/12)</f>
        <v>0</v>
      </c>
      <c r="HT63" s="279">
        <f ca="1">IF(Perm_Debt?,(CJ3&lt;=PermDebt_Fund)*SUM($FA59:HS61)*HT68/12,(CJ3&lt;=Timing_Analysis_End_Month)*SUM($FA59:HS61)*HT68/12)</f>
        <v>0</v>
      </c>
      <c r="HU63" s="279">
        <f ca="1">IF(Perm_Debt?,(CK3&lt;=PermDebt_Fund)*SUM($FA59:HT61)*HU68/12,(CK3&lt;=Timing_Analysis_End_Month)*SUM($FA59:HT61)*HU68/12)</f>
        <v>0</v>
      </c>
      <c r="HV63" s="279">
        <f ca="1">IF(Perm_Debt?,(CL3&lt;=PermDebt_Fund)*SUM($FA59:HU61)*HV68/12,(CL3&lt;=Timing_Analysis_End_Month)*SUM($FA59:HU61)*HV68/12)</f>
        <v>0</v>
      </c>
      <c r="HW63" s="279">
        <f ca="1">IF(Perm_Debt?,(CM3&lt;=PermDebt_Fund)*SUM($FA59:HV61)*HW68/12,(CM3&lt;=Timing_Analysis_End_Month)*SUM($FA59:HV61)*HW68/12)</f>
        <v>0</v>
      </c>
      <c r="HX63" s="279">
        <f ca="1">IF(Perm_Debt?,(CN3&lt;=PermDebt_Fund)*SUM($FA59:HW61)*HX68/12,(CN3&lt;=Timing_Analysis_End_Month)*SUM($FA59:HW61)*HX68/12)</f>
        <v>0</v>
      </c>
      <c r="HY63" s="279">
        <f ca="1">IF(Perm_Debt?,(CO3&lt;=PermDebt_Fund)*SUM($FA59:HX61)*HY68/12,(CO3&lt;=Timing_Analysis_End_Month)*SUM($FA59:HX61)*HY68/12)</f>
        <v>0</v>
      </c>
      <c r="HZ63" s="279">
        <f ca="1">IF(Perm_Debt?,(CP3&lt;=PermDebt_Fund)*SUM($FA59:HY61)*HZ68/12,(CP3&lt;=Timing_Analysis_End_Month)*SUM($FA59:HY61)*HZ68/12)</f>
        <v>0</v>
      </c>
      <c r="IA63" s="279">
        <f ca="1">IF(Perm_Debt?,(CQ3&lt;=PermDebt_Fund)*SUM($FA59:HZ61)*IA68/12,(CQ3&lt;=Timing_Analysis_End_Month)*SUM($FA59:HZ61)*IA68/12)</f>
        <v>0</v>
      </c>
      <c r="IB63" s="279">
        <f ca="1">IF(Perm_Debt?,(CR3&lt;=PermDebt_Fund)*SUM($FA59:IA61)*IB68/12,(CR3&lt;=Timing_Analysis_End_Month)*SUM($FA59:IA61)*IB68/12)</f>
        <v>0</v>
      </c>
      <c r="IC63" s="279">
        <f ca="1">IF(Perm_Debt?,(CS3&lt;=PermDebt_Fund)*SUM($FA59:IB61)*IC68/12,(CS3&lt;=Timing_Analysis_End_Month)*SUM($FA59:IB61)*IC68/12)</f>
        <v>0</v>
      </c>
      <c r="ID63" s="279">
        <f ca="1">IF(Perm_Debt?,(CT3&lt;=PermDebt_Fund)*SUM($FA59:IC61)*ID68/12,(CT3&lt;=Timing_Analysis_End_Month)*SUM($FA59:IC61)*ID68/12)</f>
        <v>0</v>
      </c>
      <c r="IE63" s="279">
        <f ca="1">IF(Perm_Debt?,(CU3&lt;=PermDebt_Fund)*SUM($FA59:ID61)*IE68/12,(CU3&lt;=Timing_Analysis_End_Month)*SUM($FA59:ID61)*IE68/12)</f>
        <v>0</v>
      </c>
      <c r="IF63" s="279">
        <f ca="1">IF(Perm_Debt?,(CV3&lt;=PermDebt_Fund)*SUM($FA59:IE61)*IF68/12,(CV3&lt;=Timing_Analysis_End_Month)*SUM($FA59:IE61)*IF68/12)</f>
        <v>0</v>
      </c>
      <c r="IG63" s="279">
        <f ca="1">IF(Perm_Debt?,(CW3&lt;=PermDebt_Fund)*SUM($FA59:IF61)*IG68/12,(CW3&lt;=Timing_Analysis_End_Month)*SUM($FA59:IF61)*IG68/12)</f>
        <v>0</v>
      </c>
      <c r="IH63" s="279">
        <f ca="1">IF(Perm_Debt?,(CX3&lt;=PermDebt_Fund)*SUM($FA59:IG61)*IH68/12,(CX3&lt;=Timing_Analysis_End_Month)*SUM($FA59:IG61)*IH68/12)</f>
        <v>0</v>
      </c>
      <c r="II63" s="279">
        <f ca="1">IF(Perm_Debt?,(CY3&lt;=PermDebt_Fund)*SUM($FA59:IH61)*II68/12,(CY3&lt;=Timing_Analysis_End_Month)*SUM($FA59:IH61)*II68/12)</f>
        <v>0</v>
      </c>
      <c r="IJ63" s="279">
        <f ca="1">IF(Perm_Debt?,(CZ3&lt;=PermDebt_Fund)*SUM($FA59:II61)*IJ68/12,(CZ3&lt;=Timing_Analysis_End_Month)*SUM($FA59:II61)*IJ68/12)</f>
        <v>0</v>
      </c>
      <c r="IK63" s="279">
        <f ca="1">IF(Perm_Debt?,(DA3&lt;=PermDebt_Fund)*SUM($FA59:IJ61)*IK68/12,(DA3&lt;=Timing_Analysis_End_Month)*SUM($FA59:IJ61)*IK68/12)</f>
        <v>0</v>
      </c>
      <c r="IL63" s="279">
        <f ca="1">IF(Perm_Debt?,(DB3&lt;=PermDebt_Fund)*SUM($FA59:IK61)*IL68/12,(DB3&lt;=Timing_Analysis_End_Month)*SUM($FA59:IK61)*IL68/12)</f>
        <v>0</v>
      </c>
      <c r="IM63" s="279">
        <f ca="1">IF(Perm_Debt?,(DC3&lt;=PermDebt_Fund)*SUM($FA59:IL61)*IM68/12,(DC3&lt;=Timing_Analysis_End_Month)*SUM($FA59:IL61)*IM68/12)</f>
        <v>0</v>
      </c>
      <c r="IN63" s="279">
        <f ca="1">IF(Perm_Debt?,(DD3&lt;=PermDebt_Fund)*SUM($FA59:IM61)*IN68/12,(DD3&lt;=Timing_Analysis_End_Month)*SUM($FA59:IM61)*IN68/12)</f>
        <v>0</v>
      </c>
      <c r="IO63" s="279">
        <f ca="1">IF(Perm_Debt?,(DE3&lt;=PermDebt_Fund)*SUM($FA59:IN61)*IO68/12,(DE3&lt;=Timing_Analysis_End_Month)*SUM($FA59:IN61)*IO68/12)</f>
        <v>0</v>
      </c>
      <c r="IP63" s="279">
        <f ca="1">IF(Perm_Debt?,(DF3&lt;=PermDebt_Fund)*SUM($FA59:IO61)*IP68/12,(DF3&lt;=Timing_Analysis_End_Month)*SUM($FA59:IO61)*IP68/12)</f>
        <v>0</v>
      </c>
      <c r="IQ63" s="279">
        <f ca="1">IF(Perm_Debt?,(DG3&lt;=PermDebt_Fund)*SUM($FA59:IP61)*IQ68/12,(DG3&lt;=Timing_Analysis_End_Month)*SUM($FA59:IP61)*IQ68/12)</f>
        <v>0</v>
      </c>
      <c r="IR63" s="279">
        <f ca="1">IF(Perm_Debt?,(DH3&lt;=PermDebt_Fund)*SUM($FA59:IQ61)*IR68/12,(DH3&lt;=Timing_Analysis_End_Month)*SUM($FA59:IQ61)*IR68/12)</f>
        <v>0</v>
      </c>
      <c r="IS63" s="279">
        <f ca="1">IF(Perm_Debt?,(DI3&lt;=PermDebt_Fund)*SUM($FA59:IR61)*IS68/12,(DI3&lt;=Timing_Analysis_End_Month)*SUM($FA59:IR61)*IS68/12)</f>
        <v>0</v>
      </c>
      <c r="IT63" s="279">
        <f ca="1">IF(Perm_Debt?,(DJ3&lt;=PermDebt_Fund)*SUM($FA59:IS61)*IT68/12,(DJ3&lt;=Timing_Analysis_End_Month)*SUM($FA59:IS61)*IT68/12)</f>
        <v>0</v>
      </c>
      <c r="IU63" s="279">
        <f ca="1">IF(Perm_Debt?,(DK3&lt;=PermDebt_Fund)*SUM($FA59:IT61)*IU68/12,(DK3&lt;=Timing_Analysis_End_Month)*SUM($FA59:IT61)*IU68/12)</f>
        <v>0</v>
      </c>
      <c r="IV63" s="279">
        <f ca="1">IF(Perm_Debt?,(DL3&lt;=PermDebt_Fund)*SUM($FA59:IU61)*IV68/12,(DL3&lt;=Timing_Analysis_End_Month)*SUM($FA59:IU61)*IV68/12)</f>
        <v>0</v>
      </c>
      <c r="IW63" s="279">
        <f ca="1">IF(Perm_Debt?,(DM3&lt;=PermDebt_Fund)*SUM($FA59:IV61)*IW68/12,(DM3&lt;=Timing_Analysis_End_Month)*SUM($FA59:IV61)*IW68/12)</f>
        <v>0</v>
      </c>
      <c r="IX63" s="279">
        <f ca="1">IF(Perm_Debt?,(DN3&lt;=PermDebt_Fund)*SUM($FA59:IW61)*IX68/12,(DN3&lt;=Timing_Analysis_End_Month)*SUM($FA59:IW61)*IX68/12)</f>
        <v>0</v>
      </c>
      <c r="IY63" s="279">
        <f ca="1">IF(Perm_Debt?,(DO3&lt;=PermDebt_Fund)*SUM($FA59:IX61)*IY68/12,(DO3&lt;=Timing_Analysis_End_Month)*SUM($FA59:IX61)*IY68/12)</f>
        <v>0</v>
      </c>
      <c r="IZ63" s="279">
        <f ca="1">IF(Perm_Debt?,(DP3&lt;=PermDebt_Fund)*SUM($FA59:IY61)*IZ68/12,(DP3&lt;=Timing_Analysis_End_Month)*SUM($FA59:IY61)*IZ68/12)</f>
        <v>0</v>
      </c>
      <c r="JA63" s="279">
        <f ca="1">IF(Perm_Debt?,(DQ3&lt;=PermDebt_Fund)*SUM($FA59:IZ61)*JA68/12,(DQ3&lt;=Timing_Analysis_End_Month)*SUM($FA59:IZ61)*JA68/12)</f>
        <v>0</v>
      </c>
      <c r="JB63" s="279">
        <f ca="1">IF(Perm_Debt?,(DR3&lt;=PermDebt_Fund)*SUM($FA59:JA61)*JB68/12,(DR3&lt;=Timing_Analysis_End_Month)*SUM($FA59:JA61)*JB68/12)</f>
        <v>0</v>
      </c>
      <c r="JC63" s="279">
        <f ca="1">IF(Perm_Debt?,(DS3&lt;=PermDebt_Fund)*SUM($FA59:JB61)*JC68/12,(DS3&lt;=Timing_Analysis_End_Month)*SUM($FA59:JB61)*JC68/12)</f>
        <v>0</v>
      </c>
      <c r="JD63" s="279">
        <f ca="1">IF(Perm_Debt?,(DT3&lt;=PermDebt_Fund)*SUM($FA59:JC61)*JD68/12,(DT3&lt;=Timing_Analysis_End_Month)*SUM($FA59:JC61)*JD68/12)</f>
        <v>0</v>
      </c>
      <c r="JE63" s="279">
        <f ca="1">IF(Perm_Debt?,(DU3&lt;=PermDebt_Fund)*SUM($FA59:JD61)*JE68/12,(DU3&lt;=Timing_Analysis_End_Month)*SUM($FA59:JD61)*JE68/12)</f>
        <v>0</v>
      </c>
      <c r="JF63" s="279">
        <f ca="1">IF(Perm_Debt?,(DV3&lt;=PermDebt_Fund)*SUM($FA59:JE61)*JF68/12,(DV3&lt;=Timing_Analysis_End_Month)*SUM($FA59:JE61)*JF68/12)</f>
        <v>0</v>
      </c>
      <c r="JG63" s="279">
        <f ca="1">IF(Perm_Debt?,(DW3&lt;=PermDebt_Fund)*SUM($FA59:JF61)*JG68/12,(DW3&lt;=Timing_Analysis_End_Month)*SUM($FA59:JF61)*JG68/12)</f>
        <v>0</v>
      </c>
      <c r="JH63" s="279">
        <f ca="1">IF(Perm_Debt?,(DX3&lt;=PermDebt_Fund)*SUM($FA59:JG61)*JH68/12,(DX3&lt;=Timing_Analysis_End_Month)*SUM($FA59:JG61)*JH68/12)</f>
        <v>0</v>
      </c>
      <c r="JI63" s="279">
        <f ca="1">IF(Perm_Debt?,(DY3&lt;=PermDebt_Fund)*SUM($FA59:JH61)*JI68/12,(DY3&lt;=Timing_Analysis_End_Month)*SUM($FA59:JH61)*JI68/12)</f>
        <v>0</v>
      </c>
      <c r="JJ63" s="279">
        <f ca="1">IF(Perm_Debt?,(DZ3&lt;=PermDebt_Fund)*SUM($FA59:JI61)*JJ68/12,(DZ3&lt;=Timing_Analysis_End_Month)*SUM($FA59:JI61)*JJ68/12)</f>
        <v>0</v>
      </c>
      <c r="JK63" s="279">
        <f ca="1">IF(Perm_Debt?,(EA3&lt;=PermDebt_Fund)*SUM($FA59:JJ61)*JK68/12,(EA3&lt;=Timing_Analysis_End_Month)*SUM($FA59:JJ61)*JK68/12)</f>
        <v>0</v>
      </c>
      <c r="JL63" s="279">
        <f ca="1">IF(Perm_Debt?,(EB3&lt;=PermDebt_Fund)*SUM($FA59:JK61)*JL68/12,(EB3&lt;=Timing_Analysis_End_Month)*SUM($FA59:JK61)*JL68/12)</f>
        <v>0</v>
      </c>
      <c r="JM63" s="279">
        <f ca="1">IF(Perm_Debt?,(EC3&lt;=PermDebt_Fund)*SUM($FA59:JL61)*JM68/12,(EC3&lt;=Timing_Analysis_End_Month)*SUM($FA59:JL61)*JM68/12)</f>
        <v>0</v>
      </c>
      <c r="JN63" s="279">
        <f ca="1">IF(Perm_Debt?,(ED3&lt;=PermDebt_Fund)*SUM($FA59:JM61)*JN68/12,(ED3&lt;=Timing_Analysis_End_Month)*SUM($FA59:JM61)*JN68/12)</f>
        <v>0</v>
      </c>
      <c r="JO63" s="279">
        <f ca="1">IF(Perm_Debt?,(EE3&lt;=PermDebt_Fund)*SUM($FA59:JN61)*JO68/12,(EE3&lt;=Timing_Analysis_End_Month)*SUM($FA59:JN61)*JO68/12)</f>
        <v>0</v>
      </c>
      <c r="JP63" s="279">
        <f ca="1">IF(Perm_Debt?,(EF3&lt;=PermDebt_Fund)*SUM($FA59:JO61)*JP68/12,(EF3&lt;=Timing_Analysis_End_Month)*SUM($FA59:JO61)*JP68/12)</f>
        <v>0</v>
      </c>
      <c r="JQ63" s="279">
        <f ca="1">IF(Perm_Debt?,(EG3&lt;=PermDebt_Fund)*SUM($FA59:JP61)*JQ68/12,(EG3&lt;=Timing_Analysis_End_Month)*SUM($FA59:JP61)*JQ68/12)</f>
        <v>0</v>
      </c>
      <c r="JR63" s="279">
        <f ca="1">IF(Perm_Debt?,(EH3&lt;=PermDebt_Fund)*SUM($FA59:JQ61)*JR68/12,(EH3&lt;=Timing_Analysis_End_Month)*SUM($FA59:JQ61)*JR68/12)</f>
        <v>0</v>
      </c>
      <c r="JS63" s="279">
        <f ca="1">IF(Perm_Debt?,(EI3&lt;=PermDebt_Fund)*SUM($FA59:JR61)*JS68/12,(EI3&lt;=Timing_Analysis_End_Month)*SUM($FA59:JR61)*JS68/12)</f>
        <v>0</v>
      </c>
      <c r="JT63" s="279">
        <f ca="1">IF(Perm_Debt?,(EJ3&lt;=PermDebt_Fund)*SUM($FA59:JS61)*JT68/12,(EJ3&lt;=Timing_Analysis_End_Month)*SUM($FA59:JS61)*JT68/12)</f>
        <v>0</v>
      </c>
      <c r="JU63" s="279">
        <f ca="1">IF(Perm_Debt?,(EK3&lt;=PermDebt_Fund)*SUM($FA59:JT61)*JU68/12,(EK3&lt;=Timing_Analysis_End_Month)*SUM($FA59:JT61)*JU68/12)</f>
        <v>0</v>
      </c>
      <c r="JV63" s="279">
        <f ca="1">IF(Perm_Debt?,(EL3&lt;=PermDebt_Fund)*SUM($FA59:JU61)*JV68/12,(EL3&lt;=Timing_Analysis_End_Month)*SUM($FA59:JU61)*JV68/12)</f>
        <v>0</v>
      </c>
      <c r="JW63" s="279">
        <f ca="1">IF(Perm_Debt?,(EM3&lt;=PermDebt_Fund)*SUM($FA59:JV61)*JW68/12,(EM3&lt;=Timing_Analysis_End_Month)*SUM($FA59:JV61)*JW68/12)</f>
        <v>0</v>
      </c>
      <c r="JX63" s="279">
        <f ca="1">IF(Perm_Debt?,(EN3&lt;=PermDebt_Fund)*SUM($FA59:JW61)*JX68/12,(EN3&lt;=Timing_Analysis_End_Month)*SUM($FA59:JW61)*JX68/12)</f>
        <v>0</v>
      </c>
      <c r="JY63" s="279">
        <f ca="1">IF(Perm_Debt?,(EO3&lt;=PermDebt_Fund)*SUM($FA59:JX61)*JY68/12,(EO3&lt;=Timing_Analysis_End_Month)*SUM($FA59:JX61)*JY68/12)</f>
        <v>0</v>
      </c>
      <c r="JZ63" s="279">
        <f ca="1">IF(Perm_Debt?,(EP3&lt;=PermDebt_Fund)*SUM($FA59:JY61)*JZ68/12,(EP3&lt;=Timing_Analysis_End_Month)*SUM($FA59:JY61)*JZ68/12)</f>
        <v>0</v>
      </c>
      <c r="KA63" s="279">
        <f ca="1">IF(Perm_Debt?,(EQ3&lt;=PermDebt_Fund)*SUM($FA59:JZ61)*KA68/12,(EQ3&lt;=Timing_Analysis_End_Month)*SUM($FA59:JZ61)*KA68/12)</f>
        <v>0</v>
      </c>
      <c r="KB63" s="279">
        <f ca="1">IF(Perm_Debt?,(ER3&lt;=PermDebt_Fund)*SUM($FA59:KA61)*KB68/12,(ER3&lt;=Timing_Analysis_End_Month)*SUM($FA59:KA61)*KB68/12)</f>
        <v>0</v>
      </c>
      <c r="KC63" s="279">
        <f ca="1">IF(Perm_Debt?,(ES3&lt;=PermDebt_Fund)*SUM($FA59:KB61)*KC68/12,(ES3&lt;=Timing_Analysis_End_Month)*SUM($FA59:KB61)*KC68/12)</f>
        <v>0</v>
      </c>
    </row>
    <row r="64" spans="1:289" ht="12.75" x14ac:dyDescent="0.2">
      <c r="A64" s="152"/>
      <c r="B64" s="180" t="s">
        <v>61</v>
      </c>
      <c r="C64" s="280"/>
      <c r="D64" s="280"/>
      <c r="E64" s="280"/>
      <c r="F64" s="268">
        <f ca="1">SUM(F62:F63)</f>
        <v>1</v>
      </c>
      <c r="G64" s="217">
        <f ca="1">SUM(G62:G63)</f>
        <v>247.82787890304542</v>
      </c>
      <c r="H64" s="218">
        <f ca="1">SUM(H62:H63)</f>
        <v>252412.69466275178</v>
      </c>
      <c r="I64" s="218">
        <f ca="1">SUM(I62:I63)</f>
        <v>4038603.1146040284</v>
      </c>
      <c r="P64" s="275" t="str">
        <f>B68</f>
        <v>Mezzanine Loan</v>
      </c>
      <c r="Q64" s="276">
        <f t="shared" ref="Q64:AV64" si="306">IF($D$67=$D$68,Q63/$EU$63*$EU$64,SUM(Q74:Q76)-Q63)</f>
        <v>0</v>
      </c>
      <c r="R64" s="276">
        <f t="shared" ca="1" si="306"/>
        <v>0</v>
      </c>
      <c r="S64" s="276">
        <f t="shared" ca="1" si="306"/>
        <v>0</v>
      </c>
      <c r="T64" s="276">
        <f t="shared" ca="1" si="306"/>
        <v>0</v>
      </c>
      <c r="U64" s="276">
        <f t="shared" ca="1" si="306"/>
        <v>0</v>
      </c>
      <c r="V64" s="276">
        <f t="shared" ca="1" si="306"/>
        <v>0</v>
      </c>
      <c r="W64" s="276">
        <f t="shared" ca="1" si="306"/>
        <v>0</v>
      </c>
      <c r="X64" s="276">
        <f t="shared" ca="1" si="306"/>
        <v>-1.1641532182693481E-10</v>
      </c>
      <c r="Y64" s="276">
        <f t="shared" ca="1" si="306"/>
        <v>0</v>
      </c>
      <c r="Z64" s="276">
        <f t="shared" ca="1" si="306"/>
        <v>-5.8207660913467407E-11</v>
      </c>
      <c r="AA64" s="276">
        <f t="shared" ca="1" si="306"/>
        <v>-2.0372681319713593E-10</v>
      </c>
      <c r="AB64" s="276">
        <f t="shared" ca="1" si="306"/>
        <v>-2.9103830456733704E-11</v>
      </c>
      <c r="AC64" s="276">
        <f t="shared" ca="1" si="306"/>
        <v>1.0186340659856796E-10</v>
      </c>
      <c r="AD64" s="276">
        <f t="shared" ca="1" si="306"/>
        <v>0</v>
      </c>
      <c r="AE64" s="276">
        <f t="shared" ca="1" si="306"/>
        <v>-4.3655745685100555E-11</v>
      </c>
      <c r="AF64" s="276">
        <f t="shared" ca="1" si="306"/>
        <v>0</v>
      </c>
      <c r="AG64" s="276">
        <f t="shared" ca="1" si="306"/>
        <v>0</v>
      </c>
      <c r="AH64" s="276">
        <f t="shared" ca="1" si="306"/>
        <v>0</v>
      </c>
      <c r="AI64" s="276">
        <f t="shared" ca="1" si="306"/>
        <v>0</v>
      </c>
      <c r="AJ64" s="276">
        <f t="shared" ca="1" si="306"/>
        <v>0</v>
      </c>
      <c r="AK64" s="276">
        <f t="shared" ca="1" si="306"/>
        <v>0</v>
      </c>
      <c r="AL64" s="276">
        <f t="shared" ca="1" si="306"/>
        <v>0</v>
      </c>
      <c r="AM64" s="276">
        <f t="shared" ca="1" si="306"/>
        <v>0</v>
      </c>
      <c r="AN64" s="276">
        <f t="shared" ca="1" si="306"/>
        <v>0</v>
      </c>
      <c r="AO64" s="276">
        <f t="shared" ca="1" si="306"/>
        <v>0</v>
      </c>
      <c r="AP64" s="276">
        <f t="shared" ca="1" si="306"/>
        <v>0</v>
      </c>
      <c r="AQ64" s="276">
        <f t="shared" ca="1" si="306"/>
        <v>0</v>
      </c>
      <c r="AR64" s="276">
        <f t="shared" ca="1" si="306"/>
        <v>0</v>
      </c>
      <c r="AS64" s="276">
        <f t="shared" ca="1" si="306"/>
        <v>0</v>
      </c>
      <c r="AT64" s="276">
        <f t="shared" ca="1" si="306"/>
        <v>0</v>
      </c>
      <c r="AU64" s="276">
        <f t="shared" ca="1" si="306"/>
        <v>0</v>
      </c>
      <c r="AV64" s="276">
        <f t="shared" ca="1" si="306"/>
        <v>0</v>
      </c>
      <c r="AW64" s="276">
        <f t="shared" ref="AW64:CB64" ca="1" si="307">IF($D$67=$D$68,AW63/$EU$63*$EU$64,SUM(AW74:AW76)-AW63)</f>
        <v>0</v>
      </c>
      <c r="AX64" s="276">
        <f t="shared" ca="1" si="307"/>
        <v>0</v>
      </c>
      <c r="AY64" s="276">
        <f t="shared" ca="1" si="307"/>
        <v>0</v>
      </c>
      <c r="AZ64" s="276">
        <f t="shared" ca="1" si="307"/>
        <v>0</v>
      </c>
      <c r="BA64" s="276">
        <f t="shared" ca="1" si="307"/>
        <v>0</v>
      </c>
      <c r="BB64" s="276">
        <f t="shared" ca="1" si="307"/>
        <v>0</v>
      </c>
      <c r="BC64" s="276">
        <f t="shared" ca="1" si="307"/>
        <v>0</v>
      </c>
      <c r="BD64" s="276">
        <f t="shared" ca="1" si="307"/>
        <v>0</v>
      </c>
      <c r="BE64" s="276">
        <f t="shared" ca="1" si="307"/>
        <v>0</v>
      </c>
      <c r="BF64" s="276">
        <f t="shared" ca="1" si="307"/>
        <v>0</v>
      </c>
      <c r="BG64" s="276">
        <f t="shared" ca="1" si="307"/>
        <v>0</v>
      </c>
      <c r="BH64" s="276">
        <f t="shared" ca="1" si="307"/>
        <v>0</v>
      </c>
      <c r="BI64" s="276">
        <f t="shared" ca="1" si="307"/>
        <v>0</v>
      </c>
      <c r="BJ64" s="276">
        <f t="shared" ca="1" si="307"/>
        <v>0</v>
      </c>
      <c r="BK64" s="276">
        <f t="shared" ca="1" si="307"/>
        <v>0</v>
      </c>
      <c r="BL64" s="276">
        <f t="shared" ca="1" si="307"/>
        <v>0</v>
      </c>
      <c r="BM64" s="276">
        <f t="shared" ca="1" si="307"/>
        <v>0</v>
      </c>
      <c r="BN64" s="276">
        <f t="shared" ca="1" si="307"/>
        <v>0</v>
      </c>
      <c r="BO64" s="276">
        <f t="shared" ca="1" si="307"/>
        <v>0</v>
      </c>
      <c r="BP64" s="276">
        <f t="shared" ca="1" si="307"/>
        <v>0</v>
      </c>
      <c r="BQ64" s="276">
        <f t="shared" ca="1" si="307"/>
        <v>0</v>
      </c>
      <c r="BR64" s="276">
        <f t="shared" ca="1" si="307"/>
        <v>0</v>
      </c>
      <c r="BS64" s="276">
        <f t="shared" ca="1" si="307"/>
        <v>0</v>
      </c>
      <c r="BT64" s="276">
        <f t="shared" ca="1" si="307"/>
        <v>0</v>
      </c>
      <c r="BU64" s="276">
        <f t="shared" ca="1" si="307"/>
        <v>0</v>
      </c>
      <c r="BV64" s="276">
        <f t="shared" ca="1" si="307"/>
        <v>0</v>
      </c>
      <c r="BW64" s="276">
        <f t="shared" ca="1" si="307"/>
        <v>0</v>
      </c>
      <c r="BX64" s="276">
        <f t="shared" ca="1" si="307"/>
        <v>0</v>
      </c>
      <c r="BY64" s="276">
        <f t="shared" ca="1" si="307"/>
        <v>0</v>
      </c>
      <c r="BZ64" s="276">
        <f t="shared" ca="1" si="307"/>
        <v>0</v>
      </c>
      <c r="CA64" s="276">
        <f t="shared" ca="1" si="307"/>
        <v>0</v>
      </c>
      <c r="CB64" s="276">
        <f t="shared" ca="1" si="307"/>
        <v>0</v>
      </c>
      <c r="CC64" s="276">
        <f t="shared" ref="CC64:DH64" ca="1" si="308">IF($D$67=$D$68,CC63/$EU$63*$EU$64,SUM(CC74:CC76)-CC63)</f>
        <v>0</v>
      </c>
      <c r="CD64" s="276">
        <f t="shared" ca="1" si="308"/>
        <v>0</v>
      </c>
      <c r="CE64" s="276">
        <f t="shared" ca="1" si="308"/>
        <v>0</v>
      </c>
      <c r="CF64" s="276">
        <f t="shared" ca="1" si="308"/>
        <v>0</v>
      </c>
      <c r="CG64" s="276">
        <f t="shared" ca="1" si="308"/>
        <v>0</v>
      </c>
      <c r="CH64" s="276">
        <f t="shared" ca="1" si="308"/>
        <v>0</v>
      </c>
      <c r="CI64" s="276">
        <f t="shared" ca="1" si="308"/>
        <v>0</v>
      </c>
      <c r="CJ64" s="276">
        <f t="shared" ca="1" si="308"/>
        <v>0</v>
      </c>
      <c r="CK64" s="276">
        <f t="shared" ca="1" si="308"/>
        <v>0</v>
      </c>
      <c r="CL64" s="276">
        <f t="shared" ca="1" si="308"/>
        <v>0</v>
      </c>
      <c r="CM64" s="276">
        <f t="shared" ca="1" si="308"/>
        <v>0</v>
      </c>
      <c r="CN64" s="276">
        <f t="shared" ca="1" si="308"/>
        <v>0</v>
      </c>
      <c r="CO64" s="276">
        <f t="shared" ca="1" si="308"/>
        <v>0</v>
      </c>
      <c r="CP64" s="276">
        <f t="shared" ca="1" si="308"/>
        <v>0</v>
      </c>
      <c r="CQ64" s="276">
        <f t="shared" ca="1" si="308"/>
        <v>0</v>
      </c>
      <c r="CR64" s="276">
        <f t="shared" ca="1" si="308"/>
        <v>0</v>
      </c>
      <c r="CS64" s="276">
        <f t="shared" ca="1" si="308"/>
        <v>0</v>
      </c>
      <c r="CT64" s="276">
        <f t="shared" ca="1" si="308"/>
        <v>0</v>
      </c>
      <c r="CU64" s="276">
        <f t="shared" ca="1" si="308"/>
        <v>0</v>
      </c>
      <c r="CV64" s="276">
        <f t="shared" ca="1" si="308"/>
        <v>0</v>
      </c>
      <c r="CW64" s="276">
        <f t="shared" ca="1" si="308"/>
        <v>0</v>
      </c>
      <c r="CX64" s="276">
        <f t="shared" ca="1" si="308"/>
        <v>0</v>
      </c>
      <c r="CY64" s="276">
        <f t="shared" ca="1" si="308"/>
        <v>0</v>
      </c>
      <c r="CZ64" s="276">
        <f t="shared" ca="1" si="308"/>
        <v>0</v>
      </c>
      <c r="DA64" s="276">
        <f t="shared" ca="1" si="308"/>
        <v>0</v>
      </c>
      <c r="DB64" s="276">
        <f t="shared" ca="1" si="308"/>
        <v>0</v>
      </c>
      <c r="DC64" s="276">
        <f t="shared" ca="1" si="308"/>
        <v>0</v>
      </c>
      <c r="DD64" s="276">
        <f t="shared" ca="1" si="308"/>
        <v>0</v>
      </c>
      <c r="DE64" s="276">
        <f t="shared" ca="1" si="308"/>
        <v>0</v>
      </c>
      <c r="DF64" s="276">
        <f t="shared" ca="1" si="308"/>
        <v>0</v>
      </c>
      <c r="DG64" s="276">
        <f t="shared" ca="1" si="308"/>
        <v>0</v>
      </c>
      <c r="DH64" s="276">
        <f t="shared" ca="1" si="308"/>
        <v>0</v>
      </c>
      <c r="DI64" s="276">
        <f t="shared" ref="DI64:EN64" ca="1" si="309">IF($D$67=$D$68,DI63/$EU$63*$EU$64,SUM(DI74:DI76)-DI63)</f>
        <v>0</v>
      </c>
      <c r="DJ64" s="276">
        <f t="shared" ca="1" si="309"/>
        <v>0</v>
      </c>
      <c r="DK64" s="276">
        <f t="shared" ca="1" si="309"/>
        <v>0</v>
      </c>
      <c r="DL64" s="276">
        <f t="shared" ca="1" si="309"/>
        <v>0</v>
      </c>
      <c r="DM64" s="276">
        <f t="shared" ca="1" si="309"/>
        <v>0</v>
      </c>
      <c r="DN64" s="276">
        <f t="shared" ca="1" si="309"/>
        <v>0</v>
      </c>
      <c r="DO64" s="276">
        <f t="shared" ca="1" si="309"/>
        <v>0</v>
      </c>
      <c r="DP64" s="276">
        <f t="shared" ca="1" si="309"/>
        <v>0</v>
      </c>
      <c r="DQ64" s="276">
        <f t="shared" ca="1" si="309"/>
        <v>0</v>
      </c>
      <c r="DR64" s="276">
        <f t="shared" ca="1" si="309"/>
        <v>0</v>
      </c>
      <c r="DS64" s="276">
        <f t="shared" ca="1" si="309"/>
        <v>0</v>
      </c>
      <c r="DT64" s="276">
        <f t="shared" ca="1" si="309"/>
        <v>0</v>
      </c>
      <c r="DU64" s="276">
        <f t="shared" ca="1" si="309"/>
        <v>0</v>
      </c>
      <c r="DV64" s="276">
        <f t="shared" ca="1" si="309"/>
        <v>0</v>
      </c>
      <c r="DW64" s="276">
        <f t="shared" ca="1" si="309"/>
        <v>0</v>
      </c>
      <c r="DX64" s="276">
        <f t="shared" ca="1" si="309"/>
        <v>0</v>
      </c>
      <c r="DY64" s="276">
        <f t="shared" ca="1" si="309"/>
        <v>0</v>
      </c>
      <c r="DZ64" s="276">
        <f t="shared" ca="1" si="309"/>
        <v>0</v>
      </c>
      <c r="EA64" s="276">
        <f t="shared" ca="1" si="309"/>
        <v>0</v>
      </c>
      <c r="EB64" s="276">
        <f t="shared" ca="1" si="309"/>
        <v>0</v>
      </c>
      <c r="EC64" s="276">
        <f t="shared" ca="1" si="309"/>
        <v>0</v>
      </c>
      <c r="ED64" s="276">
        <f t="shared" ca="1" si="309"/>
        <v>0</v>
      </c>
      <c r="EE64" s="276">
        <f t="shared" ca="1" si="309"/>
        <v>0</v>
      </c>
      <c r="EF64" s="276">
        <f t="shared" ca="1" si="309"/>
        <v>0</v>
      </c>
      <c r="EG64" s="276">
        <f t="shared" ca="1" si="309"/>
        <v>0</v>
      </c>
      <c r="EH64" s="276">
        <f t="shared" ca="1" si="309"/>
        <v>0</v>
      </c>
      <c r="EI64" s="276">
        <f t="shared" ca="1" si="309"/>
        <v>0</v>
      </c>
      <c r="EJ64" s="276">
        <f t="shared" ca="1" si="309"/>
        <v>0</v>
      </c>
      <c r="EK64" s="276">
        <f t="shared" ca="1" si="309"/>
        <v>0</v>
      </c>
      <c r="EL64" s="276">
        <f t="shared" ca="1" si="309"/>
        <v>0</v>
      </c>
      <c r="EM64" s="276">
        <f t="shared" ca="1" si="309"/>
        <v>0</v>
      </c>
      <c r="EN64" s="276">
        <f t="shared" ca="1" si="309"/>
        <v>0</v>
      </c>
      <c r="EO64" s="276">
        <f t="shared" ref="EO64:ES64" ca="1" si="310">IF($D$67=$D$68,EO63/$EU$63*$EU$64,SUM(EO74:EO76)-EO63)</f>
        <v>0</v>
      </c>
      <c r="EP64" s="276">
        <f t="shared" ca="1" si="310"/>
        <v>0</v>
      </c>
      <c r="EQ64" s="276">
        <f t="shared" ca="1" si="310"/>
        <v>0</v>
      </c>
      <c r="ER64" s="276">
        <f t="shared" ca="1" si="310"/>
        <v>0</v>
      </c>
      <c r="ES64" s="276">
        <f t="shared" ca="1" si="310"/>
        <v>0</v>
      </c>
      <c r="EU64" s="277">
        <f>1-EU63</f>
        <v>0</v>
      </c>
      <c r="EV64" s="153"/>
      <c r="EW64" s="153"/>
      <c r="EX64" s="153"/>
      <c r="EY64" s="278" t="s">
        <v>600</v>
      </c>
      <c r="EZ64" s="278">
        <f ca="1">SUM(FA64:KC64)</f>
        <v>0</v>
      </c>
      <c r="FA64" s="279"/>
      <c r="FB64" s="279">
        <f t="shared" ref="FB64:GG64" ca="1" si="311">MIN(FB63,MAX(R141,0))*$F$54</f>
        <v>0</v>
      </c>
      <c r="FC64" s="279">
        <f t="shared" ca="1" si="311"/>
        <v>0</v>
      </c>
      <c r="FD64" s="279">
        <f t="shared" ca="1" si="311"/>
        <v>0</v>
      </c>
      <c r="FE64" s="279">
        <f t="shared" ca="1" si="311"/>
        <v>0</v>
      </c>
      <c r="FF64" s="279">
        <f t="shared" ca="1" si="311"/>
        <v>0</v>
      </c>
      <c r="FG64" s="279">
        <f t="shared" ca="1" si="311"/>
        <v>0</v>
      </c>
      <c r="FH64" s="279">
        <f t="shared" ca="1" si="311"/>
        <v>0</v>
      </c>
      <c r="FI64" s="279">
        <f t="shared" ca="1" si="311"/>
        <v>0</v>
      </c>
      <c r="FJ64" s="279">
        <f t="shared" ca="1" si="311"/>
        <v>0</v>
      </c>
      <c r="FK64" s="279">
        <f t="shared" ca="1" si="311"/>
        <v>0</v>
      </c>
      <c r="FL64" s="279">
        <f t="shared" ca="1" si="311"/>
        <v>0</v>
      </c>
      <c r="FM64" s="279">
        <f t="shared" ca="1" si="311"/>
        <v>0</v>
      </c>
      <c r="FN64" s="279">
        <f t="shared" ca="1" si="311"/>
        <v>0</v>
      </c>
      <c r="FO64" s="279">
        <f t="shared" ca="1" si="311"/>
        <v>0</v>
      </c>
      <c r="FP64" s="279">
        <f t="shared" ca="1" si="311"/>
        <v>0</v>
      </c>
      <c r="FQ64" s="279">
        <f t="shared" ca="1" si="311"/>
        <v>0</v>
      </c>
      <c r="FR64" s="279">
        <f t="shared" ca="1" si="311"/>
        <v>0</v>
      </c>
      <c r="FS64" s="279">
        <f t="shared" ca="1" si="311"/>
        <v>0</v>
      </c>
      <c r="FT64" s="279">
        <f t="shared" ca="1" si="311"/>
        <v>0</v>
      </c>
      <c r="FU64" s="279">
        <f t="shared" ca="1" si="311"/>
        <v>0</v>
      </c>
      <c r="FV64" s="279">
        <f t="shared" ca="1" si="311"/>
        <v>0</v>
      </c>
      <c r="FW64" s="279">
        <f t="shared" ca="1" si="311"/>
        <v>0</v>
      </c>
      <c r="FX64" s="279">
        <f t="shared" ca="1" si="311"/>
        <v>0</v>
      </c>
      <c r="FY64" s="279">
        <f t="shared" ca="1" si="311"/>
        <v>0</v>
      </c>
      <c r="FZ64" s="279">
        <f t="shared" ca="1" si="311"/>
        <v>0</v>
      </c>
      <c r="GA64" s="279">
        <f t="shared" ca="1" si="311"/>
        <v>0</v>
      </c>
      <c r="GB64" s="279">
        <f t="shared" ca="1" si="311"/>
        <v>0</v>
      </c>
      <c r="GC64" s="279">
        <f t="shared" ca="1" si="311"/>
        <v>0</v>
      </c>
      <c r="GD64" s="279">
        <f t="shared" ca="1" si="311"/>
        <v>0</v>
      </c>
      <c r="GE64" s="279">
        <f t="shared" ca="1" si="311"/>
        <v>0</v>
      </c>
      <c r="GF64" s="279">
        <f t="shared" ca="1" si="311"/>
        <v>0</v>
      </c>
      <c r="GG64" s="279">
        <f t="shared" ca="1" si="311"/>
        <v>0</v>
      </c>
      <c r="GH64" s="279">
        <f t="shared" ref="GH64:HM64" ca="1" si="312">MIN(GH63,MAX(AX141,0))*$F$54</f>
        <v>0</v>
      </c>
      <c r="GI64" s="279">
        <f t="shared" ca="1" si="312"/>
        <v>0</v>
      </c>
      <c r="GJ64" s="279">
        <f t="shared" ca="1" si="312"/>
        <v>0</v>
      </c>
      <c r="GK64" s="279">
        <f t="shared" ca="1" si="312"/>
        <v>0</v>
      </c>
      <c r="GL64" s="279">
        <f t="shared" ca="1" si="312"/>
        <v>0</v>
      </c>
      <c r="GM64" s="279">
        <f t="shared" ca="1" si="312"/>
        <v>0</v>
      </c>
      <c r="GN64" s="279">
        <f t="shared" ca="1" si="312"/>
        <v>0</v>
      </c>
      <c r="GO64" s="279">
        <f t="shared" ca="1" si="312"/>
        <v>0</v>
      </c>
      <c r="GP64" s="279">
        <f t="shared" ca="1" si="312"/>
        <v>0</v>
      </c>
      <c r="GQ64" s="279">
        <f t="shared" ca="1" si="312"/>
        <v>0</v>
      </c>
      <c r="GR64" s="279">
        <f t="shared" ca="1" si="312"/>
        <v>0</v>
      </c>
      <c r="GS64" s="279">
        <f t="shared" ca="1" si="312"/>
        <v>0</v>
      </c>
      <c r="GT64" s="279">
        <f t="shared" ca="1" si="312"/>
        <v>0</v>
      </c>
      <c r="GU64" s="279">
        <f t="shared" ca="1" si="312"/>
        <v>0</v>
      </c>
      <c r="GV64" s="279">
        <f t="shared" ca="1" si="312"/>
        <v>0</v>
      </c>
      <c r="GW64" s="279">
        <f t="shared" ca="1" si="312"/>
        <v>0</v>
      </c>
      <c r="GX64" s="279">
        <f t="shared" ca="1" si="312"/>
        <v>0</v>
      </c>
      <c r="GY64" s="279">
        <f t="shared" ca="1" si="312"/>
        <v>0</v>
      </c>
      <c r="GZ64" s="279">
        <f t="shared" ca="1" si="312"/>
        <v>0</v>
      </c>
      <c r="HA64" s="279">
        <f t="shared" ca="1" si="312"/>
        <v>0</v>
      </c>
      <c r="HB64" s="279">
        <f t="shared" ca="1" si="312"/>
        <v>0</v>
      </c>
      <c r="HC64" s="279">
        <f t="shared" ca="1" si="312"/>
        <v>0</v>
      </c>
      <c r="HD64" s="279">
        <f t="shared" ca="1" si="312"/>
        <v>0</v>
      </c>
      <c r="HE64" s="279">
        <f t="shared" ca="1" si="312"/>
        <v>0</v>
      </c>
      <c r="HF64" s="279">
        <f t="shared" ca="1" si="312"/>
        <v>0</v>
      </c>
      <c r="HG64" s="279">
        <f t="shared" ca="1" si="312"/>
        <v>0</v>
      </c>
      <c r="HH64" s="279">
        <f t="shared" ca="1" si="312"/>
        <v>0</v>
      </c>
      <c r="HI64" s="279">
        <f t="shared" ca="1" si="312"/>
        <v>0</v>
      </c>
      <c r="HJ64" s="279">
        <f t="shared" ca="1" si="312"/>
        <v>0</v>
      </c>
      <c r="HK64" s="279">
        <f t="shared" ca="1" si="312"/>
        <v>0</v>
      </c>
      <c r="HL64" s="279">
        <f t="shared" ca="1" si="312"/>
        <v>0</v>
      </c>
      <c r="HM64" s="279">
        <f t="shared" ca="1" si="312"/>
        <v>0</v>
      </c>
      <c r="HN64" s="279">
        <f t="shared" ref="HN64:IS64" ca="1" si="313">MIN(HN63,MAX(CD141,0))*$F$54</f>
        <v>0</v>
      </c>
      <c r="HO64" s="279">
        <f t="shared" ca="1" si="313"/>
        <v>0</v>
      </c>
      <c r="HP64" s="279">
        <f t="shared" ca="1" si="313"/>
        <v>0</v>
      </c>
      <c r="HQ64" s="279">
        <f t="shared" ca="1" si="313"/>
        <v>0</v>
      </c>
      <c r="HR64" s="279">
        <f t="shared" ca="1" si="313"/>
        <v>0</v>
      </c>
      <c r="HS64" s="279">
        <f t="shared" ca="1" si="313"/>
        <v>0</v>
      </c>
      <c r="HT64" s="279">
        <f t="shared" ca="1" si="313"/>
        <v>0</v>
      </c>
      <c r="HU64" s="279">
        <f t="shared" ca="1" si="313"/>
        <v>0</v>
      </c>
      <c r="HV64" s="279">
        <f t="shared" ca="1" si="313"/>
        <v>0</v>
      </c>
      <c r="HW64" s="279">
        <f t="shared" ca="1" si="313"/>
        <v>0</v>
      </c>
      <c r="HX64" s="279">
        <f t="shared" ca="1" si="313"/>
        <v>0</v>
      </c>
      <c r="HY64" s="279">
        <f t="shared" ca="1" si="313"/>
        <v>0</v>
      </c>
      <c r="HZ64" s="279">
        <f t="shared" ca="1" si="313"/>
        <v>0</v>
      </c>
      <c r="IA64" s="279">
        <f t="shared" ca="1" si="313"/>
        <v>0</v>
      </c>
      <c r="IB64" s="279">
        <f t="shared" ca="1" si="313"/>
        <v>0</v>
      </c>
      <c r="IC64" s="279">
        <f t="shared" ca="1" si="313"/>
        <v>0</v>
      </c>
      <c r="ID64" s="279">
        <f t="shared" ca="1" si="313"/>
        <v>0</v>
      </c>
      <c r="IE64" s="279">
        <f t="shared" ca="1" si="313"/>
        <v>0</v>
      </c>
      <c r="IF64" s="279">
        <f t="shared" ca="1" si="313"/>
        <v>0</v>
      </c>
      <c r="IG64" s="279">
        <f t="shared" ca="1" si="313"/>
        <v>0</v>
      </c>
      <c r="IH64" s="279">
        <f t="shared" ca="1" si="313"/>
        <v>0</v>
      </c>
      <c r="II64" s="279">
        <f t="shared" ca="1" si="313"/>
        <v>0</v>
      </c>
      <c r="IJ64" s="279">
        <f t="shared" ca="1" si="313"/>
        <v>0</v>
      </c>
      <c r="IK64" s="279">
        <f t="shared" ca="1" si="313"/>
        <v>0</v>
      </c>
      <c r="IL64" s="279">
        <f t="shared" ca="1" si="313"/>
        <v>0</v>
      </c>
      <c r="IM64" s="279">
        <f t="shared" ca="1" si="313"/>
        <v>0</v>
      </c>
      <c r="IN64" s="279">
        <f t="shared" ca="1" si="313"/>
        <v>0</v>
      </c>
      <c r="IO64" s="279">
        <f t="shared" ca="1" si="313"/>
        <v>0</v>
      </c>
      <c r="IP64" s="279">
        <f t="shared" ca="1" si="313"/>
        <v>0</v>
      </c>
      <c r="IQ64" s="279">
        <f t="shared" ca="1" si="313"/>
        <v>0</v>
      </c>
      <c r="IR64" s="279">
        <f t="shared" ca="1" si="313"/>
        <v>0</v>
      </c>
      <c r="IS64" s="279">
        <f t="shared" ca="1" si="313"/>
        <v>0</v>
      </c>
      <c r="IT64" s="279">
        <f t="shared" ref="IT64:JY64" ca="1" si="314">MIN(IT63,MAX(DJ141,0))*$F$54</f>
        <v>0</v>
      </c>
      <c r="IU64" s="279">
        <f t="shared" ca="1" si="314"/>
        <v>0</v>
      </c>
      <c r="IV64" s="279">
        <f t="shared" ca="1" si="314"/>
        <v>0</v>
      </c>
      <c r="IW64" s="279">
        <f t="shared" ca="1" si="314"/>
        <v>0</v>
      </c>
      <c r="IX64" s="279">
        <f t="shared" ca="1" si="314"/>
        <v>0</v>
      </c>
      <c r="IY64" s="279">
        <f t="shared" ca="1" si="314"/>
        <v>0</v>
      </c>
      <c r="IZ64" s="279">
        <f t="shared" ca="1" si="314"/>
        <v>0</v>
      </c>
      <c r="JA64" s="279">
        <f t="shared" ca="1" si="314"/>
        <v>0</v>
      </c>
      <c r="JB64" s="279">
        <f t="shared" ca="1" si="314"/>
        <v>0</v>
      </c>
      <c r="JC64" s="279">
        <f t="shared" ca="1" si="314"/>
        <v>0</v>
      </c>
      <c r="JD64" s="279">
        <f t="shared" ca="1" si="314"/>
        <v>0</v>
      </c>
      <c r="JE64" s="279">
        <f t="shared" ca="1" si="314"/>
        <v>0</v>
      </c>
      <c r="JF64" s="279">
        <f t="shared" ca="1" si="314"/>
        <v>0</v>
      </c>
      <c r="JG64" s="279">
        <f t="shared" ca="1" si="314"/>
        <v>0</v>
      </c>
      <c r="JH64" s="279">
        <f t="shared" ca="1" si="314"/>
        <v>0</v>
      </c>
      <c r="JI64" s="279">
        <f t="shared" ca="1" si="314"/>
        <v>0</v>
      </c>
      <c r="JJ64" s="279">
        <f t="shared" ca="1" si="314"/>
        <v>0</v>
      </c>
      <c r="JK64" s="279">
        <f t="shared" ca="1" si="314"/>
        <v>0</v>
      </c>
      <c r="JL64" s="279">
        <f t="shared" ca="1" si="314"/>
        <v>0</v>
      </c>
      <c r="JM64" s="279">
        <f t="shared" ca="1" si="314"/>
        <v>0</v>
      </c>
      <c r="JN64" s="279">
        <f t="shared" ca="1" si="314"/>
        <v>0</v>
      </c>
      <c r="JO64" s="279">
        <f t="shared" ca="1" si="314"/>
        <v>0</v>
      </c>
      <c r="JP64" s="279">
        <f t="shared" ca="1" si="314"/>
        <v>0</v>
      </c>
      <c r="JQ64" s="279">
        <f t="shared" ca="1" si="314"/>
        <v>0</v>
      </c>
      <c r="JR64" s="279">
        <f t="shared" ca="1" si="314"/>
        <v>0</v>
      </c>
      <c r="JS64" s="279">
        <f t="shared" ca="1" si="314"/>
        <v>0</v>
      </c>
      <c r="JT64" s="279">
        <f t="shared" ca="1" si="314"/>
        <v>0</v>
      </c>
      <c r="JU64" s="279">
        <f t="shared" ca="1" si="314"/>
        <v>0</v>
      </c>
      <c r="JV64" s="279">
        <f t="shared" ca="1" si="314"/>
        <v>0</v>
      </c>
      <c r="JW64" s="279">
        <f t="shared" ca="1" si="314"/>
        <v>0</v>
      </c>
      <c r="JX64" s="279">
        <f t="shared" ca="1" si="314"/>
        <v>0</v>
      </c>
      <c r="JY64" s="279">
        <f t="shared" ca="1" si="314"/>
        <v>0</v>
      </c>
      <c r="JZ64" s="279">
        <f t="shared" ref="JZ64:KC64" ca="1" si="315">MIN(JZ63,MAX(EP141,0))*$F$54</f>
        <v>0</v>
      </c>
      <c r="KA64" s="279">
        <f t="shared" ca="1" si="315"/>
        <v>0</v>
      </c>
      <c r="KB64" s="279">
        <f t="shared" ca="1" si="315"/>
        <v>0</v>
      </c>
      <c r="KC64" s="279">
        <f t="shared" ca="1" si="315"/>
        <v>0</v>
      </c>
    </row>
    <row r="65" spans="1:289" ht="5.0999999999999996" customHeight="1" x14ac:dyDescent="0.25">
      <c r="B65" s="180"/>
      <c r="C65" s="196"/>
      <c r="D65" s="196"/>
      <c r="E65" s="196"/>
      <c r="F65" s="268"/>
      <c r="G65" s="217"/>
      <c r="H65" s="188"/>
      <c r="I65" s="188"/>
      <c r="EU65" s="153"/>
      <c r="EV65" s="153"/>
      <c r="EW65" s="153"/>
      <c r="EX65" s="153"/>
      <c r="EY65" s="250"/>
      <c r="EZ65" s="250"/>
      <c r="FA65" s="221"/>
      <c r="FB65" s="221"/>
      <c r="FC65" s="221"/>
      <c r="FD65" s="221"/>
      <c r="FE65" s="221"/>
      <c r="FF65" s="221"/>
      <c r="FG65" s="221"/>
      <c r="FH65" s="221"/>
      <c r="FI65" s="221"/>
      <c r="FJ65" s="221"/>
      <c r="FK65" s="221"/>
      <c r="FL65" s="221"/>
      <c r="FM65" s="221"/>
      <c r="FN65" s="221"/>
      <c r="FO65" s="221"/>
      <c r="FP65" s="221"/>
      <c r="FQ65" s="221"/>
      <c r="FR65" s="221"/>
      <c r="FS65" s="221"/>
      <c r="FT65" s="221"/>
      <c r="FU65" s="221"/>
      <c r="FV65" s="221"/>
      <c r="FW65" s="221"/>
      <c r="FX65" s="221"/>
      <c r="FY65" s="221"/>
      <c r="FZ65" s="221"/>
      <c r="GA65" s="221"/>
      <c r="GB65" s="221"/>
      <c r="GC65" s="221"/>
      <c r="GD65" s="221"/>
      <c r="GE65" s="221"/>
      <c r="GF65" s="221"/>
      <c r="GG65" s="221"/>
      <c r="GH65" s="221"/>
      <c r="GI65" s="221"/>
      <c r="GJ65" s="221"/>
      <c r="GK65" s="221"/>
      <c r="GL65" s="221"/>
      <c r="GM65" s="221"/>
      <c r="GN65" s="221"/>
      <c r="GO65" s="221"/>
      <c r="GP65" s="221"/>
      <c r="GQ65" s="221"/>
      <c r="GR65" s="221"/>
      <c r="GS65" s="221"/>
      <c r="GT65" s="221"/>
      <c r="GU65" s="221"/>
      <c r="GV65" s="221"/>
      <c r="GW65" s="221"/>
      <c r="GX65" s="221"/>
      <c r="GY65" s="221"/>
      <c r="GZ65" s="221"/>
      <c r="HA65" s="221"/>
      <c r="HB65" s="221"/>
      <c r="HC65" s="221"/>
      <c r="HD65" s="221"/>
      <c r="HE65" s="221"/>
      <c r="HF65" s="221"/>
      <c r="HG65" s="221"/>
      <c r="HH65" s="221"/>
      <c r="HI65" s="221"/>
      <c r="HJ65" s="221"/>
      <c r="HK65" s="221"/>
      <c r="HL65" s="221"/>
      <c r="HM65" s="221"/>
      <c r="HN65" s="221"/>
      <c r="HO65" s="221"/>
      <c r="HP65" s="221"/>
      <c r="HQ65" s="221"/>
      <c r="HR65" s="221"/>
      <c r="HS65" s="221"/>
      <c r="HT65" s="221"/>
      <c r="HU65" s="221"/>
      <c r="HV65" s="221"/>
      <c r="HW65" s="221"/>
      <c r="HX65" s="221"/>
      <c r="HY65" s="221"/>
      <c r="HZ65" s="221"/>
      <c r="IA65" s="221"/>
      <c r="IB65" s="221"/>
      <c r="IC65" s="221"/>
      <c r="ID65" s="221"/>
      <c r="IE65" s="221"/>
      <c r="IF65" s="221"/>
      <c r="IG65" s="221"/>
      <c r="IH65" s="221"/>
      <c r="II65" s="221"/>
      <c r="IJ65" s="221"/>
      <c r="IK65" s="221"/>
      <c r="IL65" s="221"/>
      <c r="IM65" s="221"/>
      <c r="IN65" s="221"/>
      <c r="IO65" s="221"/>
      <c r="IP65" s="221"/>
      <c r="IQ65" s="221"/>
      <c r="IR65" s="221"/>
      <c r="IS65" s="221"/>
      <c r="IT65" s="221"/>
      <c r="IU65" s="221"/>
      <c r="IV65" s="221"/>
      <c r="IW65" s="221"/>
      <c r="IX65" s="221"/>
      <c r="IY65" s="221"/>
      <c r="IZ65" s="221"/>
      <c r="JA65" s="221"/>
      <c r="JB65" s="221"/>
      <c r="JC65" s="221"/>
      <c r="JD65" s="221"/>
      <c r="JE65" s="221"/>
      <c r="JF65" s="221"/>
      <c r="JG65" s="221"/>
      <c r="JH65" s="221"/>
      <c r="JI65" s="221"/>
      <c r="JJ65" s="221"/>
      <c r="JK65" s="221"/>
      <c r="JL65" s="221"/>
      <c r="JM65" s="221"/>
      <c r="JN65" s="221"/>
      <c r="JO65" s="221"/>
      <c r="JP65" s="221"/>
      <c r="JQ65" s="221"/>
      <c r="JR65" s="221"/>
      <c r="JS65" s="221"/>
      <c r="JT65" s="221"/>
      <c r="JU65" s="221"/>
      <c r="JV65" s="221"/>
      <c r="JW65" s="221"/>
      <c r="JX65" s="221"/>
      <c r="JY65" s="221"/>
      <c r="JZ65" s="221"/>
      <c r="KA65" s="221"/>
      <c r="KB65" s="221"/>
      <c r="KC65" s="221"/>
    </row>
    <row r="66" spans="1:289" x14ac:dyDescent="0.25">
      <c r="B66" s="281" t="s">
        <v>560</v>
      </c>
      <c r="C66" s="210" t="s">
        <v>76</v>
      </c>
      <c r="D66" s="210" t="s">
        <v>64</v>
      </c>
      <c r="E66" s="210" t="s">
        <v>63</v>
      </c>
      <c r="F66" s="282" t="s">
        <v>62</v>
      </c>
      <c r="G66" s="274" t="s">
        <v>626</v>
      </c>
      <c r="H66" s="283" t="s">
        <v>38</v>
      </c>
      <c r="I66" s="210" t="s">
        <v>22</v>
      </c>
      <c r="EU66" s="153"/>
      <c r="EV66" s="153"/>
      <c r="EW66" s="153"/>
      <c r="EX66" s="153"/>
      <c r="EY66" s="250"/>
      <c r="EZ66" s="250"/>
      <c r="FA66" s="221"/>
      <c r="FB66" s="221"/>
      <c r="FC66" s="221"/>
      <c r="FD66" s="221"/>
      <c r="FE66" s="221"/>
      <c r="FF66" s="221"/>
      <c r="FG66" s="221"/>
      <c r="FH66" s="221"/>
      <c r="FI66" s="221"/>
      <c r="FJ66" s="221"/>
      <c r="FK66" s="221"/>
      <c r="FL66" s="221"/>
      <c r="FM66" s="221"/>
      <c r="FN66" s="221"/>
      <c r="FO66" s="221"/>
      <c r="FP66" s="221"/>
      <c r="FQ66" s="221"/>
      <c r="FR66" s="221"/>
      <c r="FS66" s="221"/>
      <c r="FT66" s="221"/>
      <c r="FU66" s="221"/>
      <c r="FV66" s="221"/>
      <c r="FW66" s="221"/>
      <c r="FX66" s="221"/>
      <c r="FY66" s="221"/>
      <c r="FZ66" s="221"/>
      <c r="GA66" s="221"/>
      <c r="GB66" s="221"/>
      <c r="GC66" s="221"/>
      <c r="GD66" s="221"/>
      <c r="GE66" s="221"/>
      <c r="GF66" s="221"/>
      <c r="GG66" s="221"/>
      <c r="GH66" s="221"/>
      <c r="GI66" s="221"/>
      <c r="GJ66" s="221"/>
      <c r="GK66" s="221"/>
      <c r="GL66" s="221"/>
      <c r="GM66" s="221"/>
      <c r="GN66" s="221"/>
      <c r="GO66" s="221"/>
      <c r="GP66" s="221"/>
      <c r="GQ66" s="221"/>
      <c r="GR66" s="221"/>
      <c r="GS66" s="221"/>
      <c r="GT66" s="221"/>
      <c r="GU66" s="221"/>
      <c r="GV66" s="221"/>
      <c r="GW66" s="221"/>
      <c r="GX66" s="221"/>
      <c r="GY66" s="221"/>
      <c r="GZ66" s="221"/>
      <c r="HA66" s="221"/>
      <c r="HB66" s="221"/>
      <c r="HC66" s="221"/>
      <c r="HD66" s="221"/>
      <c r="HE66" s="221"/>
      <c r="HF66" s="221"/>
      <c r="HG66" s="221"/>
      <c r="HH66" s="221"/>
      <c r="HI66" s="221"/>
      <c r="HJ66" s="221"/>
      <c r="HK66" s="221"/>
      <c r="HL66" s="221"/>
      <c r="HM66" s="221"/>
      <c r="HN66" s="221"/>
      <c r="HO66" s="221"/>
      <c r="HP66" s="221"/>
      <c r="HQ66" s="221"/>
      <c r="HR66" s="221"/>
      <c r="HS66" s="221"/>
      <c r="HT66" s="221"/>
      <c r="HU66" s="221"/>
      <c r="HV66" s="221"/>
      <c r="HW66" s="221"/>
      <c r="HX66" s="221"/>
      <c r="HY66" s="221"/>
      <c r="HZ66" s="221"/>
      <c r="IA66" s="221"/>
      <c r="IB66" s="221"/>
      <c r="IC66" s="221"/>
      <c r="ID66" s="221"/>
      <c r="IE66" s="221"/>
      <c r="IF66" s="221"/>
      <c r="IG66" s="221"/>
      <c r="IH66" s="221"/>
      <c r="II66" s="221"/>
      <c r="IJ66" s="221"/>
      <c r="IK66" s="221"/>
      <c r="IL66" s="221"/>
      <c r="IM66" s="221"/>
      <c r="IN66" s="221"/>
      <c r="IO66" s="221"/>
      <c r="IP66" s="221"/>
      <c r="IQ66" s="221"/>
      <c r="IR66" s="221"/>
      <c r="IS66" s="221"/>
      <c r="IT66" s="221"/>
      <c r="IU66" s="221"/>
      <c r="IV66" s="221"/>
      <c r="IW66" s="221"/>
      <c r="IX66" s="221"/>
      <c r="IY66" s="221"/>
      <c r="IZ66" s="221"/>
      <c r="JA66" s="221"/>
      <c r="JB66" s="221"/>
      <c r="JC66" s="221"/>
      <c r="JD66" s="221"/>
      <c r="JE66" s="221"/>
      <c r="JF66" s="221"/>
      <c r="JG66" s="221"/>
      <c r="JH66" s="221"/>
      <c r="JI66" s="221"/>
      <c r="JJ66" s="221"/>
      <c r="JK66" s="221"/>
      <c r="JL66" s="221"/>
      <c r="JM66" s="221"/>
      <c r="JN66" s="221"/>
      <c r="JO66" s="221"/>
      <c r="JP66" s="221"/>
      <c r="JQ66" s="221"/>
      <c r="JR66" s="221"/>
      <c r="JS66" s="221"/>
      <c r="JT66" s="221"/>
      <c r="JU66" s="221"/>
      <c r="JV66" s="221"/>
      <c r="JW66" s="221"/>
      <c r="JX66" s="221"/>
      <c r="JY66" s="221"/>
      <c r="JZ66" s="221"/>
      <c r="KA66" s="221"/>
      <c r="KB66" s="221"/>
      <c r="KC66" s="221"/>
    </row>
    <row r="67" spans="1:289" x14ac:dyDescent="0.25">
      <c r="B67" s="284" t="s">
        <v>624</v>
      </c>
      <c r="C67" s="249">
        <v>0.6</v>
      </c>
      <c r="D67" s="285" t="s">
        <v>687</v>
      </c>
      <c r="E67" s="286">
        <v>0.1</v>
      </c>
      <c r="F67" s="268">
        <f ca="1">IF(C67=0,0,(C67/Debt_LTC_Target)*Debt_LTC_Actual)</f>
        <v>0.60000027576937087</v>
      </c>
      <c r="G67" s="217">
        <f ca="1">I67/Units_SF_M2</f>
        <v>148.69679568516551</v>
      </c>
      <c r="H67" s="218">
        <f ca="1">I67/Units</f>
        <v>151447.68640534108</v>
      </c>
      <c r="I67" s="218">
        <f ca="1">IF(Debt_LTC_Target=0,0,(Project_Cost_Total-Equity_Total)*(C67/Debt_LTC_Target))</f>
        <v>2423162.9824854573</v>
      </c>
      <c r="P67" s="157" t="s">
        <v>624</v>
      </c>
      <c r="Q67" s="287">
        <f t="shared" ref="Q67:AV67" si="316">Interest_Const_Loan</f>
        <v>0.1</v>
      </c>
      <c r="R67" s="287">
        <f t="shared" si="316"/>
        <v>0.1</v>
      </c>
      <c r="S67" s="287">
        <f t="shared" si="316"/>
        <v>0.1</v>
      </c>
      <c r="T67" s="287">
        <f t="shared" si="316"/>
        <v>0.1</v>
      </c>
      <c r="U67" s="287">
        <f t="shared" si="316"/>
        <v>0.1</v>
      </c>
      <c r="V67" s="287">
        <f t="shared" si="316"/>
        <v>0.1</v>
      </c>
      <c r="W67" s="287">
        <f t="shared" si="316"/>
        <v>0.1</v>
      </c>
      <c r="X67" s="287">
        <f t="shared" si="316"/>
        <v>0.1</v>
      </c>
      <c r="Y67" s="287">
        <f t="shared" si="316"/>
        <v>0.1</v>
      </c>
      <c r="Z67" s="287">
        <f t="shared" si="316"/>
        <v>0.1</v>
      </c>
      <c r="AA67" s="287">
        <f t="shared" si="316"/>
        <v>0.1</v>
      </c>
      <c r="AB67" s="287">
        <f t="shared" si="316"/>
        <v>0.1</v>
      </c>
      <c r="AC67" s="287">
        <f t="shared" si="316"/>
        <v>0.1</v>
      </c>
      <c r="AD67" s="287">
        <f t="shared" si="316"/>
        <v>0.1</v>
      </c>
      <c r="AE67" s="287">
        <f t="shared" si="316"/>
        <v>0.1</v>
      </c>
      <c r="AF67" s="287">
        <f t="shared" si="316"/>
        <v>0.1</v>
      </c>
      <c r="AG67" s="287">
        <f t="shared" si="316"/>
        <v>0.1</v>
      </c>
      <c r="AH67" s="287">
        <f t="shared" si="316"/>
        <v>0.1</v>
      </c>
      <c r="AI67" s="287">
        <f t="shared" si="316"/>
        <v>0.1</v>
      </c>
      <c r="AJ67" s="287">
        <f t="shared" si="316"/>
        <v>0.1</v>
      </c>
      <c r="AK67" s="287">
        <f t="shared" si="316"/>
        <v>0.1</v>
      </c>
      <c r="AL67" s="287">
        <f t="shared" si="316"/>
        <v>0.1</v>
      </c>
      <c r="AM67" s="287">
        <f t="shared" si="316"/>
        <v>0.1</v>
      </c>
      <c r="AN67" s="287">
        <f t="shared" si="316"/>
        <v>0.1</v>
      </c>
      <c r="AO67" s="287">
        <f t="shared" si="316"/>
        <v>0.1</v>
      </c>
      <c r="AP67" s="287">
        <f t="shared" si="316"/>
        <v>0.1</v>
      </c>
      <c r="AQ67" s="287">
        <f t="shared" si="316"/>
        <v>0.1</v>
      </c>
      <c r="AR67" s="287">
        <f t="shared" si="316"/>
        <v>0.1</v>
      </c>
      <c r="AS67" s="287">
        <f t="shared" si="316"/>
        <v>0.1</v>
      </c>
      <c r="AT67" s="287">
        <f t="shared" si="316"/>
        <v>0.1</v>
      </c>
      <c r="AU67" s="287">
        <f t="shared" si="316"/>
        <v>0.1</v>
      </c>
      <c r="AV67" s="287">
        <f t="shared" si="316"/>
        <v>0.1</v>
      </c>
      <c r="AW67" s="287">
        <f t="shared" ref="AW67:CB67" si="317">Interest_Const_Loan</f>
        <v>0.1</v>
      </c>
      <c r="AX67" s="287">
        <f t="shared" si="317"/>
        <v>0.1</v>
      </c>
      <c r="AY67" s="287">
        <f t="shared" si="317"/>
        <v>0.1</v>
      </c>
      <c r="AZ67" s="287">
        <f t="shared" si="317"/>
        <v>0.1</v>
      </c>
      <c r="BA67" s="287">
        <f t="shared" si="317"/>
        <v>0.1</v>
      </c>
      <c r="BB67" s="287">
        <f t="shared" si="317"/>
        <v>0.1</v>
      </c>
      <c r="BC67" s="287">
        <f t="shared" si="317"/>
        <v>0.1</v>
      </c>
      <c r="BD67" s="287">
        <f t="shared" si="317"/>
        <v>0.1</v>
      </c>
      <c r="BE67" s="287">
        <f t="shared" si="317"/>
        <v>0.1</v>
      </c>
      <c r="BF67" s="287">
        <f t="shared" si="317"/>
        <v>0.1</v>
      </c>
      <c r="BG67" s="287">
        <f t="shared" si="317"/>
        <v>0.1</v>
      </c>
      <c r="BH67" s="287">
        <f t="shared" si="317"/>
        <v>0.1</v>
      </c>
      <c r="BI67" s="287">
        <f t="shared" si="317"/>
        <v>0.1</v>
      </c>
      <c r="BJ67" s="287">
        <f t="shared" si="317"/>
        <v>0.1</v>
      </c>
      <c r="BK67" s="287">
        <f t="shared" si="317"/>
        <v>0.1</v>
      </c>
      <c r="BL67" s="287">
        <f t="shared" si="317"/>
        <v>0.1</v>
      </c>
      <c r="BM67" s="287">
        <f t="shared" si="317"/>
        <v>0.1</v>
      </c>
      <c r="BN67" s="287">
        <f t="shared" si="317"/>
        <v>0.1</v>
      </c>
      <c r="BO67" s="287">
        <f t="shared" si="317"/>
        <v>0.1</v>
      </c>
      <c r="BP67" s="287">
        <f t="shared" si="317"/>
        <v>0.1</v>
      </c>
      <c r="BQ67" s="287">
        <f t="shared" si="317"/>
        <v>0.1</v>
      </c>
      <c r="BR67" s="287">
        <f t="shared" si="317"/>
        <v>0.1</v>
      </c>
      <c r="BS67" s="287">
        <f t="shared" si="317"/>
        <v>0.1</v>
      </c>
      <c r="BT67" s="287">
        <f t="shared" si="317"/>
        <v>0.1</v>
      </c>
      <c r="BU67" s="287">
        <f t="shared" si="317"/>
        <v>0.1</v>
      </c>
      <c r="BV67" s="287">
        <f t="shared" si="317"/>
        <v>0.1</v>
      </c>
      <c r="BW67" s="287">
        <f t="shared" si="317"/>
        <v>0.1</v>
      </c>
      <c r="BX67" s="287">
        <f t="shared" si="317"/>
        <v>0.1</v>
      </c>
      <c r="BY67" s="287">
        <f t="shared" si="317"/>
        <v>0.1</v>
      </c>
      <c r="BZ67" s="287">
        <f t="shared" si="317"/>
        <v>0.1</v>
      </c>
      <c r="CA67" s="287">
        <f t="shared" si="317"/>
        <v>0.1</v>
      </c>
      <c r="CB67" s="287">
        <f t="shared" si="317"/>
        <v>0.1</v>
      </c>
      <c r="CC67" s="287">
        <f t="shared" ref="CC67:DH67" si="318">Interest_Const_Loan</f>
        <v>0.1</v>
      </c>
      <c r="CD67" s="287">
        <f t="shared" si="318"/>
        <v>0.1</v>
      </c>
      <c r="CE67" s="287">
        <f t="shared" si="318"/>
        <v>0.1</v>
      </c>
      <c r="CF67" s="287">
        <f t="shared" si="318"/>
        <v>0.1</v>
      </c>
      <c r="CG67" s="287">
        <f t="shared" si="318"/>
        <v>0.1</v>
      </c>
      <c r="CH67" s="287">
        <f t="shared" si="318"/>
        <v>0.1</v>
      </c>
      <c r="CI67" s="287">
        <f t="shared" si="318"/>
        <v>0.1</v>
      </c>
      <c r="CJ67" s="287">
        <f t="shared" si="318"/>
        <v>0.1</v>
      </c>
      <c r="CK67" s="287">
        <f t="shared" si="318"/>
        <v>0.1</v>
      </c>
      <c r="CL67" s="287">
        <f t="shared" si="318"/>
        <v>0.1</v>
      </c>
      <c r="CM67" s="287">
        <f t="shared" si="318"/>
        <v>0.1</v>
      </c>
      <c r="CN67" s="287">
        <f t="shared" si="318"/>
        <v>0.1</v>
      </c>
      <c r="CO67" s="287">
        <f t="shared" si="318"/>
        <v>0.1</v>
      </c>
      <c r="CP67" s="287">
        <f t="shared" si="318"/>
        <v>0.1</v>
      </c>
      <c r="CQ67" s="287">
        <f t="shared" si="318"/>
        <v>0.1</v>
      </c>
      <c r="CR67" s="287">
        <f t="shared" si="318"/>
        <v>0.1</v>
      </c>
      <c r="CS67" s="287">
        <f t="shared" si="318"/>
        <v>0.1</v>
      </c>
      <c r="CT67" s="287">
        <f t="shared" si="318"/>
        <v>0.1</v>
      </c>
      <c r="CU67" s="287">
        <f t="shared" si="318"/>
        <v>0.1</v>
      </c>
      <c r="CV67" s="287">
        <f t="shared" si="318"/>
        <v>0.1</v>
      </c>
      <c r="CW67" s="287">
        <f t="shared" si="318"/>
        <v>0.1</v>
      </c>
      <c r="CX67" s="287">
        <f t="shared" si="318"/>
        <v>0.1</v>
      </c>
      <c r="CY67" s="287">
        <f t="shared" si="318"/>
        <v>0.1</v>
      </c>
      <c r="CZ67" s="287">
        <f t="shared" si="318"/>
        <v>0.1</v>
      </c>
      <c r="DA67" s="287">
        <f t="shared" si="318"/>
        <v>0.1</v>
      </c>
      <c r="DB67" s="287">
        <f t="shared" si="318"/>
        <v>0.1</v>
      </c>
      <c r="DC67" s="287">
        <f t="shared" si="318"/>
        <v>0.1</v>
      </c>
      <c r="DD67" s="287">
        <f t="shared" si="318"/>
        <v>0.1</v>
      </c>
      <c r="DE67" s="287">
        <f t="shared" si="318"/>
        <v>0.1</v>
      </c>
      <c r="DF67" s="287">
        <f t="shared" si="318"/>
        <v>0.1</v>
      </c>
      <c r="DG67" s="287">
        <f t="shared" si="318"/>
        <v>0.1</v>
      </c>
      <c r="DH67" s="287">
        <f t="shared" si="318"/>
        <v>0.1</v>
      </c>
      <c r="DI67" s="287">
        <f t="shared" ref="DI67:ES67" si="319">Interest_Const_Loan</f>
        <v>0.1</v>
      </c>
      <c r="DJ67" s="287">
        <f t="shared" si="319"/>
        <v>0.1</v>
      </c>
      <c r="DK67" s="287">
        <f t="shared" si="319"/>
        <v>0.1</v>
      </c>
      <c r="DL67" s="287">
        <f t="shared" si="319"/>
        <v>0.1</v>
      </c>
      <c r="DM67" s="287">
        <f t="shared" si="319"/>
        <v>0.1</v>
      </c>
      <c r="DN67" s="287">
        <f t="shared" si="319"/>
        <v>0.1</v>
      </c>
      <c r="DO67" s="287">
        <f t="shared" si="319"/>
        <v>0.1</v>
      </c>
      <c r="DP67" s="287">
        <f t="shared" si="319"/>
        <v>0.1</v>
      </c>
      <c r="DQ67" s="287">
        <f t="shared" si="319"/>
        <v>0.1</v>
      </c>
      <c r="DR67" s="287">
        <f t="shared" si="319"/>
        <v>0.1</v>
      </c>
      <c r="DS67" s="287">
        <f t="shared" si="319"/>
        <v>0.1</v>
      </c>
      <c r="DT67" s="287">
        <f t="shared" si="319"/>
        <v>0.1</v>
      </c>
      <c r="DU67" s="287">
        <f t="shared" si="319"/>
        <v>0.1</v>
      </c>
      <c r="DV67" s="287">
        <f t="shared" si="319"/>
        <v>0.1</v>
      </c>
      <c r="DW67" s="287">
        <f t="shared" si="319"/>
        <v>0.1</v>
      </c>
      <c r="DX67" s="287">
        <f t="shared" si="319"/>
        <v>0.1</v>
      </c>
      <c r="DY67" s="287">
        <f t="shared" si="319"/>
        <v>0.1</v>
      </c>
      <c r="DZ67" s="287">
        <f t="shared" si="319"/>
        <v>0.1</v>
      </c>
      <c r="EA67" s="287">
        <f t="shared" si="319"/>
        <v>0.1</v>
      </c>
      <c r="EB67" s="287">
        <f t="shared" si="319"/>
        <v>0.1</v>
      </c>
      <c r="EC67" s="287">
        <f t="shared" si="319"/>
        <v>0.1</v>
      </c>
      <c r="ED67" s="287">
        <f t="shared" si="319"/>
        <v>0.1</v>
      </c>
      <c r="EE67" s="287">
        <f t="shared" si="319"/>
        <v>0.1</v>
      </c>
      <c r="EF67" s="287">
        <f t="shared" si="319"/>
        <v>0.1</v>
      </c>
      <c r="EG67" s="287">
        <f t="shared" si="319"/>
        <v>0.1</v>
      </c>
      <c r="EH67" s="287">
        <f t="shared" si="319"/>
        <v>0.1</v>
      </c>
      <c r="EI67" s="287">
        <f t="shared" si="319"/>
        <v>0.1</v>
      </c>
      <c r="EJ67" s="287">
        <f t="shared" si="319"/>
        <v>0.1</v>
      </c>
      <c r="EK67" s="287">
        <f t="shared" si="319"/>
        <v>0.1</v>
      </c>
      <c r="EL67" s="287">
        <f t="shared" si="319"/>
        <v>0.1</v>
      </c>
      <c r="EM67" s="287">
        <f t="shared" si="319"/>
        <v>0.1</v>
      </c>
      <c r="EN67" s="287">
        <f t="shared" si="319"/>
        <v>0.1</v>
      </c>
      <c r="EO67" s="287">
        <f t="shared" si="319"/>
        <v>0.1</v>
      </c>
      <c r="EP67" s="287">
        <f t="shared" si="319"/>
        <v>0.1</v>
      </c>
      <c r="EQ67" s="287">
        <f t="shared" si="319"/>
        <v>0.1</v>
      </c>
      <c r="ER67" s="287">
        <f t="shared" si="319"/>
        <v>0.1</v>
      </c>
      <c r="ES67" s="287">
        <f t="shared" si="319"/>
        <v>0.1</v>
      </c>
      <c r="EU67" s="153"/>
      <c r="EV67" s="153"/>
      <c r="EW67" s="153"/>
      <c r="EX67" s="153"/>
      <c r="EY67" s="250"/>
      <c r="EZ67" s="250"/>
      <c r="FA67" s="221"/>
      <c r="FB67" s="221"/>
      <c r="FC67" s="221"/>
      <c r="FD67" s="221"/>
      <c r="FE67" s="221"/>
      <c r="FF67" s="221"/>
      <c r="FG67" s="221"/>
      <c r="FH67" s="221"/>
      <c r="FI67" s="221"/>
      <c r="FJ67" s="221"/>
      <c r="FK67" s="221"/>
      <c r="FL67" s="221"/>
      <c r="FM67" s="221"/>
      <c r="FN67" s="221"/>
      <c r="FO67" s="221"/>
      <c r="FP67" s="221"/>
      <c r="FQ67" s="221"/>
      <c r="FR67" s="221"/>
      <c r="FS67" s="221"/>
      <c r="FT67" s="221"/>
      <c r="FU67" s="221"/>
      <c r="FV67" s="221"/>
      <c r="FW67" s="221"/>
      <c r="FX67" s="221"/>
      <c r="FY67" s="221"/>
      <c r="FZ67" s="221"/>
      <c r="GA67" s="221"/>
      <c r="GB67" s="221"/>
      <c r="GC67" s="221"/>
      <c r="GD67" s="221"/>
      <c r="GE67" s="221"/>
      <c r="GF67" s="221"/>
      <c r="GG67" s="221"/>
      <c r="GH67" s="221"/>
      <c r="GI67" s="221"/>
      <c r="GJ67" s="221"/>
      <c r="GK67" s="221"/>
      <c r="GL67" s="221"/>
      <c r="GM67" s="221"/>
      <c r="GN67" s="221"/>
      <c r="GO67" s="221"/>
      <c r="GP67" s="221"/>
      <c r="GQ67" s="221"/>
      <c r="GR67" s="221"/>
      <c r="GS67" s="221"/>
      <c r="GT67" s="221"/>
      <c r="GU67" s="221"/>
      <c r="GV67" s="221"/>
      <c r="GW67" s="221"/>
      <c r="GX67" s="221"/>
      <c r="GY67" s="221"/>
      <c r="GZ67" s="221"/>
      <c r="HA67" s="221"/>
      <c r="HB67" s="221"/>
      <c r="HC67" s="221"/>
      <c r="HD67" s="221"/>
      <c r="HE67" s="221"/>
      <c r="HF67" s="221"/>
      <c r="HG67" s="221"/>
      <c r="HH67" s="221"/>
      <c r="HI67" s="221"/>
      <c r="HJ67" s="221"/>
      <c r="HK67" s="221"/>
      <c r="HL67" s="221"/>
      <c r="HM67" s="221"/>
      <c r="HN67" s="221"/>
      <c r="HO67" s="221"/>
      <c r="HP67" s="221"/>
      <c r="HQ67" s="221"/>
      <c r="HR67" s="221"/>
      <c r="HS67" s="221"/>
      <c r="HT67" s="221"/>
      <c r="HU67" s="221"/>
      <c r="HV67" s="221"/>
      <c r="HW67" s="221"/>
      <c r="HX67" s="221"/>
      <c r="HY67" s="221"/>
      <c r="HZ67" s="221"/>
      <c r="IA67" s="221"/>
      <c r="IB67" s="221"/>
      <c r="IC67" s="221"/>
      <c r="ID67" s="221"/>
      <c r="IE67" s="221"/>
      <c r="IF67" s="221"/>
      <c r="IG67" s="221"/>
      <c r="IH67" s="221"/>
      <c r="II67" s="221"/>
      <c r="IJ67" s="221"/>
      <c r="IK67" s="221"/>
      <c r="IL67" s="221"/>
      <c r="IM67" s="221"/>
      <c r="IN67" s="221"/>
      <c r="IO67" s="221"/>
      <c r="IP67" s="221"/>
      <c r="IQ67" s="221"/>
      <c r="IR67" s="221"/>
      <c r="IS67" s="221"/>
      <c r="IT67" s="221"/>
      <c r="IU67" s="221"/>
      <c r="IV67" s="221"/>
      <c r="IW67" s="221"/>
      <c r="IX67" s="221"/>
      <c r="IY67" s="221"/>
      <c r="IZ67" s="221"/>
      <c r="JA67" s="221"/>
      <c r="JB67" s="221"/>
      <c r="JC67" s="221"/>
      <c r="JD67" s="221"/>
      <c r="JE67" s="221"/>
      <c r="JF67" s="221"/>
      <c r="JG67" s="221"/>
      <c r="JH67" s="221"/>
      <c r="JI67" s="221"/>
      <c r="JJ67" s="221"/>
      <c r="JK67" s="221"/>
      <c r="JL67" s="221"/>
      <c r="JM67" s="221"/>
      <c r="JN67" s="221"/>
      <c r="JO67" s="221"/>
      <c r="JP67" s="221"/>
      <c r="JQ67" s="221"/>
      <c r="JR67" s="221"/>
      <c r="JS67" s="221"/>
      <c r="JT67" s="221"/>
      <c r="JU67" s="221"/>
      <c r="JV67" s="221"/>
      <c r="JW67" s="221"/>
      <c r="JX67" s="221"/>
      <c r="JY67" s="221"/>
      <c r="JZ67" s="221"/>
      <c r="KA67" s="221"/>
      <c r="KB67" s="221"/>
      <c r="KC67" s="221"/>
    </row>
    <row r="68" spans="1:289" x14ac:dyDescent="0.25">
      <c r="B68" s="284" t="s">
        <v>625</v>
      </c>
      <c r="C68" s="268">
        <f>Debt_LTC_Target-C67</f>
        <v>0</v>
      </c>
      <c r="D68" s="288" t="s">
        <v>688</v>
      </c>
      <c r="E68" s="286">
        <v>0.12</v>
      </c>
      <c r="F68" s="268">
        <f>IF(C68=0,0,(C68/Debt_LTC_Target)*Debt_LTC_Actual)</f>
        <v>0</v>
      </c>
      <c r="G68" s="217">
        <f ca="1">I68/Units_SF_M2</f>
        <v>0</v>
      </c>
      <c r="H68" s="218">
        <f ca="1">I68/Units</f>
        <v>0</v>
      </c>
      <c r="I68" s="218">
        <f ca="1">IF(Debt_LTC_Target=0,0,(Project_Cost_Total-Equity_Total)*(C68/Debt_LTC_Target))</f>
        <v>0</v>
      </c>
      <c r="P68" s="157" t="s">
        <v>625</v>
      </c>
      <c r="Q68" s="287">
        <f t="shared" ref="Q68:AV68" si="320">Interest_Mezz_Loan</f>
        <v>0.12</v>
      </c>
      <c r="R68" s="287">
        <f t="shared" si="320"/>
        <v>0.12</v>
      </c>
      <c r="S68" s="287">
        <f t="shared" si="320"/>
        <v>0.12</v>
      </c>
      <c r="T68" s="287">
        <f t="shared" si="320"/>
        <v>0.12</v>
      </c>
      <c r="U68" s="287">
        <f t="shared" si="320"/>
        <v>0.12</v>
      </c>
      <c r="V68" s="287">
        <f t="shared" si="320"/>
        <v>0.12</v>
      </c>
      <c r="W68" s="287">
        <f t="shared" si="320"/>
        <v>0.12</v>
      </c>
      <c r="X68" s="287">
        <f t="shared" si="320"/>
        <v>0.12</v>
      </c>
      <c r="Y68" s="287">
        <f t="shared" si="320"/>
        <v>0.12</v>
      </c>
      <c r="Z68" s="287">
        <f t="shared" si="320"/>
        <v>0.12</v>
      </c>
      <c r="AA68" s="287">
        <f t="shared" si="320"/>
        <v>0.12</v>
      </c>
      <c r="AB68" s="287">
        <f t="shared" si="320"/>
        <v>0.12</v>
      </c>
      <c r="AC68" s="287">
        <f t="shared" si="320"/>
        <v>0.12</v>
      </c>
      <c r="AD68" s="287">
        <f t="shared" si="320"/>
        <v>0.12</v>
      </c>
      <c r="AE68" s="287">
        <f t="shared" si="320"/>
        <v>0.12</v>
      </c>
      <c r="AF68" s="287">
        <f t="shared" si="320"/>
        <v>0.12</v>
      </c>
      <c r="AG68" s="287">
        <f t="shared" si="320"/>
        <v>0.12</v>
      </c>
      <c r="AH68" s="287">
        <f t="shared" si="320"/>
        <v>0.12</v>
      </c>
      <c r="AI68" s="287">
        <f t="shared" si="320"/>
        <v>0.12</v>
      </c>
      <c r="AJ68" s="287">
        <f t="shared" si="320"/>
        <v>0.12</v>
      </c>
      <c r="AK68" s="287">
        <f t="shared" si="320"/>
        <v>0.12</v>
      </c>
      <c r="AL68" s="287">
        <f t="shared" si="320"/>
        <v>0.12</v>
      </c>
      <c r="AM68" s="287">
        <f t="shared" si="320"/>
        <v>0.12</v>
      </c>
      <c r="AN68" s="287">
        <f t="shared" si="320"/>
        <v>0.12</v>
      </c>
      <c r="AO68" s="287">
        <f t="shared" si="320"/>
        <v>0.12</v>
      </c>
      <c r="AP68" s="287">
        <f t="shared" si="320"/>
        <v>0.12</v>
      </c>
      <c r="AQ68" s="287">
        <f t="shared" si="320"/>
        <v>0.12</v>
      </c>
      <c r="AR68" s="287">
        <f t="shared" si="320"/>
        <v>0.12</v>
      </c>
      <c r="AS68" s="287">
        <f t="shared" si="320"/>
        <v>0.12</v>
      </c>
      <c r="AT68" s="287">
        <f t="shared" si="320"/>
        <v>0.12</v>
      </c>
      <c r="AU68" s="287">
        <f t="shared" si="320"/>
        <v>0.12</v>
      </c>
      <c r="AV68" s="287">
        <f t="shared" si="320"/>
        <v>0.12</v>
      </c>
      <c r="AW68" s="287">
        <f t="shared" ref="AW68:CB68" si="321">Interest_Mezz_Loan</f>
        <v>0.12</v>
      </c>
      <c r="AX68" s="287">
        <f t="shared" si="321"/>
        <v>0.12</v>
      </c>
      <c r="AY68" s="287">
        <f t="shared" si="321"/>
        <v>0.12</v>
      </c>
      <c r="AZ68" s="287">
        <f t="shared" si="321"/>
        <v>0.12</v>
      </c>
      <c r="BA68" s="287">
        <f t="shared" si="321"/>
        <v>0.12</v>
      </c>
      <c r="BB68" s="287">
        <f t="shared" si="321"/>
        <v>0.12</v>
      </c>
      <c r="BC68" s="287">
        <f t="shared" si="321"/>
        <v>0.12</v>
      </c>
      <c r="BD68" s="287">
        <f t="shared" si="321"/>
        <v>0.12</v>
      </c>
      <c r="BE68" s="287">
        <f t="shared" si="321"/>
        <v>0.12</v>
      </c>
      <c r="BF68" s="287">
        <f t="shared" si="321"/>
        <v>0.12</v>
      </c>
      <c r="BG68" s="287">
        <f t="shared" si="321"/>
        <v>0.12</v>
      </c>
      <c r="BH68" s="287">
        <f t="shared" si="321"/>
        <v>0.12</v>
      </c>
      <c r="BI68" s="287">
        <f t="shared" si="321"/>
        <v>0.12</v>
      </c>
      <c r="BJ68" s="287">
        <f t="shared" si="321"/>
        <v>0.12</v>
      </c>
      <c r="BK68" s="287">
        <f t="shared" si="321"/>
        <v>0.12</v>
      </c>
      <c r="BL68" s="287">
        <f t="shared" si="321"/>
        <v>0.12</v>
      </c>
      <c r="BM68" s="287">
        <f t="shared" si="321"/>
        <v>0.12</v>
      </c>
      <c r="BN68" s="287">
        <f t="shared" si="321"/>
        <v>0.12</v>
      </c>
      <c r="BO68" s="287">
        <f t="shared" si="321"/>
        <v>0.12</v>
      </c>
      <c r="BP68" s="287">
        <f t="shared" si="321"/>
        <v>0.12</v>
      </c>
      <c r="BQ68" s="287">
        <f t="shared" si="321"/>
        <v>0.12</v>
      </c>
      <c r="BR68" s="287">
        <f t="shared" si="321"/>
        <v>0.12</v>
      </c>
      <c r="BS68" s="287">
        <f t="shared" si="321"/>
        <v>0.12</v>
      </c>
      <c r="BT68" s="287">
        <f t="shared" si="321"/>
        <v>0.12</v>
      </c>
      <c r="BU68" s="287">
        <f t="shared" si="321"/>
        <v>0.12</v>
      </c>
      <c r="BV68" s="287">
        <f t="shared" si="321"/>
        <v>0.12</v>
      </c>
      <c r="BW68" s="287">
        <f t="shared" si="321"/>
        <v>0.12</v>
      </c>
      <c r="BX68" s="287">
        <f t="shared" si="321"/>
        <v>0.12</v>
      </c>
      <c r="BY68" s="287">
        <f t="shared" si="321"/>
        <v>0.12</v>
      </c>
      <c r="BZ68" s="287">
        <f t="shared" si="321"/>
        <v>0.12</v>
      </c>
      <c r="CA68" s="287">
        <f t="shared" si="321"/>
        <v>0.12</v>
      </c>
      <c r="CB68" s="287">
        <f t="shared" si="321"/>
        <v>0.12</v>
      </c>
      <c r="CC68" s="287">
        <f t="shared" ref="CC68:DH68" si="322">Interest_Mezz_Loan</f>
        <v>0.12</v>
      </c>
      <c r="CD68" s="287">
        <f t="shared" si="322"/>
        <v>0.12</v>
      </c>
      <c r="CE68" s="287">
        <f t="shared" si="322"/>
        <v>0.12</v>
      </c>
      <c r="CF68" s="287">
        <f t="shared" si="322"/>
        <v>0.12</v>
      </c>
      <c r="CG68" s="287">
        <f t="shared" si="322"/>
        <v>0.12</v>
      </c>
      <c r="CH68" s="287">
        <f t="shared" si="322"/>
        <v>0.12</v>
      </c>
      <c r="CI68" s="287">
        <f t="shared" si="322"/>
        <v>0.12</v>
      </c>
      <c r="CJ68" s="287">
        <f t="shared" si="322"/>
        <v>0.12</v>
      </c>
      <c r="CK68" s="287">
        <f t="shared" si="322"/>
        <v>0.12</v>
      </c>
      <c r="CL68" s="287">
        <f t="shared" si="322"/>
        <v>0.12</v>
      </c>
      <c r="CM68" s="287">
        <f t="shared" si="322"/>
        <v>0.12</v>
      </c>
      <c r="CN68" s="287">
        <f t="shared" si="322"/>
        <v>0.12</v>
      </c>
      <c r="CO68" s="287">
        <f t="shared" si="322"/>
        <v>0.12</v>
      </c>
      <c r="CP68" s="287">
        <f t="shared" si="322"/>
        <v>0.12</v>
      </c>
      <c r="CQ68" s="287">
        <f t="shared" si="322"/>
        <v>0.12</v>
      </c>
      <c r="CR68" s="287">
        <f t="shared" si="322"/>
        <v>0.12</v>
      </c>
      <c r="CS68" s="287">
        <f t="shared" si="322"/>
        <v>0.12</v>
      </c>
      <c r="CT68" s="287">
        <f t="shared" si="322"/>
        <v>0.12</v>
      </c>
      <c r="CU68" s="287">
        <f t="shared" si="322"/>
        <v>0.12</v>
      </c>
      <c r="CV68" s="287">
        <f t="shared" si="322"/>
        <v>0.12</v>
      </c>
      <c r="CW68" s="287">
        <f t="shared" si="322"/>
        <v>0.12</v>
      </c>
      <c r="CX68" s="287">
        <f t="shared" si="322"/>
        <v>0.12</v>
      </c>
      <c r="CY68" s="287">
        <f t="shared" si="322"/>
        <v>0.12</v>
      </c>
      <c r="CZ68" s="287">
        <f t="shared" si="322"/>
        <v>0.12</v>
      </c>
      <c r="DA68" s="287">
        <f t="shared" si="322"/>
        <v>0.12</v>
      </c>
      <c r="DB68" s="287">
        <f t="shared" si="322"/>
        <v>0.12</v>
      </c>
      <c r="DC68" s="287">
        <f t="shared" si="322"/>
        <v>0.12</v>
      </c>
      <c r="DD68" s="287">
        <f t="shared" si="322"/>
        <v>0.12</v>
      </c>
      <c r="DE68" s="287">
        <f t="shared" si="322"/>
        <v>0.12</v>
      </c>
      <c r="DF68" s="287">
        <f t="shared" si="322"/>
        <v>0.12</v>
      </c>
      <c r="DG68" s="287">
        <f t="shared" si="322"/>
        <v>0.12</v>
      </c>
      <c r="DH68" s="287">
        <f t="shared" si="322"/>
        <v>0.12</v>
      </c>
      <c r="DI68" s="287">
        <f t="shared" ref="DI68:ES68" si="323">Interest_Mezz_Loan</f>
        <v>0.12</v>
      </c>
      <c r="DJ68" s="287">
        <f t="shared" si="323"/>
        <v>0.12</v>
      </c>
      <c r="DK68" s="287">
        <f t="shared" si="323"/>
        <v>0.12</v>
      </c>
      <c r="DL68" s="287">
        <f t="shared" si="323"/>
        <v>0.12</v>
      </c>
      <c r="DM68" s="287">
        <f t="shared" si="323"/>
        <v>0.12</v>
      </c>
      <c r="DN68" s="287">
        <f t="shared" si="323"/>
        <v>0.12</v>
      </c>
      <c r="DO68" s="287">
        <f t="shared" si="323"/>
        <v>0.12</v>
      </c>
      <c r="DP68" s="287">
        <f t="shared" si="323"/>
        <v>0.12</v>
      </c>
      <c r="DQ68" s="287">
        <f t="shared" si="323"/>
        <v>0.12</v>
      </c>
      <c r="DR68" s="287">
        <f t="shared" si="323"/>
        <v>0.12</v>
      </c>
      <c r="DS68" s="287">
        <f t="shared" si="323"/>
        <v>0.12</v>
      </c>
      <c r="DT68" s="287">
        <f t="shared" si="323"/>
        <v>0.12</v>
      </c>
      <c r="DU68" s="287">
        <f t="shared" si="323"/>
        <v>0.12</v>
      </c>
      <c r="DV68" s="287">
        <f t="shared" si="323"/>
        <v>0.12</v>
      </c>
      <c r="DW68" s="287">
        <f t="shared" si="323"/>
        <v>0.12</v>
      </c>
      <c r="DX68" s="287">
        <f t="shared" si="323"/>
        <v>0.12</v>
      </c>
      <c r="DY68" s="287">
        <f t="shared" si="323"/>
        <v>0.12</v>
      </c>
      <c r="DZ68" s="287">
        <f t="shared" si="323"/>
        <v>0.12</v>
      </c>
      <c r="EA68" s="287">
        <f t="shared" si="323"/>
        <v>0.12</v>
      </c>
      <c r="EB68" s="287">
        <f t="shared" si="323"/>
        <v>0.12</v>
      </c>
      <c r="EC68" s="287">
        <f t="shared" si="323"/>
        <v>0.12</v>
      </c>
      <c r="ED68" s="287">
        <f t="shared" si="323"/>
        <v>0.12</v>
      </c>
      <c r="EE68" s="287">
        <f t="shared" si="323"/>
        <v>0.12</v>
      </c>
      <c r="EF68" s="287">
        <f t="shared" si="323"/>
        <v>0.12</v>
      </c>
      <c r="EG68" s="287">
        <f t="shared" si="323"/>
        <v>0.12</v>
      </c>
      <c r="EH68" s="287">
        <f t="shared" si="323"/>
        <v>0.12</v>
      </c>
      <c r="EI68" s="287">
        <f t="shared" si="323"/>
        <v>0.12</v>
      </c>
      <c r="EJ68" s="287">
        <f t="shared" si="323"/>
        <v>0.12</v>
      </c>
      <c r="EK68" s="287">
        <f t="shared" si="323"/>
        <v>0.12</v>
      </c>
      <c r="EL68" s="287">
        <f t="shared" si="323"/>
        <v>0.12</v>
      </c>
      <c r="EM68" s="287">
        <f t="shared" si="323"/>
        <v>0.12</v>
      </c>
      <c r="EN68" s="287">
        <f t="shared" si="323"/>
        <v>0.12</v>
      </c>
      <c r="EO68" s="287">
        <f t="shared" si="323"/>
        <v>0.12</v>
      </c>
      <c r="EP68" s="287">
        <f t="shared" si="323"/>
        <v>0.12</v>
      </c>
      <c r="EQ68" s="287">
        <f t="shared" si="323"/>
        <v>0.12</v>
      </c>
      <c r="ER68" s="287">
        <f t="shared" si="323"/>
        <v>0.12</v>
      </c>
      <c r="ES68" s="287">
        <f t="shared" si="323"/>
        <v>0.12</v>
      </c>
      <c r="EU68" s="153"/>
      <c r="EV68" s="153"/>
      <c r="EW68" s="153"/>
      <c r="EX68" s="153"/>
      <c r="EY68" s="154" t="s">
        <v>628</v>
      </c>
      <c r="EZ68" s="250"/>
      <c r="FA68" s="277">
        <f>IFERROR((FA69*FA81+FA70*FA82)/SUM(FA81:FA82),FA69)</f>
        <v>0.1</v>
      </c>
      <c r="FB68" s="277">
        <f t="shared" ref="FB68:HM68" si="324">IFERROR((FB69*FB81+FB70*FB82)/SUM(FB81:FB82),FB69)</f>
        <v>0.1</v>
      </c>
      <c r="FC68" s="277">
        <f t="shared" si="324"/>
        <v>0.1</v>
      </c>
      <c r="FD68" s="277">
        <f t="shared" si="324"/>
        <v>0.1</v>
      </c>
      <c r="FE68" s="277">
        <f t="shared" si="324"/>
        <v>0.1</v>
      </c>
      <c r="FF68" s="277">
        <f t="shared" si="324"/>
        <v>0.1</v>
      </c>
      <c r="FG68" s="277">
        <f t="shared" si="324"/>
        <v>0.1</v>
      </c>
      <c r="FH68" s="277">
        <f t="shared" si="324"/>
        <v>0.1</v>
      </c>
      <c r="FI68" s="277">
        <f t="shared" si="324"/>
        <v>0.1</v>
      </c>
      <c r="FJ68" s="277">
        <f t="shared" si="324"/>
        <v>0.1</v>
      </c>
      <c r="FK68" s="277">
        <f t="shared" si="324"/>
        <v>0.1</v>
      </c>
      <c r="FL68" s="277">
        <f t="shared" si="324"/>
        <v>0.1</v>
      </c>
      <c r="FM68" s="277">
        <f t="shared" si="324"/>
        <v>0.1</v>
      </c>
      <c r="FN68" s="277">
        <f t="shared" si="324"/>
        <v>0.1</v>
      </c>
      <c r="FO68" s="277">
        <f t="shared" si="324"/>
        <v>0.1</v>
      </c>
      <c r="FP68" s="277">
        <f t="shared" si="324"/>
        <v>0.1</v>
      </c>
      <c r="FQ68" s="277">
        <f t="shared" si="324"/>
        <v>0.1</v>
      </c>
      <c r="FR68" s="277">
        <f t="shared" si="324"/>
        <v>0.1</v>
      </c>
      <c r="FS68" s="277">
        <f t="shared" si="324"/>
        <v>0.1</v>
      </c>
      <c r="FT68" s="277">
        <f t="shared" si="324"/>
        <v>0.1</v>
      </c>
      <c r="FU68" s="277">
        <f t="shared" si="324"/>
        <v>0.1</v>
      </c>
      <c r="FV68" s="277">
        <f t="shared" si="324"/>
        <v>0.1</v>
      </c>
      <c r="FW68" s="277">
        <f t="shared" si="324"/>
        <v>0.1</v>
      </c>
      <c r="FX68" s="277">
        <f t="shared" si="324"/>
        <v>0.1</v>
      </c>
      <c r="FY68" s="277">
        <f t="shared" si="324"/>
        <v>0.1</v>
      </c>
      <c r="FZ68" s="277">
        <f t="shared" si="324"/>
        <v>0.1</v>
      </c>
      <c r="GA68" s="277">
        <f t="shared" si="324"/>
        <v>0.1</v>
      </c>
      <c r="GB68" s="277">
        <f t="shared" si="324"/>
        <v>0.1</v>
      </c>
      <c r="GC68" s="277">
        <f t="shared" si="324"/>
        <v>0.1</v>
      </c>
      <c r="GD68" s="277">
        <f t="shared" si="324"/>
        <v>0.1</v>
      </c>
      <c r="GE68" s="277">
        <f t="shared" si="324"/>
        <v>0.1</v>
      </c>
      <c r="GF68" s="277">
        <f t="shared" si="324"/>
        <v>0.1</v>
      </c>
      <c r="GG68" s="277">
        <f t="shared" si="324"/>
        <v>0.1</v>
      </c>
      <c r="GH68" s="277">
        <f t="shared" si="324"/>
        <v>0.1</v>
      </c>
      <c r="GI68" s="277">
        <f t="shared" si="324"/>
        <v>0.1</v>
      </c>
      <c r="GJ68" s="277">
        <f t="shared" si="324"/>
        <v>0.1</v>
      </c>
      <c r="GK68" s="277">
        <f t="shared" si="324"/>
        <v>0.1</v>
      </c>
      <c r="GL68" s="277">
        <f t="shared" si="324"/>
        <v>0.1</v>
      </c>
      <c r="GM68" s="277">
        <f t="shared" si="324"/>
        <v>0.1</v>
      </c>
      <c r="GN68" s="277">
        <f t="shared" si="324"/>
        <v>0.1</v>
      </c>
      <c r="GO68" s="277">
        <f t="shared" si="324"/>
        <v>0.1</v>
      </c>
      <c r="GP68" s="277">
        <f t="shared" si="324"/>
        <v>0.1</v>
      </c>
      <c r="GQ68" s="277">
        <f t="shared" si="324"/>
        <v>0.1</v>
      </c>
      <c r="GR68" s="277">
        <f t="shared" si="324"/>
        <v>0.1</v>
      </c>
      <c r="GS68" s="277">
        <f t="shared" si="324"/>
        <v>0.1</v>
      </c>
      <c r="GT68" s="277">
        <f t="shared" si="324"/>
        <v>0.1</v>
      </c>
      <c r="GU68" s="277">
        <f t="shared" si="324"/>
        <v>0.1</v>
      </c>
      <c r="GV68" s="277">
        <f t="shared" si="324"/>
        <v>0.1</v>
      </c>
      <c r="GW68" s="277">
        <f t="shared" si="324"/>
        <v>0.1</v>
      </c>
      <c r="GX68" s="277">
        <f t="shared" si="324"/>
        <v>0.1</v>
      </c>
      <c r="GY68" s="277">
        <f t="shared" si="324"/>
        <v>0.1</v>
      </c>
      <c r="GZ68" s="277">
        <f t="shared" si="324"/>
        <v>0.1</v>
      </c>
      <c r="HA68" s="277">
        <f t="shared" si="324"/>
        <v>0.1</v>
      </c>
      <c r="HB68" s="277">
        <f t="shared" si="324"/>
        <v>0.1</v>
      </c>
      <c r="HC68" s="277">
        <f t="shared" si="324"/>
        <v>0.1</v>
      </c>
      <c r="HD68" s="277">
        <f t="shared" si="324"/>
        <v>0.1</v>
      </c>
      <c r="HE68" s="277">
        <f t="shared" si="324"/>
        <v>0.1</v>
      </c>
      <c r="HF68" s="277">
        <f t="shared" si="324"/>
        <v>0.1</v>
      </c>
      <c r="HG68" s="277">
        <f t="shared" si="324"/>
        <v>0.1</v>
      </c>
      <c r="HH68" s="277">
        <f t="shared" si="324"/>
        <v>0.1</v>
      </c>
      <c r="HI68" s="277">
        <f t="shared" si="324"/>
        <v>0.1</v>
      </c>
      <c r="HJ68" s="277">
        <f t="shared" si="324"/>
        <v>0.1</v>
      </c>
      <c r="HK68" s="277">
        <f t="shared" si="324"/>
        <v>0.1</v>
      </c>
      <c r="HL68" s="277">
        <f t="shared" si="324"/>
        <v>0.1</v>
      </c>
      <c r="HM68" s="277">
        <f t="shared" si="324"/>
        <v>0.1</v>
      </c>
      <c r="HN68" s="277">
        <f t="shared" ref="HN68:JY68" si="325">IFERROR((HN69*HN81+HN70*HN82)/SUM(HN81:HN82),HN69)</f>
        <v>0.1</v>
      </c>
      <c r="HO68" s="277">
        <f t="shared" si="325"/>
        <v>0.1</v>
      </c>
      <c r="HP68" s="277">
        <f t="shared" si="325"/>
        <v>0.1</v>
      </c>
      <c r="HQ68" s="277">
        <f t="shared" si="325"/>
        <v>0.1</v>
      </c>
      <c r="HR68" s="277">
        <f t="shared" si="325"/>
        <v>0.1</v>
      </c>
      <c r="HS68" s="277">
        <f t="shared" si="325"/>
        <v>0.1</v>
      </c>
      <c r="HT68" s="277">
        <f t="shared" si="325"/>
        <v>0.1</v>
      </c>
      <c r="HU68" s="277">
        <f t="shared" si="325"/>
        <v>0.1</v>
      </c>
      <c r="HV68" s="277">
        <f t="shared" si="325"/>
        <v>0.1</v>
      </c>
      <c r="HW68" s="277">
        <f t="shared" si="325"/>
        <v>0.1</v>
      </c>
      <c r="HX68" s="277">
        <f t="shared" si="325"/>
        <v>0.1</v>
      </c>
      <c r="HY68" s="277">
        <f t="shared" si="325"/>
        <v>0.1</v>
      </c>
      <c r="HZ68" s="277">
        <f t="shared" si="325"/>
        <v>0.1</v>
      </c>
      <c r="IA68" s="277">
        <f t="shared" si="325"/>
        <v>0.1</v>
      </c>
      <c r="IB68" s="277">
        <f t="shared" si="325"/>
        <v>0.1</v>
      </c>
      <c r="IC68" s="277">
        <f t="shared" si="325"/>
        <v>0.1</v>
      </c>
      <c r="ID68" s="277">
        <f t="shared" si="325"/>
        <v>0.1</v>
      </c>
      <c r="IE68" s="277">
        <f t="shared" si="325"/>
        <v>0.1</v>
      </c>
      <c r="IF68" s="277">
        <f t="shared" si="325"/>
        <v>0.1</v>
      </c>
      <c r="IG68" s="277">
        <f t="shared" si="325"/>
        <v>0.1</v>
      </c>
      <c r="IH68" s="277">
        <f t="shared" si="325"/>
        <v>0.1</v>
      </c>
      <c r="II68" s="277">
        <f t="shared" si="325"/>
        <v>0.1</v>
      </c>
      <c r="IJ68" s="277">
        <f t="shared" si="325"/>
        <v>0.1</v>
      </c>
      <c r="IK68" s="277">
        <f t="shared" si="325"/>
        <v>0.1</v>
      </c>
      <c r="IL68" s="277">
        <f t="shared" si="325"/>
        <v>0.1</v>
      </c>
      <c r="IM68" s="277">
        <f t="shared" si="325"/>
        <v>0.1</v>
      </c>
      <c r="IN68" s="277">
        <f t="shared" si="325"/>
        <v>0.1</v>
      </c>
      <c r="IO68" s="277">
        <f t="shared" si="325"/>
        <v>0.1</v>
      </c>
      <c r="IP68" s="277">
        <f t="shared" si="325"/>
        <v>0.1</v>
      </c>
      <c r="IQ68" s="277">
        <f t="shared" si="325"/>
        <v>0.1</v>
      </c>
      <c r="IR68" s="277">
        <f t="shared" si="325"/>
        <v>0.1</v>
      </c>
      <c r="IS68" s="277">
        <f t="shared" si="325"/>
        <v>0.1</v>
      </c>
      <c r="IT68" s="277">
        <f t="shared" si="325"/>
        <v>0.1</v>
      </c>
      <c r="IU68" s="277">
        <f t="shared" si="325"/>
        <v>0.1</v>
      </c>
      <c r="IV68" s="277">
        <f t="shared" si="325"/>
        <v>0.1</v>
      </c>
      <c r="IW68" s="277">
        <f t="shared" si="325"/>
        <v>0.1</v>
      </c>
      <c r="IX68" s="277">
        <f t="shared" si="325"/>
        <v>0.1</v>
      </c>
      <c r="IY68" s="277">
        <f t="shared" si="325"/>
        <v>0.1</v>
      </c>
      <c r="IZ68" s="277">
        <f t="shared" si="325"/>
        <v>0.1</v>
      </c>
      <c r="JA68" s="277">
        <f t="shared" si="325"/>
        <v>0.1</v>
      </c>
      <c r="JB68" s="277">
        <f t="shared" si="325"/>
        <v>0.1</v>
      </c>
      <c r="JC68" s="277">
        <f t="shared" si="325"/>
        <v>0.1</v>
      </c>
      <c r="JD68" s="277">
        <f t="shared" si="325"/>
        <v>0.1</v>
      </c>
      <c r="JE68" s="277">
        <f t="shared" si="325"/>
        <v>0.1</v>
      </c>
      <c r="JF68" s="277">
        <f t="shared" si="325"/>
        <v>0.1</v>
      </c>
      <c r="JG68" s="277">
        <f t="shared" si="325"/>
        <v>0.1</v>
      </c>
      <c r="JH68" s="277">
        <f t="shared" si="325"/>
        <v>0.1</v>
      </c>
      <c r="JI68" s="277">
        <f t="shared" si="325"/>
        <v>0.1</v>
      </c>
      <c r="JJ68" s="277">
        <f t="shared" si="325"/>
        <v>0.1</v>
      </c>
      <c r="JK68" s="277">
        <f t="shared" si="325"/>
        <v>0.1</v>
      </c>
      <c r="JL68" s="277">
        <f t="shared" si="325"/>
        <v>0.1</v>
      </c>
      <c r="JM68" s="277">
        <f t="shared" si="325"/>
        <v>0.1</v>
      </c>
      <c r="JN68" s="277">
        <f t="shared" si="325"/>
        <v>0.1</v>
      </c>
      <c r="JO68" s="277">
        <f t="shared" si="325"/>
        <v>0.1</v>
      </c>
      <c r="JP68" s="277">
        <f t="shared" si="325"/>
        <v>0.1</v>
      </c>
      <c r="JQ68" s="277">
        <f t="shared" si="325"/>
        <v>0.1</v>
      </c>
      <c r="JR68" s="277">
        <f t="shared" si="325"/>
        <v>0.1</v>
      </c>
      <c r="JS68" s="277">
        <f t="shared" si="325"/>
        <v>0.1</v>
      </c>
      <c r="JT68" s="277">
        <f t="shared" si="325"/>
        <v>0.1</v>
      </c>
      <c r="JU68" s="277">
        <f t="shared" si="325"/>
        <v>0.1</v>
      </c>
      <c r="JV68" s="277">
        <f t="shared" si="325"/>
        <v>0.1</v>
      </c>
      <c r="JW68" s="277">
        <f t="shared" si="325"/>
        <v>0.1</v>
      </c>
      <c r="JX68" s="277">
        <f t="shared" si="325"/>
        <v>0.1</v>
      </c>
      <c r="JY68" s="277">
        <f t="shared" si="325"/>
        <v>0.1</v>
      </c>
      <c r="JZ68" s="277">
        <f t="shared" ref="JZ68:KC68" si="326">IFERROR((JZ69*JZ81+JZ70*JZ82)/SUM(JZ81:JZ82),JZ69)</f>
        <v>0.1</v>
      </c>
      <c r="KA68" s="277">
        <f t="shared" si="326"/>
        <v>0.1</v>
      </c>
      <c r="KB68" s="277">
        <f t="shared" si="326"/>
        <v>0.1</v>
      </c>
      <c r="KC68" s="277">
        <f t="shared" si="326"/>
        <v>0.1</v>
      </c>
    </row>
    <row r="69" spans="1:289" x14ac:dyDescent="0.25">
      <c r="A69" s="150">
        <v>0</v>
      </c>
      <c r="B69" s="180"/>
      <c r="C69" s="196"/>
      <c r="D69" s="170" t="s">
        <v>506</v>
      </c>
      <c r="E69" s="171" t="s">
        <v>507</v>
      </c>
      <c r="F69" s="268"/>
      <c r="G69" s="217"/>
      <c r="H69" s="188"/>
      <c r="I69" s="188"/>
      <c r="EU69" s="153"/>
      <c r="EV69" s="153"/>
      <c r="EW69" s="153"/>
      <c r="EX69" s="153"/>
      <c r="EY69" s="154" t="s">
        <v>508</v>
      </c>
      <c r="EZ69" s="250"/>
      <c r="FA69" s="277">
        <f t="shared" ref="FA69:GF69" si="327">IF(Fixed_Variable=1,Q67,Interest_Const_Loan)</f>
        <v>0.1</v>
      </c>
      <c r="FB69" s="277">
        <f t="shared" si="327"/>
        <v>0.1</v>
      </c>
      <c r="FC69" s="277">
        <f t="shared" si="327"/>
        <v>0.1</v>
      </c>
      <c r="FD69" s="277">
        <f t="shared" si="327"/>
        <v>0.1</v>
      </c>
      <c r="FE69" s="277">
        <f t="shared" si="327"/>
        <v>0.1</v>
      </c>
      <c r="FF69" s="277">
        <f t="shared" si="327"/>
        <v>0.1</v>
      </c>
      <c r="FG69" s="277">
        <f t="shared" si="327"/>
        <v>0.1</v>
      </c>
      <c r="FH69" s="277">
        <f t="shared" si="327"/>
        <v>0.1</v>
      </c>
      <c r="FI69" s="277">
        <f t="shared" si="327"/>
        <v>0.1</v>
      </c>
      <c r="FJ69" s="277">
        <f t="shared" si="327"/>
        <v>0.1</v>
      </c>
      <c r="FK69" s="277">
        <f t="shared" si="327"/>
        <v>0.1</v>
      </c>
      <c r="FL69" s="277">
        <f t="shared" si="327"/>
        <v>0.1</v>
      </c>
      <c r="FM69" s="277">
        <f t="shared" si="327"/>
        <v>0.1</v>
      </c>
      <c r="FN69" s="277">
        <f t="shared" si="327"/>
        <v>0.1</v>
      </c>
      <c r="FO69" s="277">
        <f t="shared" si="327"/>
        <v>0.1</v>
      </c>
      <c r="FP69" s="277">
        <f t="shared" si="327"/>
        <v>0.1</v>
      </c>
      <c r="FQ69" s="277">
        <f t="shared" si="327"/>
        <v>0.1</v>
      </c>
      <c r="FR69" s="277">
        <f t="shared" si="327"/>
        <v>0.1</v>
      </c>
      <c r="FS69" s="277">
        <f t="shared" si="327"/>
        <v>0.1</v>
      </c>
      <c r="FT69" s="277">
        <f t="shared" si="327"/>
        <v>0.1</v>
      </c>
      <c r="FU69" s="277">
        <f t="shared" si="327"/>
        <v>0.1</v>
      </c>
      <c r="FV69" s="277">
        <f t="shared" si="327"/>
        <v>0.1</v>
      </c>
      <c r="FW69" s="277">
        <f t="shared" si="327"/>
        <v>0.1</v>
      </c>
      <c r="FX69" s="277">
        <f t="shared" si="327"/>
        <v>0.1</v>
      </c>
      <c r="FY69" s="277">
        <f t="shared" si="327"/>
        <v>0.1</v>
      </c>
      <c r="FZ69" s="277">
        <f t="shared" si="327"/>
        <v>0.1</v>
      </c>
      <c r="GA69" s="277">
        <f t="shared" si="327"/>
        <v>0.1</v>
      </c>
      <c r="GB69" s="277">
        <f t="shared" si="327"/>
        <v>0.1</v>
      </c>
      <c r="GC69" s="277">
        <f t="shared" si="327"/>
        <v>0.1</v>
      </c>
      <c r="GD69" s="277">
        <f t="shared" si="327"/>
        <v>0.1</v>
      </c>
      <c r="GE69" s="277">
        <f t="shared" si="327"/>
        <v>0.1</v>
      </c>
      <c r="GF69" s="277">
        <f t="shared" si="327"/>
        <v>0.1</v>
      </c>
      <c r="GG69" s="277">
        <f t="shared" ref="GG69:HL69" si="328">IF(Fixed_Variable=1,AW67,Interest_Const_Loan)</f>
        <v>0.1</v>
      </c>
      <c r="GH69" s="277">
        <f t="shared" si="328"/>
        <v>0.1</v>
      </c>
      <c r="GI69" s="277">
        <f t="shared" si="328"/>
        <v>0.1</v>
      </c>
      <c r="GJ69" s="277">
        <f t="shared" si="328"/>
        <v>0.1</v>
      </c>
      <c r="GK69" s="277">
        <f t="shared" si="328"/>
        <v>0.1</v>
      </c>
      <c r="GL69" s="277">
        <f t="shared" si="328"/>
        <v>0.1</v>
      </c>
      <c r="GM69" s="277">
        <f t="shared" si="328"/>
        <v>0.1</v>
      </c>
      <c r="GN69" s="277">
        <f t="shared" si="328"/>
        <v>0.1</v>
      </c>
      <c r="GO69" s="277">
        <f t="shared" si="328"/>
        <v>0.1</v>
      </c>
      <c r="GP69" s="277">
        <f t="shared" si="328"/>
        <v>0.1</v>
      </c>
      <c r="GQ69" s="277">
        <f t="shared" si="328"/>
        <v>0.1</v>
      </c>
      <c r="GR69" s="277">
        <f t="shared" si="328"/>
        <v>0.1</v>
      </c>
      <c r="GS69" s="277">
        <f t="shared" si="328"/>
        <v>0.1</v>
      </c>
      <c r="GT69" s="277">
        <f t="shared" si="328"/>
        <v>0.1</v>
      </c>
      <c r="GU69" s="277">
        <f t="shared" si="328"/>
        <v>0.1</v>
      </c>
      <c r="GV69" s="277">
        <f t="shared" si="328"/>
        <v>0.1</v>
      </c>
      <c r="GW69" s="277">
        <f t="shared" si="328"/>
        <v>0.1</v>
      </c>
      <c r="GX69" s="277">
        <f t="shared" si="328"/>
        <v>0.1</v>
      </c>
      <c r="GY69" s="277">
        <f t="shared" si="328"/>
        <v>0.1</v>
      </c>
      <c r="GZ69" s="277">
        <f t="shared" si="328"/>
        <v>0.1</v>
      </c>
      <c r="HA69" s="277">
        <f t="shared" si="328"/>
        <v>0.1</v>
      </c>
      <c r="HB69" s="277">
        <f t="shared" si="328"/>
        <v>0.1</v>
      </c>
      <c r="HC69" s="277">
        <f t="shared" si="328"/>
        <v>0.1</v>
      </c>
      <c r="HD69" s="277">
        <f t="shared" si="328"/>
        <v>0.1</v>
      </c>
      <c r="HE69" s="277">
        <f t="shared" si="328"/>
        <v>0.1</v>
      </c>
      <c r="HF69" s="277">
        <f t="shared" si="328"/>
        <v>0.1</v>
      </c>
      <c r="HG69" s="277">
        <f t="shared" si="328"/>
        <v>0.1</v>
      </c>
      <c r="HH69" s="277">
        <f t="shared" si="328"/>
        <v>0.1</v>
      </c>
      <c r="HI69" s="277">
        <f t="shared" si="328"/>
        <v>0.1</v>
      </c>
      <c r="HJ69" s="277">
        <f t="shared" si="328"/>
        <v>0.1</v>
      </c>
      <c r="HK69" s="277">
        <f t="shared" si="328"/>
        <v>0.1</v>
      </c>
      <c r="HL69" s="277">
        <f t="shared" si="328"/>
        <v>0.1</v>
      </c>
      <c r="HM69" s="277">
        <f t="shared" ref="HM69:IR69" si="329">IF(Fixed_Variable=1,CC67,Interest_Const_Loan)</f>
        <v>0.1</v>
      </c>
      <c r="HN69" s="277">
        <f t="shared" si="329"/>
        <v>0.1</v>
      </c>
      <c r="HO69" s="277">
        <f t="shared" si="329"/>
        <v>0.1</v>
      </c>
      <c r="HP69" s="277">
        <f t="shared" si="329"/>
        <v>0.1</v>
      </c>
      <c r="HQ69" s="277">
        <f t="shared" si="329"/>
        <v>0.1</v>
      </c>
      <c r="HR69" s="277">
        <f t="shared" si="329"/>
        <v>0.1</v>
      </c>
      <c r="HS69" s="277">
        <f t="shared" si="329"/>
        <v>0.1</v>
      </c>
      <c r="HT69" s="277">
        <f t="shared" si="329"/>
        <v>0.1</v>
      </c>
      <c r="HU69" s="277">
        <f t="shared" si="329"/>
        <v>0.1</v>
      </c>
      <c r="HV69" s="277">
        <f t="shared" si="329"/>
        <v>0.1</v>
      </c>
      <c r="HW69" s="277">
        <f t="shared" si="329"/>
        <v>0.1</v>
      </c>
      <c r="HX69" s="277">
        <f t="shared" si="329"/>
        <v>0.1</v>
      </c>
      <c r="HY69" s="277">
        <f t="shared" si="329"/>
        <v>0.1</v>
      </c>
      <c r="HZ69" s="277">
        <f t="shared" si="329"/>
        <v>0.1</v>
      </c>
      <c r="IA69" s="277">
        <f t="shared" si="329"/>
        <v>0.1</v>
      </c>
      <c r="IB69" s="277">
        <f t="shared" si="329"/>
        <v>0.1</v>
      </c>
      <c r="IC69" s="277">
        <f t="shared" si="329"/>
        <v>0.1</v>
      </c>
      <c r="ID69" s="277">
        <f t="shared" si="329"/>
        <v>0.1</v>
      </c>
      <c r="IE69" s="277">
        <f t="shared" si="329"/>
        <v>0.1</v>
      </c>
      <c r="IF69" s="277">
        <f t="shared" si="329"/>
        <v>0.1</v>
      </c>
      <c r="IG69" s="277">
        <f t="shared" si="329"/>
        <v>0.1</v>
      </c>
      <c r="IH69" s="277">
        <f t="shared" si="329"/>
        <v>0.1</v>
      </c>
      <c r="II69" s="277">
        <f t="shared" si="329"/>
        <v>0.1</v>
      </c>
      <c r="IJ69" s="277">
        <f t="shared" si="329"/>
        <v>0.1</v>
      </c>
      <c r="IK69" s="277">
        <f t="shared" si="329"/>
        <v>0.1</v>
      </c>
      <c r="IL69" s="277">
        <f t="shared" si="329"/>
        <v>0.1</v>
      </c>
      <c r="IM69" s="277">
        <f t="shared" si="329"/>
        <v>0.1</v>
      </c>
      <c r="IN69" s="277">
        <f t="shared" si="329"/>
        <v>0.1</v>
      </c>
      <c r="IO69" s="277">
        <f t="shared" si="329"/>
        <v>0.1</v>
      </c>
      <c r="IP69" s="277">
        <f t="shared" si="329"/>
        <v>0.1</v>
      </c>
      <c r="IQ69" s="277">
        <f t="shared" si="329"/>
        <v>0.1</v>
      </c>
      <c r="IR69" s="277">
        <f t="shared" si="329"/>
        <v>0.1</v>
      </c>
      <c r="IS69" s="277">
        <f t="shared" ref="IS69:JX69" si="330">IF(Fixed_Variable=1,DI67,Interest_Const_Loan)</f>
        <v>0.1</v>
      </c>
      <c r="IT69" s="277">
        <f t="shared" si="330"/>
        <v>0.1</v>
      </c>
      <c r="IU69" s="277">
        <f t="shared" si="330"/>
        <v>0.1</v>
      </c>
      <c r="IV69" s="277">
        <f t="shared" si="330"/>
        <v>0.1</v>
      </c>
      <c r="IW69" s="277">
        <f t="shared" si="330"/>
        <v>0.1</v>
      </c>
      <c r="IX69" s="277">
        <f t="shared" si="330"/>
        <v>0.1</v>
      </c>
      <c r="IY69" s="277">
        <f t="shared" si="330"/>
        <v>0.1</v>
      </c>
      <c r="IZ69" s="277">
        <f t="shared" si="330"/>
        <v>0.1</v>
      </c>
      <c r="JA69" s="277">
        <f t="shared" si="330"/>
        <v>0.1</v>
      </c>
      <c r="JB69" s="277">
        <f t="shared" si="330"/>
        <v>0.1</v>
      </c>
      <c r="JC69" s="277">
        <f t="shared" si="330"/>
        <v>0.1</v>
      </c>
      <c r="JD69" s="277">
        <f t="shared" si="330"/>
        <v>0.1</v>
      </c>
      <c r="JE69" s="277">
        <f t="shared" si="330"/>
        <v>0.1</v>
      </c>
      <c r="JF69" s="277">
        <f t="shared" si="330"/>
        <v>0.1</v>
      </c>
      <c r="JG69" s="277">
        <f t="shared" si="330"/>
        <v>0.1</v>
      </c>
      <c r="JH69" s="277">
        <f t="shared" si="330"/>
        <v>0.1</v>
      </c>
      <c r="JI69" s="277">
        <f t="shared" si="330"/>
        <v>0.1</v>
      </c>
      <c r="JJ69" s="277">
        <f t="shared" si="330"/>
        <v>0.1</v>
      </c>
      <c r="JK69" s="277">
        <f t="shared" si="330"/>
        <v>0.1</v>
      </c>
      <c r="JL69" s="277">
        <f t="shared" si="330"/>
        <v>0.1</v>
      </c>
      <c r="JM69" s="277">
        <f t="shared" si="330"/>
        <v>0.1</v>
      </c>
      <c r="JN69" s="277">
        <f t="shared" si="330"/>
        <v>0.1</v>
      </c>
      <c r="JO69" s="277">
        <f t="shared" si="330"/>
        <v>0.1</v>
      </c>
      <c r="JP69" s="277">
        <f t="shared" si="330"/>
        <v>0.1</v>
      </c>
      <c r="JQ69" s="277">
        <f t="shared" si="330"/>
        <v>0.1</v>
      </c>
      <c r="JR69" s="277">
        <f t="shared" si="330"/>
        <v>0.1</v>
      </c>
      <c r="JS69" s="277">
        <f t="shared" si="330"/>
        <v>0.1</v>
      </c>
      <c r="JT69" s="277">
        <f t="shared" si="330"/>
        <v>0.1</v>
      </c>
      <c r="JU69" s="277">
        <f t="shared" si="330"/>
        <v>0.1</v>
      </c>
      <c r="JV69" s="277">
        <f t="shared" si="330"/>
        <v>0.1</v>
      </c>
      <c r="JW69" s="277">
        <f t="shared" si="330"/>
        <v>0.1</v>
      </c>
      <c r="JX69" s="277">
        <f t="shared" si="330"/>
        <v>0.1</v>
      </c>
      <c r="JY69" s="277">
        <f t="shared" ref="JY69:KC69" si="331">IF(Fixed_Variable=1,EO67,Interest_Const_Loan)</f>
        <v>0.1</v>
      </c>
      <c r="JZ69" s="277">
        <f t="shared" si="331"/>
        <v>0.1</v>
      </c>
      <c r="KA69" s="277">
        <f t="shared" si="331"/>
        <v>0.1</v>
      </c>
      <c r="KB69" s="277">
        <f t="shared" si="331"/>
        <v>0.1</v>
      </c>
      <c r="KC69" s="277">
        <f t="shared" si="331"/>
        <v>0.1</v>
      </c>
    </row>
    <row r="70" spans="1:289" x14ac:dyDescent="0.25">
      <c r="B70" s="209" t="s">
        <v>84</v>
      </c>
      <c r="C70" s="196"/>
      <c r="D70" s="196"/>
      <c r="E70" s="196"/>
      <c r="F70" s="210" t="s">
        <v>62</v>
      </c>
      <c r="G70" s="266" t="str">
        <f>+G61</f>
        <v>/RENTABLE SF</v>
      </c>
      <c r="H70" s="211" t="s">
        <v>38</v>
      </c>
      <c r="I70" s="210" t="s">
        <v>22</v>
      </c>
      <c r="Q70" s="161">
        <f t="shared" ref="Q70:AV70" si="332">Q3</f>
        <v>0</v>
      </c>
      <c r="R70" s="161">
        <f t="shared" si="332"/>
        <v>1</v>
      </c>
      <c r="S70" s="161">
        <f t="shared" si="332"/>
        <v>2</v>
      </c>
      <c r="T70" s="161">
        <f t="shared" si="332"/>
        <v>3</v>
      </c>
      <c r="U70" s="161">
        <f t="shared" si="332"/>
        <v>4</v>
      </c>
      <c r="V70" s="161">
        <f t="shared" si="332"/>
        <v>5</v>
      </c>
      <c r="W70" s="161">
        <f t="shared" si="332"/>
        <v>6</v>
      </c>
      <c r="X70" s="161">
        <f t="shared" si="332"/>
        <v>7</v>
      </c>
      <c r="Y70" s="161">
        <f t="shared" si="332"/>
        <v>8</v>
      </c>
      <c r="Z70" s="161">
        <f t="shared" si="332"/>
        <v>9</v>
      </c>
      <c r="AA70" s="161">
        <f t="shared" si="332"/>
        <v>10</v>
      </c>
      <c r="AB70" s="161">
        <f t="shared" si="332"/>
        <v>11</v>
      </c>
      <c r="AC70" s="161">
        <f t="shared" si="332"/>
        <v>12</v>
      </c>
      <c r="AD70" s="161">
        <f t="shared" si="332"/>
        <v>13</v>
      </c>
      <c r="AE70" s="161">
        <f t="shared" si="332"/>
        <v>14</v>
      </c>
      <c r="AF70" s="161">
        <f t="shared" si="332"/>
        <v>15</v>
      </c>
      <c r="AG70" s="161">
        <f t="shared" si="332"/>
        <v>16</v>
      </c>
      <c r="AH70" s="161">
        <f t="shared" si="332"/>
        <v>17</v>
      </c>
      <c r="AI70" s="161">
        <f t="shared" si="332"/>
        <v>18</v>
      </c>
      <c r="AJ70" s="161">
        <f t="shared" si="332"/>
        <v>19</v>
      </c>
      <c r="AK70" s="161">
        <f t="shared" si="332"/>
        <v>20</v>
      </c>
      <c r="AL70" s="161">
        <f t="shared" si="332"/>
        <v>21</v>
      </c>
      <c r="AM70" s="161">
        <f t="shared" si="332"/>
        <v>22</v>
      </c>
      <c r="AN70" s="161">
        <f t="shared" si="332"/>
        <v>23</v>
      </c>
      <c r="AO70" s="161">
        <f t="shared" si="332"/>
        <v>24</v>
      </c>
      <c r="AP70" s="161">
        <f t="shared" si="332"/>
        <v>25</v>
      </c>
      <c r="AQ70" s="161">
        <f t="shared" si="332"/>
        <v>26</v>
      </c>
      <c r="AR70" s="161">
        <f t="shared" si="332"/>
        <v>27</v>
      </c>
      <c r="AS70" s="161">
        <f t="shared" si="332"/>
        <v>28</v>
      </c>
      <c r="AT70" s="161">
        <f t="shared" si="332"/>
        <v>29</v>
      </c>
      <c r="AU70" s="161">
        <f t="shared" si="332"/>
        <v>30</v>
      </c>
      <c r="AV70" s="161">
        <f t="shared" si="332"/>
        <v>31</v>
      </c>
      <c r="AW70" s="161">
        <f t="shared" ref="AW70:CB70" si="333">AW3</f>
        <v>32</v>
      </c>
      <c r="AX70" s="161">
        <f t="shared" si="333"/>
        <v>33</v>
      </c>
      <c r="AY70" s="161">
        <f t="shared" si="333"/>
        <v>34</v>
      </c>
      <c r="AZ70" s="161">
        <f t="shared" si="333"/>
        <v>35</v>
      </c>
      <c r="BA70" s="161">
        <f t="shared" si="333"/>
        <v>36</v>
      </c>
      <c r="BB70" s="161">
        <f t="shared" si="333"/>
        <v>37</v>
      </c>
      <c r="BC70" s="161">
        <f t="shared" si="333"/>
        <v>38</v>
      </c>
      <c r="BD70" s="161">
        <f t="shared" si="333"/>
        <v>39</v>
      </c>
      <c r="BE70" s="161">
        <f t="shared" si="333"/>
        <v>40</v>
      </c>
      <c r="BF70" s="161">
        <f t="shared" si="333"/>
        <v>41</v>
      </c>
      <c r="BG70" s="161">
        <f t="shared" si="333"/>
        <v>42</v>
      </c>
      <c r="BH70" s="161">
        <f t="shared" si="333"/>
        <v>43</v>
      </c>
      <c r="BI70" s="161">
        <f t="shared" si="333"/>
        <v>44</v>
      </c>
      <c r="BJ70" s="161">
        <f t="shared" si="333"/>
        <v>45</v>
      </c>
      <c r="BK70" s="161">
        <f t="shared" si="333"/>
        <v>46</v>
      </c>
      <c r="BL70" s="161">
        <f t="shared" si="333"/>
        <v>47</v>
      </c>
      <c r="BM70" s="161">
        <f t="shared" si="333"/>
        <v>48</v>
      </c>
      <c r="BN70" s="161">
        <f t="shared" si="333"/>
        <v>49</v>
      </c>
      <c r="BO70" s="161">
        <f t="shared" si="333"/>
        <v>50</v>
      </c>
      <c r="BP70" s="161">
        <f t="shared" si="333"/>
        <v>51</v>
      </c>
      <c r="BQ70" s="161">
        <f t="shared" si="333"/>
        <v>52</v>
      </c>
      <c r="BR70" s="161">
        <f t="shared" si="333"/>
        <v>53</v>
      </c>
      <c r="BS70" s="161">
        <f t="shared" si="333"/>
        <v>54</v>
      </c>
      <c r="BT70" s="161">
        <f t="shared" si="333"/>
        <v>55</v>
      </c>
      <c r="BU70" s="161">
        <f t="shared" si="333"/>
        <v>56</v>
      </c>
      <c r="BV70" s="161">
        <f t="shared" si="333"/>
        <v>57</v>
      </c>
      <c r="BW70" s="161">
        <f t="shared" si="333"/>
        <v>58</v>
      </c>
      <c r="BX70" s="161">
        <f t="shared" si="333"/>
        <v>59</v>
      </c>
      <c r="BY70" s="161">
        <f t="shared" si="333"/>
        <v>60</v>
      </c>
      <c r="BZ70" s="161">
        <f t="shared" si="333"/>
        <v>61</v>
      </c>
      <c r="CA70" s="161">
        <f t="shared" si="333"/>
        <v>62</v>
      </c>
      <c r="CB70" s="161">
        <f t="shared" si="333"/>
        <v>63</v>
      </c>
      <c r="CC70" s="161">
        <f t="shared" ref="CC70:DH70" si="334">CC3</f>
        <v>64</v>
      </c>
      <c r="CD70" s="161">
        <f t="shared" si="334"/>
        <v>65</v>
      </c>
      <c r="CE70" s="161">
        <f t="shared" si="334"/>
        <v>66</v>
      </c>
      <c r="CF70" s="161">
        <f t="shared" si="334"/>
        <v>67</v>
      </c>
      <c r="CG70" s="161">
        <f t="shared" si="334"/>
        <v>68</v>
      </c>
      <c r="CH70" s="161">
        <f t="shared" si="334"/>
        <v>69</v>
      </c>
      <c r="CI70" s="161">
        <f t="shared" si="334"/>
        <v>70</v>
      </c>
      <c r="CJ70" s="161">
        <f t="shared" si="334"/>
        <v>71</v>
      </c>
      <c r="CK70" s="161">
        <f t="shared" si="334"/>
        <v>72</v>
      </c>
      <c r="CL70" s="161">
        <f t="shared" si="334"/>
        <v>73</v>
      </c>
      <c r="CM70" s="161">
        <f t="shared" si="334"/>
        <v>74</v>
      </c>
      <c r="CN70" s="161">
        <f t="shared" si="334"/>
        <v>75</v>
      </c>
      <c r="CO70" s="161">
        <f t="shared" si="334"/>
        <v>76</v>
      </c>
      <c r="CP70" s="161">
        <f t="shared" si="334"/>
        <v>77</v>
      </c>
      <c r="CQ70" s="161">
        <f t="shared" si="334"/>
        <v>78</v>
      </c>
      <c r="CR70" s="161">
        <f t="shared" si="334"/>
        <v>79</v>
      </c>
      <c r="CS70" s="161">
        <f t="shared" si="334"/>
        <v>80</v>
      </c>
      <c r="CT70" s="161">
        <f t="shared" si="334"/>
        <v>81</v>
      </c>
      <c r="CU70" s="161">
        <f t="shared" si="334"/>
        <v>82</v>
      </c>
      <c r="CV70" s="161">
        <f t="shared" si="334"/>
        <v>83</v>
      </c>
      <c r="CW70" s="161">
        <f t="shared" si="334"/>
        <v>84</v>
      </c>
      <c r="CX70" s="161">
        <f t="shared" si="334"/>
        <v>85</v>
      </c>
      <c r="CY70" s="161">
        <f t="shared" si="334"/>
        <v>86</v>
      </c>
      <c r="CZ70" s="161">
        <f t="shared" si="334"/>
        <v>87</v>
      </c>
      <c r="DA70" s="161">
        <f t="shared" si="334"/>
        <v>88</v>
      </c>
      <c r="DB70" s="161">
        <f t="shared" si="334"/>
        <v>89</v>
      </c>
      <c r="DC70" s="161">
        <f t="shared" si="334"/>
        <v>90</v>
      </c>
      <c r="DD70" s="161">
        <f t="shared" si="334"/>
        <v>91</v>
      </c>
      <c r="DE70" s="161">
        <f t="shared" si="334"/>
        <v>92</v>
      </c>
      <c r="DF70" s="161">
        <f t="shared" si="334"/>
        <v>93</v>
      </c>
      <c r="DG70" s="161">
        <f t="shared" si="334"/>
        <v>94</v>
      </c>
      <c r="DH70" s="161">
        <f t="shared" si="334"/>
        <v>95</v>
      </c>
      <c r="DI70" s="161">
        <f t="shared" ref="DI70:ES70" si="335">DI3</f>
        <v>96</v>
      </c>
      <c r="DJ70" s="161">
        <f t="shared" si="335"/>
        <v>97</v>
      </c>
      <c r="DK70" s="161">
        <f t="shared" si="335"/>
        <v>98</v>
      </c>
      <c r="DL70" s="161">
        <f t="shared" si="335"/>
        <v>99</v>
      </c>
      <c r="DM70" s="161">
        <f t="shared" si="335"/>
        <v>100</v>
      </c>
      <c r="DN70" s="161">
        <f t="shared" si="335"/>
        <v>101</v>
      </c>
      <c r="DO70" s="161">
        <f t="shared" si="335"/>
        <v>102</v>
      </c>
      <c r="DP70" s="161">
        <f t="shared" si="335"/>
        <v>103</v>
      </c>
      <c r="DQ70" s="161">
        <f t="shared" si="335"/>
        <v>104</v>
      </c>
      <c r="DR70" s="161">
        <f t="shared" si="335"/>
        <v>105</v>
      </c>
      <c r="DS70" s="161">
        <f t="shared" si="335"/>
        <v>106</v>
      </c>
      <c r="DT70" s="161">
        <f t="shared" si="335"/>
        <v>107</v>
      </c>
      <c r="DU70" s="161">
        <f t="shared" si="335"/>
        <v>108</v>
      </c>
      <c r="DV70" s="161">
        <f t="shared" si="335"/>
        <v>109</v>
      </c>
      <c r="DW70" s="161">
        <f t="shared" si="335"/>
        <v>110</v>
      </c>
      <c r="DX70" s="161">
        <f t="shared" si="335"/>
        <v>111</v>
      </c>
      <c r="DY70" s="161">
        <f t="shared" si="335"/>
        <v>112</v>
      </c>
      <c r="DZ70" s="161">
        <f t="shared" si="335"/>
        <v>113</v>
      </c>
      <c r="EA70" s="161">
        <f t="shared" si="335"/>
        <v>114</v>
      </c>
      <c r="EB70" s="161">
        <f t="shared" si="335"/>
        <v>115</v>
      </c>
      <c r="EC70" s="161">
        <f t="shared" si="335"/>
        <v>116</v>
      </c>
      <c r="ED70" s="161">
        <f t="shared" si="335"/>
        <v>117</v>
      </c>
      <c r="EE70" s="161">
        <f t="shared" si="335"/>
        <v>118</v>
      </c>
      <c r="EF70" s="161">
        <f t="shared" si="335"/>
        <v>119</v>
      </c>
      <c r="EG70" s="161">
        <f t="shared" si="335"/>
        <v>120</v>
      </c>
      <c r="EH70" s="161">
        <f t="shared" si="335"/>
        <v>121</v>
      </c>
      <c r="EI70" s="161">
        <f t="shared" si="335"/>
        <v>122</v>
      </c>
      <c r="EJ70" s="161">
        <f t="shared" si="335"/>
        <v>123</v>
      </c>
      <c r="EK70" s="161">
        <f t="shared" si="335"/>
        <v>124</v>
      </c>
      <c r="EL70" s="161">
        <f t="shared" si="335"/>
        <v>125</v>
      </c>
      <c r="EM70" s="161">
        <f t="shared" si="335"/>
        <v>126</v>
      </c>
      <c r="EN70" s="161">
        <f t="shared" si="335"/>
        <v>127</v>
      </c>
      <c r="EO70" s="161">
        <f t="shared" si="335"/>
        <v>128</v>
      </c>
      <c r="EP70" s="161">
        <f t="shared" si="335"/>
        <v>129</v>
      </c>
      <c r="EQ70" s="161">
        <f t="shared" si="335"/>
        <v>130</v>
      </c>
      <c r="ER70" s="161">
        <f t="shared" si="335"/>
        <v>131</v>
      </c>
      <c r="ES70" s="161">
        <f t="shared" si="335"/>
        <v>132</v>
      </c>
      <c r="EU70" s="256" t="s">
        <v>67</v>
      </c>
      <c r="EV70" s="153"/>
      <c r="EW70" s="153"/>
      <c r="EX70" s="153"/>
      <c r="EY70" s="154" t="s">
        <v>627</v>
      </c>
      <c r="EZ70" s="250"/>
      <c r="FA70" s="277">
        <f t="shared" ref="FA70:GF70" si="336">IF(Fixed_Variable=1,Q68,Interest_Mezz_Loan)</f>
        <v>0.12</v>
      </c>
      <c r="FB70" s="277">
        <f t="shared" si="336"/>
        <v>0.12</v>
      </c>
      <c r="FC70" s="277">
        <f t="shared" si="336"/>
        <v>0.12</v>
      </c>
      <c r="FD70" s="277">
        <f t="shared" si="336"/>
        <v>0.12</v>
      </c>
      <c r="FE70" s="277">
        <f t="shared" si="336"/>
        <v>0.12</v>
      </c>
      <c r="FF70" s="277">
        <f t="shared" si="336"/>
        <v>0.12</v>
      </c>
      <c r="FG70" s="277">
        <f t="shared" si="336"/>
        <v>0.12</v>
      </c>
      <c r="FH70" s="277">
        <f t="shared" si="336"/>
        <v>0.12</v>
      </c>
      <c r="FI70" s="277">
        <f t="shared" si="336"/>
        <v>0.12</v>
      </c>
      <c r="FJ70" s="277">
        <f t="shared" si="336"/>
        <v>0.12</v>
      </c>
      <c r="FK70" s="277">
        <f t="shared" si="336"/>
        <v>0.12</v>
      </c>
      <c r="FL70" s="277">
        <f t="shared" si="336"/>
        <v>0.12</v>
      </c>
      <c r="FM70" s="277">
        <f t="shared" si="336"/>
        <v>0.12</v>
      </c>
      <c r="FN70" s="277">
        <f t="shared" si="336"/>
        <v>0.12</v>
      </c>
      <c r="FO70" s="277">
        <f t="shared" si="336"/>
        <v>0.12</v>
      </c>
      <c r="FP70" s="277">
        <f t="shared" si="336"/>
        <v>0.12</v>
      </c>
      <c r="FQ70" s="277">
        <f t="shared" si="336"/>
        <v>0.12</v>
      </c>
      <c r="FR70" s="277">
        <f t="shared" si="336"/>
        <v>0.12</v>
      </c>
      <c r="FS70" s="277">
        <f t="shared" si="336"/>
        <v>0.12</v>
      </c>
      <c r="FT70" s="277">
        <f t="shared" si="336"/>
        <v>0.12</v>
      </c>
      <c r="FU70" s="277">
        <f t="shared" si="336"/>
        <v>0.12</v>
      </c>
      <c r="FV70" s="277">
        <f t="shared" si="336"/>
        <v>0.12</v>
      </c>
      <c r="FW70" s="277">
        <f t="shared" si="336"/>
        <v>0.12</v>
      </c>
      <c r="FX70" s="277">
        <f t="shared" si="336"/>
        <v>0.12</v>
      </c>
      <c r="FY70" s="277">
        <f t="shared" si="336"/>
        <v>0.12</v>
      </c>
      <c r="FZ70" s="277">
        <f t="shared" si="336"/>
        <v>0.12</v>
      </c>
      <c r="GA70" s="277">
        <f t="shared" si="336"/>
        <v>0.12</v>
      </c>
      <c r="GB70" s="277">
        <f t="shared" si="336"/>
        <v>0.12</v>
      </c>
      <c r="GC70" s="277">
        <f t="shared" si="336"/>
        <v>0.12</v>
      </c>
      <c r="GD70" s="277">
        <f t="shared" si="336"/>
        <v>0.12</v>
      </c>
      <c r="GE70" s="277">
        <f t="shared" si="336"/>
        <v>0.12</v>
      </c>
      <c r="GF70" s="277">
        <f t="shared" si="336"/>
        <v>0.12</v>
      </c>
      <c r="GG70" s="277">
        <f t="shared" ref="GG70:HL70" si="337">IF(Fixed_Variable=1,AW68,Interest_Mezz_Loan)</f>
        <v>0.12</v>
      </c>
      <c r="GH70" s="277">
        <f t="shared" si="337"/>
        <v>0.12</v>
      </c>
      <c r="GI70" s="277">
        <f t="shared" si="337"/>
        <v>0.12</v>
      </c>
      <c r="GJ70" s="277">
        <f t="shared" si="337"/>
        <v>0.12</v>
      </c>
      <c r="GK70" s="277">
        <f t="shared" si="337"/>
        <v>0.12</v>
      </c>
      <c r="GL70" s="277">
        <f t="shared" si="337"/>
        <v>0.12</v>
      </c>
      <c r="GM70" s="277">
        <f t="shared" si="337"/>
        <v>0.12</v>
      </c>
      <c r="GN70" s="277">
        <f t="shared" si="337"/>
        <v>0.12</v>
      </c>
      <c r="GO70" s="277">
        <f t="shared" si="337"/>
        <v>0.12</v>
      </c>
      <c r="GP70" s="277">
        <f t="shared" si="337"/>
        <v>0.12</v>
      </c>
      <c r="GQ70" s="277">
        <f t="shared" si="337"/>
        <v>0.12</v>
      </c>
      <c r="GR70" s="277">
        <f t="shared" si="337"/>
        <v>0.12</v>
      </c>
      <c r="GS70" s="277">
        <f t="shared" si="337"/>
        <v>0.12</v>
      </c>
      <c r="GT70" s="277">
        <f t="shared" si="337"/>
        <v>0.12</v>
      </c>
      <c r="GU70" s="277">
        <f t="shared" si="337"/>
        <v>0.12</v>
      </c>
      <c r="GV70" s="277">
        <f t="shared" si="337"/>
        <v>0.12</v>
      </c>
      <c r="GW70" s="277">
        <f t="shared" si="337"/>
        <v>0.12</v>
      </c>
      <c r="GX70" s="277">
        <f t="shared" si="337"/>
        <v>0.12</v>
      </c>
      <c r="GY70" s="277">
        <f t="shared" si="337"/>
        <v>0.12</v>
      </c>
      <c r="GZ70" s="277">
        <f t="shared" si="337"/>
        <v>0.12</v>
      </c>
      <c r="HA70" s="277">
        <f t="shared" si="337"/>
        <v>0.12</v>
      </c>
      <c r="HB70" s="277">
        <f t="shared" si="337"/>
        <v>0.12</v>
      </c>
      <c r="HC70" s="277">
        <f t="shared" si="337"/>
        <v>0.12</v>
      </c>
      <c r="HD70" s="277">
        <f t="shared" si="337"/>
        <v>0.12</v>
      </c>
      <c r="HE70" s="277">
        <f t="shared" si="337"/>
        <v>0.12</v>
      </c>
      <c r="HF70" s="277">
        <f t="shared" si="337"/>
        <v>0.12</v>
      </c>
      <c r="HG70" s="277">
        <f t="shared" si="337"/>
        <v>0.12</v>
      </c>
      <c r="HH70" s="277">
        <f t="shared" si="337"/>
        <v>0.12</v>
      </c>
      <c r="HI70" s="277">
        <f t="shared" si="337"/>
        <v>0.12</v>
      </c>
      <c r="HJ70" s="277">
        <f t="shared" si="337"/>
        <v>0.12</v>
      </c>
      <c r="HK70" s="277">
        <f t="shared" si="337"/>
        <v>0.12</v>
      </c>
      <c r="HL70" s="277">
        <f t="shared" si="337"/>
        <v>0.12</v>
      </c>
      <c r="HM70" s="277">
        <f t="shared" ref="HM70:IR70" si="338">IF(Fixed_Variable=1,CC68,Interest_Mezz_Loan)</f>
        <v>0.12</v>
      </c>
      <c r="HN70" s="277">
        <f t="shared" si="338"/>
        <v>0.12</v>
      </c>
      <c r="HO70" s="277">
        <f t="shared" si="338"/>
        <v>0.12</v>
      </c>
      <c r="HP70" s="277">
        <f t="shared" si="338"/>
        <v>0.12</v>
      </c>
      <c r="HQ70" s="277">
        <f t="shared" si="338"/>
        <v>0.12</v>
      </c>
      <c r="HR70" s="277">
        <f t="shared" si="338"/>
        <v>0.12</v>
      </c>
      <c r="HS70" s="277">
        <f t="shared" si="338"/>
        <v>0.12</v>
      </c>
      <c r="HT70" s="277">
        <f t="shared" si="338"/>
        <v>0.12</v>
      </c>
      <c r="HU70" s="277">
        <f t="shared" si="338"/>
        <v>0.12</v>
      </c>
      <c r="HV70" s="277">
        <f t="shared" si="338"/>
        <v>0.12</v>
      </c>
      <c r="HW70" s="277">
        <f t="shared" si="338"/>
        <v>0.12</v>
      </c>
      <c r="HX70" s="277">
        <f t="shared" si="338"/>
        <v>0.12</v>
      </c>
      <c r="HY70" s="277">
        <f t="shared" si="338"/>
        <v>0.12</v>
      </c>
      <c r="HZ70" s="277">
        <f t="shared" si="338"/>
        <v>0.12</v>
      </c>
      <c r="IA70" s="277">
        <f t="shared" si="338"/>
        <v>0.12</v>
      </c>
      <c r="IB70" s="277">
        <f t="shared" si="338"/>
        <v>0.12</v>
      </c>
      <c r="IC70" s="277">
        <f t="shared" si="338"/>
        <v>0.12</v>
      </c>
      <c r="ID70" s="277">
        <f t="shared" si="338"/>
        <v>0.12</v>
      </c>
      <c r="IE70" s="277">
        <f t="shared" si="338"/>
        <v>0.12</v>
      </c>
      <c r="IF70" s="277">
        <f t="shared" si="338"/>
        <v>0.12</v>
      </c>
      <c r="IG70" s="277">
        <f t="shared" si="338"/>
        <v>0.12</v>
      </c>
      <c r="IH70" s="277">
        <f t="shared" si="338"/>
        <v>0.12</v>
      </c>
      <c r="II70" s="277">
        <f t="shared" si="338"/>
        <v>0.12</v>
      </c>
      <c r="IJ70" s="277">
        <f t="shared" si="338"/>
        <v>0.12</v>
      </c>
      <c r="IK70" s="277">
        <f t="shared" si="338"/>
        <v>0.12</v>
      </c>
      <c r="IL70" s="277">
        <f t="shared" si="338"/>
        <v>0.12</v>
      </c>
      <c r="IM70" s="277">
        <f t="shared" si="338"/>
        <v>0.12</v>
      </c>
      <c r="IN70" s="277">
        <f t="shared" si="338"/>
        <v>0.12</v>
      </c>
      <c r="IO70" s="277">
        <f t="shared" si="338"/>
        <v>0.12</v>
      </c>
      <c r="IP70" s="277">
        <f t="shared" si="338"/>
        <v>0.12</v>
      </c>
      <c r="IQ70" s="277">
        <f t="shared" si="338"/>
        <v>0.12</v>
      </c>
      <c r="IR70" s="277">
        <f t="shared" si="338"/>
        <v>0.12</v>
      </c>
      <c r="IS70" s="277">
        <f t="shared" ref="IS70:JX70" si="339">IF(Fixed_Variable=1,DI68,Interest_Mezz_Loan)</f>
        <v>0.12</v>
      </c>
      <c r="IT70" s="277">
        <f t="shared" si="339"/>
        <v>0.12</v>
      </c>
      <c r="IU70" s="277">
        <f t="shared" si="339"/>
        <v>0.12</v>
      </c>
      <c r="IV70" s="277">
        <f t="shared" si="339"/>
        <v>0.12</v>
      </c>
      <c r="IW70" s="277">
        <f t="shared" si="339"/>
        <v>0.12</v>
      </c>
      <c r="IX70" s="277">
        <f t="shared" si="339"/>
        <v>0.12</v>
      </c>
      <c r="IY70" s="277">
        <f t="shared" si="339"/>
        <v>0.12</v>
      </c>
      <c r="IZ70" s="277">
        <f t="shared" si="339"/>
        <v>0.12</v>
      </c>
      <c r="JA70" s="277">
        <f t="shared" si="339"/>
        <v>0.12</v>
      </c>
      <c r="JB70" s="277">
        <f t="shared" si="339"/>
        <v>0.12</v>
      </c>
      <c r="JC70" s="277">
        <f t="shared" si="339"/>
        <v>0.12</v>
      </c>
      <c r="JD70" s="277">
        <f t="shared" si="339"/>
        <v>0.12</v>
      </c>
      <c r="JE70" s="277">
        <f t="shared" si="339"/>
        <v>0.12</v>
      </c>
      <c r="JF70" s="277">
        <f t="shared" si="339"/>
        <v>0.12</v>
      </c>
      <c r="JG70" s="277">
        <f t="shared" si="339"/>
        <v>0.12</v>
      </c>
      <c r="JH70" s="277">
        <f t="shared" si="339"/>
        <v>0.12</v>
      </c>
      <c r="JI70" s="277">
        <f t="shared" si="339"/>
        <v>0.12</v>
      </c>
      <c r="JJ70" s="277">
        <f t="shared" si="339"/>
        <v>0.12</v>
      </c>
      <c r="JK70" s="277">
        <f t="shared" si="339"/>
        <v>0.12</v>
      </c>
      <c r="JL70" s="277">
        <f t="shared" si="339"/>
        <v>0.12</v>
      </c>
      <c r="JM70" s="277">
        <f t="shared" si="339"/>
        <v>0.12</v>
      </c>
      <c r="JN70" s="277">
        <f t="shared" si="339"/>
        <v>0.12</v>
      </c>
      <c r="JO70" s="277">
        <f t="shared" si="339"/>
        <v>0.12</v>
      </c>
      <c r="JP70" s="277">
        <f t="shared" si="339"/>
        <v>0.12</v>
      </c>
      <c r="JQ70" s="277">
        <f t="shared" si="339"/>
        <v>0.12</v>
      </c>
      <c r="JR70" s="277">
        <f t="shared" si="339"/>
        <v>0.12</v>
      </c>
      <c r="JS70" s="277">
        <f t="shared" si="339"/>
        <v>0.12</v>
      </c>
      <c r="JT70" s="277">
        <f t="shared" si="339"/>
        <v>0.12</v>
      </c>
      <c r="JU70" s="277">
        <f t="shared" si="339"/>
        <v>0.12</v>
      </c>
      <c r="JV70" s="277">
        <f t="shared" si="339"/>
        <v>0.12</v>
      </c>
      <c r="JW70" s="277">
        <f t="shared" si="339"/>
        <v>0.12</v>
      </c>
      <c r="JX70" s="277">
        <f t="shared" si="339"/>
        <v>0.12</v>
      </c>
      <c r="JY70" s="277">
        <f t="shared" ref="JY70:KC70" si="340">IF(Fixed_Variable=1,EO68,Interest_Mezz_Loan)</f>
        <v>0.12</v>
      </c>
      <c r="JZ70" s="277">
        <f t="shared" si="340"/>
        <v>0.12</v>
      </c>
      <c r="KA70" s="277">
        <f t="shared" si="340"/>
        <v>0.12</v>
      </c>
      <c r="KB70" s="277">
        <f t="shared" si="340"/>
        <v>0.12</v>
      </c>
      <c r="KC70" s="277">
        <f t="shared" si="340"/>
        <v>0.12</v>
      </c>
    </row>
    <row r="71" spans="1:289" x14ac:dyDescent="0.25">
      <c r="B71" s="289" t="s">
        <v>65</v>
      </c>
      <c r="C71" s="290"/>
      <c r="D71" s="196"/>
      <c r="E71" s="196"/>
      <c r="F71" s="269">
        <f ca="1">I71/Project_Cost_Total</f>
        <v>0.39999972423062907</v>
      </c>
      <c r="G71" s="217">
        <f>I71/Units_SF_M2</f>
        <v>99.131083217879919</v>
      </c>
      <c r="H71" s="218">
        <f>I71/Units</f>
        <v>100965.00825741069</v>
      </c>
      <c r="I71" s="188">
        <f>SUM(Q71:ES71)</f>
        <v>1615440.1321185711</v>
      </c>
      <c r="Q71" s="220">
        <f t="shared" ref="Q71:AV71" si="341">FA58</f>
        <v>822502.85714285716</v>
      </c>
      <c r="R71" s="220">
        <f t="shared" si="341"/>
        <v>16840.908265539307</v>
      </c>
      <c r="S71" s="220">
        <f t="shared" si="341"/>
        <v>52504.923287438098</v>
      </c>
      <c r="T71" s="220">
        <f t="shared" si="341"/>
        <v>136519.80154125288</v>
      </c>
      <c r="U71" s="220">
        <f t="shared" si="341"/>
        <v>282437.29328717594</v>
      </c>
      <c r="V71" s="220">
        <f t="shared" si="341"/>
        <v>304634.34859430767</v>
      </c>
      <c r="W71" s="220">
        <f t="shared" si="341"/>
        <v>0</v>
      </c>
      <c r="X71" s="220">
        <f t="shared" si="341"/>
        <v>0</v>
      </c>
      <c r="Y71" s="220">
        <f t="shared" si="341"/>
        <v>0</v>
      </c>
      <c r="Z71" s="220">
        <f t="shared" si="341"/>
        <v>0</v>
      </c>
      <c r="AA71" s="220">
        <f t="shared" si="341"/>
        <v>0</v>
      </c>
      <c r="AB71" s="220">
        <f t="shared" si="341"/>
        <v>0</v>
      </c>
      <c r="AC71" s="220">
        <f t="shared" si="341"/>
        <v>0</v>
      </c>
      <c r="AD71" s="220">
        <f t="shared" si="341"/>
        <v>0</v>
      </c>
      <c r="AE71" s="220">
        <f t="shared" si="341"/>
        <v>0</v>
      </c>
      <c r="AF71" s="220">
        <f t="shared" si="341"/>
        <v>0</v>
      </c>
      <c r="AG71" s="220">
        <f t="shared" si="341"/>
        <v>0</v>
      </c>
      <c r="AH71" s="220">
        <f t="shared" si="341"/>
        <v>0</v>
      </c>
      <c r="AI71" s="220">
        <f t="shared" si="341"/>
        <v>0</v>
      </c>
      <c r="AJ71" s="220">
        <f t="shared" si="341"/>
        <v>0</v>
      </c>
      <c r="AK71" s="220">
        <f t="shared" si="341"/>
        <v>0</v>
      </c>
      <c r="AL71" s="220">
        <f t="shared" si="341"/>
        <v>0</v>
      </c>
      <c r="AM71" s="220">
        <f t="shared" si="341"/>
        <v>0</v>
      </c>
      <c r="AN71" s="220">
        <f t="shared" si="341"/>
        <v>0</v>
      </c>
      <c r="AO71" s="220">
        <f t="shared" si="341"/>
        <v>0</v>
      </c>
      <c r="AP71" s="220">
        <f t="shared" si="341"/>
        <v>0</v>
      </c>
      <c r="AQ71" s="220">
        <f t="shared" si="341"/>
        <v>0</v>
      </c>
      <c r="AR71" s="220">
        <f t="shared" si="341"/>
        <v>0</v>
      </c>
      <c r="AS71" s="220">
        <f t="shared" si="341"/>
        <v>0</v>
      </c>
      <c r="AT71" s="220">
        <f t="shared" si="341"/>
        <v>0</v>
      </c>
      <c r="AU71" s="220">
        <f t="shared" si="341"/>
        <v>0</v>
      </c>
      <c r="AV71" s="220">
        <f t="shared" si="341"/>
        <v>0</v>
      </c>
      <c r="AW71" s="220">
        <f t="shared" ref="AW71:CB71" si="342">GG58</f>
        <v>0</v>
      </c>
      <c r="AX71" s="220">
        <f t="shared" si="342"/>
        <v>0</v>
      </c>
      <c r="AY71" s="220">
        <f t="shared" si="342"/>
        <v>0</v>
      </c>
      <c r="AZ71" s="220">
        <f t="shared" si="342"/>
        <v>0</v>
      </c>
      <c r="BA71" s="220">
        <f t="shared" si="342"/>
        <v>0</v>
      </c>
      <c r="BB71" s="220">
        <f t="shared" si="342"/>
        <v>0</v>
      </c>
      <c r="BC71" s="220">
        <f t="shared" si="342"/>
        <v>0</v>
      </c>
      <c r="BD71" s="220">
        <f t="shared" si="342"/>
        <v>0</v>
      </c>
      <c r="BE71" s="220">
        <f t="shared" si="342"/>
        <v>0</v>
      </c>
      <c r="BF71" s="220">
        <f t="shared" si="342"/>
        <v>0</v>
      </c>
      <c r="BG71" s="220">
        <f t="shared" si="342"/>
        <v>0</v>
      </c>
      <c r="BH71" s="220">
        <f t="shared" si="342"/>
        <v>0</v>
      </c>
      <c r="BI71" s="220">
        <f t="shared" si="342"/>
        <v>0</v>
      </c>
      <c r="BJ71" s="220">
        <f t="shared" si="342"/>
        <v>0</v>
      </c>
      <c r="BK71" s="220">
        <f t="shared" si="342"/>
        <v>0</v>
      </c>
      <c r="BL71" s="220">
        <f t="shared" si="342"/>
        <v>0</v>
      </c>
      <c r="BM71" s="220">
        <f t="shared" si="342"/>
        <v>0</v>
      </c>
      <c r="BN71" s="220">
        <f t="shared" si="342"/>
        <v>0</v>
      </c>
      <c r="BO71" s="220">
        <f t="shared" si="342"/>
        <v>0</v>
      </c>
      <c r="BP71" s="220">
        <f t="shared" si="342"/>
        <v>0</v>
      </c>
      <c r="BQ71" s="220">
        <f t="shared" si="342"/>
        <v>0</v>
      </c>
      <c r="BR71" s="220">
        <f t="shared" si="342"/>
        <v>0</v>
      </c>
      <c r="BS71" s="220">
        <f t="shared" si="342"/>
        <v>0</v>
      </c>
      <c r="BT71" s="220">
        <f t="shared" si="342"/>
        <v>0</v>
      </c>
      <c r="BU71" s="220">
        <f t="shared" si="342"/>
        <v>0</v>
      </c>
      <c r="BV71" s="220">
        <f t="shared" si="342"/>
        <v>0</v>
      </c>
      <c r="BW71" s="220">
        <f t="shared" si="342"/>
        <v>0</v>
      </c>
      <c r="BX71" s="220">
        <f t="shared" si="342"/>
        <v>0</v>
      </c>
      <c r="BY71" s="220">
        <f t="shared" si="342"/>
        <v>0</v>
      </c>
      <c r="BZ71" s="220">
        <f t="shared" si="342"/>
        <v>0</v>
      </c>
      <c r="CA71" s="220">
        <f t="shared" si="342"/>
        <v>0</v>
      </c>
      <c r="CB71" s="220">
        <f t="shared" si="342"/>
        <v>0</v>
      </c>
      <c r="CC71" s="220">
        <f t="shared" ref="CC71:DH71" si="343">HM58</f>
        <v>0</v>
      </c>
      <c r="CD71" s="220">
        <f t="shared" si="343"/>
        <v>0</v>
      </c>
      <c r="CE71" s="220">
        <f t="shared" si="343"/>
        <v>0</v>
      </c>
      <c r="CF71" s="220">
        <f t="shared" si="343"/>
        <v>0</v>
      </c>
      <c r="CG71" s="220">
        <f t="shared" si="343"/>
        <v>0</v>
      </c>
      <c r="CH71" s="220">
        <f t="shared" si="343"/>
        <v>0</v>
      </c>
      <c r="CI71" s="220">
        <f t="shared" si="343"/>
        <v>0</v>
      </c>
      <c r="CJ71" s="220">
        <f t="shared" si="343"/>
        <v>0</v>
      </c>
      <c r="CK71" s="220">
        <f t="shared" si="343"/>
        <v>0</v>
      </c>
      <c r="CL71" s="220">
        <f t="shared" si="343"/>
        <v>0</v>
      </c>
      <c r="CM71" s="220">
        <f t="shared" si="343"/>
        <v>0</v>
      </c>
      <c r="CN71" s="220">
        <f t="shared" si="343"/>
        <v>0</v>
      </c>
      <c r="CO71" s="220">
        <f t="shared" si="343"/>
        <v>0</v>
      </c>
      <c r="CP71" s="220">
        <f t="shared" si="343"/>
        <v>0</v>
      </c>
      <c r="CQ71" s="220">
        <f t="shared" si="343"/>
        <v>0</v>
      </c>
      <c r="CR71" s="220">
        <f t="shared" si="343"/>
        <v>0</v>
      </c>
      <c r="CS71" s="220">
        <f t="shared" si="343"/>
        <v>0</v>
      </c>
      <c r="CT71" s="220">
        <f t="shared" si="343"/>
        <v>0</v>
      </c>
      <c r="CU71" s="220">
        <f t="shared" si="343"/>
        <v>0</v>
      </c>
      <c r="CV71" s="220">
        <f t="shared" si="343"/>
        <v>0</v>
      </c>
      <c r="CW71" s="220">
        <f t="shared" si="343"/>
        <v>0</v>
      </c>
      <c r="CX71" s="220">
        <f t="shared" si="343"/>
        <v>0</v>
      </c>
      <c r="CY71" s="220">
        <f t="shared" si="343"/>
        <v>0</v>
      </c>
      <c r="CZ71" s="220">
        <f t="shared" si="343"/>
        <v>0</v>
      </c>
      <c r="DA71" s="220">
        <f t="shared" si="343"/>
        <v>0</v>
      </c>
      <c r="DB71" s="220">
        <f t="shared" si="343"/>
        <v>0</v>
      </c>
      <c r="DC71" s="220">
        <f t="shared" si="343"/>
        <v>0</v>
      </c>
      <c r="DD71" s="220">
        <f t="shared" si="343"/>
        <v>0</v>
      </c>
      <c r="DE71" s="220">
        <f t="shared" si="343"/>
        <v>0</v>
      </c>
      <c r="DF71" s="220">
        <f t="shared" si="343"/>
        <v>0</v>
      </c>
      <c r="DG71" s="220">
        <f t="shared" si="343"/>
        <v>0</v>
      </c>
      <c r="DH71" s="220">
        <f t="shared" si="343"/>
        <v>0</v>
      </c>
      <c r="DI71" s="220">
        <f t="shared" ref="DI71:EN71" si="344">IS58</f>
        <v>0</v>
      </c>
      <c r="DJ71" s="220">
        <f t="shared" si="344"/>
        <v>0</v>
      </c>
      <c r="DK71" s="220">
        <f t="shared" si="344"/>
        <v>0</v>
      </c>
      <c r="DL71" s="220">
        <f t="shared" si="344"/>
        <v>0</v>
      </c>
      <c r="DM71" s="220">
        <f t="shared" si="344"/>
        <v>0</v>
      </c>
      <c r="DN71" s="220">
        <f t="shared" si="344"/>
        <v>0</v>
      </c>
      <c r="DO71" s="220">
        <f t="shared" si="344"/>
        <v>0</v>
      </c>
      <c r="DP71" s="220">
        <f t="shared" si="344"/>
        <v>0</v>
      </c>
      <c r="DQ71" s="220">
        <f t="shared" si="344"/>
        <v>0</v>
      </c>
      <c r="DR71" s="220">
        <f t="shared" si="344"/>
        <v>0</v>
      </c>
      <c r="DS71" s="220">
        <f t="shared" si="344"/>
        <v>0</v>
      </c>
      <c r="DT71" s="220">
        <f t="shared" si="344"/>
        <v>0</v>
      </c>
      <c r="DU71" s="220">
        <f t="shared" si="344"/>
        <v>0</v>
      </c>
      <c r="DV71" s="220">
        <f t="shared" si="344"/>
        <v>0</v>
      </c>
      <c r="DW71" s="220">
        <f t="shared" si="344"/>
        <v>0</v>
      </c>
      <c r="DX71" s="220">
        <f t="shared" si="344"/>
        <v>0</v>
      </c>
      <c r="DY71" s="220">
        <f t="shared" si="344"/>
        <v>0</v>
      </c>
      <c r="DZ71" s="220">
        <f t="shared" si="344"/>
        <v>0</v>
      </c>
      <c r="EA71" s="220">
        <f t="shared" si="344"/>
        <v>0</v>
      </c>
      <c r="EB71" s="220">
        <f t="shared" si="344"/>
        <v>0</v>
      </c>
      <c r="EC71" s="220">
        <f t="shared" si="344"/>
        <v>0</v>
      </c>
      <c r="ED71" s="220">
        <f t="shared" si="344"/>
        <v>0</v>
      </c>
      <c r="EE71" s="220">
        <f t="shared" si="344"/>
        <v>0</v>
      </c>
      <c r="EF71" s="220">
        <f t="shared" si="344"/>
        <v>0</v>
      </c>
      <c r="EG71" s="220">
        <f t="shared" si="344"/>
        <v>0</v>
      </c>
      <c r="EH71" s="220">
        <f t="shared" si="344"/>
        <v>0</v>
      </c>
      <c r="EI71" s="220">
        <f t="shared" si="344"/>
        <v>0</v>
      </c>
      <c r="EJ71" s="220">
        <f t="shared" si="344"/>
        <v>0</v>
      </c>
      <c r="EK71" s="220">
        <f t="shared" si="344"/>
        <v>0</v>
      </c>
      <c r="EL71" s="220">
        <f t="shared" si="344"/>
        <v>0</v>
      </c>
      <c r="EM71" s="220">
        <f t="shared" si="344"/>
        <v>0</v>
      </c>
      <c r="EN71" s="220">
        <f t="shared" si="344"/>
        <v>0</v>
      </c>
      <c r="EO71" s="220">
        <f>JY58</f>
        <v>0</v>
      </c>
      <c r="EP71" s="220">
        <f>JZ58</f>
        <v>0</v>
      </c>
      <c r="EQ71" s="220">
        <f>KA58</f>
        <v>0</v>
      </c>
      <c r="ER71" s="220">
        <f>KB58</f>
        <v>0</v>
      </c>
      <c r="ES71" s="220">
        <f>KC58</f>
        <v>0</v>
      </c>
      <c r="EU71" s="153" t="s">
        <v>59</v>
      </c>
      <c r="EV71" s="153"/>
      <c r="EW71" s="153"/>
      <c r="EX71" s="153"/>
      <c r="EY71" s="153"/>
      <c r="EZ71" s="250">
        <f>I62</f>
        <v>1615440.1321185711</v>
      </c>
      <c r="FA71" s="221">
        <f t="shared" ref="FA71:GF71" si="345">EZ71-FA58</f>
        <v>792937.27497571392</v>
      </c>
      <c r="FB71" s="221">
        <f t="shared" si="345"/>
        <v>776096.3667101746</v>
      </c>
      <c r="FC71" s="221">
        <f t="shared" si="345"/>
        <v>723591.44342273648</v>
      </c>
      <c r="FD71" s="221">
        <f t="shared" si="345"/>
        <v>587071.64188148361</v>
      </c>
      <c r="FE71" s="221">
        <f t="shared" si="345"/>
        <v>304634.34859430767</v>
      </c>
      <c r="FF71" s="221">
        <f t="shared" si="345"/>
        <v>0</v>
      </c>
      <c r="FG71" s="221">
        <f t="shared" si="345"/>
        <v>0</v>
      </c>
      <c r="FH71" s="221">
        <f t="shared" si="345"/>
        <v>0</v>
      </c>
      <c r="FI71" s="221">
        <f t="shared" si="345"/>
        <v>0</v>
      </c>
      <c r="FJ71" s="221">
        <f t="shared" si="345"/>
        <v>0</v>
      </c>
      <c r="FK71" s="221">
        <f t="shared" si="345"/>
        <v>0</v>
      </c>
      <c r="FL71" s="221">
        <f t="shared" si="345"/>
        <v>0</v>
      </c>
      <c r="FM71" s="221">
        <f t="shared" si="345"/>
        <v>0</v>
      </c>
      <c r="FN71" s="221">
        <f t="shared" si="345"/>
        <v>0</v>
      </c>
      <c r="FO71" s="221">
        <f t="shared" si="345"/>
        <v>0</v>
      </c>
      <c r="FP71" s="221">
        <f t="shared" si="345"/>
        <v>0</v>
      </c>
      <c r="FQ71" s="221">
        <f t="shared" si="345"/>
        <v>0</v>
      </c>
      <c r="FR71" s="221">
        <f t="shared" si="345"/>
        <v>0</v>
      </c>
      <c r="FS71" s="221">
        <f t="shared" si="345"/>
        <v>0</v>
      </c>
      <c r="FT71" s="221">
        <f t="shared" si="345"/>
        <v>0</v>
      </c>
      <c r="FU71" s="221">
        <f t="shared" si="345"/>
        <v>0</v>
      </c>
      <c r="FV71" s="221">
        <f t="shared" si="345"/>
        <v>0</v>
      </c>
      <c r="FW71" s="221">
        <f t="shared" si="345"/>
        <v>0</v>
      </c>
      <c r="FX71" s="221">
        <f t="shared" si="345"/>
        <v>0</v>
      </c>
      <c r="FY71" s="221">
        <f t="shared" si="345"/>
        <v>0</v>
      </c>
      <c r="FZ71" s="221">
        <f t="shared" si="345"/>
        <v>0</v>
      </c>
      <c r="GA71" s="221">
        <f t="shared" si="345"/>
        <v>0</v>
      </c>
      <c r="GB71" s="221">
        <f t="shared" si="345"/>
        <v>0</v>
      </c>
      <c r="GC71" s="221">
        <f t="shared" si="345"/>
        <v>0</v>
      </c>
      <c r="GD71" s="221">
        <f t="shared" si="345"/>
        <v>0</v>
      </c>
      <c r="GE71" s="221">
        <f t="shared" si="345"/>
        <v>0</v>
      </c>
      <c r="GF71" s="221">
        <f t="shared" si="345"/>
        <v>0</v>
      </c>
      <c r="GG71" s="221">
        <f t="shared" ref="GG71:HL71" si="346">GF71-GG58</f>
        <v>0</v>
      </c>
      <c r="GH71" s="221">
        <f t="shared" si="346"/>
        <v>0</v>
      </c>
      <c r="GI71" s="221">
        <f t="shared" si="346"/>
        <v>0</v>
      </c>
      <c r="GJ71" s="221">
        <f t="shared" si="346"/>
        <v>0</v>
      </c>
      <c r="GK71" s="221">
        <f t="shared" si="346"/>
        <v>0</v>
      </c>
      <c r="GL71" s="221">
        <f t="shared" si="346"/>
        <v>0</v>
      </c>
      <c r="GM71" s="221">
        <f t="shared" si="346"/>
        <v>0</v>
      </c>
      <c r="GN71" s="221">
        <f t="shared" si="346"/>
        <v>0</v>
      </c>
      <c r="GO71" s="221">
        <f t="shared" si="346"/>
        <v>0</v>
      </c>
      <c r="GP71" s="221">
        <f t="shared" si="346"/>
        <v>0</v>
      </c>
      <c r="GQ71" s="221">
        <f t="shared" si="346"/>
        <v>0</v>
      </c>
      <c r="GR71" s="221">
        <f t="shared" si="346"/>
        <v>0</v>
      </c>
      <c r="GS71" s="221">
        <f t="shared" si="346"/>
        <v>0</v>
      </c>
      <c r="GT71" s="221">
        <f t="shared" si="346"/>
        <v>0</v>
      </c>
      <c r="GU71" s="221">
        <f t="shared" si="346"/>
        <v>0</v>
      </c>
      <c r="GV71" s="221">
        <f t="shared" si="346"/>
        <v>0</v>
      </c>
      <c r="GW71" s="221">
        <f t="shared" si="346"/>
        <v>0</v>
      </c>
      <c r="GX71" s="221">
        <f t="shared" si="346"/>
        <v>0</v>
      </c>
      <c r="GY71" s="221">
        <f t="shared" si="346"/>
        <v>0</v>
      </c>
      <c r="GZ71" s="221">
        <f t="shared" si="346"/>
        <v>0</v>
      </c>
      <c r="HA71" s="221">
        <f t="shared" si="346"/>
        <v>0</v>
      </c>
      <c r="HB71" s="221">
        <f t="shared" si="346"/>
        <v>0</v>
      </c>
      <c r="HC71" s="221">
        <f t="shared" si="346"/>
        <v>0</v>
      </c>
      <c r="HD71" s="221">
        <f t="shared" si="346"/>
        <v>0</v>
      </c>
      <c r="HE71" s="221">
        <f t="shared" si="346"/>
        <v>0</v>
      </c>
      <c r="HF71" s="221">
        <f t="shared" si="346"/>
        <v>0</v>
      </c>
      <c r="HG71" s="221">
        <f t="shared" si="346"/>
        <v>0</v>
      </c>
      <c r="HH71" s="221">
        <f t="shared" si="346"/>
        <v>0</v>
      </c>
      <c r="HI71" s="221">
        <f t="shared" si="346"/>
        <v>0</v>
      </c>
      <c r="HJ71" s="221">
        <f t="shared" si="346"/>
        <v>0</v>
      </c>
      <c r="HK71" s="221">
        <f t="shared" si="346"/>
        <v>0</v>
      </c>
      <c r="HL71" s="221">
        <f t="shared" si="346"/>
        <v>0</v>
      </c>
      <c r="HM71" s="221">
        <f t="shared" ref="HM71:IR71" si="347">HL71-HM58</f>
        <v>0</v>
      </c>
      <c r="HN71" s="221">
        <f t="shared" si="347"/>
        <v>0</v>
      </c>
      <c r="HO71" s="221">
        <f t="shared" si="347"/>
        <v>0</v>
      </c>
      <c r="HP71" s="221">
        <f t="shared" si="347"/>
        <v>0</v>
      </c>
      <c r="HQ71" s="221">
        <f t="shared" si="347"/>
        <v>0</v>
      </c>
      <c r="HR71" s="221">
        <f t="shared" si="347"/>
        <v>0</v>
      </c>
      <c r="HS71" s="221">
        <f t="shared" si="347"/>
        <v>0</v>
      </c>
      <c r="HT71" s="221">
        <f t="shared" si="347"/>
        <v>0</v>
      </c>
      <c r="HU71" s="221">
        <f t="shared" si="347"/>
        <v>0</v>
      </c>
      <c r="HV71" s="221">
        <f t="shared" si="347"/>
        <v>0</v>
      </c>
      <c r="HW71" s="221">
        <f t="shared" si="347"/>
        <v>0</v>
      </c>
      <c r="HX71" s="221">
        <f t="shared" si="347"/>
        <v>0</v>
      </c>
      <c r="HY71" s="221">
        <f t="shared" si="347"/>
        <v>0</v>
      </c>
      <c r="HZ71" s="221">
        <f t="shared" si="347"/>
        <v>0</v>
      </c>
      <c r="IA71" s="221">
        <f t="shared" si="347"/>
        <v>0</v>
      </c>
      <c r="IB71" s="221">
        <f t="shared" si="347"/>
        <v>0</v>
      </c>
      <c r="IC71" s="221">
        <f t="shared" si="347"/>
        <v>0</v>
      </c>
      <c r="ID71" s="221">
        <f t="shared" si="347"/>
        <v>0</v>
      </c>
      <c r="IE71" s="221">
        <f t="shared" si="347"/>
        <v>0</v>
      </c>
      <c r="IF71" s="221">
        <f t="shared" si="347"/>
        <v>0</v>
      </c>
      <c r="IG71" s="221">
        <f t="shared" si="347"/>
        <v>0</v>
      </c>
      <c r="IH71" s="221">
        <f t="shared" si="347"/>
        <v>0</v>
      </c>
      <c r="II71" s="221">
        <f t="shared" si="347"/>
        <v>0</v>
      </c>
      <c r="IJ71" s="221">
        <f t="shared" si="347"/>
        <v>0</v>
      </c>
      <c r="IK71" s="221">
        <f t="shared" si="347"/>
        <v>0</v>
      </c>
      <c r="IL71" s="221">
        <f t="shared" si="347"/>
        <v>0</v>
      </c>
      <c r="IM71" s="221">
        <f t="shared" si="347"/>
        <v>0</v>
      </c>
      <c r="IN71" s="221">
        <f t="shared" si="347"/>
        <v>0</v>
      </c>
      <c r="IO71" s="221">
        <f t="shared" si="347"/>
        <v>0</v>
      </c>
      <c r="IP71" s="221">
        <f t="shared" si="347"/>
        <v>0</v>
      </c>
      <c r="IQ71" s="221">
        <f t="shared" si="347"/>
        <v>0</v>
      </c>
      <c r="IR71" s="221">
        <f t="shared" si="347"/>
        <v>0</v>
      </c>
      <c r="IS71" s="221">
        <f t="shared" ref="IS71:KC71" si="348">IR71-IS58</f>
        <v>0</v>
      </c>
      <c r="IT71" s="221">
        <f t="shared" si="348"/>
        <v>0</v>
      </c>
      <c r="IU71" s="221">
        <f t="shared" si="348"/>
        <v>0</v>
      </c>
      <c r="IV71" s="221">
        <f t="shared" si="348"/>
        <v>0</v>
      </c>
      <c r="IW71" s="221">
        <f t="shared" si="348"/>
        <v>0</v>
      </c>
      <c r="IX71" s="221">
        <f t="shared" si="348"/>
        <v>0</v>
      </c>
      <c r="IY71" s="221">
        <f t="shared" si="348"/>
        <v>0</v>
      </c>
      <c r="IZ71" s="221">
        <f t="shared" si="348"/>
        <v>0</v>
      </c>
      <c r="JA71" s="221">
        <f t="shared" si="348"/>
        <v>0</v>
      </c>
      <c r="JB71" s="221">
        <f t="shared" si="348"/>
        <v>0</v>
      </c>
      <c r="JC71" s="221">
        <f t="shared" si="348"/>
        <v>0</v>
      </c>
      <c r="JD71" s="221">
        <f t="shared" si="348"/>
        <v>0</v>
      </c>
      <c r="JE71" s="221">
        <f t="shared" si="348"/>
        <v>0</v>
      </c>
      <c r="JF71" s="221">
        <f t="shared" si="348"/>
        <v>0</v>
      </c>
      <c r="JG71" s="221">
        <f t="shared" si="348"/>
        <v>0</v>
      </c>
      <c r="JH71" s="221">
        <f t="shared" si="348"/>
        <v>0</v>
      </c>
      <c r="JI71" s="221">
        <f t="shared" si="348"/>
        <v>0</v>
      </c>
      <c r="JJ71" s="221">
        <f t="shared" si="348"/>
        <v>0</v>
      </c>
      <c r="JK71" s="221">
        <f t="shared" si="348"/>
        <v>0</v>
      </c>
      <c r="JL71" s="221">
        <f t="shared" si="348"/>
        <v>0</v>
      </c>
      <c r="JM71" s="221">
        <f t="shared" si="348"/>
        <v>0</v>
      </c>
      <c r="JN71" s="221">
        <f t="shared" si="348"/>
        <v>0</v>
      </c>
      <c r="JO71" s="221">
        <f t="shared" si="348"/>
        <v>0</v>
      </c>
      <c r="JP71" s="221">
        <f t="shared" si="348"/>
        <v>0</v>
      </c>
      <c r="JQ71" s="221">
        <f t="shared" si="348"/>
        <v>0</v>
      </c>
      <c r="JR71" s="221">
        <f t="shared" si="348"/>
        <v>0</v>
      </c>
      <c r="JS71" s="221">
        <f t="shared" si="348"/>
        <v>0</v>
      </c>
      <c r="JT71" s="221">
        <f t="shared" si="348"/>
        <v>0</v>
      </c>
      <c r="JU71" s="221">
        <f t="shared" si="348"/>
        <v>0</v>
      </c>
      <c r="JV71" s="221">
        <f t="shared" si="348"/>
        <v>0</v>
      </c>
      <c r="JW71" s="221">
        <f t="shared" si="348"/>
        <v>0</v>
      </c>
      <c r="JX71" s="221">
        <f t="shared" si="348"/>
        <v>0</v>
      </c>
      <c r="JY71" s="221">
        <f t="shared" si="348"/>
        <v>0</v>
      </c>
      <c r="JZ71" s="221">
        <f t="shared" si="348"/>
        <v>0</v>
      </c>
      <c r="KA71" s="221">
        <f t="shared" si="348"/>
        <v>0</v>
      </c>
      <c r="KB71" s="221">
        <f t="shared" si="348"/>
        <v>0</v>
      </c>
      <c r="KC71" s="221">
        <f t="shared" si="348"/>
        <v>0</v>
      </c>
    </row>
    <row r="72" spans="1:289" ht="5.0999999999999996" customHeight="1" x14ac:dyDescent="0.25">
      <c r="B72" s="267"/>
      <c r="C72" s="291"/>
      <c r="D72" s="196"/>
      <c r="E72" s="196"/>
      <c r="F72" s="196"/>
      <c r="G72" s="217"/>
      <c r="H72" s="196"/>
      <c r="I72" s="283"/>
      <c r="EU72" s="153" t="s">
        <v>69</v>
      </c>
      <c r="EV72" s="153"/>
      <c r="EW72" s="153"/>
      <c r="EX72" s="153"/>
      <c r="EY72" s="154" t="s">
        <v>79</v>
      </c>
      <c r="EZ72" s="250">
        <f>EZ54+I55-EZ58</f>
        <v>2294479.8678814285</v>
      </c>
      <c r="FA72" s="221">
        <f t="shared" ref="FA72:GF72" si="349">EZ72-FA59</f>
        <v>2294479.8678814285</v>
      </c>
      <c r="FB72" s="221">
        <f t="shared" si="349"/>
        <v>2294479.8678814285</v>
      </c>
      <c r="FC72" s="221">
        <f t="shared" si="349"/>
        <v>2294479.8678814285</v>
      </c>
      <c r="FD72" s="221">
        <f t="shared" si="349"/>
        <v>2294479.8678814285</v>
      </c>
      <c r="FE72" s="221">
        <f t="shared" si="349"/>
        <v>2294479.8678814285</v>
      </c>
      <c r="FF72" s="221">
        <f t="shared" si="349"/>
        <v>2139484.3024068051</v>
      </c>
      <c r="FG72" s="221">
        <f t="shared" si="349"/>
        <v>1552899.9999999995</v>
      </c>
      <c r="FH72" s="221">
        <f t="shared" si="349"/>
        <v>968318.55473605101</v>
      </c>
      <c r="FI72" s="221">
        <f t="shared" si="349"/>
        <v>510691.49780997704</v>
      </c>
      <c r="FJ72" s="221">
        <f t="shared" si="349"/>
        <v>230257.06166565843</v>
      </c>
      <c r="FK72" s="221">
        <f t="shared" si="349"/>
        <v>95740.117267262656</v>
      </c>
      <c r="FL72" s="221">
        <f t="shared" si="349"/>
        <v>45238.051122681725</v>
      </c>
      <c r="FM72" s="221">
        <f t="shared" si="349"/>
        <v>30399.999999999513</v>
      </c>
      <c r="FN72" s="221">
        <f t="shared" si="349"/>
        <v>15199.999999999513</v>
      </c>
      <c r="FO72" s="221">
        <f t="shared" si="349"/>
        <v>0</v>
      </c>
      <c r="FP72" s="221">
        <f t="shared" si="349"/>
        <v>0</v>
      </c>
      <c r="FQ72" s="221">
        <f t="shared" si="349"/>
        <v>0</v>
      </c>
      <c r="FR72" s="221">
        <f t="shared" si="349"/>
        <v>0</v>
      </c>
      <c r="FS72" s="221">
        <f t="shared" si="349"/>
        <v>0</v>
      </c>
      <c r="FT72" s="221">
        <f t="shared" si="349"/>
        <v>0</v>
      </c>
      <c r="FU72" s="221">
        <f t="shared" si="349"/>
        <v>0</v>
      </c>
      <c r="FV72" s="221">
        <f t="shared" si="349"/>
        <v>0</v>
      </c>
      <c r="FW72" s="221">
        <f t="shared" si="349"/>
        <v>0</v>
      </c>
      <c r="FX72" s="221">
        <f t="shared" si="349"/>
        <v>0</v>
      </c>
      <c r="FY72" s="221">
        <f t="shared" si="349"/>
        <v>0</v>
      </c>
      <c r="FZ72" s="221">
        <f t="shared" si="349"/>
        <v>0</v>
      </c>
      <c r="GA72" s="221">
        <f t="shared" si="349"/>
        <v>0</v>
      </c>
      <c r="GB72" s="221">
        <f t="shared" si="349"/>
        <v>0</v>
      </c>
      <c r="GC72" s="221">
        <f t="shared" si="349"/>
        <v>0</v>
      </c>
      <c r="GD72" s="221">
        <f t="shared" si="349"/>
        <v>0</v>
      </c>
      <c r="GE72" s="221">
        <f t="shared" si="349"/>
        <v>0</v>
      </c>
      <c r="GF72" s="221">
        <f t="shared" si="349"/>
        <v>0</v>
      </c>
      <c r="GG72" s="221">
        <f t="shared" ref="GG72:HL72" si="350">GF72-GG59</f>
        <v>0</v>
      </c>
      <c r="GH72" s="221">
        <f t="shared" si="350"/>
        <v>0</v>
      </c>
      <c r="GI72" s="221">
        <f t="shared" si="350"/>
        <v>0</v>
      </c>
      <c r="GJ72" s="221">
        <f t="shared" si="350"/>
        <v>0</v>
      </c>
      <c r="GK72" s="221">
        <f t="shared" si="350"/>
        <v>0</v>
      </c>
      <c r="GL72" s="221">
        <f t="shared" si="350"/>
        <v>0</v>
      </c>
      <c r="GM72" s="221">
        <f t="shared" si="350"/>
        <v>0</v>
      </c>
      <c r="GN72" s="221">
        <f t="shared" si="350"/>
        <v>0</v>
      </c>
      <c r="GO72" s="221">
        <f t="shared" si="350"/>
        <v>0</v>
      </c>
      <c r="GP72" s="221">
        <f t="shared" si="350"/>
        <v>0</v>
      </c>
      <c r="GQ72" s="221">
        <f t="shared" si="350"/>
        <v>0</v>
      </c>
      <c r="GR72" s="221">
        <f t="shared" si="350"/>
        <v>0</v>
      </c>
      <c r="GS72" s="221">
        <f t="shared" si="350"/>
        <v>0</v>
      </c>
      <c r="GT72" s="221">
        <f t="shared" si="350"/>
        <v>0</v>
      </c>
      <c r="GU72" s="221">
        <f t="shared" si="350"/>
        <v>0</v>
      </c>
      <c r="GV72" s="221">
        <f t="shared" si="350"/>
        <v>0</v>
      </c>
      <c r="GW72" s="221">
        <f t="shared" si="350"/>
        <v>0</v>
      </c>
      <c r="GX72" s="221">
        <f t="shared" si="350"/>
        <v>0</v>
      </c>
      <c r="GY72" s="221">
        <f t="shared" si="350"/>
        <v>0</v>
      </c>
      <c r="GZ72" s="221">
        <f t="shared" si="350"/>
        <v>0</v>
      </c>
      <c r="HA72" s="221">
        <f t="shared" si="350"/>
        <v>0</v>
      </c>
      <c r="HB72" s="221">
        <f t="shared" si="350"/>
        <v>0</v>
      </c>
      <c r="HC72" s="221">
        <f t="shared" si="350"/>
        <v>0</v>
      </c>
      <c r="HD72" s="221">
        <f t="shared" si="350"/>
        <v>0</v>
      </c>
      <c r="HE72" s="221">
        <f t="shared" si="350"/>
        <v>0</v>
      </c>
      <c r="HF72" s="221">
        <f t="shared" si="350"/>
        <v>0</v>
      </c>
      <c r="HG72" s="221">
        <f t="shared" si="350"/>
        <v>0</v>
      </c>
      <c r="HH72" s="221">
        <f t="shared" si="350"/>
        <v>0</v>
      </c>
      <c r="HI72" s="221">
        <f t="shared" si="350"/>
        <v>0</v>
      </c>
      <c r="HJ72" s="221">
        <f t="shared" si="350"/>
        <v>0</v>
      </c>
      <c r="HK72" s="221">
        <f t="shared" si="350"/>
        <v>0</v>
      </c>
      <c r="HL72" s="221">
        <f t="shared" si="350"/>
        <v>0</v>
      </c>
      <c r="HM72" s="221">
        <f t="shared" ref="HM72:IR72" si="351">HL72-HM59</f>
        <v>0</v>
      </c>
      <c r="HN72" s="221">
        <f t="shared" si="351"/>
        <v>0</v>
      </c>
      <c r="HO72" s="221">
        <f t="shared" si="351"/>
        <v>0</v>
      </c>
      <c r="HP72" s="221">
        <f t="shared" si="351"/>
        <v>0</v>
      </c>
      <c r="HQ72" s="221">
        <f t="shared" si="351"/>
        <v>0</v>
      </c>
      <c r="HR72" s="221">
        <f t="shared" si="351"/>
        <v>0</v>
      </c>
      <c r="HS72" s="221">
        <f t="shared" si="351"/>
        <v>0</v>
      </c>
      <c r="HT72" s="221">
        <f t="shared" si="351"/>
        <v>0</v>
      </c>
      <c r="HU72" s="221">
        <f t="shared" si="351"/>
        <v>0</v>
      </c>
      <c r="HV72" s="221">
        <f t="shared" si="351"/>
        <v>0</v>
      </c>
      <c r="HW72" s="221">
        <f t="shared" si="351"/>
        <v>0</v>
      </c>
      <c r="HX72" s="221">
        <f t="shared" si="351"/>
        <v>0</v>
      </c>
      <c r="HY72" s="221">
        <f t="shared" si="351"/>
        <v>0</v>
      </c>
      <c r="HZ72" s="221">
        <f t="shared" si="351"/>
        <v>0</v>
      </c>
      <c r="IA72" s="221">
        <f t="shared" si="351"/>
        <v>0</v>
      </c>
      <c r="IB72" s="221">
        <f t="shared" si="351"/>
        <v>0</v>
      </c>
      <c r="IC72" s="221">
        <f t="shared" si="351"/>
        <v>0</v>
      </c>
      <c r="ID72" s="221">
        <f t="shared" si="351"/>
        <v>0</v>
      </c>
      <c r="IE72" s="221">
        <f t="shared" si="351"/>
        <v>0</v>
      </c>
      <c r="IF72" s="221">
        <f t="shared" si="351"/>
        <v>0</v>
      </c>
      <c r="IG72" s="221">
        <f t="shared" si="351"/>
        <v>0</v>
      </c>
      <c r="IH72" s="221">
        <f t="shared" si="351"/>
        <v>0</v>
      </c>
      <c r="II72" s="221">
        <f t="shared" si="351"/>
        <v>0</v>
      </c>
      <c r="IJ72" s="221">
        <f t="shared" si="351"/>
        <v>0</v>
      </c>
      <c r="IK72" s="221">
        <f t="shared" si="351"/>
        <v>0</v>
      </c>
      <c r="IL72" s="221">
        <f t="shared" si="351"/>
        <v>0</v>
      </c>
      <c r="IM72" s="221">
        <f t="shared" si="351"/>
        <v>0</v>
      </c>
      <c r="IN72" s="221">
        <f t="shared" si="351"/>
        <v>0</v>
      </c>
      <c r="IO72" s="221">
        <f t="shared" si="351"/>
        <v>0</v>
      </c>
      <c r="IP72" s="221">
        <f t="shared" si="351"/>
        <v>0</v>
      </c>
      <c r="IQ72" s="221">
        <f t="shared" si="351"/>
        <v>0</v>
      </c>
      <c r="IR72" s="221">
        <f t="shared" si="351"/>
        <v>0</v>
      </c>
      <c r="IS72" s="221">
        <f t="shared" ref="IS72:KC72" si="352">IR72-IS59</f>
        <v>0</v>
      </c>
      <c r="IT72" s="221">
        <f t="shared" si="352"/>
        <v>0</v>
      </c>
      <c r="IU72" s="221">
        <f t="shared" si="352"/>
        <v>0</v>
      </c>
      <c r="IV72" s="221">
        <f t="shared" si="352"/>
        <v>0</v>
      </c>
      <c r="IW72" s="221">
        <f t="shared" si="352"/>
        <v>0</v>
      </c>
      <c r="IX72" s="221">
        <f t="shared" si="352"/>
        <v>0</v>
      </c>
      <c r="IY72" s="221">
        <f t="shared" si="352"/>
        <v>0</v>
      </c>
      <c r="IZ72" s="221">
        <f t="shared" si="352"/>
        <v>0</v>
      </c>
      <c r="JA72" s="221">
        <f t="shared" si="352"/>
        <v>0</v>
      </c>
      <c r="JB72" s="221">
        <f t="shared" si="352"/>
        <v>0</v>
      </c>
      <c r="JC72" s="221">
        <f t="shared" si="352"/>
        <v>0</v>
      </c>
      <c r="JD72" s="221">
        <f t="shared" si="352"/>
        <v>0</v>
      </c>
      <c r="JE72" s="221">
        <f t="shared" si="352"/>
        <v>0</v>
      </c>
      <c r="JF72" s="221">
        <f t="shared" si="352"/>
        <v>0</v>
      </c>
      <c r="JG72" s="221">
        <f t="shared" si="352"/>
        <v>0</v>
      </c>
      <c r="JH72" s="221">
        <f t="shared" si="352"/>
        <v>0</v>
      </c>
      <c r="JI72" s="221">
        <f t="shared" si="352"/>
        <v>0</v>
      </c>
      <c r="JJ72" s="221">
        <f t="shared" si="352"/>
        <v>0</v>
      </c>
      <c r="JK72" s="221">
        <f t="shared" si="352"/>
        <v>0</v>
      </c>
      <c r="JL72" s="221">
        <f t="shared" si="352"/>
        <v>0</v>
      </c>
      <c r="JM72" s="221">
        <f t="shared" si="352"/>
        <v>0</v>
      </c>
      <c r="JN72" s="221">
        <f t="shared" si="352"/>
        <v>0</v>
      </c>
      <c r="JO72" s="221">
        <f t="shared" si="352"/>
        <v>0</v>
      </c>
      <c r="JP72" s="221">
        <f t="shared" si="352"/>
        <v>0</v>
      </c>
      <c r="JQ72" s="221">
        <f t="shared" si="352"/>
        <v>0</v>
      </c>
      <c r="JR72" s="221">
        <f t="shared" si="352"/>
        <v>0</v>
      </c>
      <c r="JS72" s="221">
        <f t="shared" si="352"/>
        <v>0</v>
      </c>
      <c r="JT72" s="221">
        <f t="shared" si="352"/>
        <v>0</v>
      </c>
      <c r="JU72" s="221">
        <f t="shared" si="352"/>
        <v>0</v>
      </c>
      <c r="JV72" s="221">
        <f t="shared" si="352"/>
        <v>0</v>
      </c>
      <c r="JW72" s="221">
        <f t="shared" si="352"/>
        <v>0</v>
      </c>
      <c r="JX72" s="221">
        <f t="shared" si="352"/>
        <v>0</v>
      </c>
      <c r="JY72" s="221">
        <f t="shared" si="352"/>
        <v>0</v>
      </c>
      <c r="JZ72" s="221">
        <f t="shared" si="352"/>
        <v>0</v>
      </c>
      <c r="KA72" s="221">
        <f t="shared" si="352"/>
        <v>0</v>
      </c>
      <c r="KB72" s="221">
        <f t="shared" si="352"/>
        <v>0</v>
      </c>
      <c r="KC72" s="221">
        <f t="shared" si="352"/>
        <v>0</v>
      </c>
    </row>
    <row r="73" spans="1:289" x14ac:dyDescent="0.25">
      <c r="B73" s="180" t="s">
        <v>560</v>
      </c>
      <c r="C73" s="292"/>
      <c r="D73" s="196"/>
      <c r="E73" s="210"/>
      <c r="F73" s="196"/>
      <c r="G73" s="217"/>
      <c r="H73" s="196"/>
      <c r="I73" s="188"/>
      <c r="EU73" s="153" t="s">
        <v>70</v>
      </c>
      <c r="EV73" s="153"/>
      <c r="EW73" s="153"/>
      <c r="EX73" s="153"/>
      <c r="EY73" s="154" t="s">
        <v>79</v>
      </c>
      <c r="EZ73" s="250">
        <f ca="1">EZ60</f>
        <v>128683.11460402847</v>
      </c>
      <c r="FA73" s="221">
        <f t="shared" ref="FA73:GF73" ca="1" si="353">EZ73-FA60</f>
        <v>128683.11460402847</v>
      </c>
      <c r="FB73" s="221">
        <f t="shared" ca="1" si="353"/>
        <v>128683.11460402847</v>
      </c>
      <c r="FC73" s="221">
        <f t="shared" ca="1" si="353"/>
        <v>128683.11460402847</v>
      </c>
      <c r="FD73" s="221">
        <f t="shared" ca="1" si="353"/>
        <v>128683.11460402847</v>
      </c>
      <c r="FE73" s="221">
        <f t="shared" ca="1" si="353"/>
        <v>128683.11460402847</v>
      </c>
      <c r="FF73" s="221">
        <f t="shared" ca="1" si="353"/>
        <v>128683.11460402847</v>
      </c>
      <c r="FG73" s="221">
        <f t="shared" ca="1" si="353"/>
        <v>127391.48489173994</v>
      </c>
      <c r="FH73" s="221">
        <f t="shared" ca="1" si="353"/>
        <v>121200.88907845896</v>
      </c>
      <c r="FI73" s="221">
        <f t="shared" ca="1" si="353"/>
        <v>110087.19292286773</v>
      </c>
      <c r="FJ73" s="221">
        <f t="shared" ca="1" si="353"/>
        <v>95067.323824929292</v>
      </c>
      <c r="FK73" s="221">
        <f t="shared" ca="1" si="353"/>
        <v>77585.335516638705</v>
      </c>
      <c r="FL73" s="221">
        <f t="shared" ca="1" si="353"/>
        <v>58836.689435792403</v>
      </c>
      <c r="FM73" s="221">
        <f t="shared" ca="1" si="353"/>
        <v>39510.954086400874</v>
      </c>
      <c r="FN73" s="221">
        <f t="shared" ca="1" si="353"/>
        <v>19900.520516408727</v>
      </c>
      <c r="FO73" s="221">
        <f t="shared" ca="1" si="353"/>
        <v>0</v>
      </c>
      <c r="FP73" s="221">
        <f t="shared" ca="1" si="353"/>
        <v>0</v>
      </c>
      <c r="FQ73" s="221">
        <f t="shared" ca="1" si="353"/>
        <v>0</v>
      </c>
      <c r="FR73" s="221">
        <f t="shared" ca="1" si="353"/>
        <v>0</v>
      </c>
      <c r="FS73" s="221">
        <f t="shared" ca="1" si="353"/>
        <v>0</v>
      </c>
      <c r="FT73" s="221">
        <f t="shared" ca="1" si="353"/>
        <v>0</v>
      </c>
      <c r="FU73" s="221">
        <f t="shared" ca="1" si="353"/>
        <v>0</v>
      </c>
      <c r="FV73" s="221">
        <f t="shared" ca="1" si="353"/>
        <v>0</v>
      </c>
      <c r="FW73" s="221">
        <f t="shared" ca="1" si="353"/>
        <v>0</v>
      </c>
      <c r="FX73" s="221">
        <f t="shared" ca="1" si="353"/>
        <v>0</v>
      </c>
      <c r="FY73" s="221">
        <f t="shared" ca="1" si="353"/>
        <v>0</v>
      </c>
      <c r="FZ73" s="221">
        <f t="shared" ca="1" si="353"/>
        <v>0</v>
      </c>
      <c r="GA73" s="221">
        <f t="shared" ca="1" si="353"/>
        <v>0</v>
      </c>
      <c r="GB73" s="221">
        <f t="shared" ca="1" si="353"/>
        <v>0</v>
      </c>
      <c r="GC73" s="221">
        <f t="shared" ca="1" si="353"/>
        <v>0</v>
      </c>
      <c r="GD73" s="221">
        <f t="shared" ca="1" si="353"/>
        <v>0</v>
      </c>
      <c r="GE73" s="221">
        <f t="shared" ca="1" si="353"/>
        <v>0</v>
      </c>
      <c r="GF73" s="221">
        <f t="shared" ca="1" si="353"/>
        <v>0</v>
      </c>
      <c r="GG73" s="221">
        <f t="shared" ref="GG73:HL73" ca="1" si="354">GF73-GG60</f>
        <v>0</v>
      </c>
      <c r="GH73" s="221">
        <f t="shared" ca="1" si="354"/>
        <v>0</v>
      </c>
      <c r="GI73" s="221">
        <f t="shared" ca="1" si="354"/>
        <v>0</v>
      </c>
      <c r="GJ73" s="221">
        <f t="shared" ca="1" si="354"/>
        <v>0</v>
      </c>
      <c r="GK73" s="221">
        <f t="shared" ca="1" si="354"/>
        <v>0</v>
      </c>
      <c r="GL73" s="221">
        <f t="shared" ca="1" si="354"/>
        <v>0</v>
      </c>
      <c r="GM73" s="221">
        <f t="shared" ca="1" si="354"/>
        <v>0</v>
      </c>
      <c r="GN73" s="221">
        <f t="shared" ca="1" si="354"/>
        <v>0</v>
      </c>
      <c r="GO73" s="221">
        <f t="shared" ca="1" si="354"/>
        <v>0</v>
      </c>
      <c r="GP73" s="221">
        <f t="shared" ca="1" si="354"/>
        <v>0</v>
      </c>
      <c r="GQ73" s="221">
        <f t="shared" ca="1" si="354"/>
        <v>0</v>
      </c>
      <c r="GR73" s="221">
        <f t="shared" ca="1" si="354"/>
        <v>0</v>
      </c>
      <c r="GS73" s="221">
        <f t="shared" ca="1" si="354"/>
        <v>0</v>
      </c>
      <c r="GT73" s="221">
        <f t="shared" ca="1" si="354"/>
        <v>0</v>
      </c>
      <c r="GU73" s="221">
        <f t="shared" ca="1" si="354"/>
        <v>0</v>
      </c>
      <c r="GV73" s="221">
        <f t="shared" ca="1" si="354"/>
        <v>0</v>
      </c>
      <c r="GW73" s="221">
        <f t="shared" ca="1" si="354"/>
        <v>0</v>
      </c>
      <c r="GX73" s="221">
        <f t="shared" ca="1" si="354"/>
        <v>0</v>
      </c>
      <c r="GY73" s="221">
        <f t="shared" ca="1" si="354"/>
        <v>0</v>
      </c>
      <c r="GZ73" s="221">
        <f t="shared" ca="1" si="354"/>
        <v>0</v>
      </c>
      <c r="HA73" s="221">
        <f t="shared" ca="1" si="354"/>
        <v>0</v>
      </c>
      <c r="HB73" s="221">
        <f t="shared" ca="1" si="354"/>
        <v>0</v>
      </c>
      <c r="HC73" s="221">
        <f t="shared" ca="1" si="354"/>
        <v>0</v>
      </c>
      <c r="HD73" s="221">
        <f t="shared" ca="1" si="354"/>
        <v>0</v>
      </c>
      <c r="HE73" s="221">
        <f t="shared" ca="1" si="354"/>
        <v>0</v>
      </c>
      <c r="HF73" s="221">
        <f t="shared" ca="1" si="354"/>
        <v>0</v>
      </c>
      <c r="HG73" s="221">
        <f t="shared" ca="1" si="354"/>
        <v>0</v>
      </c>
      <c r="HH73" s="221">
        <f t="shared" ca="1" si="354"/>
        <v>0</v>
      </c>
      <c r="HI73" s="221">
        <f t="shared" ca="1" si="354"/>
        <v>0</v>
      </c>
      <c r="HJ73" s="221">
        <f t="shared" ca="1" si="354"/>
        <v>0</v>
      </c>
      <c r="HK73" s="221">
        <f t="shared" ca="1" si="354"/>
        <v>0</v>
      </c>
      <c r="HL73" s="221">
        <f t="shared" ca="1" si="354"/>
        <v>0</v>
      </c>
      <c r="HM73" s="221">
        <f t="shared" ref="HM73:IR73" ca="1" si="355">HL73-HM60</f>
        <v>0</v>
      </c>
      <c r="HN73" s="221">
        <f t="shared" ca="1" si="355"/>
        <v>0</v>
      </c>
      <c r="HO73" s="221">
        <f t="shared" ca="1" si="355"/>
        <v>0</v>
      </c>
      <c r="HP73" s="221">
        <f t="shared" ca="1" si="355"/>
        <v>0</v>
      </c>
      <c r="HQ73" s="221">
        <f t="shared" ca="1" si="355"/>
        <v>0</v>
      </c>
      <c r="HR73" s="221">
        <f t="shared" ca="1" si="355"/>
        <v>0</v>
      </c>
      <c r="HS73" s="221">
        <f t="shared" ca="1" si="355"/>
        <v>0</v>
      </c>
      <c r="HT73" s="221">
        <f t="shared" ca="1" si="355"/>
        <v>0</v>
      </c>
      <c r="HU73" s="221">
        <f t="shared" ca="1" si="355"/>
        <v>0</v>
      </c>
      <c r="HV73" s="221">
        <f t="shared" ca="1" si="355"/>
        <v>0</v>
      </c>
      <c r="HW73" s="221">
        <f t="shared" ca="1" si="355"/>
        <v>0</v>
      </c>
      <c r="HX73" s="221">
        <f t="shared" ca="1" si="355"/>
        <v>0</v>
      </c>
      <c r="HY73" s="221">
        <f t="shared" ca="1" si="355"/>
        <v>0</v>
      </c>
      <c r="HZ73" s="221">
        <f t="shared" ca="1" si="355"/>
        <v>0</v>
      </c>
      <c r="IA73" s="221">
        <f t="shared" ca="1" si="355"/>
        <v>0</v>
      </c>
      <c r="IB73" s="221">
        <f t="shared" ca="1" si="355"/>
        <v>0</v>
      </c>
      <c r="IC73" s="221">
        <f t="shared" ca="1" si="355"/>
        <v>0</v>
      </c>
      <c r="ID73" s="221">
        <f t="shared" ca="1" si="355"/>
        <v>0</v>
      </c>
      <c r="IE73" s="221">
        <f t="shared" ca="1" si="355"/>
        <v>0</v>
      </c>
      <c r="IF73" s="221">
        <f t="shared" ca="1" si="355"/>
        <v>0</v>
      </c>
      <c r="IG73" s="221">
        <f t="shared" ca="1" si="355"/>
        <v>0</v>
      </c>
      <c r="IH73" s="221">
        <f t="shared" ca="1" si="355"/>
        <v>0</v>
      </c>
      <c r="II73" s="221">
        <f t="shared" ca="1" si="355"/>
        <v>0</v>
      </c>
      <c r="IJ73" s="221">
        <f t="shared" ca="1" si="355"/>
        <v>0</v>
      </c>
      <c r="IK73" s="221">
        <f t="shared" ca="1" si="355"/>
        <v>0</v>
      </c>
      <c r="IL73" s="221">
        <f t="shared" ca="1" si="355"/>
        <v>0</v>
      </c>
      <c r="IM73" s="221">
        <f t="shared" ca="1" si="355"/>
        <v>0</v>
      </c>
      <c r="IN73" s="221">
        <f t="shared" ca="1" si="355"/>
        <v>0</v>
      </c>
      <c r="IO73" s="221">
        <f t="shared" ca="1" si="355"/>
        <v>0</v>
      </c>
      <c r="IP73" s="221">
        <f t="shared" ca="1" si="355"/>
        <v>0</v>
      </c>
      <c r="IQ73" s="221">
        <f t="shared" ca="1" si="355"/>
        <v>0</v>
      </c>
      <c r="IR73" s="221">
        <f t="shared" ca="1" si="355"/>
        <v>0</v>
      </c>
      <c r="IS73" s="221">
        <f t="shared" ref="IS73:KC73" ca="1" si="356">IR73-IS60</f>
        <v>0</v>
      </c>
      <c r="IT73" s="221">
        <f t="shared" ca="1" si="356"/>
        <v>0</v>
      </c>
      <c r="IU73" s="221">
        <f t="shared" ca="1" si="356"/>
        <v>0</v>
      </c>
      <c r="IV73" s="221">
        <f t="shared" ca="1" si="356"/>
        <v>0</v>
      </c>
      <c r="IW73" s="221">
        <f t="shared" ca="1" si="356"/>
        <v>0</v>
      </c>
      <c r="IX73" s="221">
        <f t="shared" ca="1" si="356"/>
        <v>0</v>
      </c>
      <c r="IY73" s="221">
        <f t="shared" ca="1" si="356"/>
        <v>0</v>
      </c>
      <c r="IZ73" s="221">
        <f t="shared" ca="1" si="356"/>
        <v>0</v>
      </c>
      <c r="JA73" s="221">
        <f t="shared" ca="1" si="356"/>
        <v>0</v>
      </c>
      <c r="JB73" s="221">
        <f t="shared" ca="1" si="356"/>
        <v>0</v>
      </c>
      <c r="JC73" s="221">
        <f t="shared" ca="1" si="356"/>
        <v>0</v>
      </c>
      <c r="JD73" s="221">
        <f t="shared" ca="1" si="356"/>
        <v>0</v>
      </c>
      <c r="JE73" s="221">
        <f t="shared" ca="1" si="356"/>
        <v>0</v>
      </c>
      <c r="JF73" s="221">
        <f t="shared" ca="1" si="356"/>
        <v>0</v>
      </c>
      <c r="JG73" s="221">
        <f t="shared" ca="1" si="356"/>
        <v>0</v>
      </c>
      <c r="JH73" s="221">
        <f t="shared" ca="1" si="356"/>
        <v>0</v>
      </c>
      <c r="JI73" s="221">
        <f t="shared" ca="1" si="356"/>
        <v>0</v>
      </c>
      <c r="JJ73" s="221">
        <f t="shared" ca="1" si="356"/>
        <v>0</v>
      </c>
      <c r="JK73" s="221">
        <f t="shared" ca="1" si="356"/>
        <v>0</v>
      </c>
      <c r="JL73" s="221">
        <f t="shared" ca="1" si="356"/>
        <v>0</v>
      </c>
      <c r="JM73" s="221">
        <f t="shared" ca="1" si="356"/>
        <v>0</v>
      </c>
      <c r="JN73" s="221">
        <f t="shared" ca="1" si="356"/>
        <v>0</v>
      </c>
      <c r="JO73" s="221">
        <f t="shared" ca="1" si="356"/>
        <v>0</v>
      </c>
      <c r="JP73" s="221">
        <f t="shared" ca="1" si="356"/>
        <v>0</v>
      </c>
      <c r="JQ73" s="221">
        <f t="shared" ca="1" si="356"/>
        <v>0</v>
      </c>
      <c r="JR73" s="221">
        <f t="shared" ca="1" si="356"/>
        <v>0</v>
      </c>
      <c r="JS73" s="221">
        <f t="shared" ca="1" si="356"/>
        <v>0</v>
      </c>
      <c r="JT73" s="221">
        <f t="shared" ca="1" si="356"/>
        <v>0</v>
      </c>
      <c r="JU73" s="221">
        <f t="shared" ca="1" si="356"/>
        <v>0</v>
      </c>
      <c r="JV73" s="221">
        <f t="shared" ca="1" si="356"/>
        <v>0</v>
      </c>
      <c r="JW73" s="221">
        <f t="shared" ca="1" si="356"/>
        <v>0</v>
      </c>
      <c r="JX73" s="221">
        <f t="shared" ca="1" si="356"/>
        <v>0</v>
      </c>
      <c r="JY73" s="221">
        <f t="shared" ca="1" si="356"/>
        <v>0</v>
      </c>
      <c r="JZ73" s="221">
        <f t="shared" ca="1" si="356"/>
        <v>0</v>
      </c>
      <c r="KA73" s="221">
        <f t="shared" ca="1" si="356"/>
        <v>0</v>
      </c>
      <c r="KB73" s="221">
        <f t="shared" ca="1" si="356"/>
        <v>0</v>
      </c>
      <c r="KC73" s="221">
        <f t="shared" ca="1" si="356"/>
        <v>0</v>
      </c>
    </row>
    <row r="74" spans="1:289" x14ac:dyDescent="0.25">
      <c r="B74" s="267" t="s">
        <v>561</v>
      </c>
      <c r="C74" s="196"/>
      <c r="D74" s="196"/>
      <c r="E74" s="196"/>
      <c r="F74" s="269">
        <f ca="1">I74/Project_Cost_Total</f>
        <v>0.56813700251563215</v>
      </c>
      <c r="G74" s="217">
        <f>I74/Units_SF_M2</f>
        <v>140.80018825978331</v>
      </c>
      <c r="H74" s="218">
        <f>I74/Units</f>
        <v>143404.99174258931</v>
      </c>
      <c r="I74" s="218">
        <f>SUM(Q74:ES74)</f>
        <v>2294479.8678814289</v>
      </c>
      <c r="Q74" s="220">
        <f t="shared" ref="Q74:Z76" si="357">FA59</f>
        <v>0</v>
      </c>
      <c r="R74" s="220">
        <f t="shared" si="357"/>
        <v>0</v>
      </c>
      <c r="S74" s="220">
        <f t="shared" si="357"/>
        <v>0</v>
      </c>
      <c r="T74" s="220">
        <f t="shared" si="357"/>
        <v>0</v>
      </c>
      <c r="U74" s="220">
        <f t="shared" si="357"/>
        <v>0</v>
      </c>
      <c r="V74" s="220">
        <f t="shared" si="357"/>
        <v>154995.56547462335</v>
      </c>
      <c r="W74" s="220">
        <f t="shared" si="357"/>
        <v>586584.30240680568</v>
      </c>
      <c r="X74" s="220">
        <f t="shared" si="357"/>
        <v>584581.44526394852</v>
      </c>
      <c r="Y74" s="220">
        <f t="shared" si="357"/>
        <v>457627.05692607397</v>
      </c>
      <c r="Z74" s="220">
        <f t="shared" si="357"/>
        <v>280434.43614431861</v>
      </c>
      <c r="AA74" s="220">
        <f t="shared" ref="AA74:AJ76" si="358">FK59</f>
        <v>134516.94439839578</v>
      </c>
      <c r="AB74" s="220">
        <f t="shared" si="358"/>
        <v>50502.066144580931</v>
      </c>
      <c r="AC74" s="220">
        <f t="shared" si="358"/>
        <v>14838.051122682213</v>
      </c>
      <c r="AD74" s="220">
        <f t="shared" si="358"/>
        <v>15200</v>
      </c>
      <c r="AE74" s="220">
        <f t="shared" si="358"/>
        <v>15199.999999999513</v>
      </c>
      <c r="AF74" s="220">
        <f t="shared" si="358"/>
        <v>0</v>
      </c>
      <c r="AG74" s="220">
        <f t="shared" si="358"/>
        <v>0</v>
      </c>
      <c r="AH74" s="220">
        <f t="shared" si="358"/>
        <v>0</v>
      </c>
      <c r="AI74" s="220">
        <f t="shared" si="358"/>
        <v>0</v>
      </c>
      <c r="AJ74" s="220">
        <f t="shared" si="358"/>
        <v>0</v>
      </c>
      <c r="AK74" s="220">
        <f t="shared" ref="AK74:AT76" si="359">FU59</f>
        <v>0</v>
      </c>
      <c r="AL74" s="220">
        <f t="shared" si="359"/>
        <v>0</v>
      </c>
      <c r="AM74" s="220">
        <f t="shared" si="359"/>
        <v>0</v>
      </c>
      <c r="AN74" s="220">
        <f t="shared" si="359"/>
        <v>0</v>
      </c>
      <c r="AO74" s="220">
        <f t="shared" si="359"/>
        <v>0</v>
      </c>
      <c r="AP74" s="220">
        <f t="shared" si="359"/>
        <v>0</v>
      </c>
      <c r="AQ74" s="220">
        <f t="shared" si="359"/>
        <v>0</v>
      </c>
      <c r="AR74" s="220">
        <f t="shared" si="359"/>
        <v>0</v>
      </c>
      <c r="AS74" s="220">
        <f t="shared" si="359"/>
        <v>0</v>
      </c>
      <c r="AT74" s="220">
        <f t="shared" si="359"/>
        <v>0</v>
      </c>
      <c r="AU74" s="220">
        <f t="shared" ref="AU74:BD76" si="360">GE59</f>
        <v>0</v>
      </c>
      <c r="AV74" s="220">
        <f t="shared" si="360"/>
        <v>0</v>
      </c>
      <c r="AW74" s="220">
        <f t="shared" si="360"/>
        <v>0</v>
      </c>
      <c r="AX74" s="220">
        <f t="shared" si="360"/>
        <v>0</v>
      </c>
      <c r="AY74" s="220">
        <f t="shared" si="360"/>
        <v>0</v>
      </c>
      <c r="AZ74" s="220">
        <f t="shared" si="360"/>
        <v>0</v>
      </c>
      <c r="BA74" s="220">
        <f t="shared" si="360"/>
        <v>0</v>
      </c>
      <c r="BB74" s="220">
        <f t="shared" si="360"/>
        <v>0</v>
      </c>
      <c r="BC74" s="220">
        <f t="shared" si="360"/>
        <v>0</v>
      </c>
      <c r="BD74" s="220">
        <f t="shared" si="360"/>
        <v>0</v>
      </c>
      <c r="BE74" s="220">
        <f t="shared" ref="BE74:BN76" si="361">GO59</f>
        <v>0</v>
      </c>
      <c r="BF74" s="220">
        <f t="shared" si="361"/>
        <v>0</v>
      </c>
      <c r="BG74" s="220">
        <f t="shared" si="361"/>
        <v>0</v>
      </c>
      <c r="BH74" s="220">
        <f t="shared" si="361"/>
        <v>0</v>
      </c>
      <c r="BI74" s="220">
        <f t="shared" si="361"/>
        <v>0</v>
      </c>
      <c r="BJ74" s="220">
        <f t="shared" si="361"/>
        <v>0</v>
      </c>
      <c r="BK74" s="220">
        <f t="shared" si="361"/>
        <v>0</v>
      </c>
      <c r="BL74" s="220">
        <f t="shared" si="361"/>
        <v>0</v>
      </c>
      <c r="BM74" s="220">
        <f t="shared" si="361"/>
        <v>0</v>
      </c>
      <c r="BN74" s="220">
        <f t="shared" si="361"/>
        <v>0</v>
      </c>
      <c r="BO74" s="220">
        <f t="shared" ref="BO74:BX76" si="362">GY59</f>
        <v>0</v>
      </c>
      <c r="BP74" s="220">
        <f t="shared" si="362"/>
        <v>0</v>
      </c>
      <c r="BQ74" s="220">
        <f t="shared" si="362"/>
        <v>0</v>
      </c>
      <c r="BR74" s="220">
        <f t="shared" si="362"/>
        <v>0</v>
      </c>
      <c r="BS74" s="220">
        <f t="shared" si="362"/>
        <v>0</v>
      </c>
      <c r="BT74" s="220">
        <f t="shared" si="362"/>
        <v>0</v>
      </c>
      <c r="BU74" s="220">
        <f t="shared" si="362"/>
        <v>0</v>
      </c>
      <c r="BV74" s="220">
        <f t="shared" si="362"/>
        <v>0</v>
      </c>
      <c r="BW74" s="220">
        <f t="shared" si="362"/>
        <v>0</v>
      </c>
      <c r="BX74" s="220">
        <f t="shared" si="362"/>
        <v>0</v>
      </c>
      <c r="BY74" s="220">
        <f t="shared" ref="BY74:CH76" si="363">HI59</f>
        <v>0</v>
      </c>
      <c r="BZ74" s="220">
        <f t="shared" si="363"/>
        <v>0</v>
      </c>
      <c r="CA74" s="220">
        <f t="shared" si="363"/>
        <v>0</v>
      </c>
      <c r="CB74" s="220">
        <f t="shared" si="363"/>
        <v>0</v>
      </c>
      <c r="CC74" s="220">
        <f t="shared" si="363"/>
        <v>0</v>
      </c>
      <c r="CD74" s="220">
        <f t="shared" si="363"/>
        <v>0</v>
      </c>
      <c r="CE74" s="220">
        <f t="shared" si="363"/>
        <v>0</v>
      </c>
      <c r="CF74" s="220">
        <f t="shared" si="363"/>
        <v>0</v>
      </c>
      <c r="CG74" s="220">
        <f t="shared" si="363"/>
        <v>0</v>
      </c>
      <c r="CH74" s="220">
        <f t="shared" si="363"/>
        <v>0</v>
      </c>
      <c r="CI74" s="220">
        <f t="shared" ref="CI74:CR76" si="364">HS59</f>
        <v>0</v>
      </c>
      <c r="CJ74" s="220">
        <f t="shared" si="364"/>
        <v>0</v>
      </c>
      <c r="CK74" s="220">
        <f t="shared" si="364"/>
        <v>0</v>
      </c>
      <c r="CL74" s="220">
        <f t="shared" si="364"/>
        <v>0</v>
      </c>
      <c r="CM74" s="220">
        <f t="shared" si="364"/>
        <v>0</v>
      </c>
      <c r="CN74" s="220">
        <f t="shared" si="364"/>
        <v>0</v>
      </c>
      <c r="CO74" s="220">
        <f t="shared" si="364"/>
        <v>0</v>
      </c>
      <c r="CP74" s="220">
        <f t="shared" si="364"/>
        <v>0</v>
      </c>
      <c r="CQ74" s="220">
        <f t="shared" si="364"/>
        <v>0</v>
      </c>
      <c r="CR74" s="220">
        <f t="shared" si="364"/>
        <v>0</v>
      </c>
      <c r="CS74" s="220">
        <f t="shared" ref="CS74:DB76" si="365">IC59</f>
        <v>0</v>
      </c>
      <c r="CT74" s="220">
        <f t="shared" si="365"/>
        <v>0</v>
      </c>
      <c r="CU74" s="220">
        <f t="shared" si="365"/>
        <v>0</v>
      </c>
      <c r="CV74" s="220">
        <f t="shared" si="365"/>
        <v>0</v>
      </c>
      <c r="CW74" s="220">
        <f t="shared" si="365"/>
        <v>0</v>
      </c>
      <c r="CX74" s="220">
        <f t="shared" si="365"/>
        <v>0</v>
      </c>
      <c r="CY74" s="220">
        <f t="shared" si="365"/>
        <v>0</v>
      </c>
      <c r="CZ74" s="220">
        <f t="shared" si="365"/>
        <v>0</v>
      </c>
      <c r="DA74" s="220">
        <f t="shared" si="365"/>
        <v>0</v>
      </c>
      <c r="DB74" s="220">
        <f t="shared" si="365"/>
        <v>0</v>
      </c>
      <c r="DC74" s="220">
        <f t="shared" ref="DC74:DL76" si="366">IM59</f>
        <v>0</v>
      </c>
      <c r="DD74" s="220">
        <f t="shared" si="366"/>
        <v>0</v>
      </c>
      <c r="DE74" s="220">
        <f t="shared" si="366"/>
        <v>0</v>
      </c>
      <c r="DF74" s="220">
        <f t="shared" si="366"/>
        <v>0</v>
      </c>
      <c r="DG74" s="220">
        <f t="shared" si="366"/>
        <v>0</v>
      </c>
      <c r="DH74" s="220">
        <f t="shared" si="366"/>
        <v>0</v>
      </c>
      <c r="DI74" s="220">
        <f t="shared" si="366"/>
        <v>0</v>
      </c>
      <c r="DJ74" s="220">
        <f t="shared" si="366"/>
        <v>0</v>
      </c>
      <c r="DK74" s="220">
        <f t="shared" si="366"/>
        <v>0</v>
      </c>
      <c r="DL74" s="220">
        <f t="shared" si="366"/>
        <v>0</v>
      </c>
      <c r="DM74" s="220">
        <f t="shared" ref="DM74:DV76" si="367">IW59</f>
        <v>0</v>
      </c>
      <c r="DN74" s="220">
        <f t="shared" si="367"/>
        <v>0</v>
      </c>
      <c r="DO74" s="220">
        <f t="shared" si="367"/>
        <v>0</v>
      </c>
      <c r="DP74" s="220">
        <f t="shared" si="367"/>
        <v>0</v>
      </c>
      <c r="DQ74" s="220">
        <f t="shared" si="367"/>
        <v>0</v>
      </c>
      <c r="DR74" s="220">
        <f t="shared" si="367"/>
        <v>0</v>
      </c>
      <c r="DS74" s="220">
        <f t="shared" si="367"/>
        <v>0</v>
      </c>
      <c r="DT74" s="220">
        <f t="shared" si="367"/>
        <v>0</v>
      </c>
      <c r="DU74" s="220">
        <f t="shared" si="367"/>
        <v>0</v>
      </c>
      <c r="DV74" s="220">
        <f t="shared" si="367"/>
        <v>0</v>
      </c>
      <c r="DW74" s="220">
        <f t="shared" ref="DW74:EF76" si="368">JG59</f>
        <v>0</v>
      </c>
      <c r="DX74" s="220">
        <f t="shared" si="368"/>
        <v>0</v>
      </c>
      <c r="DY74" s="220">
        <f t="shared" si="368"/>
        <v>0</v>
      </c>
      <c r="DZ74" s="220">
        <f t="shared" si="368"/>
        <v>0</v>
      </c>
      <c r="EA74" s="220">
        <f t="shared" si="368"/>
        <v>0</v>
      </c>
      <c r="EB74" s="220">
        <f t="shared" si="368"/>
        <v>0</v>
      </c>
      <c r="EC74" s="220">
        <f t="shared" si="368"/>
        <v>0</v>
      </c>
      <c r="ED74" s="220">
        <f t="shared" si="368"/>
        <v>0</v>
      </c>
      <c r="EE74" s="220">
        <f t="shared" si="368"/>
        <v>0</v>
      </c>
      <c r="EF74" s="220">
        <f t="shared" si="368"/>
        <v>0</v>
      </c>
      <c r="EG74" s="220">
        <f t="shared" ref="EG74:EP76" si="369">JQ59</f>
        <v>0</v>
      </c>
      <c r="EH74" s="220">
        <f t="shared" si="369"/>
        <v>0</v>
      </c>
      <c r="EI74" s="220">
        <f t="shared" si="369"/>
        <v>0</v>
      </c>
      <c r="EJ74" s="220">
        <f t="shared" si="369"/>
        <v>0</v>
      </c>
      <c r="EK74" s="220">
        <f t="shared" si="369"/>
        <v>0</v>
      </c>
      <c r="EL74" s="220">
        <f t="shared" si="369"/>
        <v>0</v>
      </c>
      <c r="EM74" s="220">
        <f t="shared" si="369"/>
        <v>0</v>
      </c>
      <c r="EN74" s="220">
        <f t="shared" si="369"/>
        <v>0</v>
      </c>
      <c r="EO74" s="220">
        <f t="shared" si="369"/>
        <v>0</v>
      </c>
      <c r="EP74" s="220">
        <f t="shared" si="369"/>
        <v>0</v>
      </c>
      <c r="EQ74" s="220">
        <f t="shared" ref="EQ74:ES76" si="370">KA59</f>
        <v>0</v>
      </c>
      <c r="ER74" s="220">
        <f t="shared" si="370"/>
        <v>0</v>
      </c>
      <c r="ES74" s="220">
        <f t="shared" si="370"/>
        <v>0</v>
      </c>
      <c r="EU74" s="153" t="s">
        <v>77</v>
      </c>
      <c r="EV74" s="153"/>
      <c r="EW74" s="153"/>
      <c r="EX74" s="207" t="s">
        <v>71</v>
      </c>
      <c r="EY74" s="154" t="s">
        <v>79</v>
      </c>
      <c r="EZ74" s="250">
        <f ca="1">EZ61</f>
        <v>0</v>
      </c>
      <c r="FA74" s="221">
        <f t="shared" ref="FA74:GF74" ca="1" si="371">EZ74-FA61</f>
        <v>0</v>
      </c>
      <c r="FB74" s="221">
        <f t="shared" ca="1" si="371"/>
        <v>0</v>
      </c>
      <c r="FC74" s="221">
        <f t="shared" ca="1" si="371"/>
        <v>0</v>
      </c>
      <c r="FD74" s="221">
        <f t="shared" ca="1" si="371"/>
        <v>0</v>
      </c>
      <c r="FE74" s="221">
        <f t="shared" ca="1" si="371"/>
        <v>0</v>
      </c>
      <c r="FF74" s="221">
        <f t="shared" ca="1" si="371"/>
        <v>0</v>
      </c>
      <c r="FG74" s="221">
        <f t="shared" ca="1" si="371"/>
        <v>0</v>
      </c>
      <c r="FH74" s="221">
        <f t="shared" ca="1" si="371"/>
        <v>0</v>
      </c>
      <c r="FI74" s="221">
        <f t="shared" ca="1" si="371"/>
        <v>0</v>
      </c>
      <c r="FJ74" s="221">
        <f t="shared" ca="1" si="371"/>
        <v>0</v>
      </c>
      <c r="FK74" s="221">
        <f t="shared" ca="1" si="371"/>
        <v>0</v>
      </c>
      <c r="FL74" s="221">
        <f t="shared" ca="1" si="371"/>
        <v>0</v>
      </c>
      <c r="FM74" s="221">
        <f t="shared" ca="1" si="371"/>
        <v>0</v>
      </c>
      <c r="FN74" s="221">
        <f t="shared" ca="1" si="371"/>
        <v>0</v>
      </c>
      <c r="FO74" s="221">
        <f t="shared" ca="1" si="371"/>
        <v>0</v>
      </c>
      <c r="FP74" s="221">
        <f t="shared" ca="1" si="371"/>
        <v>0</v>
      </c>
      <c r="FQ74" s="221">
        <f t="shared" ca="1" si="371"/>
        <v>0</v>
      </c>
      <c r="FR74" s="221">
        <f t="shared" ca="1" si="371"/>
        <v>0</v>
      </c>
      <c r="FS74" s="221">
        <f t="shared" ca="1" si="371"/>
        <v>0</v>
      </c>
      <c r="FT74" s="221">
        <f t="shared" ca="1" si="371"/>
        <v>0</v>
      </c>
      <c r="FU74" s="221">
        <f t="shared" ca="1" si="371"/>
        <v>0</v>
      </c>
      <c r="FV74" s="221">
        <f t="shared" ca="1" si="371"/>
        <v>0</v>
      </c>
      <c r="FW74" s="221">
        <f t="shared" ca="1" si="371"/>
        <v>0</v>
      </c>
      <c r="FX74" s="221">
        <f t="shared" ca="1" si="371"/>
        <v>0</v>
      </c>
      <c r="FY74" s="221">
        <f t="shared" ca="1" si="371"/>
        <v>0</v>
      </c>
      <c r="FZ74" s="221">
        <f t="shared" ca="1" si="371"/>
        <v>0</v>
      </c>
      <c r="GA74" s="221">
        <f t="shared" ca="1" si="371"/>
        <v>0</v>
      </c>
      <c r="GB74" s="221">
        <f t="shared" ca="1" si="371"/>
        <v>0</v>
      </c>
      <c r="GC74" s="221">
        <f t="shared" ca="1" si="371"/>
        <v>0</v>
      </c>
      <c r="GD74" s="221">
        <f t="shared" ca="1" si="371"/>
        <v>0</v>
      </c>
      <c r="GE74" s="221">
        <f t="shared" ca="1" si="371"/>
        <v>0</v>
      </c>
      <c r="GF74" s="221">
        <f t="shared" ca="1" si="371"/>
        <v>0</v>
      </c>
      <c r="GG74" s="221">
        <f t="shared" ref="GG74:HL74" ca="1" si="372">GF74-GG61</f>
        <v>0</v>
      </c>
      <c r="GH74" s="221">
        <f t="shared" ca="1" si="372"/>
        <v>0</v>
      </c>
      <c r="GI74" s="221">
        <f t="shared" ca="1" si="372"/>
        <v>0</v>
      </c>
      <c r="GJ74" s="221">
        <f t="shared" ca="1" si="372"/>
        <v>0</v>
      </c>
      <c r="GK74" s="221">
        <f t="shared" ca="1" si="372"/>
        <v>0</v>
      </c>
      <c r="GL74" s="221">
        <f t="shared" ca="1" si="372"/>
        <v>0</v>
      </c>
      <c r="GM74" s="221">
        <f t="shared" ca="1" si="372"/>
        <v>0</v>
      </c>
      <c r="GN74" s="221">
        <f t="shared" ca="1" si="372"/>
        <v>0</v>
      </c>
      <c r="GO74" s="221">
        <f t="shared" ca="1" si="372"/>
        <v>0</v>
      </c>
      <c r="GP74" s="221">
        <f t="shared" ca="1" si="372"/>
        <v>0</v>
      </c>
      <c r="GQ74" s="221">
        <f t="shared" ca="1" si="372"/>
        <v>0</v>
      </c>
      <c r="GR74" s="221">
        <f t="shared" ca="1" si="372"/>
        <v>0</v>
      </c>
      <c r="GS74" s="221">
        <f t="shared" ca="1" si="372"/>
        <v>0</v>
      </c>
      <c r="GT74" s="221">
        <f t="shared" ca="1" si="372"/>
        <v>0</v>
      </c>
      <c r="GU74" s="221">
        <f t="shared" ca="1" si="372"/>
        <v>0</v>
      </c>
      <c r="GV74" s="221">
        <f t="shared" ca="1" si="372"/>
        <v>0</v>
      </c>
      <c r="GW74" s="221">
        <f t="shared" ca="1" si="372"/>
        <v>0</v>
      </c>
      <c r="GX74" s="221">
        <f t="shared" ca="1" si="372"/>
        <v>0</v>
      </c>
      <c r="GY74" s="221">
        <f t="shared" ca="1" si="372"/>
        <v>0</v>
      </c>
      <c r="GZ74" s="221">
        <f t="shared" ca="1" si="372"/>
        <v>0</v>
      </c>
      <c r="HA74" s="221">
        <f t="shared" ca="1" si="372"/>
        <v>0</v>
      </c>
      <c r="HB74" s="221">
        <f t="shared" ca="1" si="372"/>
        <v>0</v>
      </c>
      <c r="HC74" s="221">
        <f t="shared" ca="1" si="372"/>
        <v>0</v>
      </c>
      <c r="HD74" s="221">
        <f t="shared" ca="1" si="372"/>
        <v>0</v>
      </c>
      <c r="HE74" s="221">
        <f t="shared" ca="1" si="372"/>
        <v>0</v>
      </c>
      <c r="HF74" s="221">
        <f t="shared" ca="1" si="372"/>
        <v>0</v>
      </c>
      <c r="HG74" s="221">
        <f t="shared" ca="1" si="372"/>
        <v>0</v>
      </c>
      <c r="HH74" s="221">
        <f t="shared" ca="1" si="372"/>
        <v>0</v>
      </c>
      <c r="HI74" s="221">
        <f t="shared" ca="1" si="372"/>
        <v>0</v>
      </c>
      <c r="HJ74" s="221">
        <f t="shared" ca="1" si="372"/>
        <v>0</v>
      </c>
      <c r="HK74" s="221">
        <f t="shared" ca="1" si="372"/>
        <v>0</v>
      </c>
      <c r="HL74" s="221">
        <f t="shared" ca="1" si="372"/>
        <v>0</v>
      </c>
      <c r="HM74" s="221">
        <f t="shared" ref="HM74:IR74" ca="1" si="373">HL74-HM61</f>
        <v>0</v>
      </c>
      <c r="HN74" s="221">
        <f t="shared" ca="1" si="373"/>
        <v>0</v>
      </c>
      <c r="HO74" s="221">
        <f t="shared" ca="1" si="373"/>
        <v>0</v>
      </c>
      <c r="HP74" s="221">
        <f t="shared" ca="1" si="373"/>
        <v>0</v>
      </c>
      <c r="HQ74" s="221">
        <f t="shared" ca="1" si="373"/>
        <v>0</v>
      </c>
      <c r="HR74" s="221">
        <f t="shared" ca="1" si="373"/>
        <v>0</v>
      </c>
      <c r="HS74" s="221">
        <f t="shared" ca="1" si="373"/>
        <v>0</v>
      </c>
      <c r="HT74" s="221">
        <f t="shared" ca="1" si="373"/>
        <v>0</v>
      </c>
      <c r="HU74" s="221">
        <f t="shared" ca="1" si="373"/>
        <v>0</v>
      </c>
      <c r="HV74" s="221">
        <f t="shared" ca="1" si="373"/>
        <v>0</v>
      </c>
      <c r="HW74" s="221">
        <f t="shared" ca="1" si="373"/>
        <v>0</v>
      </c>
      <c r="HX74" s="221">
        <f t="shared" ca="1" si="373"/>
        <v>0</v>
      </c>
      <c r="HY74" s="221">
        <f t="shared" ca="1" si="373"/>
        <v>0</v>
      </c>
      <c r="HZ74" s="221">
        <f t="shared" ca="1" si="373"/>
        <v>0</v>
      </c>
      <c r="IA74" s="221">
        <f t="shared" ca="1" si="373"/>
        <v>0</v>
      </c>
      <c r="IB74" s="221">
        <f t="shared" ca="1" si="373"/>
        <v>0</v>
      </c>
      <c r="IC74" s="221">
        <f t="shared" ca="1" si="373"/>
        <v>0</v>
      </c>
      <c r="ID74" s="221">
        <f t="shared" ca="1" si="373"/>
        <v>0</v>
      </c>
      <c r="IE74" s="221">
        <f t="shared" ca="1" si="373"/>
        <v>0</v>
      </c>
      <c r="IF74" s="221">
        <f t="shared" ca="1" si="373"/>
        <v>0</v>
      </c>
      <c r="IG74" s="221">
        <f t="shared" ca="1" si="373"/>
        <v>0</v>
      </c>
      <c r="IH74" s="221">
        <f t="shared" ca="1" si="373"/>
        <v>0</v>
      </c>
      <c r="II74" s="221">
        <f t="shared" ca="1" si="373"/>
        <v>0</v>
      </c>
      <c r="IJ74" s="221">
        <f t="shared" ca="1" si="373"/>
        <v>0</v>
      </c>
      <c r="IK74" s="221">
        <f t="shared" ca="1" si="373"/>
        <v>0</v>
      </c>
      <c r="IL74" s="221">
        <f t="shared" ca="1" si="373"/>
        <v>0</v>
      </c>
      <c r="IM74" s="221">
        <f t="shared" ca="1" si="373"/>
        <v>0</v>
      </c>
      <c r="IN74" s="221">
        <f t="shared" ca="1" si="373"/>
        <v>0</v>
      </c>
      <c r="IO74" s="221">
        <f t="shared" ca="1" si="373"/>
        <v>0</v>
      </c>
      <c r="IP74" s="221">
        <f t="shared" ca="1" si="373"/>
        <v>0</v>
      </c>
      <c r="IQ74" s="221">
        <f t="shared" ca="1" si="373"/>
        <v>0</v>
      </c>
      <c r="IR74" s="221">
        <f t="shared" ca="1" si="373"/>
        <v>0</v>
      </c>
      <c r="IS74" s="221">
        <f t="shared" ref="IS74:KC74" ca="1" si="374">IR74-IS61</f>
        <v>0</v>
      </c>
      <c r="IT74" s="221">
        <f t="shared" ca="1" si="374"/>
        <v>0</v>
      </c>
      <c r="IU74" s="221">
        <f t="shared" ca="1" si="374"/>
        <v>0</v>
      </c>
      <c r="IV74" s="221">
        <f t="shared" ca="1" si="374"/>
        <v>0</v>
      </c>
      <c r="IW74" s="221">
        <f t="shared" ca="1" si="374"/>
        <v>0</v>
      </c>
      <c r="IX74" s="221">
        <f t="shared" ca="1" si="374"/>
        <v>0</v>
      </c>
      <c r="IY74" s="221">
        <f t="shared" ca="1" si="374"/>
        <v>0</v>
      </c>
      <c r="IZ74" s="221">
        <f t="shared" ca="1" si="374"/>
        <v>0</v>
      </c>
      <c r="JA74" s="221">
        <f t="shared" ca="1" si="374"/>
        <v>0</v>
      </c>
      <c r="JB74" s="221">
        <f t="shared" ca="1" si="374"/>
        <v>0</v>
      </c>
      <c r="JC74" s="221">
        <f t="shared" ca="1" si="374"/>
        <v>0</v>
      </c>
      <c r="JD74" s="221">
        <f t="shared" ca="1" si="374"/>
        <v>0</v>
      </c>
      <c r="JE74" s="221">
        <f t="shared" ca="1" si="374"/>
        <v>0</v>
      </c>
      <c r="JF74" s="221">
        <f t="shared" ca="1" si="374"/>
        <v>0</v>
      </c>
      <c r="JG74" s="221">
        <f t="shared" ca="1" si="374"/>
        <v>0</v>
      </c>
      <c r="JH74" s="221">
        <f t="shared" ca="1" si="374"/>
        <v>0</v>
      </c>
      <c r="JI74" s="221">
        <f t="shared" ca="1" si="374"/>
        <v>0</v>
      </c>
      <c r="JJ74" s="221">
        <f t="shared" ca="1" si="374"/>
        <v>0</v>
      </c>
      <c r="JK74" s="221">
        <f t="shared" ca="1" si="374"/>
        <v>0</v>
      </c>
      <c r="JL74" s="221">
        <f t="shared" ca="1" si="374"/>
        <v>0</v>
      </c>
      <c r="JM74" s="221">
        <f t="shared" ca="1" si="374"/>
        <v>0</v>
      </c>
      <c r="JN74" s="221">
        <f t="shared" ca="1" si="374"/>
        <v>0</v>
      </c>
      <c r="JO74" s="221">
        <f t="shared" ca="1" si="374"/>
        <v>0</v>
      </c>
      <c r="JP74" s="221">
        <f t="shared" ca="1" si="374"/>
        <v>0</v>
      </c>
      <c r="JQ74" s="221">
        <f t="shared" ca="1" si="374"/>
        <v>0</v>
      </c>
      <c r="JR74" s="221">
        <f t="shared" ca="1" si="374"/>
        <v>0</v>
      </c>
      <c r="JS74" s="221">
        <f t="shared" ca="1" si="374"/>
        <v>0</v>
      </c>
      <c r="JT74" s="221">
        <f t="shared" ca="1" si="374"/>
        <v>0</v>
      </c>
      <c r="JU74" s="221">
        <f t="shared" ca="1" si="374"/>
        <v>0</v>
      </c>
      <c r="JV74" s="221">
        <f t="shared" ca="1" si="374"/>
        <v>0</v>
      </c>
      <c r="JW74" s="221">
        <f t="shared" ca="1" si="374"/>
        <v>0</v>
      </c>
      <c r="JX74" s="221">
        <f t="shared" ca="1" si="374"/>
        <v>0</v>
      </c>
      <c r="JY74" s="221">
        <f t="shared" ca="1" si="374"/>
        <v>0</v>
      </c>
      <c r="JZ74" s="221">
        <f t="shared" ca="1" si="374"/>
        <v>0</v>
      </c>
      <c r="KA74" s="221">
        <f t="shared" ca="1" si="374"/>
        <v>0</v>
      </c>
      <c r="KB74" s="221">
        <f t="shared" ca="1" si="374"/>
        <v>0</v>
      </c>
      <c r="KC74" s="221">
        <f t="shared" ca="1" si="374"/>
        <v>0</v>
      </c>
    </row>
    <row r="75" spans="1:289" x14ac:dyDescent="0.25">
      <c r="B75" s="267" t="s">
        <v>82</v>
      </c>
      <c r="C75" s="196"/>
      <c r="D75" s="196"/>
      <c r="E75" s="196"/>
      <c r="F75" s="269">
        <f ca="1">I75/Project_Cost_Total</f>
        <v>3.1863273253738729E-2</v>
      </c>
      <c r="G75" s="217">
        <f ca="1">I75/Units_SF_M2</f>
        <v>7.8966074253822081</v>
      </c>
      <c r="H75" s="218">
        <f ca="1">I75/Units</f>
        <v>8042.6946627517791</v>
      </c>
      <c r="I75" s="218">
        <f ca="1">SUM(Q75:ES75)</f>
        <v>128683.11460402847</v>
      </c>
      <c r="Q75" s="220">
        <f t="shared" si="357"/>
        <v>0</v>
      </c>
      <c r="R75" s="220">
        <f t="shared" ca="1" si="357"/>
        <v>0</v>
      </c>
      <c r="S75" s="220">
        <f t="shared" ca="1" si="357"/>
        <v>0</v>
      </c>
      <c r="T75" s="220">
        <f t="shared" ca="1" si="357"/>
        <v>0</v>
      </c>
      <c r="U75" s="220">
        <f t="shared" ca="1" si="357"/>
        <v>0</v>
      </c>
      <c r="V75" s="220">
        <f t="shared" ca="1" si="357"/>
        <v>0</v>
      </c>
      <c r="W75" s="220">
        <f t="shared" ca="1" si="357"/>
        <v>1291.629712288528</v>
      </c>
      <c r="X75" s="220">
        <f t="shared" ca="1" si="357"/>
        <v>6190.5958132809792</v>
      </c>
      <c r="Y75" s="220">
        <f t="shared" ca="1" si="357"/>
        <v>11113.696155591226</v>
      </c>
      <c r="Z75" s="220">
        <f t="shared" ca="1" si="357"/>
        <v>15019.869097938436</v>
      </c>
      <c r="AA75" s="220">
        <f t="shared" ca="1" si="358"/>
        <v>17481.98830829058</v>
      </c>
      <c r="AB75" s="220">
        <f t="shared" ca="1" si="358"/>
        <v>18748.646080846302</v>
      </c>
      <c r="AC75" s="220">
        <f t="shared" ca="1" si="358"/>
        <v>19325.735349391529</v>
      </c>
      <c r="AD75" s="220">
        <f t="shared" ca="1" si="358"/>
        <v>19610.433569992147</v>
      </c>
      <c r="AE75" s="220">
        <f t="shared" ca="1" si="358"/>
        <v>19900.520516408742</v>
      </c>
      <c r="AF75" s="220">
        <f t="shared" ca="1" si="358"/>
        <v>0</v>
      </c>
      <c r="AG75" s="220">
        <f t="shared" ca="1" si="358"/>
        <v>0</v>
      </c>
      <c r="AH75" s="220">
        <f t="shared" ca="1" si="358"/>
        <v>0</v>
      </c>
      <c r="AI75" s="220">
        <f t="shared" ca="1" si="358"/>
        <v>0</v>
      </c>
      <c r="AJ75" s="220">
        <f t="shared" ca="1" si="358"/>
        <v>0</v>
      </c>
      <c r="AK75" s="220">
        <f t="shared" ca="1" si="359"/>
        <v>0</v>
      </c>
      <c r="AL75" s="220">
        <f t="shared" ca="1" si="359"/>
        <v>0</v>
      </c>
      <c r="AM75" s="220">
        <f t="shared" ca="1" si="359"/>
        <v>0</v>
      </c>
      <c r="AN75" s="220">
        <f t="shared" ca="1" si="359"/>
        <v>0</v>
      </c>
      <c r="AO75" s="220">
        <f t="shared" ca="1" si="359"/>
        <v>0</v>
      </c>
      <c r="AP75" s="220">
        <f t="shared" ca="1" si="359"/>
        <v>0</v>
      </c>
      <c r="AQ75" s="220">
        <f t="shared" ca="1" si="359"/>
        <v>0</v>
      </c>
      <c r="AR75" s="220">
        <f t="shared" ca="1" si="359"/>
        <v>0</v>
      </c>
      <c r="AS75" s="220">
        <f t="shared" ca="1" si="359"/>
        <v>0</v>
      </c>
      <c r="AT75" s="220">
        <f t="shared" ca="1" si="359"/>
        <v>0</v>
      </c>
      <c r="AU75" s="220">
        <f t="shared" ca="1" si="360"/>
        <v>0</v>
      </c>
      <c r="AV75" s="220">
        <f t="shared" ca="1" si="360"/>
        <v>0</v>
      </c>
      <c r="AW75" s="220">
        <f t="shared" ca="1" si="360"/>
        <v>0</v>
      </c>
      <c r="AX75" s="220">
        <f t="shared" ca="1" si="360"/>
        <v>0</v>
      </c>
      <c r="AY75" s="220">
        <f t="shared" ca="1" si="360"/>
        <v>0</v>
      </c>
      <c r="AZ75" s="220">
        <f t="shared" ca="1" si="360"/>
        <v>0</v>
      </c>
      <c r="BA75" s="220">
        <f t="shared" ca="1" si="360"/>
        <v>0</v>
      </c>
      <c r="BB75" s="220">
        <f t="shared" ca="1" si="360"/>
        <v>0</v>
      </c>
      <c r="BC75" s="220">
        <f t="shared" ca="1" si="360"/>
        <v>0</v>
      </c>
      <c r="BD75" s="220">
        <f t="shared" ca="1" si="360"/>
        <v>0</v>
      </c>
      <c r="BE75" s="220">
        <f t="shared" ca="1" si="361"/>
        <v>0</v>
      </c>
      <c r="BF75" s="220">
        <f t="shared" ca="1" si="361"/>
        <v>0</v>
      </c>
      <c r="BG75" s="220">
        <f t="shared" ca="1" si="361"/>
        <v>0</v>
      </c>
      <c r="BH75" s="220">
        <f t="shared" ca="1" si="361"/>
        <v>0</v>
      </c>
      <c r="BI75" s="220">
        <f t="shared" ca="1" si="361"/>
        <v>0</v>
      </c>
      <c r="BJ75" s="220">
        <f t="shared" ca="1" si="361"/>
        <v>0</v>
      </c>
      <c r="BK75" s="220">
        <f t="shared" ca="1" si="361"/>
        <v>0</v>
      </c>
      <c r="BL75" s="220">
        <f t="shared" ca="1" si="361"/>
        <v>0</v>
      </c>
      <c r="BM75" s="220">
        <f t="shared" ca="1" si="361"/>
        <v>0</v>
      </c>
      <c r="BN75" s="220">
        <f t="shared" ca="1" si="361"/>
        <v>0</v>
      </c>
      <c r="BO75" s="220">
        <f t="shared" ca="1" si="362"/>
        <v>0</v>
      </c>
      <c r="BP75" s="220">
        <f t="shared" ca="1" si="362"/>
        <v>0</v>
      </c>
      <c r="BQ75" s="220">
        <f t="shared" ca="1" si="362"/>
        <v>0</v>
      </c>
      <c r="BR75" s="220">
        <f t="shared" ca="1" si="362"/>
        <v>0</v>
      </c>
      <c r="BS75" s="220">
        <f t="shared" ca="1" si="362"/>
        <v>0</v>
      </c>
      <c r="BT75" s="220">
        <f t="shared" ca="1" si="362"/>
        <v>0</v>
      </c>
      <c r="BU75" s="220">
        <f t="shared" ca="1" si="362"/>
        <v>0</v>
      </c>
      <c r="BV75" s="220">
        <f t="shared" ca="1" si="362"/>
        <v>0</v>
      </c>
      <c r="BW75" s="220">
        <f t="shared" ca="1" si="362"/>
        <v>0</v>
      </c>
      <c r="BX75" s="220">
        <f t="shared" ca="1" si="362"/>
        <v>0</v>
      </c>
      <c r="BY75" s="220">
        <f t="shared" ca="1" si="363"/>
        <v>0</v>
      </c>
      <c r="BZ75" s="220">
        <f t="shared" ca="1" si="363"/>
        <v>0</v>
      </c>
      <c r="CA75" s="220">
        <f t="shared" ca="1" si="363"/>
        <v>0</v>
      </c>
      <c r="CB75" s="220">
        <f t="shared" ca="1" si="363"/>
        <v>0</v>
      </c>
      <c r="CC75" s="220">
        <f t="shared" ca="1" si="363"/>
        <v>0</v>
      </c>
      <c r="CD75" s="220">
        <f t="shared" ca="1" si="363"/>
        <v>0</v>
      </c>
      <c r="CE75" s="220">
        <f t="shared" ca="1" si="363"/>
        <v>0</v>
      </c>
      <c r="CF75" s="220">
        <f t="shared" ca="1" si="363"/>
        <v>0</v>
      </c>
      <c r="CG75" s="220">
        <f t="shared" ca="1" si="363"/>
        <v>0</v>
      </c>
      <c r="CH75" s="220">
        <f t="shared" ca="1" si="363"/>
        <v>0</v>
      </c>
      <c r="CI75" s="220">
        <f t="shared" ca="1" si="364"/>
        <v>0</v>
      </c>
      <c r="CJ75" s="220">
        <f t="shared" ca="1" si="364"/>
        <v>0</v>
      </c>
      <c r="CK75" s="220">
        <f t="shared" ca="1" si="364"/>
        <v>0</v>
      </c>
      <c r="CL75" s="220">
        <f t="shared" ca="1" si="364"/>
        <v>0</v>
      </c>
      <c r="CM75" s="220">
        <f t="shared" ca="1" si="364"/>
        <v>0</v>
      </c>
      <c r="CN75" s="220">
        <f t="shared" ca="1" si="364"/>
        <v>0</v>
      </c>
      <c r="CO75" s="220">
        <f t="shared" ca="1" si="364"/>
        <v>0</v>
      </c>
      <c r="CP75" s="220">
        <f t="shared" ca="1" si="364"/>
        <v>0</v>
      </c>
      <c r="CQ75" s="220">
        <f t="shared" ca="1" si="364"/>
        <v>0</v>
      </c>
      <c r="CR75" s="220">
        <f t="shared" ca="1" si="364"/>
        <v>0</v>
      </c>
      <c r="CS75" s="220">
        <f t="shared" ca="1" si="365"/>
        <v>0</v>
      </c>
      <c r="CT75" s="220">
        <f t="shared" ca="1" si="365"/>
        <v>0</v>
      </c>
      <c r="CU75" s="220">
        <f t="shared" ca="1" si="365"/>
        <v>0</v>
      </c>
      <c r="CV75" s="220">
        <f t="shared" ca="1" si="365"/>
        <v>0</v>
      </c>
      <c r="CW75" s="220">
        <f t="shared" ca="1" si="365"/>
        <v>0</v>
      </c>
      <c r="CX75" s="220">
        <f t="shared" ca="1" si="365"/>
        <v>0</v>
      </c>
      <c r="CY75" s="220">
        <f t="shared" ca="1" si="365"/>
        <v>0</v>
      </c>
      <c r="CZ75" s="220">
        <f t="shared" ca="1" si="365"/>
        <v>0</v>
      </c>
      <c r="DA75" s="220">
        <f t="shared" ca="1" si="365"/>
        <v>0</v>
      </c>
      <c r="DB75" s="220">
        <f t="shared" ca="1" si="365"/>
        <v>0</v>
      </c>
      <c r="DC75" s="220">
        <f t="shared" ca="1" si="366"/>
        <v>0</v>
      </c>
      <c r="DD75" s="220">
        <f t="shared" ca="1" si="366"/>
        <v>0</v>
      </c>
      <c r="DE75" s="220">
        <f t="shared" ca="1" si="366"/>
        <v>0</v>
      </c>
      <c r="DF75" s="220">
        <f t="shared" ca="1" si="366"/>
        <v>0</v>
      </c>
      <c r="DG75" s="220">
        <f t="shared" ca="1" si="366"/>
        <v>0</v>
      </c>
      <c r="DH75" s="220">
        <f t="shared" ca="1" si="366"/>
        <v>0</v>
      </c>
      <c r="DI75" s="220">
        <f t="shared" ca="1" si="366"/>
        <v>0</v>
      </c>
      <c r="DJ75" s="220">
        <f t="shared" ca="1" si="366"/>
        <v>0</v>
      </c>
      <c r="DK75" s="220">
        <f t="shared" ca="1" si="366"/>
        <v>0</v>
      </c>
      <c r="DL75" s="220">
        <f t="shared" ca="1" si="366"/>
        <v>0</v>
      </c>
      <c r="DM75" s="220">
        <f t="shared" ca="1" si="367"/>
        <v>0</v>
      </c>
      <c r="DN75" s="220">
        <f t="shared" ca="1" si="367"/>
        <v>0</v>
      </c>
      <c r="DO75" s="220">
        <f t="shared" ca="1" si="367"/>
        <v>0</v>
      </c>
      <c r="DP75" s="220">
        <f t="shared" ca="1" si="367"/>
        <v>0</v>
      </c>
      <c r="DQ75" s="220">
        <f t="shared" ca="1" si="367"/>
        <v>0</v>
      </c>
      <c r="DR75" s="220">
        <f t="shared" ca="1" si="367"/>
        <v>0</v>
      </c>
      <c r="DS75" s="220">
        <f t="shared" ca="1" si="367"/>
        <v>0</v>
      </c>
      <c r="DT75" s="220">
        <f t="shared" ca="1" si="367"/>
        <v>0</v>
      </c>
      <c r="DU75" s="220">
        <f t="shared" ca="1" si="367"/>
        <v>0</v>
      </c>
      <c r="DV75" s="220">
        <f t="shared" ca="1" si="367"/>
        <v>0</v>
      </c>
      <c r="DW75" s="220">
        <f t="shared" ca="1" si="368"/>
        <v>0</v>
      </c>
      <c r="DX75" s="220">
        <f t="shared" ca="1" si="368"/>
        <v>0</v>
      </c>
      <c r="DY75" s="220">
        <f t="shared" ca="1" si="368"/>
        <v>0</v>
      </c>
      <c r="DZ75" s="220">
        <f t="shared" ca="1" si="368"/>
        <v>0</v>
      </c>
      <c r="EA75" s="220">
        <f t="shared" ca="1" si="368"/>
        <v>0</v>
      </c>
      <c r="EB75" s="220">
        <f t="shared" ca="1" si="368"/>
        <v>0</v>
      </c>
      <c r="EC75" s="220">
        <f t="shared" ca="1" si="368"/>
        <v>0</v>
      </c>
      <c r="ED75" s="220">
        <f t="shared" ca="1" si="368"/>
        <v>0</v>
      </c>
      <c r="EE75" s="220">
        <f t="shared" ca="1" si="368"/>
        <v>0</v>
      </c>
      <c r="EF75" s="220">
        <f t="shared" ca="1" si="368"/>
        <v>0</v>
      </c>
      <c r="EG75" s="220">
        <f t="shared" ca="1" si="369"/>
        <v>0</v>
      </c>
      <c r="EH75" s="220">
        <f t="shared" ca="1" si="369"/>
        <v>0</v>
      </c>
      <c r="EI75" s="220">
        <f t="shared" ca="1" si="369"/>
        <v>0</v>
      </c>
      <c r="EJ75" s="220">
        <f t="shared" ca="1" si="369"/>
        <v>0</v>
      </c>
      <c r="EK75" s="220">
        <f t="shared" ca="1" si="369"/>
        <v>0</v>
      </c>
      <c r="EL75" s="220">
        <f t="shared" ca="1" si="369"/>
        <v>0</v>
      </c>
      <c r="EM75" s="220">
        <f t="shared" ca="1" si="369"/>
        <v>0</v>
      </c>
      <c r="EN75" s="220">
        <f t="shared" ca="1" si="369"/>
        <v>0</v>
      </c>
      <c r="EO75" s="220">
        <f t="shared" ca="1" si="369"/>
        <v>0</v>
      </c>
      <c r="EP75" s="220">
        <f t="shared" ca="1" si="369"/>
        <v>0</v>
      </c>
      <c r="EQ75" s="220">
        <f t="shared" ca="1" si="370"/>
        <v>0</v>
      </c>
      <c r="ER75" s="220">
        <f t="shared" ca="1" si="370"/>
        <v>0</v>
      </c>
      <c r="ES75" s="220">
        <f t="shared" ca="1" si="370"/>
        <v>0</v>
      </c>
      <c r="EU75" s="153" t="s">
        <v>69</v>
      </c>
      <c r="EV75" s="153"/>
      <c r="EW75" s="153"/>
      <c r="EX75" s="154" t="str">
        <f>IF(MAX(FA75:KC75)=SUM(FA59:KC59),"OK","ERROR")</f>
        <v>OK</v>
      </c>
      <c r="EY75" s="154" t="s">
        <v>80</v>
      </c>
      <c r="EZ75" s="154">
        <v>0</v>
      </c>
      <c r="FA75" s="221">
        <f>(FA$57&lt;=Timing_Analysis_End_Month)*(EZ75+FA59)</f>
        <v>0</v>
      </c>
      <c r="FB75" s="221">
        <f t="shared" ref="FB75:GF75" si="375">(FB$57&lt;=Timing_Analysis_End_Month)*(FA75+FB59)</f>
        <v>0</v>
      </c>
      <c r="FC75" s="221">
        <f t="shared" si="375"/>
        <v>0</v>
      </c>
      <c r="FD75" s="221">
        <f t="shared" si="375"/>
        <v>0</v>
      </c>
      <c r="FE75" s="221">
        <f t="shared" si="375"/>
        <v>0</v>
      </c>
      <c r="FF75" s="221">
        <f t="shared" si="375"/>
        <v>154995.56547462335</v>
      </c>
      <c r="FG75" s="221">
        <f t="shared" si="375"/>
        <v>741579.86788142903</v>
      </c>
      <c r="FH75" s="221">
        <f t="shared" si="375"/>
        <v>1326161.3131453777</v>
      </c>
      <c r="FI75" s="221">
        <f t="shared" si="375"/>
        <v>1783788.3700714516</v>
      </c>
      <c r="FJ75" s="221">
        <f t="shared" si="375"/>
        <v>2064222.8062157703</v>
      </c>
      <c r="FK75" s="221">
        <f t="shared" si="375"/>
        <v>2198739.7506141663</v>
      </c>
      <c r="FL75" s="221">
        <f t="shared" si="375"/>
        <v>2249241.8167587472</v>
      </c>
      <c r="FM75" s="221">
        <f t="shared" si="375"/>
        <v>2264079.8678814294</v>
      </c>
      <c r="FN75" s="221">
        <f t="shared" si="375"/>
        <v>2279279.8678814294</v>
      </c>
      <c r="FO75" s="221">
        <f t="shared" si="375"/>
        <v>2294479.8678814289</v>
      </c>
      <c r="FP75" s="221">
        <f t="shared" si="375"/>
        <v>2294479.8678814289</v>
      </c>
      <c r="FQ75" s="221">
        <f t="shared" si="375"/>
        <v>2294479.8678814289</v>
      </c>
      <c r="FR75" s="221">
        <f t="shared" si="375"/>
        <v>2294479.8678814289</v>
      </c>
      <c r="FS75" s="221">
        <f t="shared" si="375"/>
        <v>2294479.8678814289</v>
      </c>
      <c r="FT75" s="221">
        <f t="shared" si="375"/>
        <v>2294479.8678814289</v>
      </c>
      <c r="FU75" s="221">
        <f t="shared" si="375"/>
        <v>2294479.8678814289</v>
      </c>
      <c r="FV75" s="221">
        <f t="shared" si="375"/>
        <v>2294479.8678814289</v>
      </c>
      <c r="FW75" s="221">
        <f t="shared" si="375"/>
        <v>2294479.8678814289</v>
      </c>
      <c r="FX75" s="221">
        <f t="shared" si="375"/>
        <v>2294479.8678814289</v>
      </c>
      <c r="FY75" s="221">
        <f t="shared" si="375"/>
        <v>2294479.8678814289</v>
      </c>
      <c r="FZ75" s="221">
        <f t="shared" si="375"/>
        <v>2294479.8678814289</v>
      </c>
      <c r="GA75" s="221">
        <f t="shared" si="375"/>
        <v>2294479.8678814289</v>
      </c>
      <c r="GB75" s="221">
        <f t="shared" si="375"/>
        <v>2294479.8678814289</v>
      </c>
      <c r="GC75" s="221">
        <f t="shared" si="375"/>
        <v>2294479.8678814289</v>
      </c>
      <c r="GD75" s="221">
        <f t="shared" si="375"/>
        <v>2294479.8678814289</v>
      </c>
      <c r="GE75" s="221">
        <f t="shared" si="375"/>
        <v>2294479.8678814289</v>
      </c>
      <c r="GF75" s="221">
        <f t="shared" si="375"/>
        <v>2294479.8678814289</v>
      </c>
      <c r="GG75" s="221">
        <f t="shared" ref="GG75:HL75" si="376">(GG$57&lt;=Timing_Analysis_End_Month)*(GF75+GG59)</f>
        <v>2294479.8678814289</v>
      </c>
      <c r="GH75" s="221">
        <f t="shared" si="376"/>
        <v>2294479.8678814289</v>
      </c>
      <c r="GI75" s="221">
        <f t="shared" si="376"/>
        <v>2294479.8678814289</v>
      </c>
      <c r="GJ75" s="221">
        <f t="shared" si="376"/>
        <v>2294479.8678814289</v>
      </c>
      <c r="GK75" s="221">
        <f t="shared" si="376"/>
        <v>2294479.8678814289</v>
      </c>
      <c r="GL75" s="221">
        <f t="shared" si="376"/>
        <v>0</v>
      </c>
      <c r="GM75" s="221">
        <f t="shared" si="376"/>
        <v>0</v>
      </c>
      <c r="GN75" s="221">
        <f t="shared" si="376"/>
        <v>0</v>
      </c>
      <c r="GO75" s="221">
        <f t="shared" si="376"/>
        <v>0</v>
      </c>
      <c r="GP75" s="221">
        <f t="shared" si="376"/>
        <v>0</v>
      </c>
      <c r="GQ75" s="221">
        <f t="shared" si="376"/>
        <v>0</v>
      </c>
      <c r="GR75" s="221">
        <f t="shared" si="376"/>
        <v>0</v>
      </c>
      <c r="GS75" s="221">
        <f t="shared" si="376"/>
        <v>0</v>
      </c>
      <c r="GT75" s="221">
        <f t="shared" si="376"/>
        <v>0</v>
      </c>
      <c r="GU75" s="221">
        <f t="shared" si="376"/>
        <v>0</v>
      </c>
      <c r="GV75" s="221">
        <f t="shared" si="376"/>
        <v>0</v>
      </c>
      <c r="GW75" s="221">
        <f t="shared" si="376"/>
        <v>0</v>
      </c>
      <c r="GX75" s="221">
        <f t="shared" si="376"/>
        <v>0</v>
      </c>
      <c r="GY75" s="221">
        <f t="shared" si="376"/>
        <v>0</v>
      </c>
      <c r="GZ75" s="221">
        <f t="shared" si="376"/>
        <v>0</v>
      </c>
      <c r="HA75" s="221">
        <f t="shared" si="376"/>
        <v>0</v>
      </c>
      <c r="HB75" s="221">
        <f t="shared" si="376"/>
        <v>0</v>
      </c>
      <c r="HC75" s="221">
        <f t="shared" si="376"/>
        <v>0</v>
      </c>
      <c r="HD75" s="221">
        <f t="shared" si="376"/>
        <v>0</v>
      </c>
      <c r="HE75" s="221">
        <f t="shared" si="376"/>
        <v>0</v>
      </c>
      <c r="HF75" s="221">
        <f t="shared" si="376"/>
        <v>0</v>
      </c>
      <c r="HG75" s="221">
        <f t="shared" si="376"/>
        <v>0</v>
      </c>
      <c r="HH75" s="221">
        <f t="shared" si="376"/>
        <v>0</v>
      </c>
      <c r="HI75" s="221">
        <f t="shared" si="376"/>
        <v>0</v>
      </c>
      <c r="HJ75" s="221">
        <f t="shared" si="376"/>
        <v>0</v>
      </c>
      <c r="HK75" s="221">
        <f t="shared" si="376"/>
        <v>0</v>
      </c>
      <c r="HL75" s="221">
        <f t="shared" si="376"/>
        <v>0</v>
      </c>
      <c r="HM75" s="221">
        <f t="shared" ref="HM75:IR75" si="377">(HM$57&lt;=Timing_Analysis_End_Month)*(HL75+HM59)</f>
        <v>0</v>
      </c>
      <c r="HN75" s="221">
        <f t="shared" si="377"/>
        <v>0</v>
      </c>
      <c r="HO75" s="221">
        <f t="shared" si="377"/>
        <v>0</v>
      </c>
      <c r="HP75" s="221">
        <f t="shared" si="377"/>
        <v>0</v>
      </c>
      <c r="HQ75" s="221">
        <f t="shared" si="377"/>
        <v>0</v>
      </c>
      <c r="HR75" s="221">
        <f t="shared" si="377"/>
        <v>0</v>
      </c>
      <c r="HS75" s="221">
        <f t="shared" si="377"/>
        <v>0</v>
      </c>
      <c r="HT75" s="221">
        <f t="shared" si="377"/>
        <v>0</v>
      </c>
      <c r="HU75" s="221">
        <f t="shared" si="377"/>
        <v>0</v>
      </c>
      <c r="HV75" s="221">
        <f t="shared" si="377"/>
        <v>0</v>
      </c>
      <c r="HW75" s="221">
        <f t="shared" si="377"/>
        <v>0</v>
      </c>
      <c r="HX75" s="221">
        <f t="shared" si="377"/>
        <v>0</v>
      </c>
      <c r="HY75" s="221">
        <f t="shared" si="377"/>
        <v>0</v>
      </c>
      <c r="HZ75" s="221">
        <f t="shared" si="377"/>
        <v>0</v>
      </c>
      <c r="IA75" s="221">
        <f t="shared" si="377"/>
        <v>0</v>
      </c>
      <c r="IB75" s="221">
        <f t="shared" si="377"/>
        <v>0</v>
      </c>
      <c r="IC75" s="221">
        <f t="shared" si="377"/>
        <v>0</v>
      </c>
      <c r="ID75" s="221">
        <f t="shared" si="377"/>
        <v>0</v>
      </c>
      <c r="IE75" s="221">
        <f t="shared" si="377"/>
        <v>0</v>
      </c>
      <c r="IF75" s="221">
        <f t="shared" si="377"/>
        <v>0</v>
      </c>
      <c r="IG75" s="221">
        <f t="shared" si="377"/>
        <v>0</v>
      </c>
      <c r="IH75" s="221">
        <f t="shared" si="377"/>
        <v>0</v>
      </c>
      <c r="II75" s="221">
        <f t="shared" si="377"/>
        <v>0</v>
      </c>
      <c r="IJ75" s="221">
        <f t="shared" si="377"/>
        <v>0</v>
      </c>
      <c r="IK75" s="221">
        <f t="shared" si="377"/>
        <v>0</v>
      </c>
      <c r="IL75" s="221">
        <f t="shared" si="377"/>
        <v>0</v>
      </c>
      <c r="IM75" s="221">
        <f t="shared" si="377"/>
        <v>0</v>
      </c>
      <c r="IN75" s="221">
        <f t="shared" si="377"/>
        <v>0</v>
      </c>
      <c r="IO75" s="221">
        <f t="shared" si="377"/>
        <v>0</v>
      </c>
      <c r="IP75" s="221">
        <f t="shared" si="377"/>
        <v>0</v>
      </c>
      <c r="IQ75" s="221">
        <f t="shared" si="377"/>
        <v>0</v>
      </c>
      <c r="IR75" s="221">
        <f t="shared" si="377"/>
        <v>0</v>
      </c>
      <c r="IS75" s="221">
        <f t="shared" ref="IS75:KC75" si="378">(IS$57&lt;=Timing_Analysis_End_Month)*(IR75+IS59)</f>
        <v>0</v>
      </c>
      <c r="IT75" s="221">
        <f t="shared" si="378"/>
        <v>0</v>
      </c>
      <c r="IU75" s="221">
        <f t="shared" si="378"/>
        <v>0</v>
      </c>
      <c r="IV75" s="221">
        <f t="shared" si="378"/>
        <v>0</v>
      </c>
      <c r="IW75" s="221">
        <f t="shared" si="378"/>
        <v>0</v>
      </c>
      <c r="IX75" s="221">
        <f t="shared" si="378"/>
        <v>0</v>
      </c>
      <c r="IY75" s="221">
        <f t="shared" si="378"/>
        <v>0</v>
      </c>
      <c r="IZ75" s="221">
        <f t="shared" si="378"/>
        <v>0</v>
      </c>
      <c r="JA75" s="221">
        <f t="shared" si="378"/>
        <v>0</v>
      </c>
      <c r="JB75" s="221">
        <f t="shared" si="378"/>
        <v>0</v>
      </c>
      <c r="JC75" s="221">
        <f t="shared" si="378"/>
        <v>0</v>
      </c>
      <c r="JD75" s="221">
        <f t="shared" si="378"/>
        <v>0</v>
      </c>
      <c r="JE75" s="221">
        <f t="shared" si="378"/>
        <v>0</v>
      </c>
      <c r="JF75" s="221">
        <f t="shared" si="378"/>
        <v>0</v>
      </c>
      <c r="JG75" s="221">
        <f t="shared" si="378"/>
        <v>0</v>
      </c>
      <c r="JH75" s="221">
        <f t="shared" si="378"/>
        <v>0</v>
      </c>
      <c r="JI75" s="221">
        <f t="shared" si="378"/>
        <v>0</v>
      </c>
      <c r="JJ75" s="221">
        <f t="shared" si="378"/>
        <v>0</v>
      </c>
      <c r="JK75" s="221">
        <f t="shared" si="378"/>
        <v>0</v>
      </c>
      <c r="JL75" s="221">
        <f t="shared" si="378"/>
        <v>0</v>
      </c>
      <c r="JM75" s="221">
        <f t="shared" si="378"/>
        <v>0</v>
      </c>
      <c r="JN75" s="221">
        <f t="shared" si="378"/>
        <v>0</v>
      </c>
      <c r="JO75" s="221">
        <f t="shared" si="378"/>
        <v>0</v>
      </c>
      <c r="JP75" s="221">
        <f t="shared" si="378"/>
        <v>0</v>
      </c>
      <c r="JQ75" s="221">
        <f t="shared" si="378"/>
        <v>0</v>
      </c>
      <c r="JR75" s="221">
        <f t="shared" si="378"/>
        <v>0</v>
      </c>
      <c r="JS75" s="221">
        <f t="shared" si="378"/>
        <v>0</v>
      </c>
      <c r="JT75" s="221">
        <f t="shared" si="378"/>
        <v>0</v>
      </c>
      <c r="JU75" s="221">
        <f t="shared" si="378"/>
        <v>0</v>
      </c>
      <c r="JV75" s="221">
        <f t="shared" si="378"/>
        <v>0</v>
      </c>
      <c r="JW75" s="221">
        <f t="shared" si="378"/>
        <v>0</v>
      </c>
      <c r="JX75" s="221">
        <f t="shared" si="378"/>
        <v>0</v>
      </c>
      <c r="JY75" s="221">
        <f t="shared" si="378"/>
        <v>0</v>
      </c>
      <c r="JZ75" s="221">
        <f t="shared" si="378"/>
        <v>0</v>
      </c>
      <c r="KA75" s="221">
        <f t="shared" si="378"/>
        <v>0</v>
      </c>
      <c r="KB75" s="221">
        <f t="shared" si="378"/>
        <v>0</v>
      </c>
      <c r="KC75" s="221">
        <f t="shared" si="378"/>
        <v>0</v>
      </c>
    </row>
    <row r="76" spans="1:289" ht="16.5" x14ac:dyDescent="0.35">
      <c r="B76" s="267" t="s">
        <v>83</v>
      </c>
      <c r="C76" s="196"/>
      <c r="D76" s="196"/>
      <c r="E76" s="210" t="s">
        <v>583</v>
      </c>
      <c r="F76" s="273">
        <f ca="1">I76/Project_Cost_Total</f>
        <v>0</v>
      </c>
      <c r="G76" s="274">
        <f ca="1">I76/Units_SF_M2</f>
        <v>0</v>
      </c>
      <c r="H76" s="224">
        <f ca="1">I76/Units</f>
        <v>0</v>
      </c>
      <c r="I76" s="224">
        <f ca="1">SUM(Q76:ES76)</f>
        <v>0</v>
      </c>
      <c r="Q76" s="226">
        <f t="shared" si="357"/>
        <v>0</v>
      </c>
      <c r="R76" s="226">
        <f t="shared" ca="1" si="357"/>
        <v>0</v>
      </c>
      <c r="S76" s="226">
        <f t="shared" ca="1" si="357"/>
        <v>0</v>
      </c>
      <c r="T76" s="226">
        <f t="shared" ca="1" si="357"/>
        <v>0</v>
      </c>
      <c r="U76" s="226">
        <f t="shared" ca="1" si="357"/>
        <v>0</v>
      </c>
      <c r="V76" s="226">
        <f t="shared" ca="1" si="357"/>
        <v>0</v>
      </c>
      <c r="W76" s="226">
        <f t="shared" ca="1" si="357"/>
        <v>0</v>
      </c>
      <c r="X76" s="226">
        <f t="shared" ca="1" si="357"/>
        <v>0</v>
      </c>
      <c r="Y76" s="226">
        <f t="shared" ca="1" si="357"/>
        <v>0</v>
      </c>
      <c r="Z76" s="226">
        <f t="shared" ca="1" si="357"/>
        <v>0</v>
      </c>
      <c r="AA76" s="226">
        <f t="shared" ca="1" si="358"/>
        <v>0</v>
      </c>
      <c r="AB76" s="226">
        <f t="shared" ca="1" si="358"/>
        <v>0</v>
      </c>
      <c r="AC76" s="226">
        <f t="shared" ca="1" si="358"/>
        <v>0</v>
      </c>
      <c r="AD76" s="226">
        <f t="shared" ca="1" si="358"/>
        <v>0</v>
      </c>
      <c r="AE76" s="226">
        <f t="shared" ca="1" si="358"/>
        <v>0</v>
      </c>
      <c r="AF76" s="226">
        <f t="shared" ca="1" si="358"/>
        <v>0</v>
      </c>
      <c r="AG76" s="226">
        <f t="shared" ca="1" si="358"/>
        <v>0</v>
      </c>
      <c r="AH76" s="226">
        <f t="shared" ca="1" si="358"/>
        <v>0</v>
      </c>
      <c r="AI76" s="226">
        <f t="shared" ca="1" si="358"/>
        <v>0</v>
      </c>
      <c r="AJ76" s="226">
        <f t="shared" ca="1" si="358"/>
        <v>0</v>
      </c>
      <c r="AK76" s="226">
        <f t="shared" ca="1" si="359"/>
        <v>0</v>
      </c>
      <c r="AL76" s="226">
        <f t="shared" ca="1" si="359"/>
        <v>0</v>
      </c>
      <c r="AM76" s="226">
        <f t="shared" ca="1" si="359"/>
        <v>0</v>
      </c>
      <c r="AN76" s="226">
        <f t="shared" ca="1" si="359"/>
        <v>0</v>
      </c>
      <c r="AO76" s="226">
        <f t="shared" ca="1" si="359"/>
        <v>0</v>
      </c>
      <c r="AP76" s="226">
        <f t="shared" ca="1" si="359"/>
        <v>0</v>
      </c>
      <c r="AQ76" s="226">
        <f t="shared" ca="1" si="359"/>
        <v>0</v>
      </c>
      <c r="AR76" s="226">
        <f t="shared" ca="1" si="359"/>
        <v>0</v>
      </c>
      <c r="AS76" s="226">
        <f t="shared" ca="1" si="359"/>
        <v>0</v>
      </c>
      <c r="AT76" s="226">
        <f t="shared" ca="1" si="359"/>
        <v>0</v>
      </c>
      <c r="AU76" s="226">
        <f t="shared" ca="1" si="360"/>
        <v>0</v>
      </c>
      <c r="AV76" s="226">
        <f t="shared" ca="1" si="360"/>
        <v>0</v>
      </c>
      <c r="AW76" s="226">
        <f t="shared" ca="1" si="360"/>
        <v>0</v>
      </c>
      <c r="AX76" s="226">
        <f t="shared" ca="1" si="360"/>
        <v>0</v>
      </c>
      <c r="AY76" s="226">
        <f t="shared" ca="1" si="360"/>
        <v>0</v>
      </c>
      <c r="AZ76" s="226">
        <f t="shared" ca="1" si="360"/>
        <v>0</v>
      </c>
      <c r="BA76" s="226">
        <f t="shared" ca="1" si="360"/>
        <v>0</v>
      </c>
      <c r="BB76" s="226">
        <f t="shared" ca="1" si="360"/>
        <v>0</v>
      </c>
      <c r="BC76" s="226">
        <f t="shared" ca="1" si="360"/>
        <v>0</v>
      </c>
      <c r="BD76" s="226">
        <f t="shared" ca="1" si="360"/>
        <v>0</v>
      </c>
      <c r="BE76" s="226">
        <f t="shared" ca="1" si="361"/>
        <v>0</v>
      </c>
      <c r="BF76" s="226">
        <f t="shared" ca="1" si="361"/>
        <v>0</v>
      </c>
      <c r="BG76" s="226">
        <f t="shared" ca="1" si="361"/>
        <v>0</v>
      </c>
      <c r="BH76" s="226">
        <f t="shared" ca="1" si="361"/>
        <v>0</v>
      </c>
      <c r="BI76" s="226">
        <f t="shared" ca="1" si="361"/>
        <v>0</v>
      </c>
      <c r="BJ76" s="226">
        <f t="shared" ca="1" si="361"/>
        <v>0</v>
      </c>
      <c r="BK76" s="226">
        <f t="shared" ca="1" si="361"/>
        <v>0</v>
      </c>
      <c r="BL76" s="226">
        <f t="shared" ca="1" si="361"/>
        <v>0</v>
      </c>
      <c r="BM76" s="226">
        <f t="shared" ca="1" si="361"/>
        <v>0</v>
      </c>
      <c r="BN76" s="226">
        <f t="shared" ca="1" si="361"/>
        <v>0</v>
      </c>
      <c r="BO76" s="226">
        <f t="shared" ca="1" si="362"/>
        <v>0</v>
      </c>
      <c r="BP76" s="226">
        <f t="shared" ca="1" si="362"/>
        <v>0</v>
      </c>
      <c r="BQ76" s="226">
        <f t="shared" ca="1" si="362"/>
        <v>0</v>
      </c>
      <c r="BR76" s="226">
        <f t="shared" ca="1" si="362"/>
        <v>0</v>
      </c>
      <c r="BS76" s="226">
        <f t="shared" ca="1" si="362"/>
        <v>0</v>
      </c>
      <c r="BT76" s="226">
        <f t="shared" ca="1" si="362"/>
        <v>0</v>
      </c>
      <c r="BU76" s="226">
        <f t="shared" ca="1" si="362"/>
        <v>0</v>
      </c>
      <c r="BV76" s="226">
        <f t="shared" ca="1" si="362"/>
        <v>0</v>
      </c>
      <c r="BW76" s="226">
        <f t="shared" ca="1" si="362"/>
        <v>0</v>
      </c>
      <c r="BX76" s="226">
        <f t="shared" ca="1" si="362"/>
        <v>0</v>
      </c>
      <c r="BY76" s="226">
        <f t="shared" ca="1" si="363"/>
        <v>0</v>
      </c>
      <c r="BZ76" s="226">
        <f t="shared" ca="1" si="363"/>
        <v>0</v>
      </c>
      <c r="CA76" s="226">
        <f t="shared" ca="1" si="363"/>
        <v>0</v>
      </c>
      <c r="CB76" s="226">
        <f t="shared" ca="1" si="363"/>
        <v>0</v>
      </c>
      <c r="CC76" s="226">
        <f t="shared" ca="1" si="363"/>
        <v>0</v>
      </c>
      <c r="CD76" s="226">
        <f t="shared" ca="1" si="363"/>
        <v>0</v>
      </c>
      <c r="CE76" s="226">
        <f t="shared" ca="1" si="363"/>
        <v>0</v>
      </c>
      <c r="CF76" s="226">
        <f t="shared" ca="1" si="363"/>
        <v>0</v>
      </c>
      <c r="CG76" s="226">
        <f t="shared" ca="1" si="363"/>
        <v>0</v>
      </c>
      <c r="CH76" s="226">
        <f t="shared" ca="1" si="363"/>
        <v>0</v>
      </c>
      <c r="CI76" s="226">
        <f t="shared" ca="1" si="364"/>
        <v>0</v>
      </c>
      <c r="CJ76" s="226">
        <f t="shared" ca="1" si="364"/>
        <v>0</v>
      </c>
      <c r="CK76" s="226">
        <f t="shared" ca="1" si="364"/>
        <v>0</v>
      </c>
      <c r="CL76" s="226">
        <f t="shared" ca="1" si="364"/>
        <v>0</v>
      </c>
      <c r="CM76" s="226">
        <f t="shared" ca="1" si="364"/>
        <v>0</v>
      </c>
      <c r="CN76" s="226">
        <f t="shared" ca="1" si="364"/>
        <v>0</v>
      </c>
      <c r="CO76" s="226">
        <f t="shared" ca="1" si="364"/>
        <v>0</v>
      </c>
      <c r="CP76" s="226">
        <f t="shared" ca="1" si="364"/>
        <v>0</v>
      </c>
      <c r="CQ76" s="226">
        <f t="shared" ca="1" si="364"/>
        <v>0</v>
      </c>
      <c r="CR76" s="226">
        <f t="shared" ca="1" si="364"/>
        <v>0</v>
      </c>
      <c r="CS76" s="226">
        <f t="shared" ca="1" si="365"/>
        <v>0</v>
      </c>
      <c r="CT76" s="226">
        <f t="shared" ca="1" si="365"/>
        <v>0</v>
      </c>
      <c r="CU76" s="226">
        <f t="shared" ca="1" si="365"/>
        <v>0</v>
      </c>
      <c r="CV76" s="226">
        <f t="shared" ca="1" si="365"/>
        <v>0</v>
      </c>
      <c r="CW76" s="226">
        <f t="shared" ca="1" si="365"/>
        <v>0</v>
      </c>
      <c r="CX76" s="226">
        <f t="shared" ca="1" si="365"/>
        <v>0</v>
      </c>
      <c r="CY76" s="226">
        <f t="shared" ca="1" si="365"/>
        <v>0</v>
      </c>
      <c r="CZ76" s="226">
        <f t="shared" ca="1" si="365"/>
        <v>0</v>
      </c>
      <c r="DA76" s="226">
        <f t="shared" ca="1" si="365"/>
        <v>0</v>
      </c>
      <c r="DB76" s="226">
        <f t="shared" ca="1" si="365"/>
        <v>0</v>
      </c>
      <c r="DC76" s="226">
        <f t="shared" ca="1" si="366"/>
        <v>0</v>
      </c>
      <c r="DD76" s="226">
        <f t="shared" ca="1" si="366"/>
        <v>0</v>
      </c>
      <c r="DE76" s="226">
        <f t="shared" ca="1" si="366"/>
        <v>0</v>
      </c>
      <c r="DF76" s="226">
        <f t="shared" ca="1" si="366"/>
        <v>0</v>
      </c>
      <c r="DG76" s="226">
        <f t="shared" ca="1" si="366"/>
        <v>0</v>
      </c>
      <c r="DH76" s="226">
        <f t="shared" ca="1" si="366"/>
        <v>0</v>
      </c>
      <c r="DI76" s="226">
        <f t="shared" ca="1" si="366"/>
        <v>0</v>
      </c>
      <c r="DJ76" s="226">
        <f t="shared" ca="1" si="366"/>
        <v>0</v>
      </c>
      <c r="DK76" s="226">
        <f t="shared" ca="1" si="366"/>
        <v>0</v>
      </c>
      <c r="DL76" s="226">
        <f t="shared" ca="1" si="366"/>
        <v>0</v>
      </c>
      <c r="DM76" s="226">
        <f t="shared" ca="1" si="367"/>
        <v>0</v>
      </c>
      <c r="DN76" s="226">
        <f t="shared" ca="1" si="367"/>
        <v>0</v>
      </c>
      <c r="DO76" s="226">
        <f t="shared" ca="1" si="367"/>
        <v>0</v>
      </c>
      <c r="DP76" s="226">
        <f t="shared" ca="1" si="367"/>
        <v>0</v>
      </c>
      <c r="DQ76" s="226">
        <f t="shared" ca="1" si="367"/>
        <v>0</v>
      </c>
      <c r="DR76" s="226">
        <f t="shared" ca="1" si="367"/>
        <v>0</v>
      </c>
      <c r="DS76" s="226">
        <f t="shared" ca="1" si="367"/>
        <v>0</v>
      </c>
      <c r="DT76" s="226">
        <f t="shared" ca="1" si="367"/>
        <v>0</v>
      </c>
      <c r="DU76" s="226">
        <f t="shared" ca="1" si="367"/>
        <v>0</v>
      </c>
      <c r="DV76" s="226">
        <f t="shared" ca="1" si="367"/>
        <v>0</v>
      </c>
      <c r="DW76" s="226">
        <f t="shared" ca="1" si="368"/>
        <v>0</v>
      </c>
      <c r="DX76" s="226">
        <f t="shared" ca="1" si="368"/>
        <v>0</v>
      </c>
      <c r="DY76" s="226">
        <f t="shared" ca="1" si="368"/>
        <v>0</v>
      </c>
      <c r="DZ76" s="226">
        <f t="shared" ca="1" si="368"/>
        <v>0</v>
      </c>
      <c r="EA76" s="226">
        <f t="shared" ca="1" si="368"/>
        <v>0</v>
      </c>
      <c r="EB76" s="226">
        <f t="shared" ca="1" si="368"/>
        <v>0</v>
      </c>
      <c r="EC76" s="226">
        <f t="shared" ca="1" si="368"/>
        <v>0</v>
      </c>
      <c r="ED76" s="226">
        <f t="shared" ca="1" si="368"/>
        <v>0</v>
      </c>
      <c r="EE76" s="226">
        <f t="shared" ca="1" si="368"/>
        <v>0</v>
      </c>
      <c r="EF76" s="226">
        <f t="shared" ca="1" si="368"/>
        <v>0</v>
      </c>
      <c r="EG76" s="226">
        <f t="shared" ca="1" si="369"/>
        <v>0</v>
      </c>
      <c r="EH76" s="226">
        <f t="shared" ca="1" si="369"/>
        <v>0</v>
      </c>
      <c r="EI76" s="226">
        <f t="shared" ca="1" si="369"/>
        <v>0</v>
      </c>
      <c r="EJ76" s="226">
        <f t="shared" ca="1" si="369"/>
        <v>0</v>
      </c>
      <c r="EK76" s="226">
        <f t="shared" ca="1" si="369"/>
        <v>0</v>
      </c>
      <c r="EL76" s="226">
        <f t="shared" ca="1" si="369"/>
        <v>0</v>
      </c>
      <c r="EM76" s="226">
        <f t="shared" ca="1" si="369"/>
        <v>0</v>
      </c>
      <c r="EN76" s="226">
        <f t="shared" ca="1" si="369"/>
        <v>0</v>
      </c>
      <c r="EO76" s="226">
        <f t="shared" ca="1" si="369"/>
        <v>0</v>
      </c>
      <c r="EP76" s="226">
        <f t="shared" ca="1" si="369"/>
        <v>0</v>
      </c>
      <c r="EQ76" s="226">
        <f t="shared" ca="1" si="370"/>
        <v>0</v>
      </c>
      <c r="ER76" s="226">
        <f t="shared" ca="1" si="370"/>
        <v>0</v>
      </c>
      <c r="ES76" s="226">
        <f t="shared" ca="1" si="370"/>
        <v>0</v>
      </c>
      <c r="EU76" s="153" t="s">
        <v>70</v>
      </c>
      <c r="EV76" s="153"/>
      <c r="EW76" s="153"/>
      <c r="EX76" s="154" t="str">
        <f ca="1">IF(MAX(FA76:KC76)=SUM(FA60:KC60),"OK","ERROR")</f>
        <v>OK</v>
      </c>
      <c r="EY76" s="154" t="s">
        <v>80</v>
      </c>
      <c r="EZ76" s="154">
        <v>0</v>
      </c>
      <c r="FA76" s="221">
        <f t="shared" ref="FA76:GF76" si="379">+EZ76+FA60</f>
        <v>0</v>
      </c>
      <c r="FB76" s="221">
        <f t="shared" ca="1" si="379"/>
        <v>0</v>
      </c>
      <c r="FC76" s="221">
        <f t="shared" ca="1" si="379"/>
        <v>0</v>
      </c>
      <c r="FD76" s="221">
        <f t="shared" ca="1" si="379"/>
        <v>0</v>
      </c>
      <c r="FE76" s="221">
        <f t="shared" ca="1" si="379"/>
        <v>0</v>
      </c>
      <c r="FF76" s="221">
        <f t="shared" ca="1" si="379"/>
        <v>0</v>
      </c>
      <c r="FG76" s="221">
        <f t="shared" ca="1" si="379"/>
        <v>1291.629712288528</v>
      </c>
      <c r="FH76" s="221">
        <f t="shared" ca="1" si="379"/>
        <v>7482.2255255695072</v>
      </c>
      <c r="FI76" s="221">
        <f t="shared" ca="1" si="379"/>
        <v>18595.921681160733</v>
      </c>
      <c r="FJ76" s="221">
        <f t="shared" ca="1" si="379"/>
        <v>33615.790779099167</v>
      </c>
      <c r="FK76" s="221">
        <f t="shared" ca="1" si="379"/>
        <v>51097.779087389747</v>
      </c>
      <c r="FL76" s="221">
        <f t="shared" ca="1" si="379"/>
        <v>69846.425168236048</v>
      </c>
      <c r="FM76" s="221">
        <f t="shared" ca="1" si="379"/>
        <v>89172.160517627577</v>
      </c>
      <c r="FN76" s="221">
        <f t="shared" ca="1" si="379"/>
        <v>108782.59408761973</v>
      </c>
      <c r="FO76" s="221">
        <f t="shared" ca="1" si="379"/>
        <v>128683.11460402847</v>
      </c>
      <c r="FP76" s="221">
        <f t="shared" ca="1" si="379"/>
        <v>128683.11460402847</v>
      </c>
      <c r="FQ76" s="221">
        <f t="shared" ca="1" si="379"/>
        <v>128683.11460402847</v>
      </c>
      <c r="FR76" s="221">
        <f t="shared" ca="1" si="379"/>
        <v>128683.11460402847</v>
      </c>
      <c r="FS76" s="221">
        <f t="shared" ca="1" si="379"/>
        <v>128683.11460402847</v>
      </c>
      <c r="FT76" s="221">
        <f t="shared" ca="1" si="379"/>
        <v>128683.11460402847</v>
      </c>
      <c r="FU76" s="221">
        <f t="shared" ca="1" si="379"/>
        <v>128683.11460402847</v>
      </c>
      <c r="FV76" s="221">
        <f t="shared" ca="1" si="379"/>
        <v>128683.11460402847</v>
      </c>
      <c r="FW76" s="221">
        <f t="shared" ca="1" si="379"/>
        <v>128683.11460402847</v>
      </c>
      <c r="FX76" s="221">
        <f t="shared" ca="1" si="379"/>
        <v>128683.11460402847</v>
      </c>
      <c r="FY76" s="221">
        <f t="shared" ca="1" si="379"/>
        <v>128683.11460402847</v>
      </c>
      <c r="FZ76" s="221">
        <f t="shared" ca="1" si="379"/>
        <v>128683.11460402847</v>
      </c>
      <c r="GA76" s="221">
        <f t="shared" ca="1" si="379"/>
        <v>128683.11460402847</v>
      </c>
      <c r="GB76" s="221">
        <f t="shared" ca="1" si="379"/>
        <v>128683.11460402847</v>
      </c>
      <c r="GC76" s="221">
        <f t="shared" ca="1" si="379"/>
        <v>128683.11460402847</v>
      </c>
      <c r="GD76" s="221">
        <f t="shared" ca="1" si="379"/>
        <v>128683.11460402847</v>
      </c>
      <c r="GE76" s="221">
        <f t="shared" ca="1" si="379"/>
        <v>128683.11460402847</v>
      </c>
      <c r="GF76" s="221">
        <f t="shared" ca="1" si="379"/>
        <v>128683.11460402847</v>
      </c>
      <c r="GG76" s="221">
        <f t="shared" ref="GG76:HL76" ca="1" si="380">+GF76+GG60</f>
        <v>128683.11460402847</v>
      </c>
      <c r="GH76" s="221">
        <f t="shared" ca="1" si="380"/>
        <v>128683.11460402847</v>
      </c>
      <c r="GI76" s="221">
        <f t="shared" ca="1" si="380"/>
        <v>128683.11460402847</v>
      </c>
      <c r="GJ76" s="221">
        <f t="shared" ca="1" si="380"/>
        <v>128683.11460402847</v>
      </c>
      <c r="GK76" s="221">
        <f t="shared" ca="1" si="380"/>
        <v>128683.11460402847</v>
      </c>
      <c r="GL76" s="221">
        <f t="shared" ca="1" si="380"/>
        <v>128683.11460402847</v>
      </c>
      <c r="GM76" s="221">
        <f t="shared" ca="1" si="380"/>
        <v>128683.11460402847</v>
      </c>
      <c r="GN76" s="221">
        <f t="shared" ca="1" si="380"/>
        <v>128683.11460402847</v>
      </c>
      <c r="GO76" s="221">
        <f t="shared" ca="1" si="380"/>
        <v>128683.11460402847</v>
      </c>
      <c r="GP76" s="221">
        <f t="shared" ca="1" si="380"/>
        <v>128683.11460402847</v>
      </c>
      <c r="GQ76" s="221">
        <f t="shared" ca="1" si="380"/>
        <v>128683.11460402847</v>
      </c>
      <c r="GR76" s="221">
        <f t="shared" ca="1" si="380"/>
        <v>128683.11460402847</v>
      </c>
      <c r="GS76" s="221">
        <f t="shared" ca="1" si="380"/>
        <v>128683.11460402847</v>
      </c>
      <c r="GT76" s="221">
        <f t="shared" ca="1" si="380"/>
        <v>128683.11460402847</v>
      </c>
      <c r="GU76" s="221">
        <f t="shared" ca="1" si="380"/>
        <v>128683.11460402847</v>
      </c>
      <c r="GV76" s="221">
        <f t="shared" ca="1" si="380"/>
        <v>128683.11460402847</v>
      </c>
      <c r="GW76" s="221">
        <f t="shared" ca="1" si="380"/>
        <v>128683.11460402847</v>
      </c>
      <c r="GX76" s="221">
        <f t="shared" ca="1" si="380"/>
        <v>128683.11460402847</v>
      </c>
      <c r="GY76" s="221">
        <f t="shared" ca="1" si="380"/>
        <v>128683.11460402847</v>
      </c>
      <c r="GZ76" s="221">
        <f t="shared" ca="1" si="380"/>
        <v>128683.11460402847</v>
      </c>
      <c r="HA76" s="221">
        <f t="shared" ca="1" si="380"/>
        <v>128683.11460402847</v>
      </c>
      <c r="HB76" s="221">
        <f t="shared" ca="1" si="380"/>
        <v>128683.11460402847</v>
      </c>
      <c r="HC76" s="221">
        <f t="shared" ca="1" si="380"/>
        <v>128683.11460402847</v>
      </c>
      <c r="HD76" s="221">
        <f t="shared" ca="1" si="380"/>
        <v>128683.11460402847</v>
      </c>
      <c r="HE76" s="221">
        <f t="shared" ca="1" si="380"/>
        <v>128683.11460402847</v>
      </c>
      <c r="HF76" s="221">
        <f t="shared" ca="1" si="380"/>
        <v>128683.11460402847</v>
      </c>
      <c r="HG76" s="221">
        <f t="shared" ca="1" si="380"/>
        <v>128683.11460402847</v>
      </c>
      <c r="HH76" s="221">
        <f t="shared" ca="1" si="380"/>
        <v>128683.11460402847</v>
      </c>
      <c r="HI76" s="221">
        <f t="shared" ca="1" si="380"/>
        <v>128683.11460402847</v>
      </c>
      <c r="HJ76" s="221">
        <f t="shared" ca="1" si="380"/>
        <v>128683.11460402847</v>
      </c>
      <c r="HK76" s="221">
        <f t="shared" ca="1" si="380"/>
        <v>128683.11460402847</v>
      </c>
      <c r="HL76" s="221">
        <f t="shared" ca="1" si="380"/>
        <v>128683.11460402847</v>
      </c>
      <c r="HM76" s="221">
        <f t="shared" ref="HM76:IR76" ca="1" si="381">+HL76+HM60</f>
        <v>128683.11460402847</v>
      </c>
      <c r="HN76" s="221">
        <f t="shared" ca="1" si="381"/>
        <v>128683.11460402847</v>
      </c>
      <c r="HO76" s="221">
        <f t="shared" ca="1" si="381"/>
        <v>128683.11460402847</v>
      </c>
      <c r="HP76" s="221">
        <f t="shared" ca="1" si="381"/>
        <v>128683.11460402847</v>
      </c>
      <c r="HQ76" s="221">
        <f t="shared" ca="1" si="381"/>
        <v>128683.11460402847</v>
      </c>
      <c r="HR76" s="221">
        <f t="shared" ca="1" si="381"/>
        <v>128683.11460402847</v>
      </c>
      <c r="HS76" s="221">
        <f t="shared" ca="1" si="381"/>
        <v>128683.11460402847</v>
      </c>
      <c r="HT76" s="221">
        <f t="shared" ca="1" si="381"/>
        <v>128683.11460402847</v>
      </c>
      <c r="HU76" s="221">
        <f t="shared" ca="1" si="381"/>
        <v>128683.11460402847</v>
      </c>
      <c r="HV76" s="221">
        <f t="shared" ca="1" si="381"/>
        <v>128683.11460402847</v>
      </c>
      <c r="HW76" s="221">
        <f t="shared" ca="1" si="381"/>
        <v>128683.11460402847</v>
      </c>
      <c r="HX76" s="221">
        <f t="shared" ca="1" si="381"/>
        <v>128683.11460402847</v>
      </c>
      <c r="HY76" s="221">
        <f t="shared" ca="1" si="381"/>
        <v>128683.11460402847</v>
      </c>
      <c r="HZ76" s="221">
        <f t="shared" ca="1" si="381"/>
        <v>128683.11460402847</v>
      </c>
      <c r="IA76" s="221">
        <f t="shared" ca="1" si="381"/>
        <v>128683.11460402847</v>
      </c>
      <c r="IB76" s="221">
        <f t="shared" ca="1" si="381"/>
        <v>128683.11460402847</v>
      </c>
      <c r="IC76" s="221">
        <f t="shared" ca="1" si="381"/>
        <v>128683.11460402847</v>
      </c>
      <c r="ID76" s="221">
        <f t="shared" ca="1" si="381"/>
        <v>128683.11460402847</v>
      </c>
      <c r="IE76" s="221">
        <f t="shared" ca="1" si="381"/>
        <v>128683.11460402847</v>
      </c>
      <c r="IF76" s="221">
        <f t="shared" ca="1" si="381"/>
        <v>128683.11460402847</v>
      </c>
      <c r="IG76" s="221">
        <f t="shared" ca="1" si="381"/>
        <v>128683.11460402847</v>
      </c>
      <c r="IH76" s="221">
        <f t="shared" ca="1" si="381"/>
        <v>128683.11460402847</v>
      </c>
      <c r="II76" s="221">
        <f t="shared" ca="1" si="381"/>
        <v>128683.11460402847</v>
      </c>
      <c r="IJ76" s="221">
        <f t="shared" ca="1" si="381"/>
        <v>128683.11460402847</v>
      </c>
      <c r="IK76" s="221">
        <f t="shared" ca="1" si="381"/>
        <v>128683.11460402847</v>
      </c>
      <c r="IL76" s="221">
        <f t="shared" ca="1" si="381"/>
        <v>128683.11460402847</v>
      </c>
      <c r="IM76" s="221">
        <f t="shared" ca="1" si="381"/>
        <v>128683.11460402847</v>
      </c>
      <c r="IN76" s="221">
        <f t="shared" ca="1" si="381"/>
        <v>128683.11460402847</v>
      </c>
      <c r="IO76" s="221">
        <f t="shared" ca="1" si="381"/>
        <v>128683.11460402847</v>
      </c>
      <c r="IP76" s="221">
        <f t="shared" ca="1" si="381"/>
        <v>128683.11460402847</v>
      </c>
      <c r="IQ76" s="221">
        <f t="shared" ca="1" si="381"/>
        <v>128683.11460402847</v>
      </c>
      <c r="IR76" s="221">
        <f t="shared" ca="1" si="381"/>
        <v>128683.11460402847</v>
      </c>
      <c r="IS76" s="221">
        <f t="shared" ref="IS76:KC76" ca="1" si="382">+IR76+IS60</f>
        <v>128683.11460402847</v>
      </c>
      <c r="IT76" s="221">
        <f t="shared" ca="1" si="382"/>
        <v>128683.11460402847</v>
      </c>
      <c r="IU76" s="221">
        <f t="shared" ca="1" si="382"/>
        <v>128683.11460402847</v>
      </c>
      <c r="IV76" s="221">
        <f t="shared" ca="1" si="382"/>
        <v>128683.11460402847</v>
      </c>
      <c r="IW76" s="221">
        <f t="shared" ca="1" si="382"/>
        <v>128683.11460402847</v>
      </c>
      <c r="IX76" s="221">
        <f t="shared" ca="1" si="382"/>
        <v>128683.11460402847</v>
      </c>
      <c r="IY76" s="221">
        <f t="shared" ca="1" si="382"/>
        <v>128683.11460402847</v>
      </c>
      <c r="IZ76" s="221">
        <f t="shared" ca="1" si="382"/>
        <v>128683.11460402847</v>
      </c>
      <c r="JA76" s="221">
        <f t="shared" ca="1" si="382"/>
        <v>128683.11460402847</v>
      </c>
      <c r="JB76" s="221">
        <f t="shared" ca="1" si="382"/>
        <v>128683.11460402847</v>
      </c>
      <c r="JC76" s="221">
        <f t="shared" ca="1" si="382"/>
        <v>128683.11460402847</v>
      </c>
      <c r="JD76" s="221">
        <f t="shared" ca="1" si="382"/>
        <v>128683.11460402847</v>
      </c>
      <c r="JE76" s="221">
        <f t="shared" ca="1" si="382"/>
        <v>128683.11460402847</v>
      </c>
      <c r="JF76" s="221">
        <f t="shared" ca="1" si="382"/>
        <v>128683.11460402847</v>
      </c>
      <c r="JG76" s="221">
        <f t="shared" ca="1" si="382"/>
        <v>128683.11460402847</v>
      </c>
      <c r="JH76" s="221">
        <f t="shared" ca="1" si="382"/>
        <v>128683.11460402847</v>
      </c>
      <c r="JI76" s="221">
        <f t="shared" ca="1" si="382"/>
        <v>128683.11460402847</v>
      </c>
      <c r="JJ76" s="221">
        <f t="shared" ca="1" si="382"/>
        <v>128683.11460402847</v>
      </c>
      <c r="JK76" s="221">
        <f t="shared" ca="1" si="382"/>
        <v>128683.11460402847</v>
      </c>
      <c r="JL76" s="221">
        <f t="shared" ca="1" si="382"/>
        <v>128683.11460402847</v>
      </c>
      <c r="JM76" s="221">
        <f t="shared" ca="1" si="382"/>
        <v>128683.11460402847</v>
      </c>
      <c r="JN76" s="221">
        <f t="shared" ca="1" si="382"/>
        <v>128683.11460402847</v>
      </c>
      <c r="JO76" s="221">
        <f t="shared" ca="1" si="382"/>
        <v>128683.11460402847</v>
      </c>
      <c r="JP76" s="221">
        <f t="shared" ca="1" si="382"/>
        <v>128683.11460402847</v>
      </c>
      <c r="JQ76" s="221">
        <f t="shared" ca="1" si="382"/>
        <v>128683.11460402847</v>
      </c>
      <c r="JR76" s="221">
        <f t="shared" ca="1" si="382"/>
        <v>128683.11460402847</v>
      </c>
      <c r="JS76" s="221">
        <f t="shared" ca="1" si="382"/>
        <v>128683.11460402847</v>
      </c>
      <c r="JT76" s="221">
        <f t="shared" ca="1" si="382"/>
        <v>128683.11460402847</v>
      </c>
      <c r="JU76" s="221">
        <f t="shared" ca="1" si="382"/>
        <v>128683.11460402847</v>
      </c>
      <c r="JV76" s="221">
        <f t="shared" ca="1" si="382"/>
        <v>128683.11460402847</v>
      </c>
      <c r="JW76" s="221">
        <f t="shared" ca="1" si="382"/>
        <v>128683.11460402847</v>
      </c>
      <c r="JX76" s="221">
        <f t="shared" ca="1" si="382"/>
        <v>128683.11460402847</v>
      </c>
      <c r="JY76" s="221">
        <f t="shared" ca="1" si="382"/>
        <v>128683.11460402847</v>
      </c>
      <c r="JZ76" s="221">
        <f t="shared" ca="1" si="382"/>
        <v>128683.11460402847</v>
      </c>
      <c r="KA76" s="221">
        <f t="shared" ca="1" si="382"/>
        <v>128683.11460402847</v>
      </c>
      <c r="KB76" s="221">
        <f t="shared" ca="1" si="382"/>
        <v>128683.11460402847</v>
      </c>
      <c r="KC76" s="221">
        <f t="shared" ca="1" si="382"/>
        <v>128683.11460402847</v>
      </c>
    </row>
    <row r="77" spans="1:289" x14ac:dyDescent="0.25">
      <c r="B77" s="180" t="s">
        <v>562</v>
      </c>
      <c r="C77" s="196"/>
      <c r="D77" s="196"/>
      <c r="E77" s="228">
        <f>IF(Perm_Debt?,C84,Timing_Reversion_Month)</f>
        <v>14</v>
      </c>
      <c r="F77" s="269">
        <f ca="1">I77/Project_Cost_Total</f>
        <v>0.60000027576937087</v>
      </c>
      <c r="G77" s="217">
        <f ca="1">SUM(G74:G76)</f>
        <v>148.69679568516551</v>
      </c>
      <c r="H77" s="218">
        <f ca="1">SUM(H74:H76)</f>
        <v>151447.68640534108</v>
      </c>
      <c r="I77" s="218">
        <f ca="1">SUM(I74:I76)</f>
        <v>2423162.9824854573</v>
      </c>
      <c r="P77" s="157" t="str">
        <f ca="1">IF(AND(ROUND(SUM(Q77:ES77),0)=ROUND(Debt_Total,0),ROUND(SUM(Q63:ES64),0)=ROUND(SUM(I67:I68),0)),"","ERROR")</f>
        <v/>
      </c>
      <c r="Q77" s="220">
        <f>SUM(Q74:Q76)</f>
        <v>0</v>
      </c>
      <c r="R77" s="220">
        <f t="shared" ref="R77:CC77" ca="1" si="383">SUM(R74:R76)</f>
        <v>0</v>
      </c>
      <c r="S77" s="220">
        <f t="shared" ca="1" si="383"/>
        <v>0</v>
      </c>
      <c r="T77" s="220">
        <f t="shared" ca="1" si="383"/>
        <v>0</v>
      </c>
      <c r="U77" s="220">
        <f t="shared" ca="1" si="383"/>
        <v>0</v>
      </c>
      <c r="V77" s="220">
        <f t="shared" ca="1" si="383"/>
        <v>154995.56547462335</v>
      </c>
      <c r="W77" s="220">
        <f t="shared" ca="1" si="383"/>
        <v>587875.93211909418</v>
      </c>
      <c r="X77" s="220">
        <f t="shared" ca="1" si="383"/>
        <v>590772.04107722954</v>
      </c>
      <c r="Y77" s="220">
        <f t="shared" ca="1" si="383"/>
        <v>468740.7530816652</v>
      </c>
      <c r="Z77" s="220">
        <f t="shared" ca="1" si="383"/>
        <v>295454.30524225702</v>
      </c>
      <c r="AA77" s="220">
        <f t="shared" ca="1" si="383"/>
        <v>151998.93270668635</v>
      </c>
      <c r="AB77" s="220">
        <f t="shared" ca="1" si="383"/>
        <v>69250.71222542724</v>
      </c>
      <c r="AC77" s="220">
        <f t="shared" ca="1" si="383"/>
        <v>34163.786472073742</v>
      </c>
      <c r="AD77" s="220">
        <f t="shared" ca="1" si="383"/>
        <v>34810.43356999215</v>
      </c>
      <c r="AE77" s="220">
        <f t="shared" ca="1" si="383"/>
        <v>35100.520516408258</v>
      </c>
      <c r="AF77" s="220">
        <f t="shared" ca="1" si="383"/>
        <v>0</v>
      </c>
      <c r="AG77" s="220">
        <f t="shared" ca="1" si="383"/>
        <v>0</v>
      </c>
      <c r="AH77" s="220">
        <f t="shared" ca="1" si="383"/>
        <v>0</v>
      </c>
      <c r="AI77" s="220">
        <f t="shared" ca="1" si="383"/>
        <v>0</v>
      </c>
      <c r="AJ77" s="220">
        <f t="shared" ca="1" si="383"/>
        <v>0</v>
      </c>
      <c r="AK77" s="220">
        <f t="shared" ca="1" si="383"/>
        <v>0</v>
      </c>
      <c r="AL77" s="220">
        <f t="shared" ca="1" si="383"/>
        <v>0</v>
      </c>
      <c r="AM77" s="220">
        <f t="shared" ca="1" si="383"/>
        <v>0</v>
      </c>
      <c r="AN77" s="220">
        <f t="shared" ca="1" si="383"/>
        <v>0</v>
      </c>
      <c r="AO77" s="220">
        <f t="shared" ca="1" si="383"/>
        <v>0</v>
      </c>
      <c r="AP77" s="220">
        <f t="shared" ca="1" si="383"/>
        <v>0</v>
      </c>
      <c r="AQ77" s="220">
        <f t="shared" ca="1" si="383"/>
        <v>0</v>
      </c>
      <c r="AR77" s="220">
        <f t="shared" ca="1" si="383"/>
        <v>0</v>
      </c>
      <c r="AS77" s="220">
        <f t="shared" ca="1" si="383"/>
        <v>0</v>
      </c>
      <c r="AT77" s="220">
        <f t="shared" ca="1" si="383"/>
        <v>0</v>
      </c>
      <c r="AU77" s="220">
        <f t="shared" ca="1" si="383"/>
        <v>0</v>
      </c>
      <c r="AV77" s="220">
        <f t="shared" ca="1" si="383"/>
        <v>0</v>
      </c>
      <c r="AW77" s="220">
        <f t="shared" ca="1" si="383"/>
        <v>0</v>
      </c>
      <c r="AX77" s="220">
        <f t="shared" ca="1" si="383"/>
        <v>0</v>
      </c>
      <c r="AY77" s="220">
        <f t="shared" ca="1" si="383"/>
        <v>0</v>
      </c>
      <c r="AZ77" s="220">
        <f t="shared" ca="1" si="383"/>
        <v>0</v>
      </c>
      <c r="BA77" s="220">
        <f t="shared" ca="1" si="383"/>
        <v>0</v>
      </c>
      <c r="BB77" s="220">
        <f t="shared" ca="1" si="383"/>
        <v>0</v>
      </c>
      <c r="BC77" s="220">
        <f t="shared" ca="1" si="383"/>
        <v>0</v>
      </c>
      <c r="BD77" s="220">
        <f t="shared" ca="1" si="383"/>
        <v>0</v>
      </c>
      <c r="BE77" s="220">
        <f t="shared" ca="1" si="383"/>
        <v>0</v>
      </c>
      <c r="BF77" s="220">
        <f t="shared" ca="1" si="383"/>
        <v>0</v>
      </c>
      <c r="BG77" s="220">
        <f t="shared" ca="1" si="383"/>
        <v>0</v>
      </c>
      <c r="BH77" s="220">
        <f t="shared" ca="1" si="383"/>
        <v>0</v>
      </c>
      <c r="BI77" s="220">
        <f t="shared" ca="1" si="383"/>
        <v>0</v>
      </c>
      <c r="BJ77" s="220">
        <f t="shared" ca="1" si="383"/>
        <v>0</v>
      </c>
      <c r="BK77" s="220">
        <f t="shared" ca="1" si="383"/>
        <v>0</v>
      </c>
      <c r="BL77" s="220">
        <f t="shared" ca="1" si="383"/>
        <v>0</v>
      </c>
      <c r="BM77" s="220">
        <f t="shared" ca="1" si="383"/>
        <v>0</v>
      </c>
      <c r="BN77" s="220">
        <f t="shared" ca="1" si="383"/>
        <v>0</v>
      </c>
      <c r="BO77" s="220">
        <f t="shared" ca="1" si="383"/>
        <v>0</v>
      </c>
      <c r="BP77" s="220">
        <f t="shared" ca="1" si="383"/>
        <v>0</v>
      </c>
      <c r="BQ77" s="220">
        <f t="shared" ca="1" si="383"/>
        <v>0</v>
      </c>
      <c r="BR77" s="220">
        <f t="shared" ca="1" si="383"/>
        <v>0</v>
      </c>
      <c r="BS77" s="220">
        <f t="shared" ca="1" si="383"/>
        <v>0</v>
      </c>
      <c r="BT77" s="220">
        <f t="shared" ca="1" si="383"/>
        <v>0</v>
      </c>
      <c r="BU77" s="220">
        <f t="shared" ca="1" si="383"/>
        <v>0</v>
      </c>
      <c r="BV77" s="220">
        <f t="shared" ca="1" si="383"/>
        <v>0</v>
      </c>
      <c r="BW77" s="220">
        <f t="shared" ca="1" si="383"/>
        <v>0</v>
      </c>
      <c r="BX77" s="220">
        <f t="shared" ca="1" si="383"/>
        <v>0</v>
      </c>
      <c r="BY77" s="220">
        <f t="shared" ca="1" si="383"/>
        <v>0</v>
      </c>
      <c r="BZ77" s="220">
        <f t="shared" ca="1" si="383"/>
        <v>0</v>
      </c>
      <c r="CA77" s="220">
        <f t="shared" ca="1" si="383"/>
        <v>0</v>
      </c>
      <c r="CB77" s="220">
        <f t="shared" ca="1" si="383"/>
        <v>0</v>
      </c>
      <c r="CC77" s="220">
        <f t="shared" ca="1" si="383"/>
        <v>0</v>
      </c>
      <c r="CD77" s="220">
        <f t="shared" ref="CD77:EO77" ca="1" si="384">SUM(CD74:CD76)</f>
        <v>0</v>
      </c>
      <c r="CE77" s="220">
        <f t="shared" ca="1" si="384"/>
        <v>0</v>
      </c>
      <c r="CF77" s="220">
        <f t="shared" ca="1" si="384"/>
        <v>0</v>
      </c>
      <c r="CG77" s="220">
        <f t="shared" ca="1" si="384"/>
        <v>0</v>
      </c>
      <c r="CH77" s="220">
        <f t="shared" ca="1" si="384"/>
        <v>0</v>
      </c>
      <c r="CI77" s="220">
        <f t="shared" ca="1" si="384"/>
        <v>0</v>
      </c>
      <c r="CJ77" s="220">
        <f t="shared" ca="1" si="384"/>
        <v>0</v>
      </c>
      <c r="CK77" s="220">
        <f t="shared" ca="1" si="384"/>
        <v>0</v>
      </c>
      <c r="CL77" s="220">
        <f t="shared" ca="1" si="384"/>
        <v>0</v>
      </c>
      <c r="CM77" s="220">
        <f t="shared" ca="1" si="384"/>
        <v>0</v>
      </c>
      <c r="CN77" s="220">
        <f t="shared" ca="1" si="384"/>
        <v>0</v>
      </c>
      <c r="CO77" s="220">
        <f t="shared" ca="1" si="384"/>
        <v>0</v>
      </c>
      <c r="CP77" s="220">
        <f t="shared" ca="1" si="384"/>
        <v>0</v>
      </c>
      <c r="CQ77" s="220">
        <f t="shared" ca="1" si="384"/>
        <v>0</v>
      </c>
      <c r="CR77" s="220">
        <f t="shared" ca="1" si="384"/>
        <v>0</v>
      </c>
      <c r="CS77" s="220">
        <f t="shared" ca="1" si="384"/>
        <v>0</v>
      </c>
      <c r="CT77" s="220">
        <f t="shared" ca="1" si="384"/>
        <v>0</v>
      </c>
      <c r="CU77" s="220">
        <f t="shared" ca="1" si="384"/>
        <v>0</v>
      </c>
      <c r="CV77" s="220">
        <f t="shared" ca="1" si="384"/>
        <v>0</v>
      </c>
      <c r="CW77" s="220">
        <f t="shared" ca="1" si="384"/>
        <v>0</v>
      </c>
      <c r="CX77" s="220">
        <f t="shared" ca="1" si="384"/>
        <v>0</v>
      </c>
      <c r="CY77" s="220">
        <f t="shared" ca="1" si="384"/>
        <v>0</v>
      </c>
      <c r="CZ77" s="220">
        <f t="shared" ca="1" si="384"/>
        <v>0</v>
      </c>
      <c r="DA77" s="220">
        <f t="shared" ca="1" si="384"/>
        <v>0</v>
      </c>
      <c r="DB77" s="220">
        <f t="shared" ca="1" si="384"/>
        <v>0</v>
      </c>
      <c r="DC77" s="220">
        <f t="shared" ca="1" si="384"/>
        <v>0</v>
      </c>
      <c r="DD77" s="220">
        <f t="shared" ca="1" si="384"/>
        <v>0</v>
      </c>
      <c r="DE77" s="220">
        <f t="shared" ca="1" si="384"/>
        <v>0</v>
      </c>
      <c r="DF77" s="220">
        <f t="shared" ca="1" si="384"/>
        <v>0</v>
      </c>
      <c r="DG77" s="220">
        <f t="shared" ca="1" si="384"/>
        <v>0</v>
      </c>
      <c r="DH77" s="220">
        <f t="shared" ca="1" si="384"/>
        <v>0</v>
      </c>
      <c r="DI77" s="220">
        <f t="shared" ca="1" si="384"/>
        <v>0</v>
      </c>
      <c r="DJ77" s="220">
        <f t="shared" ca="1" si="384"/>
        <v>0</v>
      </c>
      <c r="DK77" s="220">
        <f t="shared" ca="1" si="384"/>
        <v>0</v>
      </c>
      <c r="DL77" s="220">
        <f t="shared" ca="1" si="384"/>
        <v>0</v>
      </c>
      <c r="DM77" s="220">
        <f t="shared" ca="1" si="384"/>
        <v>0</v>
      </c>
      <c r="DN77" s="220">
        <f t="shared" ca="1" si="384"/>
        <v>0</v>
      </c>
      <c r="DO77" s="220">
        <f t="shared" ca="1" si="384"/>
        <v>0</v>
      </c>
      <c r="DP77" s="220">
        <f t="shared" ca="1" si="384"/>
        <v>0</v>
      </c>
      <c r="DQ77" s="220">
        <f t="shared" ca="1" si="384"/>
        <v>0</v>
      </c>
      <c r="DR77" s="220">
        <f t="shared" ca="1" si="384"/>
        <v>0</v>
      </c>
      <c r="DS77" s="220">
        <f t="shared" ca="1" si="384"/>
        <v>0</v>
      </c>
      <c r="DT77" s="220">
        <f t="shared" ca="1" si="384"/>
        <v>0</v>
      </c>
      <c r="DU77" s="220">
        <f t="shared" ca="1" si="384"/>
        <v>0</v>
      </c>
      <c r="DV77" s="220">
        <f t="shared" ca="1" si="384"/>
        <v>0</v>
      </c>
      <c r="DW77" s="220">
        <f t="shared" ca="1" si="384"/>
        <v>0</v>
      </c>
      <c r="DX77" s="220">
        <f t="shared" ca="1" si="384"/>
        <v>0</v>
      </c>
      <c r="DY77" s="220">
        <f t="shared" ca="1" si="384"/>
        <v>0</v>
      </c>
      <c r="DZ77" s="220">
        <f t="shared" ca="1" si="384"/>
        <v>0</v>
      </c>
      <c r="EA77" s="220">
        <f t="shared" ca="1" si="384"/>
        <v>0</v>
      </c>
      <c r="EB77" s="220">
        <f t="shared" ca="1" si="384"/>
        <v>0</v>
      </c>
      <c r="EC77" s="220">
        <f t="shared" ca="1" si="384"/>
        <v>0</v>
      </c>
      <c r="ED77" s="220">
        <f t="shared" ca="1" si="384"/>
        <v>0</v>
      </c>
      <c r="EE77" s="220">
        <f t="shared" ca="1" si="384"/>
        <v>0</v>
      </c>
      <c r="EF77" s="220">
        <f t="shared" ca="1" si="384"/>
        <v>0</v>
      </c>
      <c r="EG77" s="220">
        <f t="shared" ca="1" si="384"/>
        <v>0</v>
      </c>
      <c r="EH77" s="220">
        <f t="shared" ca="1" si="384"/>
        <v>0</v>
      </c>
      <c r="EI77" s="220">
        <f t="shared" ca="1" si="384"/>
        <v>0</v>
      </c>
      <c r="EJ77" s="220">
        <f t="shared" ca="1" si="384"/>
        <v>0</v>
      </c>
      <c r="EK77" s="220">
        <f t="shared" ca="1" si="384"/>
        <v>0</v>
      </c>
      <c r="EL77" s="220">
        <f t="shared" ca="1" si="384"/>
        <v>0</v>
      </c>
      <c r="EM77" s="220">
        <f t="shared" ca="1" si="384"/>
        <v>0</v>
      </c>
      <c r="EN77" s="220">
        <f t="shared" ca="1" si="384"/>
        <v>0</v>
      </c>
      <c r="EO77" s="220">
        <f t="shared" ca="1" si="384"/>
        <v>0</v>
      </c>
      <c r="EP77" s="220">
        <f ca="1">SUM(EP74:EP76)</f>
        <v>0</v>
      </c>
      <c r="EQ77" s="220">
        <f ca="1">SUM(EQ74:EQ76)</f>
        <v>0</v>
      </c>
      <c r="ER77" s="220">
        <f ca="1">SUM(ER74:ER76)</f>
        <v>0</v>
      </c>
      <c r="ES77" s="220">
        <f ca="1">SUM(ES74:ES76)</f>
        <v>0</v>
      </c>
      <c r="EU77" s="153" t="s">
        <v>77</v>
      </c>
      <c r="EV77" s="153"/>
      <c r="EW77" s="153"/>
      <c r="EX77" s="154" t="str">
        <f ca="1">IF(MAX(FA77:KC77)=SUM(FA61:KC61),"OK","ERROR")</f>
        <v>OK</v>
      </c>
      <c r="EY77" s="154" t="s">
        <v>80</v>
      </c>
      <c r="EZ77" s="154">
        <v>0</v>
      </c>
      <c r="FA77" s="221">
        <f t="shared" ref="FA77:GF77" si="385">+EZ77+FA61</f>
        <v>0</v>
      </c>
      <c r="FB77" s="221">
        <f t="shared" ca="1" si="385"/>
        <v>0</v>
      </c>
      <c r="FC77" s="221">
        <f t="shared" ca="1" si="385"/>
        <v>0</v>
      </c>
      <c r="FD77" s="221">
        <f t="shared" ca="1" si="385"/>
        <v>0</v>
      </c>
      <c r="FE77" s="221">
        <f t="shared" ca="1" si="385"/>
        <v>0</v>
      </c>
      <c r="FF77" s="221">
        <f t="shared" ca="1" si="385"/>
        <v>0</v>
      </c>
      <c r="FG77" s="221">
        <f t="shared" ca="1" si="385"/>
        <v>0</v>
      </c>
      <c r="FH77" s="221">
        <f t="shared" ca="1" si="385"/>
        <v>0</v>
      </c>
      <c r="FI77" s="221">
        <f t="shared" ca="1" si="385"/>
        <v>0</v>
      </c>
      <c r="FJ77" s="221">
        <f t="shared" ca="1" si="385"/>
        <v>0</v>
      </c>
      <c r="FK77" s="221">
        <f t="shared" ca="1" si="385"/>
        <v>0</v>
      </c>
      <c r="FL77" s="221">
        <f t="shared" ca="1" si="385"/>
        <v>0</v>
      </c>
      <c r="FM77" s="221">
        <f t="shared" ca="1" si="385"/>
        <v>0</v>
      </c>
      <c r="FN77" s="221">
        <f t="shared" ca="1" si="385"/>
        <v>0</v>
      </c>
      <c r="FO77" s="221">
        <f t="shared" ca="1" si="385"/>
        <v>0</v>
      </c>
      <c r="FP77" s="221">
        <f t="shared" ca="1" si="385"/>
        <v>0</v>
      </c>
      <c r="FQ77" s="221">
        <f t="shared" ca="1" si="385"/>
        <v>0</v>
      </c>
      <c r="FR77" s="221">
        <f t="shared" ca="1" si="385"/>
        <v>0</v>
      </c>
      <c r="FS77" s="221">
        <f t="shared" ca="1" si="385"/>
        <v>0</v>
      </c>
      <c r="FT77" s="221">
        <f t="shared" ca="1" si="385"/>
        <v>0</v>
      </c>
      <c r="FU77" s="221">
        <f t="shared" ca="1" si="385"/>
        <v>0</v>
      </c>
      <c r="FV77" s="221">
        <f t="shared" ca="1" si="385"/>
        <v>0</v>
      </c>
      <c r="FW77" s="221">
        <f t="shared" ca="1" si="385"/>
        <v>0</v>
      </c>
      <c r="FX77" s="221">
        <f t="shared" ca="1" si="385"/>
        <v>0</v>
      </c>
      <c r="FY77" s="221">
        <f t="shared" ca="1" si="385"/>
        <v>0</v>
      </c>
      <c r="FZ77" s="221">
        <f t="shared" ca="1" si="385"/>
        <v>0</v>
      </c>
      <c r="GA77" s="221">
        <f t="shared" ca="1" si="385"/>
        <v>0</v>
      </c>
      <c r="GB77" s="221">
        <f t="shared" ca="1" si="385"/>
        <v>0</v>
      </c>
      <c r="GC77" s="221">
        <f t="shared" ca="1" si="385"/>
        <v>0</v>
      </c>
      <c r="GD77" s="221">
        <f t="shared" ca="1" si="385"/>
        <v>0</v>
      </c>
      <c r="GE77" s="221">
        <f t="shared" ca="1" si="385"/>
        <v>0</v>
      </c>
      <c r="GF77" s="221">
        <f t="shared" ca="1" si="385"/>
        <v>0</v>
      </c>
      <c r="GG77" s="221">
        <f t="shared" ref="GG77:HL77" ca="1" si="386">+GF77+GG61</f>
        <v>0</v>
      </c>
      <c r="GH77" s="221">
        <f t="shared" ca="1" si="386"/>
        <v>0</v>
      </c>
      <c r="GI77" s="221">
        <f t="shared" ca="1" si="386"/>
        <v>0</v>
      </c>
      <c r="GJ77" s="221">
        <f t="shared" ca="1" si="386"/>
        <v>0</v>
      </c>
      <c r="GK77" s="221">
        <f t="shared" ca="1" si="386"/>
        <v>0</v>
      </c>
      <c r="GL77" s="221">
        <f t="shared" ca="1" si="386"/>
        <v>0</v>
      </c>
      <c r="GM77" s="221">
        <f t="shared" ca="1" si="386"/>
        <v>0</v>
      </c>
      <c r="GN77" s="221">
        <f t="shared" ca="1" si="386"/>
        <v>0</v>
      </c>
      <c r="GO77" s="221">
        <f t="shared" ca="1" si="386"/>
        <v>0</v>
      </c>
      <c r="GP77" s="221">
        <f t="shared" ca="1" si="386"/>
        <v>0</v>
      </c>
      <c r="GQ77" s="221">
        <f t="shared" ca="1" si="386"/>
        <v>0</v>
      </c>
      <c r="GR77" s="221">
        <f t="shared" ca="1" si="386"/>
        <v>0</v>
      </c>
      <c r="GS77" s="221">
        <f t="shared" ca="1" si="386"/>
        <v>0</v>
      </c>
      <c r="GT77" s="221">
        <f t="shared" ca="1" si="386"/>
        <v>0</v>
      </c>
      <c r="GU77" s="221">
        <f t="shared" ca="1" si="386"/>
        <v>0</v>
      </c>
      <c r="GV77" s="221">
        <f t="shared" ca="1" si="386"/>
        <v>0</v>
      </c>
      <c r="GW77" s="221">
        <f t="shared" ca="1" si="386"/>
        <v>0</v>
      </c>
      <c r="GX77" s="221">
        <f t="shared" ca="1" si="386"/>
        <v>0</v>
      </c>
      <c r="GY77" s="221">
        <f t="shared" ca="1" si="386"/>
        <v>0</v>
      </c>
      <c r="GZ77" s="221">
        <f t="shared" ca="1" si="386"/>
        <v>0</v>
      </c>
      <c r="HA77" s="221">
        <f t="shared" ca="1" si="386"/>
        <v>0</v>
      </c>
      <c r="HB77" s="221">
        <f t="shared" ca="1" si="386"/>
        <v>0</v>
      </c>
      <c r="HC77" s="221">
        <f t="shared" ca="1" si="386"/>
        <v>0</v>
      </c>
      <c r="HD77" s="221">
        <f t="shared" ca="1" si="386"/>
        <v>0</v>
      </c>
      <c r="HE77" s="221">
        <f t="shared" ca="1" si="386"/>
        <v>0</v>
      </c>
      <c r="HF77" s="221">
        <f t="shared" ca="1" si="386"/>
        <v>0</v>
      </c>
      <c r="HG77" s="221">
        <f t="shared" ca="1" si="386"/>
        <v>0</v>
      </c>
      <c r="HH77" s="221">
        <f t="shared" ca="1" si="386"/>
        <v>0</v>
      </c>
      <c r="HI77" s="221">
        <f t="shared" ca="1" si="386"/>
        <v>0</v>
      </c>
      <c r="HJ77" s="221">
        <f t="shared" ca="1" si="386"/>
        <v>0</v>
      </c>
      <c r="HK77" s="221">
        <f t="shared" ca="1" si="386"/>
        <v>0</v>
      </c>
      <c r="HL77" s="221">
        <f t="shared" ca="1" si="386"/>
        <v>0</v>
      </c>
      <c r="HM77" s="221">
        <f t="shared" ref="HM77:IR77" ca="1" si="387">+HL77+HM61</f>
        <v>0</v>
      </c>
      <c r="HN77" s="221">
        <f t="shared" ca="1" si="387"/>
        <v>0</v>
      </c>
      <c r="HO77" s="221">
        <f t="shared" ca="1" si="387"/>
        <v>0</v>
      </c>
      <c r="HP77" s="221">
        <f t="shared" ca="1" si="387"/>
        <v>0</v>
      </c>
      <c r="HQ77" s="221">
        <f t="shared" ca="1" si="387"/>
        <v>0</v>
      </c>
      <c r="HR77" s="221">
        <f t="shared" ca="1" si="387"/>
        <v>0</v>
      </c>
      <c r="HS77" s="221">
        <f t="shared" ca="1" si="387"/>
        <v>0</v>
      </c>
      <c r="HT77" s="221">
        <f t="shared" ca="1" si="387"/>
        <v>0</v>
      </c>
      <c r="HU77" s="221">
        <f t="shared" ca="1" si="387"/>
        <v>0</v>
      </c>
      <c r="HV77" s="221">
        <f t="shared" ca="1" si="387"/>
        <v>0</v>
      </c>
      <c r="HW77" s="221">
        <f t="shared" ca="1" si="387"/>
        <v>0</v>
      </c>
      <c r="HX77" s="221">
        <f t="shared" ca="1" si="387"/>
        <v>0</v>
      </c>
      <c r="HY77" s="221">
        <f t="shared" ca="1" si="387"/>
        <v>0</v>
      </c>
      <c r="HZ77" s="221">
        <f t="shared" ca="1" si="387"/>
        <v>0</v>
      </c>
      <c r="IA77" s="221">
        <f t="shared" ca="1" si="387"/>
        <v>0</v>
      </c>
      <c r="IB77" s="221">
        <f t="shared" ca="1" si="387"/>
        <v>0</v>
      </c>
      <c r="IC77" s="221">
        <f t="shared" ca="1" si="387"/>
        <v>0</v>
      </c>
      <c r="ID77" s="221">
        <f t="shared" ca="1" si="387"/>
        <v>0</v>
      </c>
      <c r="IE77" s="221">
        <f t="shared" ca="1" si="387"/>
        <v>0</v>
      </c>
      <c r="IF77" s="221">
        <f t="shared" ca="1" si="387"/>
        <v>0</v>
      </c>
      <c r="IG77" s="221">
        <f t="shared" ca="1" si="387"/>
        <v>0</v>
      </c>
      <c r="IH77" s="221">
        <f t="shared" ca="1" si="387"/>
        <v>0</v>
      </c>
      <c r="II77" s="221">
        <f t="shared" ca="1" si="387"/>
        <v>0</v>
      </c>
      <c r="IJ77" s="221">
        <f t="shared" ca="1" si="387"/>
        <v>0</v>
      </c>
      <c r="IK77" s="221">
        <f t="shared" ca="1" si="387"/>
        <v>0</v>
      </c>
      <c r="IL77" s="221">
        <f t="shared" ca="1" si="387"/>
        <v>0</v>
      </c>
      <c r="IM77" s="221">
        <f t="shared" ca="1" si="387"/>
        <v>0</v>
      </c>
      <c r="IN77" s="221">
        <f t="shared" ca="1" si="387"/>
        <v>0</v>
      </c>
      <c r="IO77" s="221">
        <f t="shared" ca="1" si="387"/>
        <v>0</v>
      </c>
      <c r="IP77" s="221">
        <f t="shared" ca="1" si="387"/>
        <v>0</v>
      </c>
      <c r="IQ77" s="221">
        <f t="shared" ca="1" si="387"/>
        <v>0</v>
      </c>
      <c r="IR77" s="221">
        <f t="shared" ca="1" si="387"/>
        <v>0</v>
      </c>
      <c r="IS77" s="221">
        <f t="shared" ref="IS77:KC77" ca="1" si="388">+IR77+IS61</f>
        <v>0</v>
      </c>
      <c r="IT77" s="221">
        <f t="shared" ca="1" si="388"/>
        <v>0</v>
      </c>
      <c r="IU77" s="221">
        <f t="shared" ca="1" si="388"/>
        <v>0</v>
      </c>
      <c r="IV77" s="221">
        <f t="shared" ca="1" si="388"/>
        <v>0</v>
      </c>
      <c r="IW77" s="221">
        <f t="shared" ca="1" si="388"/>
        <v>0</v>
      </c>
      <c r="IX77" s="221">
        <f t="shared" ca="1" si="388"/>
        <v>0</v>
      </c>
      <c r="IY77" s="221">
        <f t="shared" ca="1" si="388"/>
        <v>0</v>
      </c>
      <c r="IZ77" s="221">
        <f t="shared" ca="1" si="388"/>
        <v>0</v>
      </c>
      <c r="JA77" s="221">
        <f t="shared" ca="1" si="388"/>
        <v>0</v>
      </c>
      <c r="JB77" s="221">
        <f t="shared" ca="1" si="388"/>
        <v>0</v>
      </c>
      <c r="JC77" s="221">
        <f t="shared" ca="1" si="388"/>
        <v>0</v>
      </c>
      <c r="JD77" s="221">
        <f t="shared" ca="1" si="388"/>
        <v>0</v>
      </c>
      <c r="JE77" s="221">
        <f t="shared" ca="1" si="388"/>
        <v>0</v>
      </c>
      <c r="JF77" s="221">
        <f t="shared" ca="1" si="388"/>
        <v>0</v>
      </c>
      <c r="JG77" s="221">
        <f t="shared" ca="1" si="388"/>
        <v>0</v>
      </c>
      <c r="JH77" s="221">
        <f t="shared" ca="1" si="388"/>
        <v>0</v>
      </c>
      <c r="JI77" s="221">
        <f t="shared" ca="1" si="388"/>
        <v>0</v>
      </c>
      <c r="JJ77" s="221">
        <f t="shared" ca="1" si="388"/>
        <v>0</v>
      </c>
      <c r="JK77" s="221">
        <f t="shared" ca="1" si="388"/>
        <v>0</v>
      </c>
      <c r="JL77" s="221">
        <f t="shared" ca="1" si="388"/>
        <v>0</v>
      </c>
      <c r="JM77" s="221">
        <f t="shared" ca="1" si="388"/>
        <v>0</v>
      </c>
      <c r="JN77" s="221">
        <f t="shared" ca="1" si="388"/>
        <v>0</v>
      </c>
      <c r="JO77" s="221">
        <f t="shared" ca="1" si="388"/>
        <v>0</v>
      </c>
      <c r="JP77" s="221">
        <f t="shared" ca="1" si="388"/>
        <v>0</v>
      </c>
      <c r="JQ77" s="221">
        <f t="shared" ca="1" si="388"/>
        <v>0</v>
      </c>
      <c r="JR77" s="221">
        <f t="shared" ca="1" si="388"/>
        <v>0</v>
      </c>
      <c r="JS77" s="221">
        <f t="shared" ca="1" si="388"/>
        <v>0</v>
      </c>
      <c r="JT77" s="221">
        <f t="shared" ca="1" si="388"/>
        <v>0</v>
      </c>
      <c r="JU77" s="221">
        <f t="shared" ca="1" si="388"/>
        <v>0</v>
      </c>
      <c r="JV77" s="221">
        <f t="shared" ca="1" si="388"/>
        <v>0</v>
      </c>
      <c r="JW77" s="221">
        <f t="shared" ca="1" si="388"/>
        <v>0</v>
      </c>
      <c r="JX77" s="221">
        <f t="shared" ca="1" si="388"/>
        <v>0</v>
      </c>
      <c r="JY77" s="221">
        <f t="shared" ca="1" si="388"/>
        <v>0</v>
      </c>
      <c r="JZ77" s="221">
        <f t="shared" ca="1" si="388"/>
        <v>0</v>
      </c>
      <c r="KA77" s="221">
        <f t="shared" ca="1" si="388"/>
        <v>0</v>
      </c>
      <c r="KB77" s="221">
        <f t="shared" ca="1" si="388"/>
        <v>0</v>
      </c>
      <c r="KC77" s="221">
        <f t="shared" ca="1" si="388"/>
        <v>0</v>
      </c>
    </row>
    <row r="78" spans="1:289" ht="4.9000000000000004" customHeight="1" x14ac:dyDescent="0.25">
      <c r="B78" s="180"/>
      <c r="C78" s="196"/>
      <c r="D78" s="196"/>
      <c r="E78" s="196"/>
      <c r="F78" s="196"/>
      <c r="G78" s="217"/>
      <c r="H78" s="196"/>
      <c r="I78" s="196"/>
      <c r="EU78" s="153"/>
      <c r="EV78" s="153"/>
      <c r="EW78" s="153"/>
      <c r="EX78" s="153"/>
      <c r="EY78" s="153"/>
      <c r="EZ78" s="154"/>
      <c r="FA78" s="153"/>
      <c r="FB78" s="153"/>
      <c r="FC78" s="153"/>
      <c r="FD78" s="153"/>
      <c r="FE78" s="153"/>
      <c r="FF78" s="153"/>
      <c r="FG78" s="153"/>
      <c r="FH78" s="153"/>
      <c r="FI78" s="153"/>
      <c r="FJ78" s="153"/>
      <c r="FK78" s="153"/>
      <c r="FL78" s="153"/>
      <c r="FM78" s="153"/>
      <c r="FN78" s="153"/>
      <c r="FO78" s="153"/>
      <c r="FP78" s="153"/>
      <c r="FQ78" s="153"/>
      <c r="FR78" s="153"/>
      <c r="FS78" s="153"/>
      <c r="FT78" s="153"/>
      <c r="FU78" s="153"/>
      <c r="FV78" s="153"/>
      <c r="FW78" s="153"/>
      <c r="FX78" s="153"/>
      <c r="FY78" s="153"/>
      <c r="FZ78" s="153"/>
      <c r="GA78" s="153"/>
      <c r="GB78" s="153"/>
      <c r="GC78" s="153"/>
      <c r="GD78" s="153"/>
      <c r="GE78" s="153"/>
      <c r="GF78" s="153"/>
      <c r="GG78" s="153"/>
      <c r="GH78" s="153"/>
      <c r="GI78" s="153"/>
      <c r="GJ78" s="153"/>
      <c r="GK78" s="153"/>
      <c r="GL78" s="153"/>
      <c r="GM78" s="153"/>
      <c r="GN78" s="153"/>
      <c r="GO78" s="153"/>
      <c r="GP78" s="153"/>
      <c r="GQ78" s="153"/>
      <c r="GR78" s="153"/>
      <c r="GS78" s="153"/>
      <c r="GT78" s="153"/>
      <c r="GU78" s="153"/>
      <c r="GV78" s="153"/>
      <c r="GW78" s="153"/>
      <c r="GX78" s="153"/>
      <c r="GY78" s="153"/>
      <c r="GZ78" s="153"/>
      <c r="HA78" s="153"/>
      <c r="HB78" s="153"/>
      <c r="HC78" s="153"/>
      <c r="HD78" s="153"/>
      <c r="HE78" s="153"/>
      <c r="HF78" s="153"/>
      <c r="HG78" s="153"/>
      <c r="HH78" s="153"/>
      <c r="HI78" s="153"/>
      <c r="HJ78" s="153"/>
      <c r="HK78" s="153"/>
      <c r="HL78" s="153"/>
      <c r="HM78" s="153"/>
      <c r="HN78" s="153"/>
      <c r="HO78" s="153"/>
      <c r="HP78" s="153"/>
      <c r="HQ78" s="153"/>
      <c r="HR78" s="153"/>
      <c r="HS78" s="153"/>
      <c r="HT78" s="153"/>
      <c r="HU78" s="153"/>
      <c r="HV78" s="153"/>
      <c r="HW78" s="153"/>
      <c r="HX78" s="153"/>
      <c r="HY78" s="153"/>
      <c r="HZ78" s="153"/>
      <c r="IA78" s="153"/>
      <c r="IB78" s="153"/>
      <c r="IC78" s="153"/>
      <c r="ID78" s="153"/>
      <c r="IE78" s="153"/>
      <c r="IF78" s="153"/>
      <c r="IG78" s="153"/>
      <c r="IH78" s="153"/>
      <c r="II78" s="153"/>
      <c r="IJ78" s="153"/>
      <c r="IK78" s="153"/>
      <c r="IL78" s="153"/>
      <c r="IM78" s="153"/>
      <c r="IN78" s="153"/>
      <c r="IO78" s="153"/>
      <c r="IP78" s="153"/>
      <c r="IQ78" s="153"/>
      <c r="IR78" s="153"/>
      <c r="IS78" s="153"/>
      <c r="IT78" s="153"/>
      <c r="IU78" s="153"/>
      <c r="IV78" s="153"/>
      <c r="IW78" s="153"/>
      <c r="IX78" s="153"/>
      <c r="IY78" s="153"/>
      <c r="IZ78" s="153"/>
      <c r="JA78" s="153"/>
      <c r="JB78" s="153"/>
      <c r="JC78" s="153"/>
      <c r="JD78" s="153"/>
      <c r="JE78" s="153"/>
      <c r="JF78" s="153"/>
      <c r="JG78" s="153"/>
      <c r="JH78" s="153"/>
      <c r="JI78" s="153"/>
      <c r="JJ78" s="153"/>
      <c r="JK78" s="153"/>
      <c r="JL78" s="153"/>
      <c r="JM78" s="153"/>
      <c r="JN78" s="153"/>
      <c r="JO78" s="153"/>
      <c r="JP78" s="153"/>
      <c r="JQ78" s="153"/>
      <c r="JR78" s="153"/>
      <c r="JS78" s="153"/>
      <c r="JT78" s="153"/>
      <c r="JU78" s="153"/>
      <c r="JV78" s="153"/>
      <c r="JW78" s="153"/>
      <c r="JX78" s="153"/>
      <c r="JY78" s="153"/>
      <c r="JZ78" s="153"/>
      <c r="KA78" s="153"/>
      <c r="KB78" s="153"/>
      <c r="KC78" s="153"/>
    </row>
    <row r="79" spans="1:289" s="264" customFormat="1" x14ac:dyDescent="0.25">
      <c r="A79" s="258"/>
      <c r="B79" s="293" t="s">
        <v>61</v>
      </c>
      <c r="C79" s="294"/>
      <c r="D79" s="294"/>
      <c r="E79" s="294"/>
      <c r="F79" s="295">
        <f ca="1">(I79/Project_Cost_Total)</f>
        <v>1</v>
      </c>
      <c r="G79" s="296">
        <f ca="1">G77+G71</f>
        <v>247.82787890304542</v>
      </c>
      <c r="H79" s="297">
        <f ca="1">H77+H71</f>
        <v>252412.69466275178</v>
      </c>
      <c r="I79" s="298">
        <f ca="1">I77+I71</f>
        <v>4038603.1146040284</v>
      </c>
      <c r="Q79" s="265">
        <f>+Q77+Q71</f>
        <v>822502.85714285716</v>
      </c>
      <c r="R79" s="265">
        <f t="shared" ref="R79:CC79" ca="1" si="389">+R77+R71</f>
        <v>16840.908265539307</v>
      </c>
      <c r="S79" s="265">
        <f t="shared" ca="1" si="389"/>
        <v>52504.923287438098</v>
      </c>
      <c r="T79" s="265">
        <f t="shared" ca="1" si="389"/>
        <v>136519.80154125288</v>
      </c>
      <c r="U79" s="265">
        <f t="shared" ca="1" si="389"/>
        <v>282437.29328717594</v>
      </c>
      <c r="V79" s="265">
        <f t="shared" ca="1" si="389"/>
        <v>459629.91406893102</v>
      </c>
      <c r="W79" s="265">
        <f t="shared" ca="1" si="389"/>
        <v>587875.93211909418</v>
      </c>
      <c r="X79" s="265">
        <f t="shared" ca="1" si="389"/>
        <v>590772.04107722954</v>
      </c>
      <c r="Y79" s="265">
        <f t="shared" ca="1" si="389"/>
        <v>468740.7530816652</v>
      </c>
      <c r="Z79" s="265">
        <f t="shared" ca="1" si="389"/>
        <v>295454.30524225702</v>
      </c>
      <c r="AA79" s="265">
        <f t="shared" ca="1" si="389"/>
        <v>151998.93270668635</v>
      </c>
      <c r="AB79" s="265">
        <f t="shared" ca="1" si="389"/>
        <v>69250.71222542724</v>
      </c>
      <c r="AC79" s="265">
        <f t="shared" ca="1" si="389"/>
        <v>34163.786472073742</v>
      </c>
      <c r="AD79" s="265">
        <f t="shared" ca="1" si="389"/>
        <v>34810.43356999215</v>
      </c>
      <c r="AE79" s="265">
        <f t="shared" ca="1" si="389"/>
        <v>35100.520516408258</v>
      </c>
      <c r="AF79" s="265">
        <f t="shared" ca="1" si="389"/>
        <v>0</v>
      </c>
      <c r="AG79" s="265">
        <f t="shared" ca="1" si="389"/>
        <v>0</v>
      </c>
      <c r="AH79" s="265">
        <f t="shared" ca="1" si="389"/>
        <v>0</v>
      </c>
      <c r="AI79" s="265">
        <f t="shared" ca="1" si="389"/>
        <v>0</v>
      </c>
      <c r="AJ79" s="265">
        <f t="shared" ca="1" si="389"/>
        <v>0</v>
      </c>
      <c r="AK79" s="265">
        <f t="shared" ca="1" si="389"/>
        <v>0</v>
      </c>
      <c r="AL79" s="265">
        <f t="shared" ca="1" si="389"/>
        <v>0</v>
      </c>
      <c r="AM79" s="265">
        <f t="shared" ca="1" si="389"/>
        <v>0</v>
      </c>
      <c r="AN79" s="265">
        <f t="shared" ca="1" si="389"/>
        <v>0</v>
      </c>
      <c r="AO79" s="265">
        <f t="shared" ca="1" si="389"/>
        <v>0</v>
      </c>
      <c r="AP79" s="265">
        <f t="shared" ca="1" si="389"/>
        <v>0</v>
      </c>
      <c r="AQ79" s="265">
        <f t="shared" ca="1" si="389"/>
        <v>0</v>
      </c>
      <c r="AR79" s="265">
        <f t="shared" ca="1" si="389"/>
        <v>0</v>
      </c>
      <c r="AS79" s="265">
        <f t="shared" ca="1" si="389"/>
        <v>0</v>
      </c>
      <c r="AT79" s="265">
        <f t="shared" ca="1" si="389"/>
        <v>0</v>
      </c>
      <c r="AU79" s="265">
        <f t="shared" ca="1" si="389"/>
        <v>0</v>
      </c>
      <c r="AV79" s="265">
        <f t="shared" ca="1" si="389"/>
        <v>0</v>
      </c>
      <c r="AW79" s="265">
        <f t="shared" ca="1" si="389"/>
        <v>0</v>
      </c>
      <c r="AX79" s="265">
        <f t="shared" ca="1" si="389"/>
        <v>0</v>
      </c>
      <c r="AY79" s="265">
        <f t="shared" ca="1" si="389"/>
        <v>0</v>
      </c>
      <c r="AZ79" s="265">
        <f t="shared" ca="1" si="389"/>
        <v>0</v>
      </c>
      <c r="BA79" s="265">
        <f t="shared" ca="1" si="389"/>
        <v>0</v>
      </c>
      <c r="BB79" s="265">
        <f t="shared" ca="1" si="389"/>
        <v>0</v>
      </c>
      <c r="BC79" s="265">
        <f t="shared" ca="1" si="389"/>
        <v>0</v>
      </c>
      <c r="BD79" s="265">
        <f t="shared" ca="1" si="389"/>
        <v>0</v>
      </c>
      <c r="BE79" s="265">
        <f t="shared" ca="1" si="389"/>
        <v>0</v>
      </c>
      <c r="BF79" s="265">
        <f t="shared" ca="1" si="389"/>
        <v>0</v>
      </c>
      <c r="BG79" s="265">
        <f t="shared" ca="1" si="389"/>
        <v>0</v>
      </c>
      <c r="BH79" s="265">
        <f t="shared" ca="1" si="389"/>
        <v>0</v>
      </c>
      <c r="BI79" s="265">
        <f t="shared" ca="1" si="389"/>
        <v>0</v>
      </c>
      <c r="BJ79" s="265">
        <f t="shared" ca="1" si="389"/>
        <v>0</v>
      </c>
      <c r="BK79" s="265">
        <f t="shared" ca="1" si="389"/>
        <v>0</v>
      </c>
      <c r="BL79" s="265">
        <f t="shared" ca="1" si="389"/>
        <v>0</v>
      </c>
      <c r="BM79" s="265">
        <f t="shared" ca="1" si="389"/>
        <v>0</v>
      </c>
      <c r="BN79" s="265">
        <f t="shared" ca="1" si="389"/>
        <v>0</v>
      </c>
      <c r="BO79" s="265">
        <f t="shared" ca="1" si="389"/>
        <v>0</v>
      </c>
      <c r="BP79" s="265">
        <f t="shared" ca="1" si="389"/>
        <v>0</v>
      </c>
      <c r="BQ79" s="265">
        <f t="shared" ca="1" si="389"/>
        <v>0</v>
      </c>
      <c r="BR79" s="265">
        <f t="shared" ca="1" si="389"/>
        <v>0</v>
      </c>
      <c r="BS79" s="265">
        <f t="shared" ca="1" si="389"/>
        <v>0</v>
      </c>
      <c r="BT79" s="265">
        <f t="shared" ca="1" si="389"/>
        <v>0</v>
      </c>
      <c r="BU79" s="265">
        <f t="shared" ca="1" si="389"/>
        <v>0</v>
      </c>
      <c r="BV79" s="265">
        <f t="shared" ca="1" si="389"/>
        <v>0</v>
      </c>
      <c r="BW79" s="265">
        <f t="shared" ca="1" si="389"/>
        <v>0</v>
      </c>
      <c r="BX79" s="265">
        <f t="shared" ca="1" si="389"/>
        <v>0</v>
      </c>
      <c r="BY79" s="265">
        <f t="shared" ca="1" si="389"/>
        <v>0</v>
      </c>
      <c r="BZ79" s="265">
        <f t="shared" ca="1" si="389"/>
        <v>0</v>
      </c>
      <c r="CA79" s="265">
        <f t="shared" ca="1" si="389"/>
        <v>0</v>
      </c>
      <c r="CB79" s="265">
        <f t="shared" ca="1" si="389"/>
        <v>0</v>
      </c>
      <c r="CC79" s="265">
        <f t="shared" ca="1" si="389"/>
        <v>0</v>
      </c>
      <c r="CD79" s="265">
        <f t="shared" ref="CD79:EO79" ca="1" si="390">+CD77+CD71</f>
        <v>0</v>
      </c>
      <c r="CE79" s="265">
        <f t="shared" ca="1" si="390"/>
        <v>0</v>
      </c>
      <c r="CF79" s="265">
        <f t="shared" ca="1" si="390"/>
        <v>0</v>
      </c>
      <c r="CG79" s="265">
        <f t="shared" ca="1" si="390"/>
        <v>0</v>
      </c>
      <c r="CH79" s="265">
        <f t="shared" ca="1" si="390"/>
        <v>0</v>
      </c>
      <c r="CI79" s="265">
        <f t="shared" ca="1" si="390"/>
        <v>0</v>
      </c>
      <c r="CJ79" s="265">
        <f t="shared" ca="1" si="390"/>
        <v>0</v>
      </c>
      <c r="CK79" s="265">
        <f t="shared" ca="1" si="390"/>
        <v>0</v>
      </c>
      <c r="CL79" s="265">
        <f t="shared" ca="1" si="390"/>
        <v>0</v>
      </c>
      <c r="CM79" s="265">
        <f t="shared" ca="1" si="390"/>
        <v>0</v>
      </c>
      <c r="CN79" s="265">
        <f t="shared" ca="1" si="390"/>
        <v>0</v>
      </c>
      <c r="CO79" s="265">
        <f t="shared" ca="1" si="390"/>
        <v>0</v>
      </c>
      <c r="CP79" s="265">
        <f t="shared" ca="1" si="390"/>
        <v>0</v>
      </c>
      <c r="CQ79" s="265">
        <f t="shared" ca="1" si="390"/>
        <v>0</v>
      </c>
      <c r="CR79" s="265">
        <f t="shared" ca="1" si="390"/>
        <v>0</v>
      </c>
      <c r="CS79" s="265">
        <f t="shared" ca="1" si="390"/>
        <v>0</v>
      </c>
      <c r="CT79" s="265">
        <f t="shared" ca="1" si="390"/>
        <v>0</v>
      </c>
      <c r="CU79" s="265">
        <f t="shared" ca="1" si="390"/>
        <v>0</v>
      </c>
      <c r="CV79" s="265">
        <f t="shared" ca="1" si="390"/>
        <v>0</v>
      </c>
      <c r="CW79" s="265">
        <f t="shared" ca="1" si="390"/>
        <v>0</v>
      </c>
      <c r="CX79" s="265">
        <f t="shared" ca="1" si="390"/>
        <v>0</v>
      </c>
      <c r="CY79" s="265">
        <f t="shared" ca="1" si="390"/>
        <v>0</v>
      </c>
      <c r="CZ79" s="265">
        <f t="shared" ca="1" si="390"/>
        <v>0</v>
      </c>
      <c r="DA79" s="265">
        <f t="shared" ca="1" si="390"/>
        <v>0</v>
      </c>
      <c r="DB79" s="265">
        <f t="shared" ca="1" si="390"/>
        <v>0</v>
      </c>
      <c r="DC79" s="265">
        <f t="shared" ca="1" si="390"/>
        <v>0</v>
      </c>
      <c r="DD79" s="265">
        <f t="shared" ca="1" si="390"/>
        <v>0</v>
      </c>
      <c r="DE79" s="265">
        <f t="shared" ca="1" si="390"/>
        <v>0</v>
      </c>
      <c r="DF79" s="265">
        <f t="shared" ca="1" si="390"/>
        <v>0</v>
      </c>
      <c r="DG79" s="265">
        <f t="shared" ca="1" si="390"/>
        <v>0</v>
      </c>
      <c r="DH79" s="265">
        <f t="shared" ca="1" si="390"/>
        <v>0</v>
      </c>
      <c r="DI79" s="265">
        <f t="shared" ca="1" si="390"/>
        <v>0</v>
      </c>
      <c r="DJ79" s="265">
        <f t="shared" ca="1" si="390"/>
        <v>0</v>
      </c>
      <c r="DK79" s="265">
        <f t="shared" ca="1" si="390"/>
        <v>0</v>
      </c>
      <c r="DL79" s="265">
        <f t="shared" ca="1" si="390"/>
        <v>0</v>
      </c>
      <c r="DM79" s="265">
        <f t="shared" ca="1" si="390"/>
        <v>0</v>
      </c>
      <c r="DN79" s="265">
        <f t="shared" ca="1" si="390"/>
        <v>0</v>
      </c>
      <c r="DO79" s="265">
        <f t="shared" ca="1" si="390"/>
        <v>0</v>
      </c>
      <c r="DP79" s="265">
        <f t="shared" ca="1" si="390"/>
        <v>0</v>
      </c>
      <c r="DQ79" s="265">
        <f t="shared" ca="1" si="390"/>
        <v>0</v>
      </c>
      <c r="DR79" s="265">
        <f t="shared" ca="1" si="390"/>
        <v>0</v>
      </c>
      <c r="DS79" s="265">
        <f t="shared" ca="1" si="390"/>
        <v>0</v>
      </c>
      <c r="DT79" s="265">
        <f t="shared" ca="1" si="390"/>
        <v>0</v>
      </c>
      <c r="DU79" s="265">
        <f t="shared" ca="1" si="390"/>
        <v>0</v>
      </c>
      <c r="DV79" s="265">
        <f t="shared" ca="1" si="390"/>
        <v>0</v>
      </c>
      <c r="DW79" s="265">
        <f t="shared" ca="1" si="390"/>
        <v>0</v>
      </c>
      <c r="DX79" s="265">
        <f t="shared" ca="1" si="390"/>
        <v>0</v>
      </c>
      <c r="DY79" s="265">
        <f t="shared" ca="1" si="390"/>
        <v>0</v>
      </c>
      <c r="DZ79" s="265">
        <f t="shared" ca="1" si="390"/>
        <v>0</v>
      </c>
      <c r="EA79" s="265">
        <f t="shared" ca="1" si="390"/>
        <v>0</v>
      </c>
      <c r="EB79" s="265">
        <f t="shared" ca="1" si="390"/>
        <v>0</v>
      </c>
      <c r="EC79" s="265">
        <f t="shared" ca="1" si="390"/>
        <v>0</v>
      </c>
      <c r="ED79" s="265">
        <f t="shared" ca="1" si="390"/>
        <v>0</v>
      </c>
      <c r="EE79" s="265">
        <f t="shared" ca="1" si="390"/>
        <v>0</v>
      </c>
      <c r="EF79" s="265">
        <f t="shared" ca="1" si="390"/>
        <v>0</v>
      </c>
      <c r="EG79" s="265">
        <f t="shared" ca="1" si="390"/>
        <v>0</v>
      </c>
      <c r="EH79" s="265">
        <f t="shared" ca="1" si="390"/>
        <v>0</v>
      </c>
      <c r="EI79" s="265">
        <f t="shared" ca="1" si="390"/>
        <v>0</v>
      </c>
      <c r="EJ79" s="265">
        <f t="shared" ca="1" si="390"/>
        <v>0</v>
      </c>
      <c r="EK79" s="265">
        <f t="shared" ca="1" si="390"/>
        <v>0</v>
      </c>
      <c r="EL79" s="265">
        <f t="shared" ca="1" si="390"/>
        <v>0</v>
      </c>
      <c r="EM79" s="265">
        <f t="shared" ca="1" si="390"/>
        <v>0</v>
      </c>
      <c r="EN79" s="265">
        <f t="shared" ca="1" si="390"/>
        <v>0</v>
      </c>
      <c r="EO79" s="265">
        <f t="shared" ca="1" si="390"/>
        <v>0</v>
      </c>
      <c r="EP79" s="265">
        <f ca="1">+EP77+EP71</f>
        <v>0</v>
      </c>
      <c r="EQ79" s="265">
        <f ca="1">+EQ77+EQ71</f>
        <v>0</v>
      </c>
      <c r="ER79" s="265">
        <f ca="1">+ER77+ER71</f>
        <v>0</v>
      </c>
      <c r="ES79" s="265">
        <f ca="1">+ES77+ES71</f>
        <v>0</v>
      </c>
      <c r="EU79" s="153" t="s">
        <v>187</v>
      </c>
      <c r="EV79" s="153">
        <f>MAX(FA79:KC79)</f>
        <v>5</v>
      </c>
      <c r="EW79" s="153"/>
      <c r="EX79" s="153"/>
      <c r="EY79" s="153"/>
      <c r="EZ79" s="154"/>
      <c r="FA79" s="153">
        <f>AND(FA75&gt;0,SUM($EZ$79:EZ79)=0)*FA53</f>
        <v>0</v>
      </c>
      <c r="FB79" s="153">
        <f>AND(FB75&gt;0,SUM($EZ$79:FA79)=0)*FB53</f>
        <v>0</v>
      </c>
      <c r="FC79" s="153">
        <f>AND(FC75&gt;0,SUM($EZ$79:FB79)=0)*FC53</f>
        <v>0</v>
      </c>
      <c r="FD79" s="153">
        <f>AND(FD75&gt;0,SUM($EZ$79:FC79)=0)*FD53</f>
        <v>0</v>
      </c>
      <c r="FE79" s="153">
        <f>AND(FE75&gt;0,SUM($EZ$79:FD79)=0)*FE53</f>
        <v>0</v>
      </c>
      <c r="FF79" s="153">
        <f>AND(FF75&gt;0,SUM($EZ$79:FE79)=0)*FF53</f>
        <v>5</v>
      </c>
      <c r="FG79" s="153">
        <f>AND(FG75&gt;0,SUM($EZ$79:FF79)=0)*FG53</f>
        <v>0</v>
      </c>
      <c r="FH79" s="153">
        <f>AND(FH75&gt;0,SUM($EZ$79:FG79)=0)*FH53</f>
        <v>0</v>
      </c>
      <c r="FI79" s="153">
        <f>AND(FI75&gt;0,SUM($EZ$79:FH79)=0)*FI53</f>
        <v>0</v>
      </c>
      <c r="FJ79" s="153">
        <f>AND(FJ75&gt;0,SUM($EZ$79:FI79)=0)*FJ53</f>
        <v>0</v>
      </c>
      <c r="FK79" s="153">
        <f>AND(FK75&gt;0,SUM($EZ$79:FJ79)=0)*FK53</f>
        <v>0</v>
      </c>
      <c r="FL79" s="153">
        <f>AND(FL75&gt;0,SUM($EZ$79:FK79)=0)*FL53</f>
        <v>0</v>
      </c>
      <c r="FM79" s="153">
        <f>AND(FM75&gt;0,SUM($EZ$79:FL79)=0)*FM53</f>
        <v>0</v>
      </c>
      <c r="FN79" s="153">
        <f>AND(FN75&gt;0,SUM($EZ$79:FM79)=0)*FN53</f>
        <v>0</v>
      </c>
      <c r="FO79" s="153">
        <f>AND(FO75&gt;0,SUM($EZ$79:FN79)=0)*FO53</f>
        <v>0</v>
      </c>
      <c r="FP79" s="153">
        <f>AND(FP75&gt;0,SUM($EZ$79:FO79)=0)*FP53</f>
        <v>0</v>
      </c>
      <c r="FQ79" s="153">
        <f>AND(FQ75&gt;0,SUM($EZ$79:FP79)=0)*FQ53</f>
        <v>0</v>
      </c>
      <c r="FR79" s="153">
        <f>AND(FR75&gt;0,SUM($EZ$79:FQ79)=0)*FR53</f>
        <v>0</v>
      </c>
      <c r="FS79" s="153">
        <f>AND(FS75&gt;0,SUM($EZ$79:FR79)=0)*FS53</f>
        <v>0</v>
      </c>
      <c r="FT79" s="153">
        <f>AND(FT75&gt;0,SUM($EZ$79:FS79)=0)*FT53</f>
        <v>0</v>
      </c>
      <c r="FU79" s="153">
        <f>AND(FU75&gt;0,SUM($EZ$79:FT79)=0)*FU53</f>
        <v>0</v>
      </c>
      <c r="FV79" s="153">
        <f>AND(FV75&gt;0,SUM($EZ$79:FU79)=0)*FV53</f>
        <v>0</v>
      </c>
      <c r="FW79" s="153">
        <f>AND(FW75&gt;0,SUM($EZ$79:FV79)=0)*FW53</f>
        <v>0</v>
      </c>
      <c r="FX79" s="153">
        <f>AND(FX75&gt;0,SUM($EZ$79:FW79)=0)*FX53</f>
        <v>0</v>
      </c>
      <c r="FY79" s="153">
        <f>AND(FY75&gt;0,SUM($EZ$79:FX79)=0)*FY53</f>
        <v>0</v>
      </c>
      <c r="FZ79" s="153">
        <f>AND(FZ75&gt;0,SUM($EZ$79:FY79)=0)*FZ53</f>
        <v>0</v>
      </c>
      <c r="GA79" s="153">
        <f>AND(GA75&gt;0,SUM($EZ$79:FZ79)=0)*GA53</f>
        <v>0</v>
      </c>
      <c r="GB79" s="153">
        <f>AND(GB75&gt;0,SUM($EZ$79:GA79)=0)*GB53</f>
        <v>0</v>
      </c>
      <c r="GC79" s="153">
        <f>AND(GC75&gt;0,SUM($EZ$79:GB79)=0)*GC53</f>
        <v>0</v>
      </c>
      <c r="GD79" s="153">
        <f>AND(GD75&gt;0,SUM($EZ$79:GC79)=0)*GD53</f>
        <v>0</v>
      </c>
      <c r="GE79" s="153">
        <f>AND(GE75&gt;0,SUM($EZ$79:GD79)=0)*GE53</f>
        <v>0</v>
      </c>
      <c r="GF79" s="153">
        <f>AND(GF75&gt;0,SUM($EZ$79:GE79)=0)*GF53</f>
        <v>0</v>
      </c>
      <c r="GG79" s="153">
        <f>AND(GG75&gt;0,SUM($EZ$79:GF79)=0)*GG53</f>
        <v>0</v>
      </c>
      <c r="GH79" s="153">
        <f>AND(GH75&gt;0,SUM($EZ$79:GG79)=0)*GH53</f>
        <v>0</v>
      </c>
      <c r="GI79" s="153">
        <f>AND(GI75&gt;0,SUM($EZ$79:GH79)=0)*GI53</f>
        <v>0</v>
      </c>
      <c r="GJ79" s="153">
        <f>AND(GJ75&gt;0,SUM($EZ$79:GI79)=0)*GJ53</f>
        <v>0</v>
      </c>
      <c r="GK79" s="153">
        <f>AND(GK75&gt;0,SUM($EZ$79:GJ79)=0)*GK53</f>
        <v>0</v>
      </c>
      <c r="GL79" s="153">
        <f>AND(GL75&gt;0,SUM($EZ$79:GK79)=0)*GL53</f>
        <v>0</v>
      </c>
      <c r="GM79" s="153">
        <f>AND(GM75&gt;0,SUM($EZ$79:GL79)=0)*GM53</f>
        <v>0</v>
      </c>
      <c r="GN79" s="153">
        <f>AND(GN75&gt;0,SUM($EZ$79:GM79)=0)*GN53</f>
        <v>0</v>
      </c>
      <c r="GO79" s="153">
        <f>AND(GO75&gt;0,SUM($EZ$79:GN79)=0)*GO53</f>
        <v>0</v>
      </c>
      <c r="GP79" s="153">
        <f>AND(GP75&gt;0,SUM($EZ$79:GO79)=0)*GP53</f>
        <v>0</v>
      </c>
      <c r="GQ79" s="153">
        <f>AND(GQ75&gt;0,SUM($EZ$79:GP79)=0)*GQ53</f>
        <v>0</v>
      </c>
      <c r="GR79" s="153">
        <f>AND(GR75&gt;0,SUM($EZ$79:GQ79)=0)*GR53</f>
        <v>0</v>
      </c>
      <c r="GS79" s="153">
        <f>AND(GS75&gt;0,SUM($EZ$79:GR79)=0)*GS53</f>
        <v>0</v>
      </c>
      <c r="GT79" s="153">
        <f>AND(GT75&gt;0,SUM($EZ$79:GS79)=0)*GT53</f>
        <v>0</v>
      </c>
      <c r="GU79" s="153">
        <f>AND(GU75&gt;0,SUM($EZ$79:GT79)=0)*GU53</f>
        <v>0</v>
      </c>
      <c r="GV79" s="153">
        <f>AND(GV75&gt;0,SUM($EZ$79:GU79)=0)*GV53</f>
        <v>0</v>
      </c>
      <c r="GW79" s="153">
        <f>AND(GW75&gt;0,SUM($EZ$79:GV79)=0)*GW53</f>
        <v>0</v>
      </c>
      <c r="GX79" s="153">
        <f>AND(GX75&gt;0,SUM($EZ$79:GW79)=0)*GX53</f>
        <v>0</v>
      </c>
      <c r="GY79" s="153">
        <f>AND(GY75&gt;0,SUM($EZ$79:GX79)=0)*GY53</f>
        <v>0</v>
      </c>
      <c r="GZ79" s="153">
        <f>AND(GZ75&gt;0,SUM($EZ$79:GY79)=0)*GZ53</f>
        <v>0</v>
      </c>
      <c r="HA79" s="153">
        <f>AND(HA75&gt;0,SUM($EZ$79:GZ79)=0)*HA53</f>
        <v>0</v>
      </c>
      <c r="HB79" s="153">
        <f>AND(HB75&gt;0,SUM($EZ$79:HA79)=0)*HB53</f>
        <v>0</v>
      </c>
      <c r="HC79" s="153">
        <f>AND(HC75&gt;0,SUM($EZ$79:HB79)=0)*HC53</f>
        <v>0</v>
      </c>
      <c r="HD79" s="153">
        <f>AND(HD75&gt;0,SUM($EZ$79:HC79)=0)*HD53</f>
        <v>0</v>
      </c>
      <c r="HE79" s="153">
        <f>AND(HE75&gt;0,SUM($EZ$79:HD79)=0)*HE53</f>
        <v>0</v>
      </c>
      <c r="HF79" s="153">
        <f>AND(HF75&gt;0,SUM($EZ$79:HE79)=0)*HF53</f>
        <v>0</v>
      </c>
      <c r="HG79" s="153">
        <f>AND(HG75&gt;0,SUM($EZ$79:HF79)=0)*HG53</f>
        <v>0</v>
      </c>
      <c r="HH79" s="153">
        <f>AND(HH75&gt;0,SUM($EZ$79:HG79)=0)*HH53</f>
        <v>0</v>
      </c>
      <c r="HI79" s="153">
        <f>AND(HI75&gt;0,SUM($EZ$79:HH79)=0)*HI53</f>
        <v>0</v>
      </c>
      <c r="HJ79" s="153">
        <f>AND(HJ75&gt;0,SUM($EZ$79:HI79)=0)*HJ53</f>
        <v>0</v>
      </c>
      <c r="HK79" s="153">
        <f>AND(HK75&gt;0,SUM($EZ$79:HJ79)=0)*HK53</f>
        <v>0</v>
      </c>
      <c r="HL79" s="153">
        <f>AND(HL75&gt;0,SUM($EZ$79:HK79)=0)*HL53</f>
        <v>0</v>
      </c>
      <c r="HM79" s="153">
        <f>AND(HM75&gt;0,SUM($EZ$79:HL79)=0)*HM53</f>
        <v>0</v>
      </c>
      <c r="HN79" s="153">
        <f>AND(HN75&gt;0,SUM($EZ$79:HM79)=0)*HN53</f>
        <v>0</v>
      </c>
      <c r="HO79" s="153">
        <f>AND(HO75&gt;0,SUM($EZ$79:HN79)=0)*HO53</f>
        <v>0</v>
      </c>
      <c r="HP79" s="153">
        <f>AND(HP75&gt;0,SUM($EZ$79:HO79)=0)*HP53</f>
        <v>0</v>
      </c>
      <c r="HQ79" s="153">
        <f>AND(HQ75&gt;0,SUM($EZ$79:HP79)=0)*HQ53</f>
        <v>0</v>
      </c>
      <c r="HR79" s="153">
        <f>AND(HR75&gt;0,SUM($EZ$79:HQ79)=0)*HR53</f>
        <v>0</v>
      </c>
      <c r="HS79" s="153">
        <f>AND(HS75&gt;0,SUM($EZ$79:HR79)=0)*HS53</f>
        <v>0</v>
      </c>
      <c r="HT79" s="153">
        <f>AND(HT75&gt;0,SUM($EZ$79:HS79)=0)*HT53</f>
        <v>0</v>
      </c>
      <c r="HU79" s="153">
        <f>AND(HU75&gt;0,SUM($EZ$79:HT79)=0)*HU53</f>
        <v>0</v>
      </c>
      <c r="HV79" s="153">
        <f>AND(HV75&gt;0,SUM($EZ$79:HU79)=0)*HV53</f>
        <v>0</v>
      </c>
      <c r="HW79" s="153">
        <f>AND(HW75&gt;0,SUM($EZ$79:HV79)=0)*HW53</f>
        <v>0</v>
      </c>
      <c r="HX79" s="153">
        <f>AND(HX75&gt;0,SUM($EZ$79:HW79)=0)*HX53</f>
        <v>0</v>
      </c>
      <c r="HY79" s="153">
        <f>AND(HY75&gt;0,SUM($EZ$79:HX79)=0)*HY53</f>
        <v>0</v>
      </c>
      <c r="HZ79" s="153">
        <f>AND(HZ75&gt;0,SUM($EZ$79:HY79)=0)*HZ53</f>
        <v>0</v>
      </c>
      <c r="IA79" s="153">
        <f>AND(IA75&gt;0,SUM($EZ$79:HZ79)=0)*IA53</f>
        <v>0</v>
      </c>
      <c r="IB79" s="153">
        <f>AND(IB75&gt;0,SUM($EZ$79:IA79)=0)*IB53</f>
        <v>0</v>
      </c>
      <c r="IC79" s="153">
        <f>AND(IC75&gt;0,SUM($EZ$79:IB79)=0)*IC53</f>
        <v>0</v>
      </c>
      <c r="ID79" s="153">
        <f>AND(ID75&gt;0,SUM($EZ$79:IC79)=0)*ID53</f>
        <v>0</v>
      </c>
      <c r="IE79" s="153">
        <f>AND(IE75&gt;0,SUM($EZ$79:ID79)=0)*IE53</f>
        <v>0</v>
      </c>
      <c r="IF79" s="153">
        <f>AND(IF75&gt;0,SUM($EZ$79:IE79)=0)*IF53</f>
        <v>0</v>
      </c>
      <c r="IG79" s="153">
        <f>AND(IG75&gt;0,SUM($EZ$79:IF79)=0)*IG53</f>
        <v>0</v>
      </c>
      <c r="IH79" s="153">
        <f>AND(IH75&gt;0,SUM($EZ$79:IG79)=0)*IH53</f>
        <v>0</v>
      </c>
      <c r="II79" s="153">
        <f>AND(II75&gt;0,SUM($EZ$79:IH79)=0)*II53</f>
        <v>0</v>
      </c>
      <c r="IJ79" s="153">
        <f>AND(IJ75&gt;0,SUM($EZ$79:II79)=0)*IJ53</f>
        <v>0</v>
      </c>
      <c r="IK79" s="153">
        <f>AND(IK75&gt;0,SUM($EZ$79:IJ79)=0)*IK53</f>
        <v>0</v>
      </c>
      <c r="IL79" s="153">
        <f>AND(IL75&gt;0,SUM($EZ$79:IK79)=0)*IL53</f>
        <v>0</v>
      </c>
      <c r="IM79" s="153">
        <f>AND(IM75&gt;0,SUM($EZ$79:IL79)=0)*IM53</f>
        <v>0</v>
      </c>
      <c r="IN79" s="153">
        <f>AND(IN75&gt;0,SUM($EZ$79:IM79)=0)*IN53</f>
        <v>0</v>
      </c>
      <c r="IO79" s="153">
        <f>AND(IO75&gt;0,SUM($EZ$79:IN79)=0)*IO53</f>
        <v>0</v>
      </c>
      <c r="IP79" s="153">
        <f>AND(IP75&gt;0,SUM($EZ$79:IO79)=0)*IP53</f>
        <v>0</v>
      </c>
      <c r="IQ79" s="153">
        <f>AND(IQ75&gt;0,SUM($EZ$79:IP79)=0)*IQ53</f>
        <v>0</v>
      </c>
      <c r="IR79" s="153">
        <f>AND(IR75&gt;0,SUM($EZ$79:IQ79)=0)*IR53</f>
        <v>0</v>
      </c>
      <c r="IS79" s="153">
        <f>AND(IS75&gt;0,SUM($EZ$79:IR79)=0)*IS53</f>
        <v>0</v>
      </c>
      <c r="IT79" s="153">
        <f>AND(IT75&gt;0,SUM($EZ$79:IS79)=0)*IT53</f>
        <v>0</v>
      </c>
      <c r="IU79" s="153">
        <f>AND(IU75&gt;0,SUM($EZ$79:IT79)=0)*IU53</f>
        <v>0</v>
      </c>
      <c r="IV79" s="153">
        <f>AND(IV75&gt;0,SUM($EZ$79:IU79)=0)*IV53</f>
        <v>0</v>
      </c>
      <c r="IW79" s="153">
        <f>AND(IW75&gt;0,SUM($EZ$79:IV79)=0)*IW53</f>
        <v>0</v>
      </c>
      <c r="IX79" s="153">
        <f>AND(IX75&gt;0,SUM($EZ$79:IW79)=0)*IX53</f>
        <v>0</v>
      </c>
      <c r="IY79" s="153">
        <f>AND(IY75&gt;0,SUM($EZ$79:IX79)=0)*IY53</f>
        <v>0</v>
      </c>
      <c r="IZ79" s="153">
        <f>AND(IZ75&gt;0,SUM($EZ$79:IY79)=0)*IZ53</f>
        <v>0</v>
      </c>
      <c r="JA79" s="153">
        <f>AND(JA75&gt;0,SUM($EZ$79:IZ79)=0)*JA53</f>
        <v>0</v>
      </c>
      <c r="JB79" s="153">
        <f>AND(JB75&gt;0,SUM($EZ$79:JA79)=0)*JB53</f>
        <v>0</v>
      </c>
      <c r="JC79" s="153">
        <f>AND(JC75&gt;0,SUM($EZ$79:JB79)=0)*JC53</f>
        <v>0</v>
      </c>
      <c r="JD79" s="153">
        <f>AND(JD75&gt;0,SUM($EZ$79:JC79)=0)*JD53</f>
        <v>0</v>
      </c>
      <c r="JE79" s="153">
        <f>AND(JE75&gt;0,SUM($EZ$79:JD79)=0)*JE53</f>
        <v>0</v>
      </c>
      <c r="JF79" s="153">
        <f>AND(JF75&gt;0,SUM($EZ$79:JE79)=0)*JF53</f>
        <v>0</v>
      </c>
      <c r="JG79" s="153">
        <f>AND(JG75&gt;0,SUM($EZ$79:JF79)=0)*JG53</f>
        <v>0</v>
      </c>
      <c r="JH79" s="153">
        <f>AND(JH75&gt;0,SUM($EZ$79:JG79)=0)*JH53</f>
        <v>0</v>
      </c>
      <c r="JI79" s="153">
        <f>AND(JI75&gt;0,SUM($EZ$79:JH79)=0)*JI53</f>
        <v>0</v>
      </c>
      <c r="JJ79" s="153">
        <f>AND(JJ75&gt;0,SUM($EZ$79:JI79)=0)*JJ53</f>
        <v>0</v>
      </c>
      <c r="JK79" s="153">
        <f>AND(JK75&gt;0,SUM($EZ$79:JJ79)=0)*JK53</f>
        <v>0</v>
      </c>
      <c r="JL79" s="153">
        <f>AND(JL75&gt;0,SUM($EZ$79:JK79)=0)*JL53</f>
        <v>0</v>
      </c>
      <c r="JM79" s="153">
        <f>AND(JM75&gt;0,SUM($EZ$79:JL79)=0)*JM53</f>
        <v>0</v>
      </c>
      <c r="JN79" s="153">
        <f>AND(JN75&gt;0,SUM($EZ$79:JM79)=0)*JN53</f>
        <v>0</v>
      </c>
      <c r="JO79" s="153">
        <f>AND(JO75&gt;0,SUM($EZ$79:JN79)=0)*JO53</f>
        <v>0</v>
      </c>
      <c r="JP79" s="153">
        <f>AND(JP75&gt;0,SUM($EZ$79:JO79)=0)*JP53</f>
        <v>0</v>
      </c>
      <c r="JQ79" s="153">
        <f>AND(JQ75&gt;0,SUM($EZ$79:JP79)=0)*JQ53</f>
        <v>0</v>
      </c>
      <c r="JR79" s="153">
        <f>AND(JR75&gt;0,SUM($EZ$79:JQ79)=0)*JR53</f>
        <v>0</v>
      </c>
      <c r="JS79" s="153">
        <f>AND(JS75&gt;0,SUM($EZ$79:JR79)=0)*JS53</f>
        <v>0</v>
      </c>
      <c r="JT79" s="153">
        <f>AND(JT75&gt;0,SUM($EZ$79:JS79)=0)*JT53</f>
        <v>0</v>
      </c>
      <c r="JU79" s="153">
        <f>AND(JU75&gt;0,SUM($EZ$79:JT79)=0)*JU53</f>
        <v>0</v>
      </c>
      <c r="JV79" s="153">
        <f>AND(JV75&gt;0,SUM($EZ$79:JU79)=0)*JV53</f>
        <v>0</v>
      </c>
      <c r="JW79" s="153">
        <f>AND(JW75&gt;0,SUM($EZ$79:JV79)=0)*JW53</f>
        <v>0</v>
      </c>
      <c r="JX79" s="153">
        <f>AND(JX75&gt;0,SUM($EZ$79:JW79)=0)*JX53</f>
        <v>0</v>
      </c>
      <c r="JY79" s="153">
        <f>AND(JY75&gt;0,SUM($EZ$79:JX79)=0)*JY53</f>
        <v>0</v>
      </c>
      <c r="JZ79" s="153">
        <f>AND(JZ75&gt;0,SUM($EZ$79:JY79)=0)*JZ53</f>
        <v>0</v>
      </c>
      <c r="KA79" s="153">
        <f>AND(KA75&gt;0,SUM($EZ$79:JZ79)=0)*KA53</f>
        <v>0</v>
      </c>
      <c r="KB79" s="153">
        <f>AND(KB75&gt;0,SUM($EZ$79:KA79)=0)*KB53</f>
        <v>0</v>
      </c>
      <c r="KC79" s="153">
        <f>AND(KC75&gt;0,SUM($EZ$79:KB79)=0)*KC53</f>
        <v>0</v>
      </c>
    </row>
    <row r="80" spans="1:289" s="264" customFormat="1" x14ac:dyDescent="0.25">
      <c r="A80" s="258"/>
      <c r="B80" s="561" t="str">
        <f>IF(Perm_Debt?=0,"PERMANENT DEBT - NOT IN USE","PERMANENT DEBT - ACTIVE")</f>
        <v>PERMANENT DEBT - ACTIVE</v>
      </c>
      <c r="C80" s="562"/>
      <c r="D80" s="562"/>
      <c r="E80" s="562"/>
      <c r="F80" s="562"/>
      <c r="G80" s="562"/>
      <c r="H80" s="170" t="s">
        <v>563</v>
      </c>
      <c r="I80" s="171" t="s">
        <v>564</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65"/>
      <c r="AN80" s="265"/>
      <c r="AO80" s="265"/>
      <c r="AP80" s="265"/>
      <c r="AQ80" s="265"/>
      <c r="AR80" s="265"/>
      <c r="AS80" s="265"/>
      <c r="AT80" s="265"/>
      <c r="AU80" s="265"/>
      <c r="AV80" s="265"/>
      <c r="AW80" s="265"/>
      <c r="AX80" s="265"/>
      <c r="AY80" s="265"/>
      <c r="AZ80" s="265"/>
      <c r="BA80" s="265"/>
      <c r="BB80" s="265"/>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c r="EE80" s="265"/>
      <c r="EF80" s="265"/>
      <c r="EG80" s="265"/>
      <c r="EH80" s="265"/>
      <c r="EI80" s="265"/>
      <c r="EJ80" s="265"/>
      <c r="EK80" s="265"/>
      <c r="EL80" s="265"/>
      <c r="EM80" s="265"/>
      <c r="EN80" s="265"/>
      <c r="EO80" s="265"/>
      <c r="EP80" s="265"/>
      <c r="EQ80" s="265"/>
      <c r="ER80" s="265"/>
      <c r="ES80" s="265"/>
      <c r="EU80" s="153"/>
      <c r="EV80" s="153"/>
      <c r="EW80" s="207"/>
      <c r="EX80" s="207" t="s">
        <v>71</v>
      </c>
      <c r="EY80" s="207" t="s">
        <v>191</v>
      </c>
      <c r="EZ80" s="207" t="s">
        <v>631</v>
      </c>
      <c r="FA80" s="153"/>
      <c r="FB80" s="153"/>
      <c r="FC80" s="153"/>
      <c r="FD80" s="153"/>
      <c r="FE80" s="153"/>
      <c r="FF80" s="153"/>
      <c r="FG80" s="153"/>
      <c r="FH80" s="153"/>
      <c r="FI80" s="153"/>
      <c r="FJ80" s="153"/>
      <c r="FK80" s="153"/>
      <c r="FL80" s="153"/>
      <c r="FM80" s="153"/>
      <c r="FN80" s="153"/>
      <c r="FO80" s="153"/>
      <c r="FP80" s="153"/>
      <c r="FQ80" s="153"/>
      <c r="FR80" s="153"/>
      <c r="FS80" s="153"/>
      <c r="FT80" s="153"/>
      <c r="FU80" s="153"/>
      <c r="FV80" s="153"/>
      <c r="FW80" s="153"/>
      <c r="FX80" s="153"/>
      <c r="FY80" s="153"/>
      <c r="FZ80" s="153"/>
      <c r="GA80" s="153"/>
      <c r="GB80" s="153"/>
      <c r="GC80" s="153"/>
      <c r="GD80" s="153"/>
      <c r="GE80" s="153"/>
      <c r="GF80" s="153"/>
      <c r="GG80" s="153"/>
      <c r="GH80" s="153"/>
      <c r="GI80" s="153"/>
      <c r="GJ80" s="153"/>
      <c r="GK80" s="153"/>
      <c r="GL80" s="153"/>
      <c r="GM80" s="153"/>
      <c r="GN80" s="153"/>
      <c r="GO80" s="153"/>
      <c r="GP80" s="153"/>
      <c r="GQ80" s="153"/>
      <c r="GR80" s="153"/>
      <c r="GS80" s="153"/>
      <c r="GT80" s="153"/>
      <c r="GU80" s="153"/>
      <c r="GV80" s="153"/>
      <c r="GW80" s="153"/>
      <c r="GX80" s="153"/>
      <c r="GY80" s="153"/>
      <c r="GZ80" s="153"/>
      <c r="HA80" s="153"/>
      <c r="HB80" s="153"/>
      <c r="HC80" s="153"/>
      <c r="HD80" s="153"/>
      <c r="HE80" s="153"/>
      <c r="HF80" s="153"/>
      <c r="HG80" s="153"/>
      <c r="HH80" s="153"/>
      <c r="HI80" s="153"/>
      <c r="HJ80" s="153"/>
      <c r="HK80" s="153"/>
      <c r="HL80" s="153"/>
      <c r="HM80" s="153"/>
      <c r="HN80" s="153"/>
      <c r="HO80" s="153"/>
      <c r="HP80" s="153"/>
      <c r="HQ80" s="153"/>
      <c r="HR80" s="153"/>
      <c r="HS80" s="153"/>
      <c r="HT80" s="153"/>
      <c r="HU80" s="153"/>
      <c r="HV80" s="153"/>
      <c r="HW80" s="153"/>
      <c r="HX80" s="153"/>
      <c r="HY80" s="153"/>
      <c r="HZ80" s="153"/>
      <c r="IA80" s="153"/>
      <c r="IB80" s="153"/>
      <c r="IC80" s="153"/>
      <c r="ID80" s="153"/>
      <c r="IE80" s="153"/>
      <c r="IF80" s="153"/>
      <c r="IG80" s="153"/>
      <c r="IH80" s="153"/>
      <c r="II80" s="153"/>
      <c r="IJ80" s="153"/>
      <c r="IK80" s="153"/>
      <c r="IL80" s="153"/>
      <c r="IM80" s="153"/>
      <c r="IN80" s="153"/>
      <c r="IO80" s="153"/>
      <c r="IP80" s="153"/>
      <c r="IQ80" s="153"/>
      <c r="IR80" s="153"/>
      <c r="IS80" s="153"/>
      <c r="IT80" s="153"/>
      <c r="IU80" s="153"/>
      <c r="IV80" s="153"/>
      <c r="IW80" s="153"/>
      <c r="IX80" s="153"/>
      <c r="IY80" s="153"/>
      <c r="IZ80" s="153"/>
      <c r="JA80" s="153"/>
      <c r="JB80" s="153"/>
      <c r="JC80" s="153"/>
      <c r="JD80" s="153"/>
      <c r="JE80" s="153"/>
      <c r="JF80" s="153"/>
      <c r="JG80" s="153"/>
      <c r="JH80" s="153"/>
      <c r="JI80" s="153"/>
      <c r="JJ80" s="153"/>
      <c r="JK80" s="153"/>
      <c r="JL80" s="153"/>
      <c r="JM80" s="153"/>
      <c r="JN80" s="153"/>
      <c r="JO80" s="153"/>
      <c r="JP80" s="153"/>
      <c r="JQ80" s="153"/>
      <c r="JR80" s="153"/>
      <c r="JS80" s="153"/>
      <c r="JT80" s="153"/>
      <c r="JU80" s="153"/>
      <c r="JV80" s="153"/>
      <c r="JW80" s="153"/>
      <c r="JX80" s="153"/>
      <c r="JY80" s="153"/>
      <c r="JZ80" s="153"/>
      <c r="KA80" s="153"/>
      <c r="KB80" s="153"/>
      <c r="KC80" s="153"/>
    </row>
    <row r="81" spans="1:289" s="264" customFormat="1" x14ac:dyDescent="0.25">
      <c r="A81" s="299">
        <v>1</v>
      </c>
      <c r="B81" s="295"/>
      <c r="C81" s="295"/>
      <c r="D81" s="295"/>
      <c r="E81" s="295"/>
      <c r="F81" s="295"/>
      <c r="G81" s="296"/>
      <c r="H81" s="296"/>
      <c r="I81" s="296"/>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65"/>
      <c r="AN81" s="265"/>
      <c r="AO81" s="265"/>
      <c r="AP81" s="265"/>
      <c r="AQ81" s="265"/>
      <c r="AR81" s="265"/>
      <c r="AS81" s="265"/>
      <c r="AT81" s="265"/>
      <c r="AU81" s="265"/>
      <c r="AV81" s="265"/>
      <c r="AW81" s="265"/>
      <c r="AX81" s="265"/>
      <c r="AY81" s="265"/>
      <c r="AZ81" s="265"/>
      <c r="BA81" s="265"/>
      <c r="BB81" s="265"/>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c r="EE81" s="265"/>
      <c r="EF81" s="265"/>
      <c r="EG81" s="265"/>
      <c r="EH81" s="265"/>
      <c r="EI81" s="265"/>
      <c r="EJ81" s="265"/>
      <c r="EK81" s="265"/>
      <c r="EL81" s="265"/>
      <c r="EM81" s="265"/>
      <c r="EN81" s="265"/>
      <c r="EO81" s="265"/>
      <c r="EP81" s="265"/>
      <c r="EQ81" s="265"/>
      <c r="ER81" s="265"/>
      <c r="ES81" s="265"/>
      <c r="EU81" s="153" t="s">
        <v>629</v>
      </c>
      <c r="EV81" s="153"/>
      <c r="EW81" s="250"/>
      <c r="EX81" s="250" t="str">
        <f>IF(ROUND(MAX(FA81:KC81),0)=ROUND(EZ81,0),"OK","ERROR")</f>
        <v>OK</v>
      </c>
      <c r="EY81" s="300">
        <f>+C67/Debt_LTC_Target</f>
        <v>1</v>
      </c>
      <c r="EZ81" s="221">
        <f>+$I$74*EY81</f>
        <v>2294479.8678814289</v>
      </c>
      <c r="FA81" s="221">
        <f t="shared" ref="FA81:GF81" si="391">IF($D$68&lt;&gt;$D$67,MIN(FA75,$EZ$81),FA$75*$EY81)</f>
        <v>0</v>
      </c>
      <c r="FB81" s="221">
        <f t="shared" si="391"/>
        <v>0</v>
      </c>
      <c r="FC81" s="221">
        <f t="shared" si="391"/>
        <v>0</v>
      </c>
      <c r="FD81" s="221">
        <f t="shared" si="391"/>
        <v>0</v>
      </c>
      <c r="FE81" s="221">
        <f t="shared" si="391"/>
        <v>0</v>
      </c>
      <c r="FF81" s="221">
        <f t="shared" si="391"/>
        <v>154995.56547462335</v>
      </c>
      <c r="FG81" s="221">
        <f t="shared" si="391"/>
        <v>741579.86788142903</v>
      </c>
      <c r="FH81" s="221">
        <f t="shared" si="391"/>
        <v>1326161.3131453777</v>
      </c>
      <c r="FI81" s="221">
        <f t="shared" si="391"/>
        <v>1783788.3700714516</v>
      </c>
      <c r="FJ81" s="221">
        <f t="shared" si="391"/>
        <v>2064222.8062157703</v>
      </c>
      <c r="FK81" s="221">
        <f t="shared" si="391"/>
        <v>2198739.7506141663</v>
      </c>
      <c r="FL81" s="221">
        <f t="shared" si="391"/>
        <v>2249241.8167587472</v>
      </c>
      <c r="FM81" s="221">
        <f t="shared" si="391"/>
        <v>2264079.8678814294</v>
      </c>
      <c r="FN81" s="221">
        <f t="shared" si="391"/>
        <v>2279279.8678814294</v>
      </c>
      <c r="FO81" s="221">
        <f t="shared" si="391"/>
        <v>2294479.8678814289</v>
      </c>
      <c r="FP81" s="221">
        <f t="shared" si="391"/>
        <v>2294479.8678814289</v>
      </c>
      <c r="FQ81" s="221">
        <f t="shared" si="391"/>
        <v>2294479.8678814289</v>
      </c>
      <c r="FR81" s="221">
        <f t="shared" si="391"/>
        <v>2294479.8678814289</v>
      </c>
      <c r="FS81" s="221">
        <f t="shared" si="391"/>
        <v>2294479.8678814289</v>
      </c>
      <c r="FT81" s="221">
        <f t="shared" si="391"/>
        <v>2294479.8678814289</v>
      </c>
      <c r="FU81" s="221">
        <f t="shared" si="391"/>
        <v>2294479.8678814289</v>
      </c>
      <c r="FV81" s="221">
        <f t="shared" si="391"/>
        <v>2294479.8678814289</v>
      </c>
      <c r="FW81" s="221">
        <f t="shared" si="391"/>
        <v>2294479.8678814289</v>
      </c>
      <c r="FX81" s="221">
        <f t="shared" si="391"/>
        <v>2294479.8678814289</v>
      </c>
      <c r="FY81" s="221">
        <f t="shared" si="391"/>
        <v>2294479.8678814289</v>
      </c>
      <c r="FZ81" s="221">
        <f t="shared" si="391"/>
        <v>2294479.8678814289</v>
      </c>
      <c r="GA81" s="221">
        <f t="shared" si="391"/>
        <v>2294479.8678814289</v>
      </c>
      <c r="GB81" s="221">
        <f t="shared" si="391"/>
        <v>2294479.8678814289</v>
      </c>
      <c r="GC81" s="221">
        <f t="shared" si="391"/>
        <v>2294479.8678814289</v>
      </c>
      <c r="GD81" s="221">
        <f t="shared" si="391"/>
        <v>2294479.8678814289</v>
      </c>
      <c r="GE81" s="221">
        <f t="shared" si="391"/>
        <v>2294479.8678814289</v>
      </c>
      <c r="GF81" s="221">
        <f t="shared" si="391"/>
        <v>2294479.8678814289</v>
      </c>
      <c r="GG81" s="221">
        <f t="shared" ref="GG81:HL81" si="392">IF($D$68&lt;&gt;$D$67,MIN(GG75,$EZ$81),GG$75*$EY81)</f>
        <v>2294479.8678814289</v>
      </c>
      <c r="GH81" s="221">
        <f t="shared" si="392"/>
        <v>2294479.8678814289</v>
      </c>
      <c r="GI81" s="221">
        <f t="shared" si="392"/>
        <v>2294479.8678814289</v>
      </c>
      <c r="GJ81" s="221">
        <f t="shared" si="392"/>
        <v>2294479.8678814289</v>
      </c>
      <c r="GK81" s="221">
        <f t="shared" si="392"/>
        <v>2294479.8678814289</v>
      </c>
      <c r="GL81" s="221">
        <f t="shared" si="392"/>
        <v>0</v>
      </c>
      <c r="GM81" s="221">
        <f t="shared" si="392"/>
        <v>0</v>
      </c>
      <c r="GN81" s="221">
        <f t="shared" si="392"/>
        <v>0</v>
      </c>
      <c r="GO81" s="221">
        <f t="shared" si="392"/>
        <v>0</v>
      </c>
      <c r="GP81" s="221">
        <f t="shared" si="392"/>
        <v>0</v>
      </c>
      <c r="GQ81" s="221">
        <f t="shared" si="392"/>
        <v>0</v>
      </c>
      <c r="GR81" s="221">
        <f t="shared" si="392"/>
        <v>0</v>
      </c>
      <c r="GS81" s="221">
        <f t="shared" si="392"/>
        <v>0</v>
      </c>
      <c r="GT81" s="221">
        <f t="shared" si="392"/>
        <v>0</v>
      </c>
      <c r="GU81" s="221">
        <f t="shared" si="392"/>
        <v>0</v>
      </c>
      <c r="GV81" s="221">
        <f t="shared" si="392"/>
        <v>0</v>
      </c>
      <c r="GW81" s="221">
        <f t="shared" si="392"/>
        <v>0</v>
      </c>
      <c r="GX81" s="221">
        <f t="shared" si="392"/>
        <v>0</v>
      </c>
      <c r="GY81" s="221">
        <f t="shared" si="392"/>
        <v>0</v>
      </c>
      <c r="GZ81" s="221">
        <f t="shared" si="392"/>
        <v>0</v>
      </c>
      <c r="HA81" s="221">
        <f t="shared" si="392"/>
        <v>0</v>
      </c>
      <c r="HB81" s="221">
        <f t="shared" si="392"/>
        <v>0</v>
      </c>
      <c r="HC81" s="221">
        <f t="shared" si="392"/>
        <v>0</v>
      </c>
      <c r="HD81" s="221">
        <f t="shared" si="392"/>
        <v>0</v>
      </c>
      <c r="HE81" s="221">
        <f t="shared" si="392"/>
        <v>0</v>
      </c>
      <c r="HF81" s="221">
        <f t="shared" si="392"/>
        <v>0</v>
      </c>
      <c r="HG81" s="221">
        <f t="shared" si="392"/>
        <v>0</v>
      </c>
      <c r="HH81" s="221">
        <f t="shared" si="392"/>
        <v>0</v>
      </c>
      <c r="HI81" s="221">
        <f t="shared" si="392"/>
        <v>0</v>
      </c>
      <c r="HJ81" s="221">
        <f t="shared" si="392"/>
        <v>0</v>
      </c>
      <c r="HK81" s="221">
        <f t="shared" si="392"/>
        <v>0</v>
      </c>
      <c r="HL81" s="221">
        <f t="shared" si="392"/>
        <v>0</v>
      </c>
      <c r="HM81" s="221">
        <f t="shared" ref="HM81:IR81" si="393">IF($D$68&lt;&gt;$D$67,MIN(HM75,$EZ$81),HM$75*$EY81)</f>
        <v>0</v>
      </c>
      <c r="HN81" s="221">
        <f t="shared" si="393"/>
        <v>0</v>
      </c>
      <c r="HO81" s="221">
        <f t="shared" si="393"/>
        <v>0</v>
      </c>
      <c r="HP81" s="221">
        <f t="shared" si="393"/>
        <v>0</v>
      </c>
      <c r="HQ81" s="221">
        <f t="shared" si="393"/>
        <v>0</v>
      </c>
      <c r="HR81" s="221">
        <f t="shared" si="393"/>
        <v>0</v>
      </c>
      <c r="HS81" s="221">
        <f t="shared" si="393"/>
        <v>0</v>
      </c>
      <c r="HT81" s="221">
        <f t="shared" si="393"/>
        <v>0</v>
      </c>
      <c r="HU81" s="221">
        <f t="shared" si="393"/>
        <v>0</v>
      </c>
      <c r="HV81" s="221">
        <f t="shared" si="393"/>
        <v>0</v>
      </c>
      <c r="HW81" s="221">
        <f t="shared" si="393"/>
        <v>0</v>
      </c>
      <c r="HX81" s="221">
        <f t="shared" si="393"/>
        <v>0</v>
      </c>
      <c r="HY81" s="221">
        <f t="shared" si="393"/>
        <v>0</v>
      </c>
      <c r="HZ81" s="221">
        <f t="shared" si="393"/>
        <v>0</v>
      </c>
      <c r="IA81" s="221">
        <f t="shared" si="393"/>
        <v>0</v>
      </c>
      <c r="IB81" s="221">
        <f t="shared" si="393"/>
        <v>0</v>
      </c>
      <c r="IC81" s="221">
        <f t="shared" si="393"/>
        <v>0</v>
      </c>
      <c r="ID81" s="221">
        <f t="shared" si="393"/>
        <v>0</v>
      </c>
      <c r="IE81" s="221">
        <f t="shared" si="393"/>
        <v>0</v>
      </c>
      <c r="IF81" s="221">
        <f t="shared" si="393"/>
        <v>0</v>
      </c>
      <c r="IG81" s="221">
        <f t="shared" si="393"/>
        <v>0</v>
      </c>
      <c r="IH81" s="221">
        <f t="shared" si="393"/>
        <v>0</v>
      </c>
      <c r="II81" s="221">
        <f t="shared" si="393"/>
        <v>0</v>
      </c>
      <c r="IJ81" s="221">
        <f t="shared" si="393"/>
        <v>0</v>
      </c>
      <c r="IK81" s="221">
        <f t="shared" si="393"/>
        <v>0</v>
      </c>
      <c r="IL81" s="221">
        <f t="shared" si="393"/>
        <v>0</v>
      </c>
      <c r="IM81" s="221">
        <f t="shared" si="393"/>
        <v>0</v>
      </c>
      <c r="IN81" s="221">
        <f t="shared" si="393"/>
        <v>0</v>
      </c>
      <c r="IO81" s="221">
        <f t="shared" si="393"/>
        <v>0</v>
      </c>
      <c r="IP81" s="221">
        <f t="shared" si="393"/>
        <v>0</v>
      </c>
      <c r="IQ81" s="221">
        <f t="shared" si="393"/>
        <v>0</v>
      </c>
      <c r="IR81" s="221">
        <f t="shared" si="393"/>
        <v>0</v>
      </c>
      <c r="IS81" s="221">
        <f t="shared" ref="IS81:KC81" si="394">IF($D$68&lt;&gt;$D$67,MIN(IS75,$EZ$81),IS$75*$EY81)</f>
        <v>0</v>
      </c>
      <c r="IT81" s="221">
        <f t="shared" si="394"/>
        <v>0</v>
      </c>
      <c r="IU81" s="221">
        <f t="shared" si="394"/>
        <v>0</v>
      </c>
      <c r="IV81" s="221">
        <f t="shared" si="394"/>
        <v>0</v>
      </c>
      <c r="IW81" s="221">
        <f t="shared" si="394"/>
        <v>0</v>
      </c>
      <c r="IX81" s="221">
        <f t="shared" si="394"/>
        <v>0</v>
      </c>
      <c r="IY81" s="221">
        <f t="shared" si="394"/>
        <v>0</v>
      </c>
      <c r="IZ81" s="221">
        <f t="shared" si="394"/>
        <v>0</v>
      </c>
      <c r="JA81" s="221">
        <f t="shared" si="394"/>
        <v>0</v>
      </c>
      <c r="JB81" s="221">
        <f t="shared" si="394"/>
        <v>0</v>
      </c>
      <c r="JC81" s="221">
        <f t="shared" si="394"/>
        <v>0</v>
      </c>
      <c r="JD81" s="221">
        <f t="shared" si="394"/>
        <v>0</v>
      </c>
      <c r="JE81" s="221">
        <f t="shared" si="394"/>
        <v>0</v>
      </c>
      <c r="JF81" s="221">
        <f t="shared" si="394"/>
        <v>0</v>
      </c>
      <c r="JG81" s="221">
        <f t="shared" si="394"/>
        <v>0</v>
      </c>
      <c r="JH81" s="221">
        <f t="shared" si="394"/>
        <v>0</v>
      </c>
      <c r="JI81" s="221">
        <f t="shared" si="394"/>
        <v>0</v>
      </c>
      <c r="JJ81" s="221">
        <f t="shared" si="394"/>
        <v>0</v>
      </c>
      <c r="JK81" s="221">
        <f t="shared" si="394"/>
        <v>0</v>
      </c>
      <c r="JL81" s="221">
        <f t="shared" si="394"/>
        <v>0</v>
      </c>
      <c r="JM81" s="221">
        <f t="shared" si="394"/>
        <v>0</v>
      </c>
      <c r="JN81" s="221">
        <f t="shared" si="394"/>
        <v>0</v>
      </c>
      <c r="JO81" s="221">
        <f t="shared" si="394"/>
        <v>0</v>
      </c>
      <c r="JP81" s="221">
        <f t="shared" si="394"/>
        <v>0</v>
      </c>
      <c r="JQ81" s="221">
        <f t="shared" si="394"/>
        <v>0</v>
      </c>
      <c r="JR81" s="221">
        <f t="shared" si="394"/>
        <v>0</v>
      </c>
      <c r="JS81" s="221">
        <f t="shared" si="394"/>
        <v>0</v>
      </c>
      <c r="JT81" s="221">
        <f t="shared" si="394"/>
        <v>0</v>
      </c>
      <c r="JU81" s="221">
        <f t="shared" si="394"/>
        <v>0</v>
      </c>
      <c r="JV81" s="221">
        <f t="shared" si="394"/>
        <v>0</v>
      </c>
      <c r="JW81" s="221">
        <f t="shared" si="394"/>
        <v>0</v>
      </c>
      <c r="JX81" s="221">
        <f t="shared" si="394"/>
        <v>0</v>
      </c>
      <c r="JY81" s="221">
        <f t="shared" si="394"/>
        <v>0</v>
      </c>
      <c r="JZ81" s="221">
        <f t="shared" si="394"/>
        <v>0</v>
      </c>
      <c r="KA81" s="221">
        <f t="shared" si="394"/>
        <v>0</v>
      </c>
      <c r="KB81" s="221">
        <f t="shared" si="394"/>
        <v>0</v>
      </c>
      <c r="KC81" s="221">
        <f t="shared" si="394"/>
        <v>0</v>
      </c>
    </row>
    <row r="82" spans="1:289" s="264" customFormat="1" ht="14.25" customHeight="1" x14ac:dyDescent="0.25">
      <c r="A82" s="258"/>
      <c r="B82" s="227"/>
      <c r="C82" s="210" t="s">
        <v>575</v>
      </c>
      <c r="D82" s="210" t="s">
        <v>574</v>
      </c>
      <c r="E82" s="210" t="s">
        <v>63</v>
      </c>
      <c r="F82" s="266" t="s">
        <v>584</v>
      </c>
      <c r="G82" s="266" t="s">
        <v>586</v>
      </c>
      <c r="H82" s="211" t="s">
        <v>587</v>
      </c>
      <c r="I82" s="210" t="s">
        <v>22</v>
      </c>
      <c r="P82" s="301"/>
      <c r="Q82" s="301"/>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c r="EE82" s="265"/>
      <c r="EF82" s="265"/>
      <c r="EG82" s="265"/>
      <c r="EH82" s="265"/>
      <c r="EI82" s="265"/>
      <c r="EJ82" s="265"/>
      <c r="EK82" s="265"/>
      <c r="EL82" s="265"/>
      <c r="EM82" s="265"/>
      <c r="EN82" s="265"/>
      <c r="EO82" s="265"/>
      <c r="EP82" s="265"/>
      <c r="EQ82" s="265"/>
      <c r="ER82" s="265"/>
      <c r="ES82" s="265"/>
      <c r="EU82" s="153" t="s">
        <v>630</v>
      </c>
      <c r="EV82" s="153"/>
      <c r="EW82" s="250"/>
      <c r="EX82" s="250" t="str">
        <f>IF(ROUND(MAX(FA82:KC82),0)=ROUND(EZ82,0),"OK","ERROR")</f>
        <v>OK</v>
      </c>
      <c r="EY82" s="300">
        <f>1-EY81</f>
        <v>0</v>
      </c>
      <c r="EZ82" s="221">
        <f>+$I$74*EY82</f>
        <v>0</v>
      </c>
      <c r="FA82" s="221">
        <f t="shared" ref="FA82:GF82" si="395">IF($D$68&lt;&gt;$D$67,FA75-FA81,FA75*$EY$82)</f>
        <v>0</v>
      </c>
      <c r="FB82" s="221">
        <f t="shared" si="395"/>
        <v>0</v>
      </c>
      <c r="FC82" s="221">
        <f t="shared" si="395"/>
        <v>0</v>
      </c>
      <c r="FD82" s="221">
        <f t="shared" si="395"/>
        <v>0</v>
      </c>
      <c r="FE82" s="221">
        <f t="shared" si="395"/>
        <v>0</v>
      </c>
      <c r="FF82" s="221">
        <f t="shared" si="395"/>
        <v>0</v>
      </c>
      <c r="FG82" s="221">
        <f t="shared" si="395"/>
        <v>0</v>
      </c>
      <c r="FH82" s="221">
        <f t="shared" si="395"/>
        <v>0</v>
      </c>
      <c r="FI82" s="221">
        <f t="shared" si="395"/>
        <v>0</v>
      </c>
      <c r="FJ82" s="221">
        <f t="shared" si="395"/>
        <v>0</v>
      </c>
      <c r="FK82" s="221">
        <f t="shared" si="395"/>
        <v>0</v>
      </c>
      <c r="FL82" s="221">
        <f t="shared" si="395"/>
        <v>0</v>
      </c>
      <c r="FM82" s="221">
        <f t="shared" si="395"/>
        <v>0</v>
      </c>
      <c r="FN82" s="221">
        <f t="shared" si="395"/>
        <v>0</v>
      </c>
      <c r="FO82" s="221">
        <f t="shared" si="395"/>
        <v>0</v>
      </c>
      <c r="FP82" s="221">
        <f t="shared" si="395"/>
        <v>0</v>
      </c>
      <c r="FQ82" s="221">
        <f t="shared" si="395"/>
        <v>0</v>
      </c>
      <c r="FR82" s="221">
        <f t="shared" si="395"/>
        <v>0</v>
      </c>
      <c r="FS82" s="221">
        <f t="shared" si="395"/>
        <v>0</v>
      </c>
      <c r="FT82" s="221">
        <f t="shared" si="395"/>
        <v>0</v>
      </c>
      <c r="FU82" s="221">
        <f t="shared" si="395"/>
        <v>0</v>
      </c>
      <c r="FV82" s="221">
        <f t="shared" si="395"/>
        <v>0</v>
      </c>
      <c r="FW82" s="221">
        <f t="shared" si="395"/>
        <v>0</v>
      </c>
      <c r="FX82" s="221">
        <f t="shared" si="395"/>
        <v>0</v>
      </c>
      <c r="FY82" s="221">
        <f t="shared" si="395"/>
        <v>0</v>
      </c>
      <c r="FZ82" s="221">
        <f t="shared" si="395"/>
        <v>0</v>
      </c>
      <c r="GA82" s="221">
        <f t="shared" si="395"/>
        <v>0</v>
      </c>
      <c r="GB82" s="221">
        <f t="shared" si="395"/>
        <v>0</v>
      </c>
      <c r="GC82" s="221">
        <f t="shared" si="395"/>
        <v>0</v>
      </c>
      <c r="GD82" s="221">
        <f t="shared" si="395"/>
        <v>0</v>
      </c>
      <c r="GE82" s="221">
        <f t="shared" si="395"/>
        <v>0</v>
      </c>
      <c r="GF82" s="221">
        <f t="shared" si="395"/>
        <v>0</v>
      </c>
      <c r="GG82" s="221">
        <f t="shared" ref="GG82:HL82" si="396">IF($D$68&lt;&gt;$D$67,GG75-GG81,GG75*$EY$82)</f>
        <v>0</v>
      </c>
      <c r="GH82" s="221">
        <f t="shared" si="396"/>
        <v>0</v>
      </c>
      <c r="GI82" s="221">
        <f t="shared" si="396"/>
        <v>0</v>
      </c>
      <c r="GJ82" s="221">
        <f t="shared" si="396"/>
        <v>0</v>
      </c>
      <c r="GK82" s="221">
        <f t="shared" si="396"/>
        <v>0</v>
      </c>
      <c r="GL82" s="221">
        <f t="shared" si="396"/>
        <v>0</v>
      </c>
      <c r="GM82" s="221">
        <f t="shared" si="396"/>
        <v>0</v>
      </c>
      <c r="GN82" s="221">
        <f t="shared" si="396"/>
        <v>0</v>
      </c>
      <c r="GO82" s="221">
        <f t="shared" si="396"/>
        <v>0</v>
      </c>
      <c r="GP82" s="221">
        <f t="shared" si="396"/>
        <v>0</v>
      </c>
      <c r="GQ82" s="221">
        <f t="shared" si="396"/>
        <v>0</v>
      </c>
      <c r="GR82" s="221">
        <f t="shared" si="396"/>
        <v>0</v>
      </c>
      <c r="GS82" s="221">
        <f t="shared" si="396"/>
        <v>0</v>
      </c>
      <c r="GT82" s="221">
        <f t="shared" si="396"/>
        <v>0</v>
      </c>
      <c r="GU82" s="221">
        <f t="shared" si="396"/>
        <v>0</v>
      </c>
      <c r="GV82" s="221">
        <f t="shared" si="396"/>
        <v>0</v>
      </c>
      <c r="GW82" s="221">
        <f t="shared" si="396"/>
        <v>0</v>
      </c>
      <c r="GX82" s="221">
        <f t="shared" si="396"/>
        <v>0</v>
      </c>
      <c r="GY82" s="221">
        <f t="shared" si="396"/>
        <v>0</v>
      </c>
      <c r="GZ82" s="221">
        <f t="shared" si="396"/>
        <v>0</v>
      </c>
      <c r="HA82" s="221">
        <f t="shared" si="396"/>
        <v>0</v>
      </c>
      <c r="HB82" s="221">
        <f t="shared" si="396"/>
        <v>0</v>
      </c>
      <c r="HC82" s="221">
        <f t="shared" si="396"/>
        <v>0</v>
      </c>
      <c r="HD82" s="221">
        <f t="shared" si="396"/>
        <v>0</v>
      </c>
      <c r="HE82" s="221">
        <f t="shared" si="396"/>
        <v>0</v>
      </c>
      <c r="HF82" s="221">
        <f t="shared" si="396"/>
        <v>0</v>
      </c>
      <c r="HG82" s="221">
        <f t="shared" si="396"/>
        <v>0</v>
      </c>
      <c r="HH82" s="221">
        <f t="shared" si="396"/>
        <v>0</v>
      </c>
      <c r="HI82" s="221">
        <f t="shared" si="396"/>
        <v>0</v>
      </c>
      <c r="HJ82" s="221">
        <f t="shared" si="396"/>
        <v>0</v>
      </c>
      <c r="HK82" s="221">
        <f t="shared" si="396"/>
        <v>0</v>
      </c>
      <c r="HL82" s="221">
        <f t="shared" si="396"/>
        <v>0</v>
      </c>
      <c r="HM82" s="221">
        <f t="shared" ref="HM82:IR82" si="397">IF($D$68&lt;&gt;$D$67,HM75-HM81,HM75*$EY$82)</f>
        <v>0</v>
      </c>
      <c r="HN82" s="221">
        <f t="shared" si="397"/>
        <v>0</v>
      </c>
      <c r="HO82" s="221">
        <f t="shared" si="397"/>
        <v>0</v>
      </c>
      <c r="HP82" s="221">
        <f t="shared" si="397"/>
        <v>0</v>
      </c>
      <c r="HQ82" s="221">
        <f t="shared" si="397"/>
        <v>0</v>
      </c>
      <c r="HR82" s="221">
        <f t="shared" si="397"/>
        <v>0</v>
      </c>
      <c r="HS82" s="221">
        <f t="shared" si="397"/>
        <v>0</v>
      </c>
      <c r="HT82" s="221">
        <f t="shared" si="397"/>
        <v>0</v>
      </c>
      <c r="HU82" s="221">
        <f t="shared" si="397"/>
        <v>0</v>
      </c>
      <c r="HV82" s="221">
        <f t="shared" si="397"/>
        <v>0</v>
      </c>
      <c r="HW82" s="221">
        <f t="shared" si="397"/>
        <v>0</v>
      </c>
      <c r="HX82" s="221">
        <f t="shared" si="397"/>
        <v>0</v>
      </c>
      <c r="HY82" s="221">
        <f t="shared" si="397"/>
        <v>0</v>
      </c>
      <c r="HZ82" s="221">
        <f t="shared" si="397"/>
        <v>0</v>
      </c>
      <c r="IA82" s="221">
        <f t="shared" si="397"/>
        <v>0</v>
      </c>
      <c r="IB82" s="221">
        <f t="shared" si="397"/>
        <v>0</v>
      </c>
      <c r="IC82" s="221">
        <f t="shared" si="397"/>
        <v>0</v>
      </c>
      <c r="ID82" s="221">
        <f t="shared" si="397"/>
        <v>0</v>
      </c>
      <c r="IE82" s="221">
        <f t="shared" si="397"/>
        <v>0</v>
      </c>
      <c r="IF82" s="221">
        <f t="shared" si="397"/>
        <v>0</v>
      </c>
      <c r="IG82" s="221">
        <f t="shared" si="397"/>
        <v>0</v>
      </c>
      <c r="IH82" s="221">
        <f t="shared" si="397"/>
        <v>0</v>
      </c>
      <c r="II82" s="221">
        <f t="shared" si="397"/>
        <v>0</v>
      </c>
      <c r="IJ82" s="221">
        <f t="shared" si="397"/>
        <v>0</v>
      </c>
      <c r="IK82" s="221">
        <f t="shared" si="397"/>
        <v>0</v>
      </c>
      <c r="IL82" s="221">
        <f t="shared" si="397"/>
        <v>0</v>
      </c>
      <c r="IM82" s="221">
        <f t="shared" si="397"/>
        <v>0</v>
      </c>
      <c r="IN82" s="221">
        <f t="shared" si="397"/>
        <v>0</v>
      </c>
      <c r="IO82" s="221">
        <f t="shared" si="397"/>
        <v>0</v>
      </c>
      <c r="IP82" s="221">
        <f t="shared" si="397"/>
        <v>0</v>
      </c>
      <c r="IQ82" s="221">
        <f t="shared" si="397"/>
        <v>0</v>
      </c>
      <c r="IR82" s="221">
        <f t="shared" si="397"/>
        <v>0</v>
      </c>
      <c r="IS82" s="221">
        <f t="shared" ref="IS82:JX82" si="398">IF($D$68&lt;&gt;$D$67,IS75-IS81,IS75*$EY$82)</f>
        <v>0</v>
      </c>
      <c r="IT82" s="221">
        <f t="shared" si="398"/>
        <v>0</v>
      </c>
      <c r="IU82" s="221">
        <f t="shared" si="398"/>
        <v>0</v>
      </c>
      <c r="IV82" s="221">
        <f t="shared" si="398"/>
        <v>0</v>
      </c>
      <c r="IW82" s="221">
        <f t="shared" si="398"/>
        <v>0</v>
      </c>
      <c r="IX82" s="221">
        <f t="shared" si="398"/>
        <v>0</v>
      </c>
      <c r="IY82" s="221">
        <f t="shared" si="398"/>
        <v>0</v>
      </c>
      <c r="IZ82" s="221">
        <f t="shared" si="398"/>
        <v>0</v>
      </c>
      <c r="JA82" s="221">
        <f t="shared" si="398"/>
        <v>0</v>
      </c>
      <c r="JB82" s="221">
        <f t="shared" si="398"/>
        <v>0</v>
      </c>
      <c r="JC82" s="221">
        <f t="shared" si="398"/>
        <v>0</v>
      </c>
      <c r="JD82" s="221">
        <f t="shared" si="398"/>
        <v>0</v>
      </c>
      <c r="JE82" s="221">
        <f t="shared" si="398"/>
        <v>0</v>
      </c>
      <c r="JF82" s="221">
        <f t="shared" si="398"/>
        <v>0</v>
      </c>
      <c r="JG82" s="221">
        <f t="shared" si="398"/>
        <v>0</v>
      </c>
      <c r="JH82" s="221">
        <f t="shared" si="398"/>
        <v>0</v>
      </c>
      <c r="JI82" s="221">
        <f t="shared" si="398"/>
        <v>0</v>
      </c>
      <c r="JJ82" s="221">
        <f t="shared" si="398"/>
        <v>0</v>
      </c>
      <c r="JK82" s="221">
        <f t="shared" si="398"/>
        <v>0</v>
      </c>
      <c r="JL82" s="221">
        <f t="shared" si="398"/>
        <v>0</v>
      </c>
      <c r="JM82" s="221">
        <f t="shared" si="398"/>
        <v>0</v>
      </c>
      <c r="JN82" s="221">
        <f t="shared" si="398"/>
        <v>0</v>
      </c>
      <c r="JO82" s="221">
        <f t="shared" si="398"/>
        <v>0</v>
      </c>
      <c r="JP82" s="221">
        <f t="shared" si="398"/>
        <v>0</v>
      </c>
      <c r="JQ82" s="221">
        <f t="shared" si="398"/>
        <v>0</v>
      </c>
      <c r="JR82" s="221">
        <f t="shared" si="398"/>
        <v>0</v>
      </c>
      <c r="JS82" s="221">
        <f t="shared" si="398"/>
        <v>0</v>
      </c>
      <c r="JT82" s="221">
        <f t="shared" si="398"/>
        <v>0</v>
      </c>
      <c r="JU82" s="221">
        <f t="shared" si="398"/>
        <v>0</v>
      </c>
      <c r="JV82" s="221">
        <f t="shared" si="398"/>
        <v>0</v>
      </c>
      <c r="JW82" s="221">
        <f t="shared" si="398"/>
        <v>0</v>
      </c>
      <c r="JX82" s="221">
        <f t="shared" si="398"/>
        <v>0</v>
      </c>
      <c r="JY82" s="221">
        <f t="shared" ref="JY82:KC82" si="399">IF($D$68&lt;&gt;$D$67,JY75-JY81,JY75*$EY$82)</f>
        <v>0</v>
      </c>
      <c r="JZ82" s="221">
        <f t="shared" si="399"/>
        <v>0</v>
      </c>
      <c r="KA82" s="221">
        <f t="shared" si="399"/>
        <v>0</v>
      </c>
      <c r="KB82" s="221">
        <f t="shared" si="399"/>
        <v>0</v>
      </c>
      <c r="KC82" s="221">
        <f t="shared" si="399"/>
        <v>0</v>
      </c>
    </row>
    <row r="83" spans="1:289" s="264" customFormat="1" ht="14.25" customHeight="1" x14ac:dyDescent="0.25">
      <c r="A83" s="258"/>
      <c r="B83" s="227" t="s">
        <v>565</v>
      </c>
      <c r="C83" s="269">
        <f ca="1">+I83/Valuation_Trended</f>
        <v>0.58993588505615135</v>
      </c>
      <c r="D83" s="269">
        <f ca="1">+I83/Project_Cost_Total</f>
        <v>0.60913733580646801</v>
      </c>
      <c r="E83" s="286">
        <v>7.0000000000000007E-2</v>
      </c>
      <c r="F83" s="238" t="s">
        <v>864</v>
      </c>
      <c r="G83" s="302">
        <v>30</v>
      </c>
      <c r="H83" s="218">
        <f ca="1">IF(F83="Yes",I83*E83,PMT(E83/12,G83*12,-I83)*12)</f>
        <v>196402.40143838449</v>
      </c>
      <c r="I83" s="219">
        <f ca="1">+I77/(1-H84)</f>
        <v>2460063.9416096015</v>
      </c>
      <c r="P83" s="301"/>
      <c r="Q83" s="161">
        <f t="shared" ref="Q83:AV83" si="400">+Q3</f>
        <v>0</v>
      </c>
      <c r="R83" s="161">
        <f t="shared" si="400"/>
        <v>1</v>
      </c>
      <c r="S83" s="161">
        <f t="shared" si="400"/>
        <v>2</v>
      </c>
      <c r="T83" s="161">
        <f t="shared" si="400"/>
        <v>3</v>
      </c>
      <c r="U83" s="161">
        <f t="shared" si="400"/>
        <v>4</v>
      </c>
      <c r="V83" s="161">
        <f t="shared" si="400"/>
        <v>5</v>
      </c>
      <c r="W83" s="161">
        <f t="shared" si="400"/>
        <v>6</v>
      </c>
      <c r="X83" s="161">
        <f t="shared" si="400"/>
        <v>7</v>
      </c>
      <c r="Y83" s="161">
        <f t="shared" si="400"/>
        <v>8</v>
      </c>
      <c r="Z83" s="161">
        <f t="shared" si="400"/>
        <v>9</v>
      </c>
      <c r="AA83" s="161">
        <f t="shared" si="400"/>
        <v>10</v>
      </c>
      <c r="AB83" s="161">
        <f t="shared" si="400"/>
        <v>11</v>
      </c>
      <c r="AC83" s="161">
        <f t="shared" si="400"/>
        <v>12</v>
      </c>
      <c r="AD83" s="161">
        <f t="shared" si="400"/>
        <v>13</v>
      </c>
      <c r="AE83" s="161">
        <f t="shared" si="400"/>
        <v>14</v>
      </c>
      <c r="AF83" s="161">
        <f t="shared" si="400"/>
        <v>15</v>
      </c>
      <c r="AG83" s="161">
        <f t="shared" si="400"/>
        <v>16</v>
      </c>
      <c r="AH83" s="161">
        <f t="shared" si="400"/>
        <v>17</v>
      </c>
      <c r="AI83" s="161">
        <f t="shared" si="400"/>
        <v>18</v>
      </c>
      <c r="AJ83" s="161">
        <f t="shared" si="400"/>
        <v>19</v>
      </c>
      <c r="AK83" s="161">
        <f t="shared" si="400"/>
        <v>20</v>
      </c>
      <c r="AL83" s="161">
        <f t="shared" si="400"/>
        <v>21</v>
      </c>
      <c r="AM83" s="161">
        <f t="shared" si="400"/>
        <v>22</v>
      </c>
      <c r="AN83" s="161">
        <f t="shared" si="400"/>
        <v>23</v>
      </c>
      <c r="AO83" s="161">
        <f t="shared" si="400"/>
        <v>24</v>
      </c>
      <c r="AP83" s="161">
        <f t="shared" si="400"/>
        <v>25</v>
      </c>
      <c r="AQ83" s="161">
        <f t="shared" si="400"/>
        <v>26</v>
      </c>
      <c r="AR83" s="161">
        <f t="shared" si="400"/>
        <v>27</v>
      </c>
      <c r="AS83" s="161">
        <f t="shared" si="400"/>
        <v>28</v>
      </c>
      <c r="AT83" s="161">
        <f t="shared" si="400"/>
        <v>29</v>
      </c>
      <c r="AU83" s="161">
        <f t="shared" si="400"/>
        <v>30</v>
      </c>
      <c r="AV83" s="161">
        <f t="shared" si="400"/>
        <v>31</v>
      </c>
      <c r="AW83" s="161">
        <f t="shared" ref="AW83:CB83" si="401">+AW3</f>
        <v>32</v>
      </c>
      <c r="AX83" s="161">
        <f t="shared" si="401"/>
        <v>33</v>
      </c>
      <c r="AY83" s="161">
        <f t="shared" si="401"/>
        <v>34</v>
      </c>
      <c r="AZ83" s="161">
        <f t="shared" si="401"/>
        <v>35</v>
      </c>
      <c r="BA83" s="161">
        <f t="shared" si="401"/>
        <v>36</v>
      </c>
      <c r="BB83" s="161">
        <f t="shared" si="401"/>
        <v>37</v>
      </c>
      <c r="BC83" s="161">
        <f t="shared" si="401"/>
        <v>38</v>
      </c>
      <c r="BD83" s="161">
        <f t="shared" si="401"/>
        <v>39</v>
      </c>
      <c r="BE83" s="161">
        <f t="shared" si="401"/>
        <v>40</v>
      </c>
      <c r="BF83" s="161">
        <f t="shared" si="401"/>
        <v>41</v>
      </c>
      <c r="BG83" s="161">
        <f t="shared" si="401"/>
        <v>42</v>
      </c>
      <c r="BH83" s="161">
        <f t="shared" si="401"/>
        <v>43</v>
      </c>
      <c r="BI83" s="161">
        <f t="shared" si="401"/>
        <v>44</v>
      </c>
      <c r="BJ83" s="161">
        <f t="shared" si="401"/>
        <v>45</v>
      </c>
      <c r="BK83" s="161">
        <f t="shared" si="401"/>
        <v>46</v>
      </c>
      <c r="BL83" s="161">
        <f t="shared" si="401"/>
        <v>47</v>
      </c>
      <c r="BM83" s="161">
        <f t="shared" si="401"/>
        <v>48</v>
      </c>
      <c r="BN83" s="161">
        <f t="shared" si="401"/>
        <v>49</v>
      </c>
      <c r="BO83" s="161">
        <f t="shared" si="401"/>
        <v>50</v>
      </c>
      <c r="BP83" s="161">
        <f t="shared" si="401"/>
        <v>51</v>
      </c>
      <c r="BQ83" s="161">
        <f t="shared" si="401"/>
        <v>52</v>
      </c>
      <c r="BR83" s="161">
        <f t="shared" si="401"/>
        <v>53</v>
      </c>
      <c r="BS83" s="161">
        <f t="shared" si="401"/>
        <v>54</v>
      </c>
      <c r="BT83" s="161">
        <f t="shared" si="401"/>
        <v>55</v>
      </c>
      <c r="BU83" s="161">
        <f t="shared" si="401"/>
        <v>56</v>
      </c>
      <c r="BV83" s="161">
        <f t="shared" si="401"/>
        <v>57</v>
      </c>
      <c r="BW83" s="161">
        <f t="shared" si="401"/>
        <v>58</v>
      </c>
      <c r="BX83" s="161">
        <f t="shared" si="401"/>
        <v>59</v>
      </c>
      <c r="BY83" s="161">
        <f t="shared" si="401"/>
        <v>60</v>
      </c>
      <c r="BZ83" s="161">
        <f t="shared" si="401"/>
        <v>61</v>
      </c>
      <c r="CA83" s="161">
        <f t="shared" si="401"/>
        <v>62</v>
      </c>
      <c r="CB83" s="161">
        <f t="shared" si="401"/>
        <v>63</v>
      </c>
      <c r="CC83" s="161">
        <f t="shared" ref="CC83:DH83" si="402">+CC3</f>
        <v>64</v>
      </c>
      <c r="CD83" s="161">
        <f t="shared" si="402"/>
        <v>65</v>
      </c>
      <c r="CE83" s="161">
        <f t="shared" si="402"/>
        <v>66</v>
      </c>
      <c r="CF83" s="161">
        <f t="shared" si="402"/>
        <v>67</v>
      </c>
      <c r="CG83" s="161">
        <f t="shared" si="402"/>
        <v>68</v>
      </c>
      <c r="CH83" s="161">
        <f t="shared" si="402"/>
        <v>69</v>
      </c>
      <c r="CI83" s="161">
        <f t="shared" si="402"/>
        <v>70</v>
      </c>
      <c r="CJ83" s="161">
        <f t="shared" si="402"/>
        <v>71</v>
      </c>
      <c r="CK83" s="161">
        <f t="shared" si="402"/>
        <v>72</v>
      </c>
      <c r="CL83" s="161">
        <f t="shared" si="402"/>
        <v>73</v>
      </c>
      <c r="CM83" s="161">
        <f t="shared" si="402"/>
        <v>74</v>
      </c>
      <c r="CN83" s="161">
        <f t="shared" si="402"/>
        <v>75</v>
      </c>
      <c r="CO83" s="161">
        <f t="shared" si="402"/>
        <v>76</v>
      </c>
      <c r="CP83" s="161">
        <f t="shared" si="402"/>
        <v>77</v>
      </c>
      <c r="CQ83" s="161">
        <f t="shared" si="402"/>
        <v>78</v>
      </c>
      <c r="CR83" s="161">
        <f t="shared" si="402"/>
        <v>79</v>
      </c>
      <c r="CS83" s="161">
        <f t="shared" si="402"/>
        <v>80</v>
      </c>
      <c r="CT83" s="161">
        <f t="shared" si="402"/>
        <v>81</v>
      </c>
      <c r="CU83" s="161">
        <f t="shared" si="402"/>
        <v>82</v>
      </c>
      <c r="CV83" s="161">
        <f t="shared" si="402"/>
        <v>83</v>
      </c>
      <c r="CW83" s="161">
        <f t="shared" si="402"/>
        <v>84</v>
      </c>
      <c r="CX83" s="161">
        <f t="shared" si="402"/>
        <v>85</v>
      </c>
      <c r="CY83" s="161">
        <f t="shared" si="402"/>
        <v>86</v>
      </c>
      <c r="CZ83" s="161">
        <f t="shared" si="402"/>
        <v>87</v>
      </c>
      <c r="DA83" s="161">
        <f t="shared" si="402"/>
        <v>88</v>
      </c>
      <c r="DB83" s="161">
        <f t="shared" si="402"/>
        <v>89</v>
      </c>
      <c r="DC83" s="161">
        <f t="shared" si="402"/>
        <v>90</v>
      </c>
      <c r="DD83" s="161">
        <f t="shared" si="402"/>
        <v>91</v>
      </c>
      <c r="DE83" s="161">
        <f t="shared" si="402"/>
        <v>92</v>
      </c>
      <c r="DF83" s="161">
        <f t="shared" si="402"/>
        <v>93</v>
      </c>
      <c r="DG83" s="161">
        <f t="shared" si="402"/>
        <v>94</v>
      </c>
      <c r="DH83" s="161">
        <f t="shared" si="402"/>
        <v>95</v>
      </c>
      <c r="DI83" s="161">
        <f t="shared" ref="DI83:ES83" si="403">+DI3</f>
        <v>96</v>
      </c>
      <c r="DJ83" s="161">
        <f t="shared" si="403"/>
        <v>97</v>
      </c>
      <c r="DK83" s="161">
        <f t="shared" si="403"/>
        <v>98</v>
      </c>
      <c r="DL83" s="161">
        <f t="shared" si="403"/>
        <v>99</v>
      </c>
      <c r="DM83" s="161">
        <f t="shared" si="403"/>
        <v>100</v>
      </c>
      <c r="DN83" s="161">
        <f t="shared" si="403"/>
        <v>101</v>
      </c>
      <c r="DO83" s="161">
        <f t="shared" si="403"/>
        <v>102</v>
      </c>
      <c r="DP83" s="161">
        <f t="shared" si="403"/>
        <v>103</v>
      </c>
      <c r="DQ83" s="161">
        <f t="shared" si="403"/>
        <v>104</v>
      </c>
      <c r="DR83" s="161">
        <f t="shared" si="403"/>
        <v>105</v>
      </c>
      <c r="DS83" s="161">
        <f t="shared" si="403"/>
        <v>106</v>
      </c>
      <c r="DT83" s="161">
        <f t="shared" si="403"/>
        <v>107</v>
      </c>
      <c r="DU83" s="161">
        <f t="shared" si="403"/>
        <v>108</v>
      </c>
      <c r="DV83" s="161">
        <f t="shared" si="403"/>
        <v>109</v>
      </c>
      <c r="DW83" s="161">
        <f t="shared" si="403"/>
        <v>110</v>
      </c>
      <c r="DX83" s="161">
        <f t="shared" si="403"/>
        <v>111</v>
      </c>
      <c r="DY83" s="161">
        <f t="shared" si="403"/>
        <v>112</v>
      </c>
      <c r="DZ83" s="161">
        <f t="shared" si="403"/>
        <v>113</v>
      </c>
      <c r="EA83" s="161">
        <f t="shared" si="403"/>
        <v>114</v>
      </c>
      <c r="EB83" s="161">
        <f t="shared" si="403"/>
        <v>115</v>
      </c>
      <c r="EC83" s="161">
        <f t="shared" si="403"/>
        <v>116</v>
      </c>
      <c r="ED83" s="161">
        <f t="shared" si="403"/>
        <v>117</v>
      </c>
      <c r="EE83" s="161">
        <f t="shared" si="403"/>
        <v>118</v>
      </c>
      <c r="EF83" s="161">
        <f t="shared" si="403"/>
        <v>119</v>
      </c>
      <c r="EG83" s="161">
        <f t="shared" si="403"/>
        <v>120</v>
      </c>
      <c r="EH83" s="161">
        <f t="shared" si="403"/>
        <v>121</v>
      </c>
      <c r="EI83" s="161">
        <f t="shared" si="403"/>
        <v>122</v>
      </c>
      <c r="EJ83" s="161">
        <f t="shared" si="403"/>
        <v>123</v>
      </c>
      <c r="EK83" s="161">
        <f t="shared" si="403"/>
        <v>124</v>
      </c>
      <c r="EL83" s="161">
        <f t="shared" si="403"/>
        <v>125</v>
      </c>
      <c r="EM83" s="161">
        <f t="shared" si="403"/>
        <v>126</v>
      </c>
      <c r="EN83" s="161">
        <f t="shared" si="403"/>
        <v>127</v>
      </c>
      <c r="EO83" s="161">
        <f t="shared" si="403"/>
        <v>128</v>
      </c>
      <c r="EP83" s="161">
        <f t="shared" si="403"/>
        <v>129</v>
      </c>
      <c r="EQ83" s="161">
        <f t="shared" si="403"/>
        <v>130</v>
      </c>
      <c r="ER83" s="161">
        <f t="shared" si="403"/>
        <v>131</v>
      </c>
      <c r="ES83" s="161">
        <f t="shared" si="403"/>
        <v>132</v>
      </c>
      <c r="EU83" s="153" t="s">
        <v>640</v>
      </c>
      <c r="EV83" s="153"/>
      <c r="EW83" s="153"/>
      <c r="EX83" s="153"/>
      <c r="EY83" s="153"/>
      <c r="EZ83" s="154"/>
      <c r="FA83" s="303">
        <f>IFERROR(FA81/FA59,0)</f>
        <v>0</v>
      </c>
      <c r="FB83" s="304">
        <f>IFERROR((FB81-FA81)/FB59,0)</f>
        <v>0</v>
      </c>
      <c r="FC83" s="304">
        <f t="shared" ref="FC83:HN83" si="404">IFERROR((FC81-FB81)/FC59,0)</f>
        <v>0</v>
      </c>
      <c r="FD83" s="304">
        <f t="shared" si="404"/>
        <v>0</v>
      </c>
      <c r="FE83" s="304">
        <f t="shared" si="404"/>
        <v>0</v>
      </c>
      <c r="FF83" s="304">
        <f t="shared" si="404"/>
        <v>1</v>
      </c>
      <c r="FG83" s="304">
        <f t="shared" si="404"/>
        <v>1</v>
      </c>
      <c r="FH83" s="304">
        <f t="shared" si="404"/>
        <v>1.0000000000000002</v>
      </c>
      <c r="FI83" s="304">
        <f t="shared" si="404"/>
        <v>1</v>
      </c>
      <c r="FJ83" s="304">
        <f t="shared" si="404"/>
        <v>1.0000000000000002</v>
      </c>
      <c r="FK83" s="304">
        <f t="shared" si="404"/>
        <v>1.0000000000000013</v>
      </c>
      <c r="FL83" s="304">
        <f t="shared" si="404"/>
        <v>1.0000000000000004</v>
      </c>
      <c r="FM83" s="304">
        <f t="shared" si="404"/>
        <v>0.999999999999997</v>
      </c>
      <c r="FN83" s="304">
        <f t="shared" si="404"/>
        <v>1</v>
      </c>
      <c r="FO83" s="304">
        <f t="shared" si="404"/>
        <v>1.0000000000000013</v>
      </c>
      <c r="FP83" s="304">
        <f t="shared" si="404"/>
        <v>0</v>
      </c>
      <c r="FQ83" s="304">
        <f t="shared" si="404"/>
        <v>0</v>
      </c>
      <c r="FR83" s="304">
        <f t="shared" si="404"/>
        <v>0</v>
      </c>
      <c r="FS83" s="304">
        <f t="shared" si="404"/>
        <v>0</v>
      </c>
      <c r="FT83" s="304">
        <f t="shared" si="404"/>
        <v>0</v>
      </c>
      <c r="FU83" s="304">
        <f t="shared" si="404"/>
        <v>0</v>
      </c>
      <c r="FV83" s="304">
        <f t="shared" si="404"/>
        <v>0</v>
      </c>
      <c r="FW83" s="304">
        <f t="shared" si="404"/>
        <v>0</v>
      </c>
      <c r="FX83" s="304">
        <f t="shared" si="404"/>
        <v>0</v>
      </c>
      <c r="FY83" s="304">
        <f t="shared" si="404"/>
        <v>0</v>
      </c>
      <c r="FZ83" s="304">
        <f t="shared" si="404"/>
        <v>0</v>
      </c>
      <c r="GA83" s="304">
        <f t="shared" si="404"/>
        <v>0</v>
      </c>
      <c r="GB83" s="304">
        <f t="shared" si="404"/>
        <v>0</v>
      </c>
      <c r="GC83" s="304">
        <f t="shared" si="404"/>
        <v>0</v>
      </c>
      <c r="GD83" s="304">
        <f t="shared" si="404"/>
        <v>0</v>
      </c>
      <c r="GE83" s="304">
        <f t="shared" si="404"/>
        <v>0</v>
      </c>
      <c r="GF83" s="304">
        <f t="shared" si="404"/>
        <v>0</v>
      </c>
      <c r="GG83" s="304">
        <f t="shared" si="404"/>
        <v>0</v>
      </c>
      <c r="GH83" s="304">
        <f t="shared" si="404"/>
        <v>0</v>
      </c>
      <c r="GI83" s="304">
        <f t="shared" si="404"/>
        <v>0</v>
      </c>
      <c r="GJ83" s="304">
        <f t="shared" si="404"/>
        <v>0</v>
      </c>
      <c r="GK83" s="304">
        <f t="shared" si="404"/>
        <v>0</v>
      </c>
      <c r="GL83" s="304">
        <f t="shared" si="404"/>
        <v>0</v>
      </c>
      <c r="GM83" s="304">
        <f t="shared" si="404"/>
        <v>0</v>
      </c>
      <c r="GN83" s="304">
        <f t="shared" si="404"/>
        <v>0</v>
      </c>
      <c r="GO83" s="304">
        <f t="shared" si="404"/>
        <v>0</v>
      </c>
      <c r="GP83" s="304">
        <f t="shared" si="404"/>
        <v>0</v>
      </c>
      <c r="GQ83" s="304">
        <f t="shared" si="404"/>
        <v>0</v>
      </c>
      <c r="GR83" s="304">
        <f t="shared" si="404"/>
        <v>0</v>
      </c>
      <c r="GS83" s="304">
        <f t="shared" si="404"/>
        <v>0</v>
      </c>
      <c r="GT83" s="304">
        <f t="shared" si="404"/>
        <v>0</v>
      </c>
      <c r="GU83" s="304">
        <f t="shared" si="404"/>
        <v>0</v>
      </c>
      <c r="GV83" s="304">
        <f t="shared" si="404"/>
        <v>0</v>
      </c>
      <c r="GW83" s="304">
        <f t="shared" si="404"/>
        <v>0</v>
      </c>
      <c r="GX83" s="304">
        <f t="shared" si="404"/>
        <v>0</v>
      </c>
      <c r="GY83" s="304">
        <f t="shared" si="404"/>
        <v>0</v>
      </c>
      <c r="GZ83" s="304">
        <f t="shared" si="404"/>
        <v>0</v>
      </c>
      <c r="HA83" s="304">
        <f t="shared" si="404"/>
        <v>0</v>
      </c>
      <c r="HB83" s="304">
        <f t="shared" si="404"/>
        <v>0</v>
      </c>
      <c r="HC83" s="304">
        <f t="shared" si="404"/>
        <v>0</v>
      </c>
      <c r="HD83" s="304">
        <f t="shared" si="404"/>
        <v>0</v>
      </c>
      <c r="HE83" s="304">
        <f t="shared" si="404"/>
        <v>0</v>
      </c>
      <c r="HF83" s="304">
        <f t="shared" si="404"/>
        <v>0</v>
      </c>
      <c r="HG83" s="304">
        <f t="shared" si="404"/>
        <v>0</v>
      </c>
      <c r="HH83" s="304">
        <f t="shared" si="404"/>
        <v>0</v>
      </c>
      <c r="HI83" s="304">
        <f t="shared" si="404"/>
        <v>0</v>
      </c>
      <c r="HJ83" s="304">
        <f t="shared" si="404"/>
        <v>0</v>
      </c>
      <c r="HK83" s="304">
        <f t="shared" si="404"/>
        <v>0</v>
      </c>
      <c r="HL83" s="304">
        <f t="shared" si="404"/>
        <v>0</v>
      </c>
      <c r="HM83" s="304">
        <f t="shared" si="404"/>
        <v>0</v>
      </c>
      <c r="HN83" s="304">
        <f t="shared" si="404"/>
        <v>0</v>
      </c>
      <c r="HO83" s="304">
        <f t="shared" ref="HO83:JZ83" si="405">IFERROR((HO81-HN81)/HO59,0)</f>
        <v>0</v>
      </c>
      <c r="HP83" s="304">
        <f t="shared" si="405"/>
        <v>0</v>
      </c>
      <c r="HQ83" s="304">
        <f t="shared" si="405"/>
        <v>0</v>
      </c>
      <c r="HR83" s="304">
        <f t="shared" si="405"/>
        <v>0</v>
      </c>
      <c r="HS83" s="304">
        <f t="shared" si="405"/>
        <v>0</v>
      </c>
      <c r="HT83" s="304">
        <f t="shared" si="405"/>
        <v>0</v>
      </c>
      <c r="HU83" s="304">
        <f t="shared" si="405"/>
        <v>0</v>
      </c>
      <c r="HV83" s="304">
        <f t="shared" si="405"/>
        <v>0</v>
      </c>
      <c r="HW83" s="304">
        <f t="shared" si="405"/>
        <v>0</v>
      </c>
      <c r="HX83" s="304">
        <f t="shared" si="405"/>
        <v>0</v>
      </c>
      <c r="HY83" s="304">
        <f t="shared" si="405"/>
        <v>0</v>
      </c>
      <c r="HZ83" s="304">
        <f t="shared" si="405"/>
        <v>0</v>
      </c>
      <c r="IA83" s="304">
        <f t="shared" si="405"/>
        <v>0</v>
      </c>
      <c r="IB83" s="304">
        <f t="shared" si="405"/>
        <v>0</v>
      </c>
      <c r="IC83" s="304">
        <f t="shared" si="405"/>
        <v>0</v>
      </c>
      <c r="ID83" s="304">
        <f t="shared" si="405"/>
        <v>0</v>
      </c>
      <c r="IE83" s="304">
        <f t="shared" si="405"/>
        <v>0</v>
      </c>
      <c r="IF83" s="304">
        <f t="shared" si="405"/>
        <v>0</v>
      </c>
      <c r="IG83" s="304">
        <f t="shared" si="405"/>
        <v>0</v>
      </c>
      <c r="IH83" s="304">
        <f t="shared" si="405"/>
        <v>0</v>
      </c>
      <c r="II83" s="304">
        <f t="shared" si="405"/>
        <v>0</v>
      </c>
      <c r="IJ83" s="304">
        <f t="shared" si="405"/>
        <v>0</v>
      </c>
      <c r="IK83" s="304">
        <f t="shared" si="405"/>
        <v>0</v>
      </c>
      <c r="IL83" s="304">
        <f t="shared" si="405"/>
        <v>0</v>
      </c>
      <c r="IM83" s="304">
        <f t="shared" si="405"/>
        <v>0</v>
      </c>
      <c r="IN83" s="304">
        <f t="shared" si="405"/>
        <v>0</v>
      </c>
      <c r="IO83" s="304">
        <f t="shared" si="405"/>
        <v>0</v>
      </c>
      <c r="IP83" s="304">
        <f t="shared" si="405"/>
        <v>0</v>
      </c>
      <c r="IQ83" s="304">
        <f t="shared" si="405"/>
        <v>0</v>
      </c>
      <c r="IR83" s="304">
        <f t="shared" si="405"/>
        <v>0</v>
      </c>
      <c r="IS83" s="304">
        <f t="shared" si="405"/>
        <v>0</v>
      </c>
      <c r="IT83" s="304">
        <f t="shared" si="405"/>
        <v>0</v>
      </c>
      <c r="IU83" s="304">
        <f t="shared" si="405"/>
        <v>0</v>
      </c>
      <c r="IV83" s="304">
        <f t="shared" si="405"/>
        <v>0</v>
      </c>
      <c r="IW83" s="304">
        <f t="shared" si="405"/>
        <v>0</v>
      </c>
      <c r="IX83" s="304">
        <f t="shared" si="405"/>
        <v>0</v>
      </c>
      <c r="IY83" s="304">
        <f t="shared" si="405"/>
        <v>0</v>
      </c>
      <c r="IZ83" s="304">
        <f t="shared" si="405"/>
        <v>0</v>
      </c>
      <c r="JA83" s="304">
        <f t="shared" si="405"/>
        <v>0</v>
      </c>
      <c r="JB83" s="304">
        <f t="shared" si="405"/>
        <v>0</v>
      </c>
      <c r="JC83" s="304">
        <f t="shared" si="405"/>
        <v>0</v>
      </c>
      <c r="JD83" s="304">
        <f t="shared" si="405"/>
        <v>0</v>
      </c>
      <c r="JE83" s="304">
        <f t="shared" si="405"/>
        <v>0</v>
      </c>
      <c r="JF83" s="304">
        <f t="shared" si="405"/>
        <v>0</v>
      </c>
      <c r="JG83" s="304">
        <f t="shared" si="405"/>
        <v>0</v>
      </c>
      <c r="JH83" s="304">
        <f t="shared" si="405"/>
        <v>0</v>
      </c>
      <c r="JI83" s="304">
        <f t="shared" si="405"/>
        <v>0</v>
      </c>
      <c r="JJ83" s="304">
        <f t="shared" si="405"/>
        <v>0</v>
      </c>
      <c r="JK83" s="304">
        <f t="shared" si="405"/>
        <v>0</v>
      </c>
      <c r="JL83" s="304">
        <f t="shared" si="405"/>
        <v>0</v>
      </c>
      <c r="JM83" s="304">
        <f t="shared" si="405"/>
        <v>0</v>
      </c>
      <c r="JN83" s="304">
        <f t="shared" si="405"/>
        <v>0</v>
      </c>
      <c r="JO83" s="304">
        <f t="shared" si="405"/>
        <v>0</v>
      </c>
      <c r="JP83" s="304">
        <f t="shared" si="405"/>
        <v>0</v>
      </c>
      <c r="JQ83" s="304">
        <f t="shared" si="405"/>
        <v>0</v>
      </c>
      <c r="JR83" s="304">
        <f t="shared" si="405"/>
        <v>0</v>
      </c>
      <c r="JS83" s="304">
        <f t="shared" si="405"/>
        <v>0</v>
      </c>
      <c r="JT83" s="304">
        <f t="shared" si="405"/>
        <v>0</v>
      </c>
      <c r="JU83" s="304">
        <f t="shared" si="405"/>
        <v>0</v>
      </c>
      <c r="JV83" s="304">
        <f t="shared" si="405"/>
        <v>0</v>
      </c>
      <c r="JW83" s="304">
        <f t="shared" si="405"/>
        <v>0</v>
      </c>
      <c r="JX83" s="304">
        <f t="shared" si="405"/>
        <v>0</v>
      </c>
      <c r="JY83" s="304">
        <f t="shared" si="405"/>
        <v>0</v>
      </c>
      <c r="JZ83" s="304">
        <f t="shared" si="405"/>
        <v>0</v>
      </c>
      <c r="KA83" s="304">
        <f t="shared" ref="KA83:KC83" si="406">IFERROR((KA81-JZ81)/KA59,0)</f>
        <v>0</v>
      </c>
      <c r="KB83" s="304">
        <f t="shared" si="406"/>
        <v>0</v>
      </c>
      <c r="KC83" s="304">
        <f t="shared" si="406"/>
        <v>0</v>
      </c>
    </row>
    <row r="84" spans="1:289" s="264" customFormat="1" ht="14.25" customHeight="1" x14ac:dyDescent="0.25">
      <c r="A84" s="258"/>
      <c r="B84" s="234" t="s">
        <v>576</v>
      </c>
      <c r="C84" s="215">
        <f>Stabilization_1st_Month</f>
        <v>14</v>
      </c>
      <c r="D84" s="294"/>
      <c r="E84" s="294"/>
      <c r="F84" s="295"/>
      <c r="G84" s="269" t="s">
        <v>653</v>
      </c>
      <c r="H84" s="305">
        <v>1.4999999999999999E-2</v>
      </c>
      <c r="I84" s="218">
        <f ca="1">-H84*I83</f>
        <v>-36900.959124144021</v>
      </c>
      <c r="Q84" s="220">
        <f t="shared" ref="Q84:AV84" ca="1" si="407">(PermDebt_Fund=Q3)*Perm_Debt?*$I83*(1-$H$84)</f>
        <v>0</v>
      </c>
      <c r="R84" s="220">
        <f t="shared" ca="1" si="407"/>
        <v>0</v>
      </c>
      <c r="S84" s="220">
        <f t="shared" ca="1" si="407"/>
        <v>0</v>
      </c>
      <c r="T84" s="220">
        <f t="shared" ca="1" si="407"/>
        <v>0</v>
      </c>
      <c r="U84" s="220">
        <f t="shared" ca="1" si="407"/>
        <v>0</v>
      </c>
      <c r="V84" s="220">
        <f t="shared" ca="1" si="407"/>
        <v>0</v>
      </c>
      <c r="W84" s="220">
        <f t="shared" ca="1" si="407"/>
        <v>0</v>
      </c>
      <c r="X84" s="220">
        <f t="shared" ca="1" si="407"/>
        <v>0</v>
      </c>
      <c r="Y84" s="220">
        <f t="shared" ca="1" si="407"/>
        <v>0</v>
      </c>
      <c r="Z84" s="220">
        <f t="shared" ca="1" si="407"/>
        <v>0</v>
      </c>
      <c r="AA84" s="220">
        <f t="shared" ca="1" si="407"/>
        <v>0</v>
      </c>
      <c r="AB84" s="220">
        <f t="shared" ca="1" si="407"/>
        <v>0</v>
      </c>
      <c r="AC84" s="220">
        <f t="shared" ca="1" si="407"/>
        <v>0</v>
      </c>
      <c r="AD84" s="220">
        <f t="shared" ca="1" si="407"/>
        <v>0</v>
      </c>
      <c r="AE84" s="220">
        <f t="shared" ca="1" si="407"/>
        <v>2423162.9824854573</v>
      </c>
      <c r="AF84" s="220">
        <f t="shared" ca="1" si="407"/>
        <v>0</v>
      </c>
      <c r="AG84" s="220">
        <f t="shared" ca="1" si="407"/>
        <v>0</v>
      </c>
      <c r="AH84" s="220">
        <f t="shared" ca="1" si="407"/>
        <v>0</v>
      </c>
      <c r="AI84" s="220">
        <f t="shared" ca="1" si="407"/>
        <v>0</v>
      </c>
      <c r="AJ84" s="220">
        <f t="shared" ca="1" si="407"/>
        <v>0</v>
      </c>
      <c r="AK84" s="220">
        <f t="shared" ca="1" si="407"/>
        <v>0</v>
      </c>
      <c r="AL84" s="220">
        <f t="shared" ca="1" si="407"/>
        <v>0</v>
      </c>
      <c r="AM84" s="220">
        <f t="shared" ca="1" si="407"/>
        <v>0</v>
      </c>
      <c r="AN84" s="220">
        <f t="shared" ca="1" si="407"/>
        <v>0</v>
      </c>
      <c r="AO84" s="220">
        <f t="shared" ca="1" si="407"/>
        <v>0</v>
      </c>
      <c r="AP84" s="220">
        <f t="shared" ca="1" si="407"/>
        <v>0</v>
      </c>
      <c r="AQ84" s="220">
        <f t="shared" ca="1" si="407"/>
        <v>0</v>
      </c>
      <c r="AR84" s="220">
        <f t="shared" ca="1" si="407"/>
        <v>0</v>
      </c>
      <c r="AS84" s="220">
        <f t="shared" ca="1" si="407"/>
        <v>0</v>
      </c>
      <c r="AT84" s="220">
        <f t="shared" ca="1" si="407"/>
        <v>0</v>
      </c>
      <c r="AU84" s="220">
        <f t="shared" ca="1" si="407"/>
        <v>0</v>
      </c>
      <c r="AV84" s="220">
        <f t="shared" ca="1" si="407"/>
        <v>0</v>
      </c>
      <c r="AW84" s="220">
        <f t="shared" ref="AW84:CB84" ca="1" si="408">(PermDebt_Fund=AW3)*Perm_Debt?*$I83*(1-$H$84)</f>
        <v>0</v>
      </c>
      <c r="AX84" s="220">
        <f t="shared" ca="1" si="408"/>
        <v>0</v>
      </c>
      <c r="AY84" s="220">
        <f t="shared" ca="1" si="408"/>
        <v>0</v>
      </c>
      <c r="AZ84" s="220">
        <f t="shared" ca="1" si="408"/>
        <v>0</v>
      </c>
      <c r="BA84" s="220">
        <f t="shared" ca="1" si="408"/>
        <v>0</v>
      </c>
      <c r="BB84" s="220">
        <f t="shared" ca="1" si="408"/>
        <v>0</v>
      </c>
      <c r="BC84" s="220">
        <f t="shared" ca="1" si="408"/>
        <v>0</v>
      </c>
      <c r="BD84" s="220">
        <f t="shared" ca="1" si="408"/>
        <v>0</v>
      </c>
      <c r="BE84" s="220">
        <f t="shared" ca="1" si="408"/>
        <v>0</v>
      </c>
      <c r="BF84" s="220">
        <f t="shared" ca="1" si="408"/>
        <v>0</v>
      </c>
      <c r="BG84" s="220">
        <f t="shared" ca="1" si="408"/>
        <v>0</v>
      </c>
      <c r="BH84" s="220">
        <f t="shared" ca="1" si="408"/>
        <v>0</v>
      </c>
      <c r="BI84" s="220">
        <f t="shared" ca="1" si="408"/>
        <v>0</v>
      </c>
      <c r="BJ84" s="220">
        <f t="shared" ca="1" si="408"/>
        <v>0</v>
      </c>
      <c r="BK84" s="220">
        <f t="shared" ca="1" si="408"/>
        <v>0</v>
      </c>
      <c r="BL84" s="220">
        <f t="shared" ca="1" si="408"/>
        <v>0</v>
      </c>
      <c r="BM84" s="220">
        <f t="shared" ca="1" si="408"/>
        <v>0</v>
      </c>
      <c r="BN84" s="220">
        <f t="shared" ca="1" si="408"/>
        <v>0</v>
      </c>
      <c r="BO84" s="220">
        <f t="shared" ca="1" si="408"/>
        <v>0</v>
      </c>
      <c r="BP84" s="220">
        <f t="shared" ca="1" si="408"/>
        <v>0</v>
      </c>
      <c r="BQ84" s="220">
        <f t="shared" ca="1" si="408"/>
        <v>0</v>
      </c>
      <c r="BR84" s="220">
        <f t="shared" ca="1" si="408"/>
        <v>0</v>
      </c>
      <c r="BS84" s="220">
        <f t="shared" ca="1" si="408"/>
        <v>0</v>
      </c>
      <c r="BT84" s="220">
        <f t="shared" ca="1" si="408"/>
        <v>0</v>
      </c>
      <c r="BU84" s="220">
        <f t="shared" ca="1" si="408"/>
        <v>0</v>
      </c>
      <c r="BV84" s="220">
        <f t="shared" ca="1" si="408"/>
        <v>0</v>
      </c>
      <c r="BW84" s="220">
        <f t="shared" ca="1" si="408"/>
        <v>0</v>
      </c>
      <c r="BX84" s="220">
        <f t="shared" ca="1" si="408"/>
        <v>0</v>
      </c>
      <c r="BY84" s="220">
        <f t="shared" ca="1" si="408"/>
        <v>0</v>
      </c>
      <c r="BZ84" s="220">
        <f t="shared" ca="1" si="408"/>
        <v>0</v>
      </c>
      <c r="CA84" s="220">
        <f t="shared" ca="1" si="408"/>
        <v>0</v>
      </c>
      <c r="CB84" s="220">
        <f t="shared" ca="1" si="408"/>
        <v>0</v>
      </c>
      <c r="CC84" s="220">
        <f t="shared" ref="CC84:DH84" ca="1" si="409">(PermDebt_Fund=CC3)*Perm_Debt?*$I83*(1-$H$84)</f>
        <v>0</v>
      </c>
      <c r="CD84" s="220">
        <f t="shared" ca="1" si="409"/>
        <v>0</v>
      </c>
      <c r="CE84" s="220">
        <f t="shared" ca="1" si="409"/>
        <v>0</v>
      </c>
      <c r="CF84" s="220">
        <f t="shared" ca="1" si="409"/>
        <v>0</v>
      </c>
      <c r="CG84" s="220">
        <f t="shared" ca="1" si="409"/>
        <v>0</v>
      </c>
      <c r="CH84" s="220">
        <f t="shared" ca="1" si="409"/>
        <v>0</v>
      </c>
      <c r="CI84" s="220">
        <f t="shared" ca="1" si="409"/>
        <v>0</v>
      </c>
      <c r="CJ84" s="220">
        <f t="shared" ca="1" si="409"/>
        <v>0</v>
      </c>
      <c r="CK84" s="220">
        <f t="shared" ca="1" si="409"/>
        <v>0</v>
      </c>
      <c r="CL84" s="220">
        <f t="shared" ca="1" si="409"/>
        <v>0</v>
      </c>
      <c r="CM84" s="220">
        <f t="shared" ca="1" si="409"/>
        <v>0</v>
      </c>
      <c r="CN84" s="220">
        <f t="shared" ca="1" si="409"/>
        <v>0</v>
      </c>
      <c r="CO84" s="220">
        <f t="shared" ca="1" si="409"/>
        <v>0</v>
      </c>
      <c r="CP84" s="220">
        <f t="shared" ca="1" si="409"/>
        <v>0</v>
      </c>
      <c r="CQ84" s="220">
        <f t="shared" ca="1" si="409"/>
        <v>0</v>
      </c>
      <c r="CR84" s="220">
        <f t="shared" ca="1" si="409"/>
        <v>0</v>
      </c>
      <c r="CS84" s="220">
        <f t="shared" ca="1" si="409"/>
        <v>0</v>
      </c>
      <c r="CT84" s="220">
        <f t="shared" ca="1" si="409"/>
        <v>0</v>
      </c>
      <c r="CU84" s="220">
        <f t="shared" ca="1" si="409"/>
        <v>0</v>
      </c>
      <c r="CV84" s="220">
        <f t="shared" ca="1" si="409"/>
        <v>0</v>
      </c>
      <c r="CW84" s="220">
        <f t="shared" ca="1" si="409"/>
        <v>0</v>
      </c>
      <c r="CX84" s="220">
        <f t="shared" ca="1" si="409"/>
        <v>0</v>
      </c>
      <c r="CY84" s="220">
        <f t="shared" ca="1" si="409"/>
        <v>0</v>
      </c>
      <c r="CZ84" s="220">
        <f t="shared" ca="1" si="409"/>
        <v>0</v>
      </c>
      <c r="DA84" s="220">
        <f t="shared" ca="1" si="409"/>
        <v>0</v>
      </c>
      <c r="DB84" s="220">
        <f t="shared" ca="1" si="409"/>
        <v>0</v>
      </c>
      <c r="DC84" s="220">
        <f t="shared" ca="1" si="409"/>
        <v>0</v>
      </c>
      <c r="DD84" s="220">
        <f t="shared" ca="1" si="409"/>
        <v>0</v>
      </c>
      <c r="DE84" s="220">
        <f t="shared" ca="1" si="409"/>
        <v>0</v>
      </c>
      <c r="DF84" s="220">
        <f t="shared" ca="1" si="409"/>
        <v>0</v>
      </c>
      <c r="DG84" s="220">
        <f t="shared" ca="1" si="409"/>
        <v>0</v>
      </c>
      <c r="DH84" s="220">
        <f t="shared" ca="1" si="409"/>
        <v>0</v>
      </c>
      <c r="DI84" s="220">
        <f t="shared" ref="DI84:EN84" ca="1" si="410">(PermDebt_Fund=DI3)*Perm_Debt?*$I83*(1-$H$84)</f>
        <v>0</v>
      </c>
      <c r="DJ84" s="220">
        <f t="shared" ca="1" si="410"/>
        <v>0</v>
      </c>
      <c r="DK84" s="220">
        <f t="shared" ca="1" si="410"/>
        <v>0</v>
      </c>
      <c r="DL84" s="220">
        <f t="shared" ca="1" si="410"/>
        <v>0</v>
      </c>
      <c r="DM84" s="220">
        <f t="shared" ca="1" si="410"/>
        <v>0</v>
      </c>
      <c r="DN84" s="220">
        <f t="shared" ca="1" si="410"/>
        <v>0</v>
      </c>
      <c r="DO84" s="220">
        <f t="shared" ca="1" si="410"/>
        <v>0</v>
      </c>
      <c r="DP84" s="220">
        <f t="shared" ca="1" si="410"/>
        <v>0</v>
      </c>
      <c r="DQ84" s="220">
        <f t="shared" ca="1" si="410"/>
        <v>0</v>
      </c>
      <c r="DR84" s="220">
        <f t="shared" ca="1" si="410"/>
        <v>0</v>
      </c>
      <c r="DS84" s="220">
        <f t="shared" ca="1" si="410"/>
        <v>0</v>
      </c>
      <c r="DT84" s="220">
        <f t="shared" ca="1" si="410"/>
        <v>0</v>
      </c>
      <c r="DU84" s="220">
        <f t="shared" ca="1" si="410"/>
        <v>0</v>
      </c>
      <c r="DV84" s="220">
        <f t="shared" ca="1" si="410"/>
        <v>0</v>
      </c>
      <c r="DW84" s="220">
        <f t="shared" ca="1" si="410"/>
        <v>0</v>
      </c>
      <c r="DX84" s="220">
        <f t="shared" ca="1" si="410"/>
        <v>0</v>
      </c>
      <c r="DY84" s="220">
        <f t="shared" ca="1" si="410"/>
        <v>0</v>
      </c>
      <c r="DZ84" s="220">
        <f t="shared" ca="1" si="410"/>
        <v>0</v>
      </c>
      <c r="EA84" s="220">
        <f t="shared" ca="1" si="410"/>
        <v>0</v>
      </c>
      <c r="EB84" s="220">
        <f t="shared" ca="1" si="410"/>
        <v>0</v>
      </c>
      <c r="EC84" s="220">
        <f t="shared" ca="1" si="410"/>
        <v>0</v>
      </c>
      <c r="ED84" s="220">
        <f t="shared" ca="1" si="410"/>
        <v>0</v>
      </c>
      <c r="EE84" s="220">
        <f t="shared" ca="1" si="410"/>
        <v>0</v>
      </c>
      <c r="EF84" s="220">
        <f t="shared" ca="1" si="410"/>
        <v>0</v>
      </c>
      <c r="EG84" s="220">
        <f t="shared" ca="1" si="410"/>
        <v>0</v>
      </c>
      <c r="EH84" s="220">
        <f t="shared" ca="1" si="410"/>
        <v>0</v>
      </c>
      <c r="EI84" s="220">
        <f t="shared" ca="1" si="410"/>
        <v>0</v>
      </c>
      <c r="EJ84" s="220">
        <f t="shared" ca="1" si="410"/>
        <v>0</v>
      </c>
      <c r="EK84" s="220">
        <f t="shared" ca="1" si="410"/>
        <v>0</v>
      </c>
      <c r="EL84" s="220">
        <f t="shared" ca="1" si="410"/>
        <v>0</v>
      </c>
      <c r="EM84" s="220">
        <f t="shared" ca="1" si="410"/>
        <v>0</v>
      </c>
      <c r="EN84" s="220">
        <f t="shared" ca="1" si="410"/>
        <v>0</v>
      </c>
      <c r="EO84" s="220">
        <f t="shared" ref="EO84:ES84" ca="1" si="411">(PermDebt_Fund=EO3)*Perm_Debt?*$I83*(1-$H$84)</f>
        <v>0</v>
      </c>
      <c r="EP84" s="220">
        <f t="shared" ca="1" si="411"/>
        <v>0</v>
      </c>
      <c r="EQ84" s="220">
        <f t="shared" ca="1" si="411"/>
        <v>0</v>
      </c>
      <c r="ER84" s="220">
        <f t="shared" ca="1" si="411"/>
        <v>0</v>
      </c>
      <c r="ES84" s="220">
        <f t="shared" ca="1" si="411"/>
        <v>0</v>
      </c>
      <c r="EU84" s="153" t="s">
        <v>744</v>
      </c>
      <c r="EV84" s="153"/>
      <c r="EW84" s="153"/>
      <c r="EX84" s="153"/>
      <c r="EY84" s="153"/>
      <c r="EZ84" s="250">
        <f>EZ81+EZ82</f>
        <v>2294479.8678814289</v>
      </c>
      <c r="FA84" s="250">
        <f t="shared" ref="FA84:GF84" si="412">(FA3&lt;=ConstDebt_Payoff)*(FA81+FA82)</f>
        <v>0</v>
      </c>
      <c r="FB84" s="250">
        <f t="shared" si="412"/>
        <v>0</v>
      </c>
      <c r="FC84" s="250">
        <f t="shared" si="412"/>
        <v>0</v>
      </c>
      <c r="FD84" s="250">
        <f t="shared" si="412"/>
        <v>0</v>
      </c>
      <c r="FE84" s="250">
        <f t="shared" si="412"/>
        <v>0</v>
      </c>
      <c r="FF84" s="250">
        <f t="shared" si="412"/>
        <v>154995.56547462335</v>
      </c>
      <c r="FG84" s="250">
        <f t="shared" si="412"/>
        <v>741579.86788142903</v>
      </c>
      <c r="FH84" s="250">
        <f t="shared" si="412"/>
        <v>1326161.3131453777</v>
      </c>
      <c r="FI84" s="250">
        <f t="shared" si="412"/>
        <v>1783788.3700714516</v>
      </c>
      <c r="FJ84" s="250">
        <f t="shared" si="412"/>
        <v>2064222.8062157703</v>
      </c>
      <c r="FK84" s="250">
        <f t="shared" si="412"/>
        <v>2198739.7506141663</v>
      </c>
      <c r="FL84" s="250">
        <f t="shared" si="412"/>
        <v>2249241.8167587472</v>
      </c>
      <c r="FM84" s="250">
        <f t="shared" si="412"/>
        <v>2264079.8678814294</v>
      </c>
      <c r="FN84" s="250">
        <f t="shared" si="412"/>
        <v>2279279.8678814294</v>
      </c>
      <c r="FO84" s="250">
        <f t="shared" si="412"/>
        <v>2294479.8678814289</v>
      </c>
      <c r="FP84" s="250">
        <f t="shared" si="412"/>
        <v>0</v>
      </c>
      <c r="FQ84" s="250">
        <f t="shared" si="412"/>
        <v>0</v>
      </c>
      <c r="FR84" s="250">
        <f t="shared" si="412"/>
        <v>0</v>
      </c>
      <c r="FS84" s="250">
        <f t="shared" si="412"/>
        <v>0</v>
      </c>
      <c r="FT84" s="250">
        <f t="shared" si="412"/>
        <v>0</v>
      </c>
      <c r="FU84" s="250">
        <f t="shared" si="412"/>
        <v>0</v>
      </c>
      <c r="FV84" s="250">
        <f t="shared" si="412"/>
        <v>0</v>
      </c>
      <c r="FW84" s="250">
        <f t="shared" si="412"/>
        <v>0</v>
      </c>
      <c r="FX84" s="250">
        <f t="shared" si="412"/>
        <v>0</v>
      </c>
      <c r="FY84" s="250">
        <f t="shared" si="412"/>
        <v>0</v>
      </c>
      <c r="FZ84" s="250">
        <f t="shared" si="412"/>
        <v>0</v>
      </c>
      <c r="GA84" s="250">
        <f t="shared" si="412"/>
        <v>0</v>
      </c>
      <c r="GB84" s="250">
        <f t="shared" si="412"/>
        <v>0</v>
      </c>
      <c r="GC84" s="250">
        <f t="shared" si="412"/>
        <v>0</v>
      </c>
      <c r="GD84" s="250">
        <f t="shared" si="412"/>
        <v>0</v>
      </c>
      <c r="GE84" s="250">
        <f t="shared" si="412"/>
        <v>0</v>
      </c>
      <c r="GF84" s="250">
        <f t="shared" si="412"/>
        <v>0</v>
      </c>
      <c r="GG84" s="250">
        <f t="shared" ref="GG84:HL84" si="413">(GG3&lt;=ConstDebt_Payoff)*(GG81+GG82)</f>
        <v>0</v>
      </c>
      <c r="GH84" s="250">
        <f t="shared" si="413"/>
        <v>0</v>
      </c>
      <c r="GI84" s="250">
        <f t="shared" si="413"/>
        <v>0</v>
      </c>
      <c r="GJ84" s="250">
        <f t="shared" si="413"/>
        <v>0</v>
      </c>
      <c r="GK84" s="250">
        <f t="shared" si="413"/>
        <v>0</v>
      </c>
      <c r="GL84" s="250">
        <f t="shared" si="413"/>
        <v>0</v>
      </c>
      <c r="GM84" s="250">
        <f t="shared" si="413"/>
        <v>0</v>
      </c>
      <c r="GN84" s="250">
        <f t="shared" si="413"/>
        <v>0</v>
      </c>
      <c r="GO84" s="250">
        <f t="shared" si="413"/>
        <v>0</v>
      </c>
      <c r="GP84" s="250">
        <f t="shared" si="413"/>
        <v>0</v>
      </c>
      <c r="GQ84" s="250">
        <f t="shared" si="413"/>
        <v>0</v>
      </c>
      <c r="GR84" s="250">
        <f t="shared" si="413"/>
        <v>0</v>
      </c>
      <c r="GS84" s="250">
        <f t="shared" si="413"/>
        <v>0</v>
      </c>
      <c r="GT84" s="250">
        <f t="shared" si="413"/>
        <v>0</v>
      </c>
      <c r="GU84" s="250">
        <f t="shared" si="413"/>
        <v>0</v>
      </c>
      <c r="GV84" s="250">
        <f t="shared" si="413"/>
        <v>0</v>
      </c>
      <c r="GW84" s="250">
        <f t="shared" si="413"/>
        <v>0</v>
      </c>
      <c r="GX84" s="250">
        <f t="shared" si="413"/>
        <v>0</v>
      </c>
      <c r="GY84" s="250">
        <f t="shared" si="413"/>
        <v>0</v>
      </c>
      <c r="GZ84" s="250">
        <f t="shared" si="413"/>
        <v>0</v>
      </c>
      <c r="HA84" s="250">
        <f t="shared" si="413"/>
        <v>0</v>
      </c>
      <c r="HB84" s="250">
        <f t="shared" si="413"/>
        <v>0</v>
      </c>
      <c r="HC84" s="250">
        <f t="shared" si="413"/>
        <v>0</v>
      </c>
      <c r="HD84" s="250">
        <f t="shared" si="413"/>
        <v>0</v>
      </c>
      <c r="HE84" s="250">
        <f t="shared" si="413"/>
        <v>0</v>
      </c>
      <c r="HF84" s="250">
        <f t="shared" si="413"/>
        <v>0</v>
      </c>
      <c r="HG84" s="250">
        <f t="shared" si="413"/>
        <v>0</v>
      </c>
      <c r="HH84" s="250">
        <f t="shared" si="413"/>
        <v>0</v>
      </c>
      <c r="HI84" s="250">
        <f t="shared" si="413"/>
        <v>0</v>
      </c>
      <c r="HJ84" s="250">
        <f t="shared" si="413"/>
        <v>0</v>
      </c>
      <c r="HK84" s="250">
        <f t="shared" si="413"/>
        <v>0</v>
      </c>
      <c r="HL84" s="250">
        <f t="shared" si="413"/>
        <v>0</v>
      </c>
      <c r="HM84" s="250">
        <f t="shared" ref="HM84:IR84" si="414">(HM3&lt;=ConstDebt_Payoff)*(HM81+HM82)</f>
        <v>0</v>
      </c>
      <c r="HN84" s="250">
        <f t="shared" si="414"/>
        <v>0</v>
      </c>
      <c r="HO84" s="250">
        <f t="shared" si="414"/>
        <v>0</v>
      </c>
      <c r="HP84" s="250">
        <f t="shared" si="414"/>
        <v>0</v>
      </c>
      <c r="HQ84" s="250">
        <f t="shared" si="414"/>
        <v>0</v>
      </c>
      <c r="HR84" s="250">
        <f t="shared" si="414"/>
        <v>0</v>
      </c>
      <c r="HS84" s="250">
        <f t="shared" si="414"/>
        <v>0</v>
      </c>
      <c r="HT84" s="250">
        <f t="shared" si="414"/>
        <v>0</v>
      </c>
      <c r="HU84" s="250">
        <f t="shared" si="414"/>
        <v>0</v>
      </c>
      <c r="HV84" s="250">
        <f t="shared" si="414"/>
        <v>0</v>
      </c>
      <c r="HW84" s="250">
        <f t="shared" si="414"/>
        <v>0</v>
      </c>
      <c r="HX84" s="250">
        <f t="shared" si="414"/>
        <v>0</v>
      </c>
      <c r="HY84" s="250">
        <f t="shared" si="414"/>
        <v>0</v>
      </c>
      <c r="HZ84" s="250">
        <f t="shared" si="414"/>
        <v>0</v>
      </c>
      <c r="IA84" s="250">
        <f t="shared" si="414"/>
        <v>0</v>
      </c>
      <c r="IB84" s="250">
        <f t="shared" si="414"/>
        <v>0</v>
      </c>
      <c r="IC84" s="250">
        <f t="shared" si="414"/>
        <v>0</v>
      </c>
      <c r="ID84" s="250">
        <f t="shared" si="414"/>
        <v>0</v>
      </c>
      <c r="IE84" s="250">
        <f t="shared" si="414"/>
        <v>0</v>
      </c>
      <c r="IF84" s="250">
        <f t="shared" si="414"/>
        <v>0</v>
      </c>
      <c r="IG84" s="250">
        <f t="shared" si="414"/>
        <v>0</v>
      </c>
      <c r="IH84" s="250">
        <f t="shared" si="414"/>
        <v>0</v>
      </c>
      <c r="II84" s="250">
        <f t="shared" si="414"/>
        <v>0</v>
      </c>
      <c r="IJ84" s="250">
        <f t="shared" si="414"/>
        <v>0</v>
      </c>
      <c r="IK84" s="250">
        <f t="shared" si="414"/>
        <v>0</v>
      </c>
      <c r="IL84" s="250">
        <f t="shared" si="414"/>
        <v>0</v>
      </c>
      <c r="IM84" s="250">
        <f t="shared" si="414"/>
        <v>0</v>
      </c>
      <c r="IN84" s="250">
        <f t="shared" si="414"/>
        <v>0</v>
      </c>
      <c r="IO84" s="250">
        <f t="shared" si="414"/>
        <v>0</v>
      </c>
      <c r="IP84" s="250">
        <f t="shared" si="414"/>
        <v>0</v>
      </c>
      <c r="IQ84" s="250">
        <f t="shared" si="414"/>
        <v>0</v>
      </c>
      <c r="IR84" s="250">
        <f t="shared" si="414"/>
        <v>0</v>
      </c>
      <c r="IS84" s="250">
        <f t="shared" ref="IS84:KC84" si="415">(IS3&lt;=ConstDebt_Payoff)*(IS81+IS82)</f>
        <v>0</v>
      </c>
      <c r="IT84" s="250">
        <f t="shared" si="415"/>
        <v>0</v>
      </c>
      <c r="IU84" s="250">
        <f t="shared" si="415"/>
        <v>0</v>
      </c>
      <c r="IV84" s="250">
        <f t="shared" si="415"/>
        <v>0</v>
      </c>
      <c r="IW84" s="250">
        <f t="shared" si="415"/>
        <v>0</v>
      </c>
      <c r="IX84" s="250">
        <f t="shared" si="415"/>
        <v>0</v>
      </c>
      <c r="IY84" s="250">
        <f t="shared" si="415"/>
        <v>0</v>
      </c>
      <c r="IZ84" s="250">
        <f t="shared" si="415"/>
        <v>0</v>
      </c>
      <c r="JA84" s="250">
        <f t="shared" si="415"/>
        <v>0</v>
      </c>
      <c r="JB84" s="250">
        <f t="shared" si="415"/>
        <v>0</v>
      </c>
      <c r="JC84" s="250">
        <f t="shared" si="415"/>
        <v>0</v>
      </c>
      <c r="JD84" s="250">
        <f t="shared" si="415"/>
        <v>0</v>
      </c>
      <c r="JE84" s="250">
        <f t="shared" si="415"/>
        <v>0</v>
      </c>
      <c r="JF84" s="250">
        <f t="shared" si="415"/>
        <v>0</v>
      </c>
      <c r="JG84" s="250">
        <f t="shared" si="415"/>
        <v>0</v>
      </c>
      <c r="JH84" s="250">
        <f t="shared" si="415"/>
        <v>0</v>
      </c>
      <c r="JI84" s="250">
        <f t="shared" si="415"/>
        <v>0</v>
      </c>
      <c r="JJ84" s="250">
        <f t="shared" si="415"/>
        <v>0</v>
      </c>
      <c r="JK84" s="250">
        <f t="shared" si="415"/>
        <v>0</v>
      </c>
      <c r="JL84" s="250">
        <f t="shared" si="415"/>
        <v>0</v>
      </c>
      <c r="JM84" s="250">
        <f t="shared" si="415"/>
        <v>0</v>
      </c>
      <c r="JN84" s="250">
        <f t="shared" si="415"/>
        <v>0</v>
      </c>
      <c r="JO84" s="250">
        <f t="shared" si="415"/>
        <v>0</v>
      </c>
      <c r="JP84" s="250">
        <f t="shared" si="415"/>
        <v>0</v>
      </c>
      <c r="JQ84" s="250">
        <f t="shared" si="415"/>
        <v>0</v>
      </c>
      <c r="JR84" s="250">
        <f t="shared" si="415"/>
        <v>0</v>
      </c>
      <c r="JS84" s="250">
        <f t="shared" si="415"/>
        <v>0</v>
      </c>
      <c r="JT84" s="250">
        <f t="shared" si="415"/>
        <v>0</v>
      </c>
      <c r="JU84" s="250">
        <f t="shared" si="415"/>
        <v>0</v>
      </c>
      <c r="JV84" s="250">
        <f t="shared" si="415"/>
        <v>0</v>
      </c>
      <c r="JW84" s="250">
        <f t="shared" si="415"/>
        <v>0</v>
      </c>
      <c r="JX84" s="250">
        <f t="shared" si="415"/>
        <v>0</v>
      </c>
      <c r="JY84" s="250">
        <f t="shared" si="415"/>
        <v>0</v>
      </c>
      <c r="JZ84" s="250">
        <f t="shared" si="415"/>
        <v>0</v>
      </c>
      <c r="KA84" s="250">
        <f t="shared" si="415"/>
        <v>0</v>
      </c>
      <c r="KB84" s="250">
        <f t="shared" si="415"/>
        <v>0</v>
      </c>
      <c r="KC84" s="250">
        <f t="shared" si="415"/>
        <v>0</v>
      </c>
    </row>
    <row r="85" spans="1:289" s="264" customFormat="1" ht="14.25" customHeight="1" x14ac:dyDescent="0.25">
      <c r="A85" s="258"/>
      <c r="B85" s="234" t="s">
        <v>577</v>
      </c>
      <c r="C85" s="228">
        <f>Timing_Reversion_Month</f>
        <v>36</v>
      </c>
      <c r="D85" s="294"/>
      <c r="E85" s="294"/>
      <c r="F85" s="295"/>
      <c r="G85" s="217" t="str">
        <f>"Debt Service Coverage Ratio (Month "&amp;PermDebt_Fund+1&amp;"):"</f>
        <v>Debt Service Coverage Ratio (Month 15):</v>
      </c>
      <c r="H85" s="306">
        <f ca="1">IF(Perm_Debt?=0,"",SUM(OFFSET(INDEX($R$133:$ES$133,1,PermDebt_Fund+1),0,0,1,12))/H83)</f>
        <v>1.2814008156562899</v>
      </c>
      <c r="I85" s="218">
        <f ca="1">IF(F83="No",PV(E83/12,G83*12-(PermDebt_Payoff-PermDebt_Fund),H83/12),-I83)</f>
        <v>-2412875.1924297237</v>
      </c>
      <c r="Q85" s="220">
        <f t="shared" ref="Q85:AV85" ca="1" si="416">(PermDebt_Payoff=Q3)*Perm_Debt?*$I85</f>
        <v>0</v>
      </c>
      <c r="R85" s="220">
        <f t="shared" ca="1" si="416"/>
        <v>0</v>
      </c>
      <c r="S85" s="220">
        <f t="shared" ca="1" si="416"/>
        <v>0</v>
      </c>
      <c r="T85" s="220">
        <f t="shared" ca="1" si="416"/>
        <v>0</v>
      </c>
      <c r="U85" s="220">
        <f t="shared" ca="1" si="416"/>
        <v>0</v>
      </c>
      <c r="V85" s="220">
        <f t="shared" ca="1" si="416"/>
        <v>0</v>
      </c>
      <c r="W85" s="220">
        <f t="shared" ca="1" si="416"/>
        <v>0</v>
      </c>
      <c r="X85" s="220">
        <f t="shared" ca="1" si="416"/>
        <v>0</v>
      </c>
      <c r="Y85" s="220">
        <f t="shared" ca="1" si="416"/>
        <v>0</v>
      </c>
      <c r="Z85" s="220">
        <f t="shared" ca="1" si="416"/>
        <v>0</v>
      </c>
      <c r="AA85" s="220">
        <f t="shared" ca="1" si="416"/>
        <v>0</v>
      </c>
      <c r="AB85" s="220">
        <f t="shared" ca="1" si="416"/>
        <v>0</v>
      </c>
      <c r="AC85" s="220">
        <f t="shared" ca="1" si="416"/>
        <v>0</v>
      </c>
      <c r="AD85" s="220">
        <f t="shared" ca="1" si="416"/>
        <v>0</v>
      </c>
      <c r="AE85" s="220">
        <f t="shared" ca="1" si="416"/>
        <v>0</v>
      </c>
      <c r="AF85" s="220">
        <f t="shared" ca="1" si="416"/>
        <v>0</v>
      </c>
      <c r="AG85" s="220">
        <f t="shared" ca="1" si="416"/>
        <v>0</v>
      </c>
      <c r="AH85" s="220">
        <f t="shared" ca="1" si="416"/>
        <v>0</v>
      </c>
      <c r="AI85" s="220">
        <f t="shared" ca="1" si="416"/>
        <v>0</v>
      </c>
      <c r="AJ85" s="220">
        <f t="shared" ca="1" si="416"/>
        <v>0</v>
      </c>
      <c r="AK85" s="220">
        <f t="shared" ca="1" si="416"/>
        <v>0</v>
      </c>
      <c r="AL85" s="220">
        <f t="shared" ca="1" si="416"/>
        <v>0</v>
      </c>
      <c r="AM85" s="220">
        <f t="shared" ca="1" si="416"/>
        <v>0</v>
      </c>
      <c r="AN85" s="220">
        <f t="shared" ca="1" si="416"/>
        <v>0</v>
      </c>
      <c r="AO85" s="220">
        <f t="shared" ca="1" si="416"/>
        <v>0</v>
      </c>
      <c r="AP85" s="220">
        <f t="shared" ca="1" si="416"/>
        <v>0</v>
      </c>
      <c r="AQ85" s="220">
        <f t="shared" ca="1" si="416"/>
        <v>0</v>
      </c>
      <c r="AR85" s="220">
        <f t="shared" ca="1" si="416"/>
        <v>0</v>
      </c>
      <c r="AS85" s="220">
        <f t="shared" ca="1" si="416"/>
        <v>0</v>
      </c>
      <c r="AT85" s="220">
        <f t="shared" ca="1" si="416"/>
        <v>0</v>
      </c>
      <c r="AU85" s="220">
        <f t="shared" ca="1" si="416"/>
        <v>0</v>
      </c>
      <c r="AV85" s="220">
        <f t="shared" ca="1" si="416"/>
        <v>0</v>
      </c>
      <c r="AW85" s="220">
        <f t="shared" ref="AW85:CB85" ca="1" si="417">(PermDebt_Payoff=AW3)*Perm_Debt?*$I85</f>
        <v>0</v>
      </c>
      <c r="AX85" s="220">
        <f t="shared" ca="1" si="417"/>
        <v>0</v>
      </c>
      <c r="AY85" s="220">
        <f t="shared" ca="1" si="417"/>
        <v>0</v>
      </c>
      <c r="AZ85" s="220">
        <f t="shared" ca="1" si="417"/>
        <v>0</v>
      </c>
      <c r="BA85" s="220">
        <f t="shared" ca="1" si="417"/>
        <v>-2412875.1924297237</v>
      </c>
      <c r="BB85" s="220">
        <f t="shared" ca="1" si="417"/>
        <v>0</v>
      </c>
      <c r="BC85" s="220">
        <f t="shared" ca="1" si="417"/>
        <v>0</v>
      </c>
      <c r="BD85" s="220">
        <f t="shared" ca="1" si="417"/>
        <v>0</v>
      </c>
      <c r="BE85" s="220">
        <f t="shared" ca="1" si="417"/>
        <v>0</v>
      </c>
      <c r="BF85" s="220">
        <f t="shared" ca="1" si="417"/>
        <v>0</v>
      </c>
      <c r="BG85" s="220">
        <f t="shared" ca="1" si="417"/>
        <v>0</v>
      </c>
      <c r="BH85" s="220">
        <f t="shared" ca="1" si="417"/>
        <v>0</v>
      </c>
      <c r="BI85" s="220">
        <f t="shared" ca="1" si="417"/>
        <v>0</v>
      </c>
      <c r="BJ85" s="220">
        <f t="shared" ca="1" si="417"/>
        <v>0</v>
      </c>
      <c r="BK85" s="220">
        <f t="shared" ca="1" si="417"/>
        <v>0</v>
      </c>
      <c r="BL85" s="220">
        <f t="shared" ca="1" si="417"/>
        <v>0</v>
      </c>
      <c r="BM85" s="220">
        <f t="shared" ca="1" si="417"/>
        <v>0</v>
      </c>
      <c r="BN85" s="220">
        <f t="shared" ca="1" si="417"/>
        <v>0</v>
      </c>
      <c r="BO85" s="220">
        <f t="shared" ca="1" si="417"/>
        <v>0</v>
      </c>
      <c r="BP85" s="220">
        <f t="shared" ca="1" si="417"/>
        <v>0</v>
      </c>
      <c r="BQ85" s="220">
        <f t="shared" ca="1" si="417"/>
        <v>0</v>
      </c>
      <c r="BR85" s="220">
        <f t="shared" ca="1" si="417"/>
        <v>0</v>
      </c>
      <c r="BS85" s="220">
        <f t="shared" ca="1" si="417"/>
        <v>0</v>
      </c>
      <c r="BT85" s="220">
        <f t="shared" ca="1" si="417"/>
        <v>0</v>
      </c>
      <c r="BU85" s="220">
        <f t="shared" ca="1" si="417"/>
        <v>0</v>
      </c>
      <c r="BV85" s="220">
        <f t="shared" ca="1" si="417"/>
        <v>0</v>
      </c>
      <c r="BW85" s="220">
        <f t="shared" ca="1" si="417"/>
        <v>0</v>
      </c>
      <c r="BX85" s="220">
        <f t="shared" ca="1" si="417"/>
        <v>0</v>
      </c>
      <c r="BY85" s="220">
        <f t="shared" ca="1" si="417"/>
        <v>0</v>
      </c>
      <c r="BZ85" s="220">
        <f t="shared" ca="1" si="417"/>
        <v>0</v>
      </c>
      <c r="CA85" s="220">
        <f t="shared" ca="1" si="417"/>
        <v>0</v>
      </c>
      <c r="CB85" s="220">
        <f t="shared" ca="1" si="417"/>
        <v>0</v>
      </c>
      <c r="CC85" s="220">
        <f t="shared" ref="CC85:DH85" ca="1" si="418">(PermDebt_Payoff=CC3)*Perm_Debt?*$I85</f>
        <v>0</v>
      </c>
      <c r="CD85" s="220">
        <f t="shared" ca="1" si="418"/>
        <v>0</v>
      </c>
      <c r="CE85" s="220">
        <f t="shared" ca="1" si="418"/>
        <v>0</v>
      </c>
      <c r="CF85" s="220">
        <f t="shared" ca="1" si="418"/>
        <v>0</v>
      </c>
      <c r="CG85" s="220">
        <f t="shared" ca="1" si="418"/>
        <v>0</v>
      </c>
      <c r="CH85" s="220">
        <f t="shared" ca="1" si="418"/>
        <v>0</v>
      </c>
      <c r="CI85" s="220">
        <f t="shared" ca="1" si="418"/>
        <v>0</v>
      </c>
      <c r="CJ85" s="220">
        <f t="shared" ca="1" si="418"/>
        <v>0</v>
      </c>
      <c r="CK85" s="220">
        <f t="shared" ca="1" si="418"/>
        <v>0</v>
      </c>
      <c r="CL85" s="220">
        <f t="shared" ca="1" si="418"/>
        <v>0</v>
      </c>
      <c r="CM85" s="220">
        <f t="shared" ca="1" si="418"/>
        <v>0</v>
      </c>
      <c r="CN85" s="220">
        <f t="shared" ca="1" si="418"/>
        <v>0</v>
      </c>
      <c r="CO85" s="220">
        <f t="shared" ca="1" si="418"/>
        <v>0</v>
      </c>
      <c r="CP85" s="220">
        <f t="shared" ca="1" si="418"/>
        <v>0</v>
      </c>
      <c r="CQ85" s="220">
        <f t="shared" ca="1" si="418"/>
        <v>0</v>
      </c>
      <c r="CR85" s="220">
        <f t="shared" ca="1" si="418"/>
        <v>0</v>
      </c>
      <c r="CS85" s="220">
        <f t="shared" ca="1" si="418"/>
        <v>0</v>
      </c>
      <c r="CT85" s="220">
        <f t="shared" ca="1" si="418"/>
        <v>0</v>
      </c>
      <c r="CU85" s="220">
        <f t="shared" ca="1" si="418"/>
        <v>0</v>
      </c>
      <c r="CV85" s="220">
        <f t="shared" ca="1" si="418"/>
        <v>0</v>
      </c>
      <c r="CW85" s="220">
        <f t="shared" ca="1" si="418"/>
        <v>0</v>
      </c>
      <c r="CX85" s="220">
        <f t="shared" ca="1" si="418"/>
        <v>0</v>
      </c>
      <c r="CY85" s="220">
        <f t="shared" ca="1" si="418"/>
        <v>0</v>
      </c>
      <c r="CZ85" s="220">
        <f t="shared" ca="1" si="418"/>
        <v>0</v>
      </c>
      <c r="DA85" s="220">
        <f t="shared" ca="1" si="418"/>
        <v>0</v>
      </c>
      <c r="DB85" s="220">
        <f t="shared" ca="1" si="418"/>
        <v>0</v>
      </c>
      <c r="DC85" s="220">
        <f t="shared" ca="1" si="418"/>
        <v>0</v>
      </c>
      <c r="DD85" s="220">
        <f t="shared" ca="1" si="418"/>
        <v>0</v>
      </c>
      <c r="DE85" s="220">
        <f t="shared" ca="1" si="418"/>
        <v>0</v>
      </c>
      <c r="DF85" s="220">
        <f t="shared" ca="1" si="418"/>
        <v>0</v>
      </c>
      <c r="DG85" s="220">
        <f t="shared" ca="1" si="418"/>
        <v>0</v>
      </c>
      <c r="DH85" s="220">
        <f t="shared" ca="1" si="418"/>
        <v>0</v>
      </c>
      <c r="DI85" s="220">
        <f t="shared" ref="DI85:ES85" ca="1" si="419">(PermDebt_Payoff=DI3)*Perm_Debt?*$I85</f>
        <v>0</v>
      </c>
      <c r="DJ85" s="220">
        <f t="shared" ca="1" si="419"/>
        <v>0</v>
      </c>
      <c r="DK85" s="220">
        <f t="shared" ca="1" si="419"/>
        <v>0</v>
      </c>
      <c r="DL85" s="220">
        <f t="shared" ca="1" si="419"/>
        <v>0</v>
      </c>
      <c r="DM85" s="220">
        <f t="shared" ca="1" si="419"/>
        <v>0</v>
      </c>
      <c r="DN85" s="220">
        <f t="shared" ca="1" si="419"/>
        <v>0</v>
      </c>
      <c r="DO85" s="220">
        <f t="shared" ca="1" si="419"/>
        <v>0</v>
      </c>
      <c r="DP85" s="220">
        <f t="shared" ca="1" si="419"/>
        <v>0</v>
      </c>
      <c r="DQ85" s="220">
        <f t="shared" ca="1" si="419"/>
        <v>0</v>
      </c>
      <c r="DR85" s="220">
        <f t="shared" ca="1" si="419"/>
        <v>0</v>
      </c>
      <c r="DS85" s="220">
        <f t="shared" ca="1" si="419"/>
        <v>0</v>
      </c>
      <c r="DT85" s="220">
        <f t="shared" ca="1" si="419"/>
        <v>0</v>
      </c>
      <c r="DU85" s="220">
        <f t="shared" ca="1" si="419"/>
        <v>0</v>
      </c>
      <c r="DV85" s="220">
        <f t="shared" ca="1" si="419"/>
        <v>0</v>
      </c>
      <c r="DW85" s="220">
        <f t="shared" ca="1" si="419"/>
        <v>0</v>
      </c>
      <c r="DX85" s="220">
        <f t="shared" ca="1" si="419"/>
        <v>0</v>
      </c>
      <c r="DY85" s="220">
        <f t="shared" ca="1" si="419"/>
        <v>0</v>
      </c>
      <c r="DZ85" s="220">
        <f t="shared" ca="1" si="419"/>
        <v>0</v>
      </c>
      <c r="EA85" s="220">
        <f t="shared" ca="1" si="419"/>
        <v>0</v>
      </c>
      <c r="EB85" s="220">
        <f t="shared" ca="1" si="419"/>
        <v>0</v>
      </c>
      <c r="EC85" s="220">
        <f t="shared" ca="1" si="419"/>
        <v>0</v>
      </c>
      <c r="ED85" s="220">
        <f t="shared" ca="1" si="419"/>
        <v>0</v>
      </c>
      <c r="EE85" s="220">
        <f t="shared" ca="1" si="419"/>
        <v>0</v>
      </c>
      <c r="EF85" s="220">
        <f t="shared" ca="1" si="419"/>
        <v>0</v>
      </c>
      <c r="EG85" s="220">
        <f t="shared" ca="1" si="419"/>
        <v>0</v>
      </c>
      <c r="EH85" s="220">
        <f t="shared" ca="1" si="419"/>
        <v>0</v>
      </c>
      <c r="EI85" s="220">
        <f t="shared" ca="1" si="419"/>
        <v>0</v>
      </c>
      <c r="EJ85" s="220">
        <f t="shared" ca="1" si="419"/>
        <v>0</v>
      </c>
      <c r="EK85" s="220">
        <f t="shared" ca="1" si="419"/>
        <v>0</v>
      </c>
      <c r="EL85" s="220">
        <f t="shared" ca="1" si="419"/>
        <v>0</v>
      </c>
      <c r="EM85" s="220">
        <f t="shared" ca="1" si="419"/>
        <v>0</v>
      </c>
      <c r="EN85" s="220">
        <f t="shared" ca="1" si="419"/>
        <v>0</v>
      </c>
      <c r="EO85" s="220">
        <f t="shared" ca="1" si="419"/>
        <v>0</v>
      </c>
      <c r="EP85" s="220">
        <f t="shared" ca="1" si="419"/>
        <v>0</v>
      </c>
      <c r="EQ85" s="220">
        <f t="shared" ca="1" si="419"/>
        <v>0</v>
      </c>
      <c r="ER85" s="220">
        <f t="shared" ca="1" si="419"/>
        <v>0</v>
      </c>
      <c r="ES85" s="220">
        <f t="shared" ca="1" si="419"/>
        <v>0</v>
      </c>
      <c r="EU85" s="153"/>
      <c r="EV85" s="153"/>
      <c r="EW85" s="153"/>
      <c r="EX85" s="153"/>
      <c r="EY85" s="153"/>
      <c r="EZ85" s="154"/>
      <c r="FA85" s="153"/>
      <c r="FB85" s="153"/>
      <c r="FC85" s="153"/>
      <c r="FD85" s="153"/>
      <c r="FE85" s="153"/>
      <c r="FF85" s="153"/>
      <c r="FG85" s="153"/>
      <c r="FH85" s="153"/>
      <c r="FI85" s="153"/>
      <c r="FJ85" s="153"/>
      <c r="FK85" s="153"/>
      <c r="FL85" s="153"/>
      <c r="FM85" s="153"/>
      <c r="FN85" s="153"/>
      <c r="FO85" s="153"/>
      <c r="FP85" s="153"/>
      <c r="FQ85" s="153"/>
      <c r="FR85" s="153"/>
      <c r="FS85" s="153"/>
      <c r="FT85" s="153"/>
      <c r="FU85" s="153"/>
      <c r="FV85" s="153"/>
      <c r="FW85" s="153"/>
      <c r="FX85" s="153"/>
      <c r="FY85" s="153"/>
      <c r="FZ85" s="153"/>
      <c r="GA85" s="153"/>
      <c r="GB85" s="153"/>
      <c r="GC85" s="153"/>
      <c r="GD85" s="153"/>
      <c r="GE85" s="153"/>
      <c r="GF85" s="153"/>
      <c r="GG85" s="153"/>
      <c r="GH85" s="153"/>
      <c r="GI85" s="153"/>
      <c r="GJ85" s="153"/>
      <c r="GK85" s="153"/>
      <c r="GL85" s="153"/>
      <c r="GM85" s="153"/>
      <c r="GN85" s="153"/>
      <c r="GO85" s="153"/>
      <c r="GP85" s="153"/>
      <c r="GQ85" s="153"/>
      <c r="GR85" s="153"/>
      <c r="GS85" s="153"/>
      <c r="GT85" s="153"/>
      <c r="GU85" s="153"/>
      <c r="GV85" s="153"/>
      <c r="GW85" s="153"/>
      <c r="GX85" s="153"/>
      <c r="GY85" s="153"/>
      <c r="GZ85" s="153"/>
      <c r="HA85" s="153"/>
      <c r="HB85" s="153"/>
      <c r="HC85" s="153"/>
      <c r="HD85" s="153"/>
      <c r="HE85" s="153"/>
      <c r="HF85" s="153"/>
      <c r="HG85" s="153"/>
      <c r="HH85" s="153"/>
      <c r="HI85" s="153"/>
      <c r="HJ85" s="153"/>
      <c r="HK85" s="153"/>
      <c r="HL85" s="153"/>
      <c r="HM85" s="153"/>
      <c r="HN85" s="153"/>
      <c r="HO85" s="153"/>
      <c r="HP85" s="153"/>
      <c r="HQ85" s="153"/>
      <c r="HR85" s="153"/>
      <c r="HS85" s="153"/>
      <c r="HT85" s="153"/>
      <c r="HU85" s="153"/>
      <c r="HV85" s="153"/>
      <c r="HW85" s="153"/>
      <c r="HX85" s="153"/>
      <c r="HY85" s="153"/>
      <c r="HZ85" s="153"/>
      <c r="IA85" s="153"/>
      <c r="IB85" s="153"/>
      <c r="IC85" s="153"/>
      <c r="ID85" s="153"/>
      <c r="IE85" s="153"/>
      <c r="IF85" s="153"/>
      <c r="IG85" s="153"/>
      <c r="IH85" s="153"/>
      <c r="II85" s="153"/>
      <c r="IJ85" s="153"/>
      <c r="IK85" s="153"/>
      <c r="IL85" s="153"/>
      <c r="IM85" s="153"/>
      <c r="IN85" s="153"/>
      <c r="IO85" s="153"/>
      <c r="IP85" s="153"/>
      <c r="IQ85" s="153"/>
      <c r="IR85" s="153"/>
      <c r="IS85" s="153"/>
      <c r="IT85" s="153"/>
      <c r="IU85" s="153"/>
      <c r="IV85" s="153"/>
      <c r="IW85" s="153"/>
      <c r="IX85" s="153"/>
      <c r="IY85" s="153"/>
      <c r="IZ85" s="153"/>
      <c r="JA85" s="153"/>
      <c r="JB85" s="153"/>
      <c r="JC85" s="153"/>
      <c r="JD85" s="153"/>
      <c r="JE85" s="153"/>
      <c r="JF85" s="153"/>
      <c r="JG85" s="153"/>
      <c r="JH85" s="153"/>
      <c r="JI85" s="153"/>
      <c r="JJ85" s="153"/>
      <c r="JK85" s="153"/>
      <c r="JL85" s="153"/>
      <c r="JM85" s="153"/>
      <c r="JN85" s="153"/>
      <c r="JO85" s="153"/>
      <c r="JP85" s="153"/>
      <c r="JQ85" s="153"/>
      <c r="JR85" s="153"/>
      <c r="JS85" s="153"/>
      <c r="JT85" s="153"/>
      <c r="JU85" s="153"/>
      <c r="JV85" s="153"/>
      <c r="JW85" s="153"/>
      <c r="JX85" s="153"/>
      <c r="JY85" s="153"/>
      <c r="JZ85" s="153"/>
      <c r="KA85" s="153"/>
      <c r="KB85" s="153"/>
      <c r="KC85" s="153"/>
    </row>
    <row r="86" spans="1:289" s="264" customFormat="1" ht="14.25" customHeight="1" x14ac:dyDescent="0.25">
      <c r="A86" s="258"/>
      <c r="B86" s="293"/>
      <c r="C86" s="294"/>
      <c r="D86" s="294"/>
      <c r="E86" s="294"/>
      <c r="F86" s="295"/>
      <c r="G86" s="295"/>
      <c r="H86" s="295"/>
      <c r="I86" s="298"/>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65"/>
      <c r="AN86" s="265"/>
      <c r="AO86" s="265"/>
      <c r="AP86" s="265"/>
      <c r="AQ86" s="265"/>
      <c r="AR86" s="265"/>
      <c r="AS86" s="265"/>
      <c r="AT86" s="265"/>
      <c r="AU86" s="265"/>
      <c r="AV86" s="265"/>
      <c r="AW86" s="265"/>
      <c r="AX86" s="265"/>
      <c r="AY86" s="265"/>
      <c r="AZ86" s="265"/>
      <c r="BA86" s="265"/>
      <c r="BB86" s="265"/>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c r="EE86" s="265"/>
      <c r="EF86" s="265"/>
      <c r="EG86" s="265"/>
      <c r="EH86" s="265"/>
      <c r="EI86" s="265"/>
      <c r="EJ86" s="265"/>
      <c r="EK86" s="265"/>
      <c r="EL86" s="265"/>
      <c r="EM86" s="265"/>
      <c r="EN86" s="265"/>
      <c r="EO86" s="265"/>
      <c r="EP86" s="265"/>
      <c r="EQ86" s="265"/>
      <c r="ER86" s="265"/>
      <c r="ES86" s="265"/>
      <c r="EU86" s="153"/>
      <c r="EV86" s="153"/>
      <c r="EW86" s="153"/>
      <c r="EX86" s="153"/>
      <c r="EY86" s="153"/>
      <c r="EZ86" s="154"/>
      <c r="FA86" s="153"/>
      <c r="FB86" s="153"/>
      <c r="FC86" s="153"/>
      <c r="FD86" s="153"/>
      <c r="FE86" s="153"/>
      <c r="FF86" s="153"/>
      <c r="FG86" s="153"/>
      <c r="FH86" s="153"/>
      <c r="FI86" s="153"/>
      <c r="FJ86" s="153"/>
      <c r="FK86" s="153"/>
      <c r="FL86" s="153"/>
      <c r="FM86" s="153"/>
      <c r="FN86" s="153"/>
      <c r="FO86" s="153"/>
      <c r="FP86" s="153"/>
      <c r="FQ86" s="153"/>
      <c r="FR86" s="153"/>
      <c r="FS86" s="153"/>
      <c r="FT86" s="153"/>
      <c r="FU86" s="153"/>
      <c r="FV86" s="153"/>
      <c r="FW86" s="153"/>
      <c r="FX86" s="153"/>
      <c r="FY86" s="153"/>
      <c r="FZ86" s="153"/>
      <c r="GA86" s="153"/>
      <c r="GB86" s="153"/>
      <c r="GC86" s="153"/>
      <c r="GD86" s="153"/>
      <c r="GE86" s="153"/>
      <c r="GF86" s="153"/>
      <c r="GG86" s="153"/>
      <c r="GH86" s="153"/>
      <c r="GI86" s="153"/>
      <c r="GJ86" s="153"/>
      <c r="GK86" s="153"/>
      <c r="GL86" s="153"/>
      <c r="GM86" s="153"/>
      <c r="GN86" s="153"/>
      <c r="GO86" s="153"/>
      <c r="GP86" s="153"/>
      <c r="GQ86" s="153"/>
      <c r="GR86" s="153"/>
      <c r="GS86" s="153"/>
      <c r="GT86" s="153"/>
      <c r="GU86" s="153"/>
      <c r="GV86" s="153"/>
      <c r="GW86" s="153"/>
      <c r="GX86" s="153"/>
      <c r="GY86" s="153"/>
      <c r="GZ86" s="153"/>
      <c r="HA86" s="153"/>
      <c r="HB86" s="153"/>
      <c r="HC86" s="153"/>
      <c r="HD86" s="153"/>
      <c r="HE86" s="153"/>
      <c r="HF86" s="153"/>
      <c r="HG86" s="153"/>
      <c r="HH86" s="153"/>
      <c r="HI86" s="153"/>
      <c r="HJ86" s="153"/>
      <c r="HK86" s="153"/>
      <c r="HL86" s="153"/>
      <c r="HM86" s="153"/>
      <c r="HN86" s="153"/>
      <c r="HO86" s="153"/>
      <c r="HP86" s="153"/>
      <c r="HQ86" s="153"/>
      <c r="HR86" s="153"/>
      <c r="HS86" s="153"/>
      <c r="HT86" s="153"/>
      <c r="HU86" s="153"/>
      <c r="HV86" s="153"/>
      <c r="HW86" s="153"/>
      <c r="HX86" s="153"/>
      <c r="HY86" s="153"/>
      <c r="HZ86" s="153"/>
      <c r="IA86" s="153"/>
      <c r="IB86" s="153"/>
      <c r="IC86" s="153"/>
      <c r="ID86" s="153"/>
      <c r="IE86" s="153"/>
      <c r="IF86" s="153"/>
      <c r="IG86" s="153"/>
      <c r="IH86" s="153"/>
      <c r="II86" s="153"/>
      <c r="IJ86" s="153"/>
      <c r="IK86" s="153"/>
      <c r="IL86" s="153"/>
      <c r="IM86" s="153"/>
      <c r="IN86" s="153"/>
      <c r="IO86" s="153"/>
      <c r="IP86" s="153"/>
      <c r="IQ86" s="153"/>
      <c r="IR86" s="153"/>
      <c r="IS86" s="153"/>
      <c r="IT86" s="153"/>
      <c r="IU86" s="153"/>
      <c r="IV86" s="153"/>
      <c r="IW86" s="153"/>
      <c r="IX86" s="153"/>
      <c r="IY86" s="153"/>
      <c r="IZ86" s="153"/>
      <c r="JA86" s="153"/>
      <c r="JB86" s="153"/>
      <c r="JC86" s="153"/>
      <c r="JD86" s="153"/>
      <c r="JE86" s="153"/>
      <c r="JF86" s="153"/>
      <c r="JG86" s="153"/>
      <c r="JH86" s="153"/>
      <c r="JI86" s="153"/>
      <c r="JJ86" s="153"/>
      <c r="JK86" s="153"/>
      <c r="JL86" s="153"/>
      <c r="JM86" s="153"/>
      <c r="JN86" s="153"/>
      <c r="JO86" s="153"/>
      <c r="JP86" s="153"/>
      <c r="JQ86" s="153"/>
      <c r="JR86" s="153"/>
      <c r="JS86" s="153"/>
      <c r="JT86" s="153"/>
      <c r="JU86" s="153"/>
      <c r="JV86" s="153"/>
      <c r="JW86" s="153"/>
      <c r="JX86" s="153"/>
      <c r="JY86" s="153"/>
      <c r="JZ86" s="153"/>
      <c r="KA86" s="153"/>
      <c r="KB86" s="153"/>
      <c r="KC86" s="153"/>
    </row>
    <row r="87" spans="1:289" x14ac:dyDescent="0.25">
      <c r="B87" s="549"/>
      <c r="C87" s="546"/>
      <c r="D87" s="546"/>
      <c r="E87" s="546"/>
      <c r="F87" s="546"/>
      <c r="G87" s="546"/>
      <c r="H87" s="546"/>
      <c r="I87" s="546"/>
      <c r="J87" s="546"/>
      <c r="K87" s="546"/>
      <c r="L87" s="546"/>
      <c r="M87" s="546"/>
      <c r="N87" s="546"/>
      <c r="O87" s="546"/>
      <c r="P87" s="546"/>
      <c r="Q87" s="546"/>
      <c r="R87" s="546"/>
      <c r="S87" s="546"/>
      <c r="T87" s="546"/>
      <c r="U87" s="546"/>
      <c r="V87" s="546"/>
      <c r="W87" s="546"/>
      <c r="X87" s="546"/>
      <c r="Y87" s="546"/>
      <c r="Z87" s="546"/>
      <c r="AA87" s="546"/>
      <c r="AB87" s="546"/>
      <c r="AC87" s="546"/>
      <c r="AD87" s="546"/>
      <c r="AE87" s="546"/>
      <c r="AF87" s="546"/>
      <c r="AG87" s="546"/>
      <c r="AH87" s="546"/>
      <c r="AI87" s="546"/>
      <c r="AJ87" s="546"/>
      <c r="AK87" s="546"/>
      <c r="AL87" s="546"/>
      <c r="AM87" s="546"/>
      <c r="AN87" s="546"/>
      <c r="AO87" s="546"/>
      <c r="AP87" s="546"/>
      <c r="AQ87" s="546"/>
      <c r="AR87" s="546"/>
      <c r="AS87" s="546"/>
      <c r="AT87" s="546"/>
      <c r="AU87" s="546"/>
      <c r="AV87" s="546"/>
      <c r="AW87" s="546"/>
      <c r="AX87" s="546"/>
      <c r="AY87" s="546"/>
      <c r="AZ87" s="546"/>
      <c r="BA87" s="546"/>
      <c r="BB87" s="546"/>
      <c r="BC87" s="546"/>
      <c r="BD87" s="546"/>
      <c r="BE87" s="546"/>
      <c r="BF87" s="546"/>
      <c r="BG87" s="546"/>
      <c r="BH87" s="546"/>
      <c r="BI87" s="546"/>
      <c r="BJ87" s="546"/>
      <c r="BK87" s="546"/>
      <c r="BL87" s="546"/>
      <c r="BM87" s="546"/>
      <c r="BN87" s="546"/>
      <c r="BO87" s="546"/>
      <c r="BP87" s="546"/>
      <c r="BQ87" s="546"/>
      <c r="BR87" s="546"/>
      <c r="BS87" s="546"/>
      <c r="BT87" s="546"/>
      <c r="BU87" s="546"/>
      <c r="BV87" s="546"/>
      <c r="BW87" s="546"/>
      <c r="BX87" s="546"/>
      <c r="BY87" s="546"/>
      <c r="BZ87" s="546"/>
      <c r="CA87" s="546"/>
      <c r="CB87" s="546"/>
      <c r="CC87" s="546"/>
      <c r="CD87" s="546"/>
      <c r="CE87" s="546"/>
      <c r="CF87" s="546"/>
      <c r="CG87" s="546"/>
      <c r="CH87" s="546"/>
      <c r="CI87" s="546"/>
      <c r="CJ87" s="546"/>
      <c r="CK87" s="546"/>
      <c r="CL87" s="546"/>
      <c r="CM87" s="546"/>
      <c r="CN87" s="546"/>
      <c r="CO87" s="546"/>
      <c r="CP87" s="546"/>
      <c r="CQ87" s="546"/>
      <c r="CR87" s="546"/>
      <c r="CS87" s="546"/>
      <c r="CT87" s="546"/>
      <c r="CU87" s="546"/>
      <c r="CV87" s="546"/>
      <c r="CW87" s="546"/>
      <c r="CX87" s="546"/>
      <c r="CY87" s="546"/>
      <c r="CZ87" s="546"/>
      <c r="DA87" s="546"/>
      <c r="DB87" s="546"/>
      <c r="DC87" s="546"/>
      <c r="DD87" s="546"/>
      <c r="DE87" s="546"/>
      <c r="DF87" s="546"/>
      <c r="DG87" s="546"/>
      <c r="DH87" s="546"/>
      <c r="DI87" s="546"/>
      <c r="DJ87" s="546"/>
      <c r="DK87" s="546"/>
      <c r="DL87" s="546"/>
      <c r="DM87" s="546"/>
      <c r="DN87" s="546"/>
      <c r="DO87" s="546"/>
      <c r="DP87" s="546"/>
      <c r="DQ87" s="546"/>
      <c r="DR87" s="546"/>
      <c r="DS87" s="546"/>
      <c r="DT87" s="546"/>
      <c r="DU87" s="546"/>
      <c r="DV87" s="546"/>
      <c r="DW87" s="546"/>
      <c r="DX87" s="546"/>
      <c r="DY87" s="546"/>
      <c r="DZ87" s="546"/>
      <c r="EA87" s="546"/>
      <c r="EB87" s="546"/>
      <c r="EC87" s="546"/>
      <c r="ED87" s="546"/>
      <c r="EE87" s="546"/>
      <c r="EF87" s="546"/>
      <c r="EG87" s="546"/>
      <c r="EH87" s="546"/>
      <c r="EI87" s="546"/>
      <c r="EJ87" s="546"/>
      <c r="EK87" s="546"/>
      <c r="EL87" s="546"/>
      <c r="EM87" s="546"/>
      <c r="EN87" s="546"/>
      <c r="EO87" s="546"/>
      <c r="EP87" s="546"/>
      <c r="EQ87" s="546"/>
      <c r="ER87" s="546"/>
      <c r="ES87" s="546"/>
      <c r="ET87" s="546"/>
      <c r="EU87" s="546"/>
      <c r="EV87" s="546"/>
      <c r="EW87" s="546"/>
      <c r="EX87" s="546"/>
      <c r="EY87" s="546"/>
      <c r="EZ87" s="550"/>
      <c r="FA87" s="546"/>
      <c r="FB87" s="546"/>
      <c r="FC87" s="546"/>
      <c r="FD87" s="546"/>
      <c r="FE87" s="546"/>
      <c r="FF87" s="546"/>
      <c r="FG87" s="546"/>
      <c r="FH87" s="546"/>
      <c r="FI87" s="546"/>
      <c r="FJ87" s="546"/>
      <c r="FK87" s="546"/>
      <c r="FL87" s="546"/>
      <c r="FM87" s="546"/>
      <c r="FN87" s="546"/>
      <c r="FO87" s="546"/>
      <c r="FP87" s="546"/>
      <c r="FQ87" s="546"/>
      <c r="FR87" s="546"/>
      <c r="FS87" s="546"/>
      <c r="FT87" s="546"/>
      <c r="FU87" s="546"/>
      <c r="FV87" s="546"/>
      <c r="FW87" s="546"/>
      <c r="FX87" s="546"/>
      <c r="FY87" s="546"/>
      <c r="FZ87" s="546"/>
      <c r="GA87" s="546"/>
      <c r="GB87" s="546"/>
      <c r="GC87" s="546"/>
      <c r="GD87" s="546"/>
      <c r="GE87" s="546"/>
      <c r="GF87" s="546"/>
      <c r="GG87" s="546"/>
      <c r="GH87" s="546"/>
      <c r="GI87" s="546"/>
      <c r="GJ87" s="546"/>
      <c r="GK87" s="546"/>
      <c r="GL87" s="546"/>
      <c r="GM87" s="546"/>
      <c r="GN87" s="546"/>
      <c r="GO87" s="546"/>
      <c r="GP87" s="546"/>
      <c r="GQ87" s="546"/>
      <c r="GR87" s="546"/>
      <c r="GS87" s="546"/>
      <c r="GT87" s="546"/>
      <c r="GU87" s="546"/>
      <c r="GV87" s="546"/>
      <c r="GW87" s="546"/>
      <c r="GX87" s="546"/>
      <c r="GY87" s="546"/>
      <c r="GZ87" s="546"/>
      <c r="HA87" s="546"/>
      <c r="HB87" s="546"/>
      <c r="HC87" s="546"/>
      <c r="HD87" s="546"/>
      <c r="HE87" s="546"/>
      <c r="HF87" s="546"/>
      <c r="HG87" s="546"/>
      <c r="HH87" s="546"/>
      <c r="HI87" s="546"/>
      <c r="HJ87" s="546"/>
      <c r="HK87" s="546"/>
      <c r="HL87" s="546"/>
      <c r="HM87" s="546"/>
      <c r="HN87" s="546"/>
      <c r="HO87" s="546"/>
      <c r="HP87" s="546"/>
      <c r="HQ87" s="546"/>
      <c r="HR87" s="546"/>
      <c r="HS87" s="546"/>
      <c r="HT87" s="546"/>
      <c r="HU87" s="546"/>
      <c r="HV87" s="546"/>
      <c r="HW87" s="546"/>
      <c r="HX87" s="546"/>
      <c r="HY87" s="546"/>
      <c r="HZ87" s="546"/>
      <c r="IA87" s="546"/>
      <c r="IB87" s="546"/>
      <c r="IC87" s="546"/>
      <c r="ID87" s="546"/>
      <c r="IE87" s="546"/>
      <c r="IF87" s="546"/>
      <c r="IG87" s="546"/>
      <c r="IH87" s="546"/>
      <c r="II87" s="546"/>
      <c r="IJ87" s="546"/>
      <c r="IK87" s="546"/>
      <c r="IL87" s="546"/>
      <c r="IM87" s="546"/>
      <c r="IN87" s="546"/>
      <c r="IO87" s="546"/>
      <c r="IP87" s="546"/>
      <c r="IQ87" s="546"/>
      <c r="IR87" s="546"/>
      <c r="IS87" s="546"/>
      <c r="IT87" s="546"/>
      <c r="IU87" s="546"/>
      <c r="IV87" s="546"/>
      <c r="IW87" s="546"/>
      <c r="IX87" s="546"/>
      <c r="IY87" s="546"/>
      <c r="IZ87" s="546"/>
      <c r="JA87" s="546"/>
      <c r="JB87" s="546"/>
      <c r="JC87" s="546"/>
      <c r="JD87" s="546"/>
      <c r="JE87" s="546"/>
      <c r="JF87" s="546"/>
      <c r="JG87" s="546"/>
      <c r="JH87" s="546"/>
      <c r="JI87" s="546"/>
      <c r="JJ87" s="546"/>
      <c r="JK87" s="546"/>
      <c r="JL87" s="546"/>
      <c r="JM87" s="546"/>
      <c r="JN87" s="546"/>
      <c r="JO87" s="546"/>
      <c r="JP87" s="546"/>
      <c r="JQ87" s="546"/>
      <c r="JR87" s="546"/>
      <c r="JS87" s="546"/>
      <c r="JT87" s="546"/>
      <c r="JU87" s="546"/>
      <c r="JV87" s="546"/>
      <c r="JW87" s="546"/>
      <c r="JX87" s="546"/>
      <c r="JY87" s="546"/>
      <c r="JZ87" s="546"/>
      <c r="KA87" s="546"/>
      <c r="KB87" s="546"/>
      <c r="KC87" s="546"/>
    </row>
    <row r="88" spans="1:289" x14ac:dyDescent="0.25">
      <c r="B88" s="547" t="s">
        <v>1</v>
      </c>
      <c r="C88" s="546"/>
      <c r="D88" s="546"/>
      <c r="E88" s="546"/>
      <c r="F88" s="546"/>
      <c r="G88" s="546"/>
      <c r="H88" s="546"/>
      <c r="I88" s="546"/>
      <c r="J88" s="200"/>
      <c r="K88" s="200"/>
      <c r="L88" s="200"/>
      <c r="M88" s="200"/>
      <c r="N88" s="200"/>
      <c r="O88" s="200"/>
      <c r="P88" s="200" t="s">
        <v>462</v>
      </c>
      <c r="Q88" s="201">
        <f t="shared" ref="Q88:AV88" si="420">Q22</f>
        <v>0</v>
      </c>
      <c r="R88" s="201">
        <f t="shared" si="420"/>
        <v>1</v>
      </c>
      <c r="S88" s="201">
        <f t="shared" si="420"/>
        <v>2</v>
      </c>
      <c r="T88" s="201">
        <f t="shared" si="420"/>
        <v>3</v>
      </c>
      <c r="U88" s="201">
        <f t="shared" si="420"/>
        <v>4</v>
      </c>
      <c r="V88" s="201">
        <f t="shared" si="420"/>
        <v>5</v>
      </c>
      <c r="W88" s="201">
        <f t="shared" si="420"/>
        <v>6</v>
      </c>
      <c r="X88" s="201">
        <f t="shared" si="420"/>
        <v>7</v>
      </c>
      <c r="Y88" s="201">
        <f t="shared" si="420"/>
        <v>8</v>
      </c>
      <c r="Z88" s="201">
        <f t="shared" si="420"/>
        <v>9</v>
      </c>
      <c r="AA88" s="201">
        <f t="shared" si="420"/>
        <v>10</v>
      </c>
      <c r="AB88" s="201">
        <f t="shared" si="420"/>
        <v>11</v>
      </c>
      <c r="AC88" s="201">
        <f t="shared" si="420"/>
        <v>12</v>
      </c>
      <c r="AD88" s="201">
        <f t="shared" si="420"/>
        <v>13</v>
      </c>
      <c r="AE88" s="201">
        <f t="shared" si="420"/>
        <v>14</v>
      </c>
      <c r="AF88" s="201">
        <f t="shared" si="420"/>
        <v>15</v>
      </c>
      <c r="AG88" s="201">
        <f t="shared" si="420"/>
        <v>16</v>
      </c>
      <c r="AH88" s="201">
        <f t="shared" si="420"/>
        <v>17</v>
      </c>
      <c r="AI88" s="201">
        <f t="shared" si="420"/>
        <v>18</v>
      </c>
      <c r="AJ88" s="201">
        <f t="shared" si="420"/>
        <v>19</v>
      </c>
      <c r="AK88" s="201">
        <f t="shared" si="420"/>
        <v>20</v>
      </c>
      <c r="AL88" s="201">
        <f t="shared" si="420"/>
        <v>21</v>
      </c>
      <c r="AM88" s="201">
        <f t="shared" si="420"/>
        <v>22</v>
      </c>
      <c r="AN88" s="201">
        <f t="shared" si="420"/>
        <v>23</v>
      </c>
      <c r="AO88" s="201">
        <f t="shared" si="420"/>
        <v>24</v>
      </c>
      <c r="AP88" s="201">
        <f t="shared" si="420"/>
        <v>25</v>
      </c>
      <c r="AQ88" s="201">
        <f t="shared" si="420"/>
        <v>26</v>
      </c>
      <c r="AR88" s="201">
        <f t="shared" si="420"/>
        <v>27</v>
      </c>
      <c r="AS88" s="201">
        <f t="shared" si="420"/>
        <v>28</v>
      </c>
      <c r="AT88" s="201">
        <f t="shared" si="420"/>
        <v>29</v>
      </c>
      <c r="AU88" s="201">
        <f t="shared" si="420"/>
        <v>30</v>
      </c>
      <c r="AV88" s="201">
        <f t="shared" si="420"/>
        <v>31</v>
      </c>
      <c r="AW88" s="201">
        <f t="shared" ref="AW88:CB88" si="421">AW22</f>
        <v>32</v>
      </c>
      <c r="AX88" s="201">
        <f t="shared" si="421"/>
        <v>33</v>
      </c>
      <c r="AY88" s="201">
        <f t="shared" si="421"/>
        <v>34</v>
      </c>
      <c r="AZ88" s="201">
        <f t="shared" si="421"/>
        <v>35</v>
      </c>
      <c r="BA88" s="201">
        <f t="shared" si="421"/>
        <v>36</v>
      </c>
      <c r="BB88" s="201">
        <f t="shared" si="421"/>
        <v>37</v>
      </c>
      <c r="BC88" s="201">
        <f t="shared" si="421"/>
        <v>38</v>
      </c>
      <c r="BD88" s="201">
        <f t="shared" si="421"/>
        <v>39</v>
      </c>
      <c r="BE88" s="201">
        <f t="shared" si="421"/>
        <v>40</v>
      </c>
      <c r="BF88" s="201">
        <f t="shared" si="421"/>
        <v>41</v>
      </c>
      <c r="BG88" s="201">
        <f t="shared" si="421"/>
        <v>42</v>
      </c>
      <c r="BH88" s="201">
        <f t="shared" si="421"/>
        <v>43</v>
      </c>
      <c r="BI88" s="201">
        <f t="shared" si="421"/>
        <v>44</v>
      </c>
      <c r="BJ88" s="201">
        <f t="shared" si="421"/>
        <v>45</v>
      </c>
      <c r="BK88" s="201">
        <f t="shared" si="421"/>
        <v>46</v>
      </c>
      <c r="BL88" s="201">
        <f t="shared" si="421"/>
        <v>47</v>
      </c>
      <c r="BM88" s="201">
        <f t="shared" si="421"/>
        <v>48</v>
      </c>
      <c r="BN88" s="201">
        <f t="shared" si="421"/>
        <v>49</v>
      </c>
      <c r="BO88" s="201">
        <f t="shared" si="421"/>
        <v>50</v>
      </c>
      <c r="BP88" s="201">
        <f t="shared" si="421"/>
        <v>51</v>
      </c>
      <c r="BQ88" s="201">
        <f t="shared" si="421"/>
        <v>52</v>
      </c>
      <c r="BR88" s="201">
        <f t="shared" si="421"/>
        <v>53</v>
      </c>
      <c r="BS88" s="201">
        <f t="shared" si="421"/>
        <v>54</v>
      </c>
      <c r="BT88" s="201">
        <f t="shared" si="421"/>
        <v>55</v>
      </c>
      <c r="BU88" s="201">
        <f t="shared" si="421"/>
        <v>56</v>
      </c>
      <c r="BV88" s="201">
        <f t="shared" si="421"/>
        <v>57</v>
      </c>
      <c r="BW88" s="201">
        <f t="shared" si="421"/>
        <v>58</v>
      </c>
      <c r="BX88" s="201">
        <f t="shared" si="421"/>
        <v>59</v>
      </c>
      <c r="BY88" s="201">
        <f t="shared" si="421"/>
        <v>60</v>
      </c>
      <c r="BZ88" s="201">
        <f t="shared" si="421"/>
        <v>61</v>
      </c>
      <c r="CA88" s="201">
        <f t="shared" si="421"/>
        <v>62</v>
      </c>
      <c r="CB88" s="201">
        <f t="shared" si="421"/>
        <v>63</v>
      </c>
      <c r="CC88" s="201">
        <f t="shared" ref="CC88:DH88" si="422">CC22</f>
        <v>64</v>
      </c>
      <c r="CD88" s="201">
        <f t="shared" si="422"/>
        <v>65</v>
      </c>
      <c r="CE88" s="201">
        <f t="shared" si="422"/>
        <v>66</v>
      </c>
      <c r="CF88" s="201">
        <f t="shared" si="422"/>
        <v>67</v>
      </c>
      <c r="CG88" s="201">
        <f t="shared" si="422"/>
        <v>68</v>
      </c>
      <c r="CH88" s="201">
        <f t="shared" si="422"/>
        <v>69</v>
      </c>
      <c r="CI88" s="201">
        <f t="shared" si="422"/>
        <v>70</v>
      </c>
      <c r="CJ88" s="201">
        <f t="shared" si="422"/>
        <v>71</v>
      </c>
      <c r="CK88" s="201">
        <f t="shared" si="422"/>
        <v>72</v>
      </c>
      <c r="CL88" s="201">
        <f t="shared" si="422"/>
        <v>73</v>
      </c>
      <c r="CM88" s="201">
        <f t="shared" si="422"/>
        <v>74</v>
      </c>
      <c r="CN88" s="201">
        <f t="shared" si="422"/>
        <v>75</v>
      </c>
      <c r="CO88" s="201">
        <f t="shared" si="422"/>
        <v>76</v>
      </c>
      <c r="CP88" s="201">
        <f t="shared" si="422"/>
        <v>77</v>
      </c>
      <c r="CQ88" s="201">
        <f t="shared" si="422"/>
        <v>78</v>
      </c>
      <c r="CR88" s="201">
        <f t="shared" si="422"/>
        <v>79</v>
      </c>
      <c r="CS88" s="201">
        <f t="shared" si="422"/>
        <v>80</v>
      </c>
      <c r="CT88" s="201">
        <f t="shared" si="422"/>
        <v>81</v>
      </c>
      <c r="CU88" s="201">
        <f t="shared" si="422"/>
        <v>82</v>
      </c>
      <c r="CV88" s="201">
        <f t="shared" si="422"/>
        <v>83</v>
      </c>
      <c r="CW88" s="201">
        <f t="shared" si="422"/>
        <v>84</v>
      </c>
      <c r="CX88" s="201">
        <f t="shared" si="422"/>
        <v>85</v>
      </c>
      <c r="CY88" s="201">
        <f t="shared" si="422"/>
        <v>86</v>
      </c>
      <c r="CZ88" s="201">
        <f t="shared" si="422"/>
        <v>87</v>
      </c>
      <c r="DA88" s="201">
        <f t="shared" si="422"/>
        <v>88</v>
      </c>
      <c r="DB88" s="201">
        <f t="shared" si="422"/>
        <v>89</v>
      </c>
      <c r="DC88" s="201">
        <f t="shared" si="422"/>
        <v>90</v>
      </c>
      <c r="DD88" s="201">
        <f t="shared" si="422"/>
        <v>91</v>
      </c>
      <c r="DE88" s="201">
        <f t="shared" si="422"/>
        <v>92</v>
      </c>
      <c r="DF88" s="201">
        <f t="shared" si="422"/>
        <v>93</v>
      </c>
      <c r="DG88" s="201">
        <f t="shared" si="422"/>
        <v>94</v>
      </c>
      <c r="DH88" s="201">
        <f t="shared" si="422"/>
        <v>95</v>
      </c>
      <c r="DI88" s="201">
        <f t="shared" ref="DI88:ES88" si="423">DI22</f>
        <v>96</v>
      </c>
      <c r="DJ88" s="201">
        <f t="shared" si="423"/>
        <v>97</v>
      </c>
      <c r="DK88" s="201">
        <f t="shared" si="423"/>
        <v>98</v>
      </c>
      <c r="DL88" s="201">
        <f t="shared" si="423"/>
        <v>99</v>
      </c>
      <c r="DM88" s="201">
        <f t="shared" si="423"/>
        <v>100</v>
      </c>
      <c r="DN88" s="201">
        <f t="shared" si="423"/>
        <v>101</v>
      </c>
      <c r="DO88" s="201">
        <f t="shared" si="423"/>
        <v>102</v>
      </c>
      <c r="DP88" s="201">
        <f t="shared" si="423"/>
        <v>103</v>
      </c>
      <c r="DQ88" s="201">
        <f t="shared" si="423"/>
        <v>104</v>
      </c>
      <c r="DR88" s="201">
        <f t="shared" si="423"/>
        <v>105</v>
      </c>
      <c r="DS88" s="201">
        <f t="shared" si="423"/>
        <v>106</v>
      </c>
      <c r="DT88" s="201">
        <f t="shared" si="423"/>
        <v>107</v>
      </c>
      <c r="DU88" s="201">
        <f t="shared" si="423"/>
        <v>108</v>
      </c>
      <c r="DV88" s="201">
        <f t="shared" si="423"/>
        <v>109</v>
      </c>
      <c r="DW88" s="201">
        <f t="shared" si="423"/>
        <v>110</v>
      </c>
      <c r="DX88" s="201">
        <f t="shared" si="423"/>
        <v>111</v>
      </c>
      <c r="DY88" s="201">
        <f t="shared" si="423"/>
        <v>112</v>
      </c>
      <c r="DZ88" s="201">
        <f t="shared" si="423"/>
        <v>113</v>
      </c>
      <c r="EA88" s="201">
        <f t="shared" si="423"/>
        <v>114</v>
      </c>
      <c r="EB88" s="201">
        <f t="shared" si="423"/>
        <v>115</v>
      </c>
      <c r="EC88" s="201">
        <f t="shared" si="423"/>
        <v>116</v>
      </c>
      <c r="ED88" s="201">
        <f t="shared" si="423"/>
        <v>117</v>
      </c>
      <c r="EE88" s="201">
        <f t="shared" si="423"/>
        <v>118</v>
      </c>
      <c r="EF88" s="201">
        <f t="shared" si="423"/>
        <v>119</v>
      </c>
      <c r="EG88" s="201">
        <f t="shared" si="423"/>
        <v>120</v>
      </c>
      <c r="EH88" s="201">
        <f t="shared" si="423"/>
        <v>121</v>
      </c>
      <c r="EI88" s="201">
        <f t="shared" si="423"/>
        <v>122</v>
      </c>
      <c r="EJ88" s="201">
        <f t="shared" si="423"/>
        <v>123</v>
      </c>
      <c r="EK88" s="201">
        <f t="shared" si="423"/>
        <v>124</v>
      </c>
      <c r="EL88" s="201">
        <f t="shared" si="423"/>
        <v>125</v>
      </c>
      <c r="EM88" s="201">
        <f t="shared" si="423"/>
        <v>126</v>
      </c>
      <c r="EN88" s="201">
        <f t="shared" si="423"/>
        <v>127</v>
      </c>
      <c r="EO88" s="201">
        <f t="shared" si="423"/>
        <v>128</v>
      </c>
      <c r="EP88" s="201">
        <f t="shared" si="423"/>
        <v>129</v>
      </c>
      <c r="EQ88" s="201">
        <f t="shared" si="423"/>
        <v>130</v>
      </c>
      <c r="ER88" s="201">
        <f t="shared" si="423"/>
        <v>131</v>
      </c>
      <c r="ES88" s="201">
        <f t="shared" si="423"/>
        <v>132</v>
      </c>
      <c r="EU88" s="153"/>
      <c r="EV88" s="153"/>
      <c r="EW88" s="153"/>
      <c r="EX88" s="153"/>
      <c r="EY88" s="153"/>
      <c r="EZ88" s="154"/>
      <c r="FA88" s="221"/>
      <c r="FB88" s="221"/>
      <c r="FC88" s="221"/>
      <c r="FD88" s="221"/>
      <c r="FE88" s="221"/>
      <c r="FF88" s="221"/>
      <c r="FG88" s="221"/>
      <c r="FH88" s="221"/>
      <c r="FI88" s="221"/>
      <c r="FJ88" s="221"/>
      <c r="FK88" s="221"/>
      <c r="FL88" s="221"/>
      <c r="FM88" s="221"/>
      <c r="FN88" s="221"/>
      <c r="FO88" s="221"/>
      <c r="FP88" s="221"/>
      <c r="FQ88" s="221"/>
      <c r="FR88" s="221"/>
      <c r="FS88" s="221"/>
      <c r="FT88" s="221"/>
      <c r="FU88" s="221"/>
      <c r="FV88" s="221"/>
      <c r="FW88" s="221"/>
      <c r="FX88" s="221"/>
      <c r="FY88" s="221"/>
      <c r="FZ88" s="221"/>
      <c r="GA88" s="221"/>
      <c r="GB88" s="221"/>
      <c r="GC88" s="221"/>
      <c r="GD88" s="221"/>
      <c r="GE88" s="221"/>
      <c r="GF88" s="221"/>
      <c r="GG88" s="221"/>
      <c r="GH88" s="221"/>
      <c r="GI88" s="221"/>
      <c r="GJ88" s="221"/>
      <c r="GK88" s="221"/>
      <c r="GL88" s="221"/>
      <c r="GM88" s="221"/>
      <c r="GN88" s="221"/>
      <c r="GO88" s="221"/>
      <c r="GP88" s="221"/>
      <c r="GQ88" s="221"/>
      <c r="GR88" s="221"/>
      <c r="GS88" s="221"/>
      <c r="GT88" s="221"/>
      <c r="GU88" s="221"/>
      <c r="GV88" s="221"/>
      <c r="GW88" s="221"/>
      <c r="GX88" s="221"/>
      <c r="GY88" s="221"/>
      <c r="GZ88" s="221"/>
      <c r="HA88" s="221"/>
      <c r="HB88" s="221"/>
      <c r="HC88" s="221"/>
      <c r="HD88" s="221"/>
      <c r="HE88" s="221"/>
      <c r="HF88" s="221"/>
      <c r="HG88" s="221"/>
      <c r="HH88" s="221"/>
      <c r="HI88" s="221"/>
      <c r="HJ88" s="221"/>
      <c r="HK88" s="221"/>
      <c r="HL88" s="221"/>
      <c r="HM88" s="221"/>
      <c r="HN88" s="221"/>
      <c r="HO88" s="221"/>
      <c r="HP88" s="221"/>
      <c r="HQ88" s="221"/>
      <c r="HR88" s="221"/>
      <c r="HS88" s="221"/>
      <c r="HT88" s="221"/>
      <c r="HU88" s="221"/>
      <c r="HV88" s="221"/>
      <c r="HW88" s="221"/>
      <c r="HX88" s="221"/>
      <c r="HY88" s="221"/>
      <c r="HZ88" s="221"/>
      <c r="IA88" s="221"/>
      <c r="IB88" s="221"/>
      <c r="IC88" s="221"/>
      <c r="ID88" s="221"/>
      <c r="IE88" s="221"/>
      <c r="IF88" s="221"/>
      <c r="IG88" s="221"/>
      <c r="IH88" s="221"/>
      <c r="II88" s="221"/>
      <c r="IJ88" s="221"/>
      <c r="IK88" s="221"/>
      <c r="IL88" s="221"/>
      <c r="IM88" s="221"/>
      <c r="IN88" s="221"/>
      <c r="IO88" s="221"/>
      <c r="IP88" s="221"/>
      <c r="IQ88" s="221"/>
      <c r="IR88" s="221"/>
      <c r="IS88" s="221"/>
      <c r="IT88" s="221"/>
      <c r="IU88" s="221"/>
      <c r="IV88" s="221"/>
      <c r="IW88" s="221"/>
      <c r="IX88" s="221"/>
      <c r="IY88" s="221"/>
      <c r="IZ88" s="221"/>
      <c r="JA88" s="221"/>
      <c r="JB88" s="221"/>
      <c r="JC88" s="221"/>
      <c r="JD88" s="221"/>
      <c r="JE88" s="221"/>
      <c r="JF88" s="221"/>
      <c r="JG88" s="221"/>
      <c r="JH88" s="221"/>
      <c r="JI88" s="221"/>
      <c r="JJ88" s="221"/>
      <c r="JK88" s="221"/>
      <c r="JL88" s="221"/>
      <c r="JM88" s="221"/>
      <c r="JN88" s="221"/>
      <c r="JO88" s="221"/>
      <c r="JP88" s="221"/>
      <c r="JQ88" s="221"/>
      <c r="JR88" s="221"/>
      <c r="JS88" s="221"/>
      <c r="JT88" s="221"/>
      <c r="JU88" s="221"/>
      <c r="JV88" s="221"/>
      <c r="JW88" s="221"/>
      <c r="JX88" s="221"/>
      <c r="JY88" s="221"/>
      <c r="JZ88" s="221"/>
      <c r="KA88" s="221"/>
      <c r="KB88" s="221"/>
      <c r="KC88" s="221"/>
    </row>
    <row r="89" spans="1:289" x14ac:dyDescent="0.25">
      <c r="B89" s="369" t="s">
        <v>98</v>
      </c>
      <c r="C89" s="563"/>
      <c r="D89" s="563"/>
      <c r="E89" s="563"/>
      <c r="F89" s="563"/>
      <c r="G89" s="563" t="str">
        <f>IF(LeaseUp_Method=1,"Detailed Lease Up Method","Basic Lease Up Method")</f>
        <v>Basic Lease Up Method</v>
      </c>
      <c r="H89" s="563"/>
      <c r="I89" s="563"/>
      <c r="J89" s="160"/>
      <c r="K89" s="160"/>
      <c r="L89" s="160"/>
      <c r="M89" s="160"/>
      <c r="N89" s="160"/>
      <c r="O89" s="160"/>
      <c r="P89" s="160" t="s">
        <v>463</v>
      </c>
      <c r="Q89" s="206">
        <f t="shared" ref="Q89:AV89" si="424">Q23</f>
        <v>45688</v>
      </c>
      <c r="R89" s="206">
        <f t="shared" si="424"/>
        <v>45716</v>
      </c>
      <c r="S89" s="206">
        <f t="shared" si="424"/>
        <v>45747</v>
      </c>
      <c r="T89" s="206">
        <f t="shared" si="424"/>
        <v>45777</v>
      </c>
      <c r="U89" s="206">
        <f t="shared" si="424"/>
        <v>45808</v>
      </c>
      <c r="V89" s="206">
        <f t="shared" si="424"/>
        <v>45838</v>
      </c>
      <c r="W89" s="206">
        <f t="shared" si="424"/>
        <v>45869</v>
      </c>
      <c r="X89" s="206">
        <f t="shared" si="424"/>
        <v>45900</v>
      </c>
      <c r="Y89" s="206">
        <f t="shared" si="424"/>
        <v>45930</v>
      </c>
      <c r="Z89" s="206">
        <f t="shared" si="424"/>
        <v>45961</v>
      </c>
      <c r="AA89" s="206">
        <f t="shared" si="424"/>
        <v>45991</v>
      </c>
      <c r="AB89" s="206">
        <f t="shared" si="424"/>
        <v>46022</v>
      </c>
      <c r="AC89" s="206">
        <f t="shared" si="424"/>
        <v>46053</v>
      </c>
      <c r="AD89" s="206">
        <f t="shared" si="424"/>
        <v>46081</v>
      </c>
      <c r="AE89" s="206">
        <f t="shared" si="424"/>
        <v>46112</v>
      </c>
      <c r="AF89" s="206">
        <f t="shared" si="424"/>
        <v>46142</v>
      </c>
      <c r="AG89" s="206">
        <f t="shared" si="424"/>
        <v>46173</v>
      </c>
      <c r="AH89" s="206">
        <f t="shared" si="424"/>
        <v>46203</v>
      </c>
      <c r="AI89" s="206">
        <f t="shared" si="424"/>
        <v>46234</v>
      </c>
      <c r="AJ89" s="206">
        <f t="shared" si="424"/>
        <v>46265</v>
      </c>
      <c r="AK89" s="206">
        <f t="shared" si="424"/>
        <v>46295</v>
      </c>
      <c r="AL89" s="206">
        <f t="shared" si="424"/>
        <v>46326</v>
      </c>
      <c r="AM89" s="206">
        <f t="shared" si="424"/>
        <v>46356</v>
      </c>
      <c r="AN89" s="206">
        <f t="shared" si="424"/>
        <v>46387</v>
      </c>
      <c r="AO89" s="206">
        <f t="shared" si="424"/>
        <v>46418</v>
      </c>
      <c r="AP89" s="206">
        <f t="shared" si="424"/>
        <v>46446</v>
      </c>
      <c r="AQ89" s="206">
        <f t="shared" si="424"/>
        <v>46477</v>
      </c>
      <c r="AR89" s="206">
        <f t="shared" si="424"/>
        <v>46507</v>
      </c>
      <c r="AS89" s="206">
        <f t="shared" si="424"/>
        <v>46538</v>
      </c>
      <c r="AT89" s="206">
        <f t="shared" si="424"/>
        <v>46568</v>
      </c>
      <c r="AU89" s="206">
        <f t="shared" si="424"/>
        <v>46599</v>
      </c>
      <c r="AV89" s="206">
        <f t="shared" si="424"/>
        <v>46630</v>
      </c>
      <c r="AW89" s="206">
        <f t="shared" ref="AW89:CB89" si="425">AW23</f>
        <v>46660</v>
      </c>
      <c r="AX89" s="206">
        <f t="shared" si="425"/>
        <v>46691</v>
      </c>
      <c r="AY89" s="206">
        <f t="shared" si="425"/>
        <v>46721</v>
      </c>
      <c r="AZ89" s="206">
        <f t="shared" si="425"/>
        <v>46752</v>
      </c>
      <c r="BA89" s="206">
        <f t="shared" si="425"/>
        <v>46783</v>
      </c>
      <c r="BB89" s="206">
        <f t="shared" si="425"/>
        <v>46812</v>
      </c>
      <c r="BC89" s="206">
        <f t="shared" si="425"/>
        <v>46843</v>
      </c>
      <c r="BD89" s="206">
        <f t="shared" si="425"/>
        <v>46873</v>
      </c>
      <c r="BE89" s="206">
        <f t="shared" si="425"/>
        <v>46904</v>
      </c>
      <c r="BF89" s="206">
        <f t="shared" si="425"/>
        <v>46934</v>
      </c>
      <c r="BG89" s="206">
        <f t="shared" si="425"/>
        <v>46965</v>
      </c>
      <c r="BH89" s="206">
        <f t="shared" si="425"/>
        <v>46996</v>
      </c>
      <c r="BI89" s="206">
        <f t="shared" si="425"/>
        <v>47026</v>
      </c>
      <c r="BJ89" s="206">
        <f t="shared" si="425"/>
        <v>47057</v>
      </c>
      <c r="BK89" s="206">
        <f t="shared" si="425"/>
        <v>47087</v>
      </c>
      <c r="BL89" s="206">
        <f t="shared" si="425"/>
        <v>47118</v>
      </c>
      <c r="BM89" s="206">
        <f t="shared" si="425"/>
        <v>47149</v>
      </c>
      <c r="BN89" s="206">
        <f t="shared" si="425"/>
        <v>47177</v>
      </c>
      <c r="BO89" s="206">
        <f t="shared" si="425"/>
        <v>47208</v>
      </c>
      <c r="BP89" s="206">
        <f t="shared" si="425"/>
        <v>47238</v>
      </c>
      <c r="BQ89" s="206">
        <f t="shared" si="425"/>
        <v>47269</v>
      </c>
      <c r="BR89" s="206">
        <f t="shared" si="425"/>
        <v>47299</v>
      </c>
      <c r="BS89" s="206">
        <f t="shared" si="425"/>
        <v>47330</v>
      </c>
      <c r="BT89" s="206">
        <f t="shared" si="425"/>
        <v>47361</v>
      </c>
      <c r="BU89" s="206">
        <f t="shared" si="425"/>
        <v>47391</v>
      </c>
      <c r="BV89" s="206">
        <f t="shared" si="425"/>
        <v>47422</v>
      </c>
      <c r="BW89" s="206">
        <f t="shared" si="425"/>
        <v>47452</v>
      </c>
      <c r="BX89" s="206">
        <f t="shared" si="425"/>
        <v>47483</v>
      </c>
      <c r="BY89" s="206">
        <f t="shared" si="425"/>
        <v>47514</v>
      </c>
      <c r="BZ89" s="206">
        <f t="shared" si="425"/>
        <v>47542</v>
      </c>
      <c r="CA89" s="206">
        <f t="shared" si="425"/>
        <v>47573</v>
      </c>
      <c r="CB89" s="206">
        <f t="shared" si="425"/>
        <v>47603</v>
      </c>
      <c r="CC89" s="206">
        <f t="shared" ref="CC89:DH89" si="426">CC23</f>
        <v>47634</v>
      </c>
      <c r="CD89" s="206">
        <f t="shared" si="426"/>
        <v>47664</v>
      </c>
      <c r="CE89" s="206">
        <f t="shared" si="426"/>
        <v>47695</v>
      </c>
      <c r="CF89" s="206">
        <f t="shared" si="426"/>
        <v>47726</v>
      </c>
      <c r="CG89" s="206">
        <f t="shared" si="426"/>
        <v>47756</v>
      </c>
      <c r="CH89" s="206">
        <f t="shared" si="426"/>
        <v>47787</v>
      </c>
      <c r="CI89" s="206">
        <f t="shared" si="426"/>
        <v>47817</v>
      </c>
      <c r="CJ89" s="206">
        <f t="shared" si="426"/>
        <v>47848</v>
      </c>
      <c r="CK89" s="206">
        <f t="shared" si="426"/>
        <v>47879</v>
      </c>
      <c r="CL89" s="206">
        <f t="shared" si="426"/>
        <v>47907</v>
      </c>
      <c r="CM89" s="206">
        <f t="shared" si="426"/>
        <v>47938</v>
      </c>
      <c r="CN89" s="206">
        <f t="shared" si="426"/>
        <v>47968</v>
      </c>
      <c r="CO89" s="206">
        <f t="shared" si="426"/>
        <v>47999</v>
      </c>
      <c r="CP89" s="206">
        <f t="shared" si="426"/>
        <v>48029</v>
      </c>
      <c r="CQ89" s="206">
        <f t="shared" si="426"/>
        <v>48060</v>
      </c>
      <c r="CR89" s="206">
        <f t="shared" si="426"/>
        <v>48091</v>
      </c>
      <c r="CS89" s="206">
        <f t="shared" si="426"/>
        <v>48121</v>
      </c>
      <c r="CT89" s="206">
        <f t="shared" si="426"/>
        <v>48152</v>
      </c>
      <c r="CU89" s="206">
        <f t="shared" si="426"/>
        <v>48182</v>
      </c>
      <c r="CV89" s="206">
        <f t="shared" si="426"/>
        <v>48213</v>
      </c>
      <c r="CW89" s="206">
        <f t="shared" si="426"/>
        <v>48244</v>
      </c>
      <c r="CX89" s="206">
        <f t="shared" si="426"/>
        <v>48273</v>
      </c>
      <c r="CY89" s="206">
        <f t="shared" si="426"/>
        <v>48304</v>
      </c>
      <c r="CZ89" s="206">
        <f t="shared" si="426"/>
        <v>48334</v>
      </c>
      <c r="DA89" s="206">
        <f t="shared" si="426"/>
        <v>48365</v>
      </c>
      <c r="DB89" s="206">
        <f t="shared" si="426"/>
        <v>48395</v>
      </c>
      <c r="DC89" s="206">
        <f t="shared" si="426"/>
        <v>48426</v>
      </c>
      <c r="DD89" s="206">
        <f t="shared" si="426"/>
        <v>48457</v>
      </c>
      <c r="DE89" s="206">
        <f t="shared" si="426"/>
        <v>48487</v>
      </c>
      <c r="DF89" s="206">
        <f t="shared" si="426"/>
        <v>48518</v>
      </c>
      <c r="DG89" s="206">
        <f t="shared" si="426"/>
        <v>48548</v>
      </c>
      <c r="DH89" s="206">
        <f t="shared" si="426"/>
        <v>48579</v>
      </c>
      <c r="DI89" s="206">
        <f t="shared" ref="DI89:ES89" si="427">DI23</f>
        <v>48610</v>
      </c>
      <c r="DJ89" s="206">
        <f t="shared" si="427"/>
        <v>48638</v>
      </c>
      <c r="DK89" s="206">
        <f t="shared" si="427"/>
        <v>48669</v>
      </c>
      <c r="DL89" s="206">
        <f t="shared" si="427"/>
        <v>48699</v>
      </c>
      <c r="DM89" s="206">
        <f t="shared" si="427"/>
        <v>48730</v>
      </c>
      <c r="DN89" s="206">
        <f t="shared" si="427"/>
        <v>48760</v>
      </c>
      <c r="DO89" s="206">
        <f t="shared" si="427"/>
        <v>48791</v>
      </c>
      <c r="DP89" s="206">
        <f t="shared" si="427"/>
        <v>48822</v>
      </c>
      <c r="DQ89" s="206">
        <f t="shared" si="427"/>
        <v>48852</v>
      </c>
      <c r="DR89" s="206">
        <f t="shared" si="427"/>
        <v>48883</v>
      </c>
      <c r="DS89" s="206">
        <f t="shared" si="427"/>
        <v>48913</v>
      </c>
      <c r="DT89" s="206">
        <f t="shared" si="427"/>
        <v>48944</v>
      </c>
      <c r="DU89" s="206">
        <f t="shared" si="427"/>
        <v>48975</v>
      </c>
      <c r="DV89" s="206">
        <f t="shared" si="427"/>
        <v>49003</v>
      </c>
      <c r="DW89" s="206">
        <f t="shared" si="427"/>
        <v>49034</v>
      </c>
      <c r="DX89" s="206">
        <f t="shared" si="427"/>
        <v>49064</v>
      </c>
      <c r="DY89" s="206">
        <f t="shared" si="427"/>
        <v>49095</v>
      </c>
      <c r="DZ89" s="206">
        <f t="shared" si="427"/>
        <v>49125</v>
      </c>
      <c r="EA89" s="206">
        <f t="shared" si="427"/>
        <v>49156</v>
      </c>
      <c r="EB89" s="206">
        <f t="shared" si="427"/>
        <v>49187</v>
      </c>
      <c r="EC89" s="206">
        <f t="shared" si="427"/>
        <v>49217</v>
      </c>
      <c r="ED89" s="206">
        <f t="shared" si="427"/>
        <v>49248</v>
      </c>
      <c r="EE89" s="206">
        <f t="shared" si="427"/>
        <v>49278</v>
      </c>
      <c r="EF89" s="206">
        <f t="shared" si="427"/>
        <v>49309</v>
      </c>
      <c r="EG89" s="206">
        <f t="shared" si="427"/>
        <v>49340</v>
      </c>
      <c r="EH89" s="206">
        <f t="shared" si="427"/>
        <v>49368</v>
      </c>
      <c r="EI89" s="206">
        <f t="shared" si="427"/>
        <v>49399</v>
      </c>
      <c r="EJ89" s="206">
        <f t="shared" si="427"/>
        <v>49429</v>
      </c>
      <c r="EK89" s="206">
        <f t="shared" si="427"/>
        <v>49460</v>
      </c>
      <c r="EL89" s="206">
        <f t="shared" si="427"/>
        <v>49490</v>
      </c>
      <c r="EM89" s="206">
        <f t="shared" si="427"/>
        <v>49521</v>
      </c>
      <c r="EN89" s="206">
        <f t="shared" si="427"/>
        <v>49552</v>
      </c>
      <c r="EO89" s="206">
        <f t="shared" si="427"/>
        <v>49582</v>
      </c>
      <c r="EP89" s="206">
        <f t="shared" si="427"/>
        <v>49613</v>
      </c>
      <c r="EQ89" s="206">
        <f t="shared" si="427"/>
        <v>49643</v>
      </c>
      <c r="ER89" s="206">
        <f t="shared" si="427"/>
        <v>49674</v>
      </c>
      <c r="ES89" s="206">
        <f t="shared" si="427"/>
        <v>49705</v>
      </c>
      <c r="EU89" s="202" t="s">
        <v>92</v>
      </c>
      <c r="EV89" s="153"/>
      <c r="EW89" s="153" t="s">
        <v>95</v>
      </c>
      <c r="EX89" s="153"/>
      <c r="EY89" s="153"/>
      <c r="EZ89" s="154" t="s">
        <v>91</v>
      </c>
      <c r="FA89" s="248"/>
      <c r="FB89" s="248">
        <f t="shared" ref="FB89:GG89" si="428">MAX(FB3-Timing_Operation_Begin_Month+1,0)</f>
        <v>0</v>
      </c>
      <c r="FC89" s="248">
        <f t="shared" si="428"/>
        <v>0</v>
      </c>
      <c r="FD89" s="248">
        <f t="shared" si="428"/>
        <v>0</v>
      </c>
      <c r="FE89" s="248">
        <f t="shared" si="428"/>
        <v>0</v>
      </c>
      <c r="FF89" s="248">
        <f t="shared" si="428"/>
        <v>0</v>
      </c>
      <c r="FG89" s="248">
        <f t="shared" si="428"/>
        <v>0</v>
      </c>
      <c r="FH89" s="248">
        <f t="shared" si="428"/>
        <v>0</v>
      </c>
      <c r="FI89" s="248">
        <f t="shared" si="428"/>
        <v>0</v>
      </c>
      <c r="FJ89" s="248">
        <f t="shared" si="428"/>
        <v>0</v>
      </c>
      <c r="FK89" s="248">
        <f t="shared" si="428"/>
        <v>0</v>
      </c>
      <c r="FL89" s="248">
        <f t="shared" si="428"/>
        <v>0</v>
      </c>
      <c r="FM89" s="248">
        <f t="shared" si="428"/>
        <v>1</v>
      </c>
      <c r="FN89" s="248">
        <f t="shared" si="428"/>
        <v>2</v>
      </c>
      <c r="FO89" s="248">
        <f t="shared" si="428"/>
        <v>3</v>
      </c>
      <c r="FP89" s="248">
        <f t="shared" si="428"/>
        <v>4</v>
      </c>
      <c r="FQ89" s="248">
        <f t="shared" si="428"/>
        <v>5</v>
      </c>
      <c r="FR89" s="248">
        <f t="shared" si="428"/>
        <v>6</v>
      </c>
      <c r="FS89" s="248">
        <f t="shared" si="428"/>
        <v>7</v>
      </c>
      <c r="FT89" s="248">
        <f t="shared" si="428"/>
        <v>8</v>
      </c>
      <c r="FU89" s="248">
        <f t="shared" si="428"/>
        <v>9</v>
      </c>
      <c r="FV89" s="248">
        <f t="shared" si="428"/>
        <v>10</v>
      </c>
      <c r="FW89" s="248">
        <f t="shared" si="428"/>
        <v>11</v>
      </c>
      <c r="FX89" s="248">
        <f t="shared" si="428"/>
        <v>12</v>
      </c>
      <c r="FY89" s="248">
        <f t="shared" si="428"/>
        <v>13</v>
      </c>
      <c r="FZ89" s="248">
        <f t="shared" si="428"/>
        <v>14</v>
      </c>
      <c r="GA89" s="248">
        <f t="shared" si="428"/>
        <v>15</v>
      </c>
      <c r="GB89" s="248">
        <f t="shared" si="428"/>
        <v>16</v>
      </c>
      <c r="GC89" s="248">
        <f t="shared" si="428"/>
        <v>17</v>
      </c>
      <c r="GD89" s="248">
        <f t="shared" si="428"/>
        <v>18</v>
      </c>
      <c r="GE89" s="248">
        <f t="shared" si="428"/>
        <v>19</v>
      </c>
      <c r="GF89" s="248">
        <f t="shared" si="428"/>
        <v>20</v>
      </c>
      <c r="GG89" s="248">
        <f t="shared" si="428"/>
        <v>21</v>
      </c>
      <c r="GH89" s="248">
        <f t="shared" ref="GH89:HM89" si="429">MAX(GH3-Timing_Operation_Begin_Month+1,0)</f>
        <v>22</v>
      </c>
      <c r="GI89" s="248">
        <f t="shared" si="429"/>
        <v>23</v>
      </c>
      <c r="GJ89" s="248">
        <f t="shared" si="429"/>
        <v>24</v>
      </c>
      <c r="GK89" s="248">
        <f t="shared" si="429"/>
        <v>25</v>
      </c>
      <c r="GL89" s="248">
        <f t="shared" si="429"/>
        <v>26</v>
      </c>
      <c r="GM89" s="248">
        <f t="shared" si="429"/>
        <v>27</v>
      </c>
      <c r="GN89" s="248">
        <f t="shared" si="429"/>
        <v>28</v>
      </c>
      <c r="GO89" s="248">
        <f t="shared" si="429"/>
        <v>29</v>
      </c>
      <c r="GP89" s="248">
        <f t="shared" si="429"/>
        <v>30</v>
      </c>
      <c r="GQ89" s="248">
        <f t="shared" si="429"/>
        <v>31</v>
      </c>
      <c r="GR89" s="248">
        <f t="shared" si="429"/>
        <v>32</v>
      </c>
      <c r="GS89" s="248">
        <f t="shared" si="429"/>
        <v>33</v>
      </c>
      <c r="GT89" s="248">
        <f t="shared" si="429"/>
        <v>34</v>
      </c>
      <c r="GU89" s="248">
        <f t="shared" si="429"/>
        <v>35</v>
      </c>
      <c r="GV89" s="248">
        <f t="shared" si="429"/>
        <v>36</v>
      </c>
      <c r="GW89" s="248">
        <f t="shared" si="429"/>
        <v>37</v>
      </c>
      <c r="GX89" s="248">
        <f t="shared" si="429"/>
        <v>38</v>
      </c>
      <c r="GY89" s="248">
        <f t="shared" si="429"/>
        <v>39</v>
      </c>
      <c r="GZ89" s="248">
        <f t="shared" si="429"/>
        <v>40</v>
      </c>
      <c r="HA89" s="248">
        <f t="shared" si="429"/>
        <v>41</v>
      </c>
      <c r="HB89" s="248">
        <f t="shared" si="429"/>
        <v>42</v>
      </c>
      <c r="HC89" s="248">
        <f t="shared" si="429"/>
        <v>43</v>
      </c>
      <c r="HD89" s="248">
        <f t="shared" si="429"/>
        <v>44</v>
      </c>
      <c r="HE89" s="248">
        <f t="shared" si="429"/>
        <v>45</v>
      </c>
      <c r="HF89" s="248">
        <f t="shared" si="429"/>
        <v>46</v>
      </c>
      <c r="HG89" s="248">
        <f t="shared" si="429"/>
        <v>47</v>
      </c>
      <c r="HH89" s="248">
        <f t="shared" si="429"/>
        <v>48</v>
      </c>
      <c r="HI89" s="248">
        <f t="shared" si="429"/>
        <v>49</v>
      </c>
      <c r="HJ89" s="248">
        <f t="shared" si="429"/>
        <v>50</v>
      </c>
      <c r="HK89" s="248">
        <f t="shared" si="429"/>
        <v>51</v>
      </c>
      <c r="HL89" s="248">
        <f t="shared" si="429"/>
        <v>52</v>
      </c>
      <c r="HM89" s="248">
        <f t="shared" si="429"/>
        <v>53</v>
      </c>
      <c r="HN89" s="248">
        <f t="shared" ref="HN89:IS89" si="430">MAX(HN3-Timing_Operation_Begin_Month+1,0)</f>
        <v>54</v>
      </c>
      <c r="HO89" s="248">
        <f t="shared" si="430"/>
        <v>55</v>
      </c>
      <c r="HP89" s="248">
        <f t="shared" si="430"/>
        <v>56</v>
      </c>
      <c r="HQ89" s="248">
        <f t="shared" si="430"/>
        <v>57</v>
      </c>
      <c r="HR89" s="248">
        <f t="shared" si="430"/>
        <v>58</v>
      </c>
      <c r="HS89" s="248">
        <f t="shared" si="430"/>
        <v>59</v>
      </c>
      <c r="HT89" s="248">
        <f t="shared" si="430"/>
        <v>60</v>
      </c>
      <c r="HU89" s="248">
        <f t="shared" si="430"/>
        <v>61</v>
      </c>
      <c r="HV89" s="248">
        <f t="shared" si="430"/>
        <v>62</v>
      </c>
      <c r="HW89" s="248">
        <f t="shared" si="430"/>
        <v>63</v>
      </c>
      <c r="HX89" s="248">
        <f t="shared" si="430"/>
        <v>64</v>
      </c>
      <c r="HY89" s="248">
        <f t="shared" si="430"/>
        <v>65</v>
      </c>
      <c r="HZ89" s="248">
        <f t="shared" si="430"/>
        <v>66</v>
      </c>
      <c r="IA89" s="248">
        <f t="shared" si="430"/>
        <v>67</v>
      </c>
      <c r="IB89" s="248">
        <f t="shared" si="430"/>
        <v>68</v>
      </c>
      <c r="IC89" s="248">
        <f t="shared" si="430"/>
        <v>69</v>
      </c>
      <c r="ID89" s="248">
        <f t="shared" si="430"/>
        <v>70</v>
      </c>
      <c r="IE89" s="248">
        <f t="shared" si="430"/>
        <v>71</v>
      </c>
      <c r="IF89" s="248">
        <f t="shared" si="430"/>
        <v>72</v>
      </c>
      <c r="IG89" s="248">
        <f t="shared" si="430"/>
        <v>73</v>
      </c>
      <c r="IH89" s="248">
        <f t="shared" si="430"/>
        <v>74</v>
      </c>
      <c r="II89" s="248">
        <f t="shared" si="430"/>
        <v>75</v>
      </c>
      <c r="IJ89" s="248">
        <f t="shared" si="430"/>
        <v>76</v>
      </c>
      <c r="IK89" s="248">
        <f t="shared" si="430"/>
        <v>77</v>
      </c>
      <c r="IL89" s="248">
        <f t="shared" si="430"/>
        <v>78</v>
      </c>
      <c r="IM89" s="248">
        <f t="shared" si="430"/>
        <v>79</v>
      </c>
      <c r="IN89" s="248">
        <f t="shared" si="430"/>
        <v>80</v>
      </c>
      <c r="IO89" s="248">
        <f t="shared" si="430"/>
        <v>81</v>
      </c>
      <c r="IP89" s="248">
        <f t="shared" si="430"/>
        <v>82</v>
      </c>
      <c r="IQ89" s="248">
        <f t="shared" si="430"/>
        <v>83</v>
      </c>
      <c r="IR89" s="248">
        <f t="shared" si="430"/>
        <v>84</v>
      </c>
      <c r="IS89" s="248">
        <f t="shared" si="430"/>
        <v>85</v>
      </c>
      <c r="IT89" s="248">
        <f t="shared" ref="IT89:KC89" si="431">MAX(IT3-Timing_Operation_Begin_Month+1,0)</f>
        <v>86</v>
      </c>
      <c r="IU89" s="248">
        <f t="shared" si="431"/>
        <v>87</v>
      </c>
      <c r="IV89" s="248">
        <f t="shared" si="431"/>
        <v>88</v>
      </c>
      <c r="IW89" s="248">
        <f t="shared" si="431"/>
        <v>89</v>
      </c>
      <c r="IX89" s="248">
        <f t="shared" si="431"/>
        <v>90</v>
      </c>
      <c r="IY89" s="248">
        <f t="shared" si="431"/>
        <v>91</v>
      </c>
      <c r="IZ89" s="248">
        <f t="shared" si="431"/>
        <v>92</v>
      </c>
      <c r="JA89" s="248">
        <f t="shared" si="431"/>
        <v>93</v>
      </c>
      <c r="JB89" s="248">
        <f t="shared" si="431"/>
        <v>94</v>
      </c>
      <c r="JC89" s="248">
        <f t="shared" si="431"/>
        <v>95</v>
      </c>
      <c r="JD89" s="248">
        <f t="shared" si="431"/>
        <v>96</v>
      </c>
      <c r="JE89" s="248">
        <f t="shared" si="431"/>
        <v>97</v>
      </c>
      <c r="JF89" s="248">
        <f t="shared" si="431"/>
        <v>98</v>
      </c>
      <c r="JG89" s="248">
        <f t="shared" si="431"/>
        <v>99</v>
      </c>
      <c r="JH89" s="248">
        <f t="shared" si="431"/>
        <v>100</v>
      </c>
      <c r="JI89" s="248">
        <f t="shared" si="431"/>
        <v>101</v>
      </c>
      <c r="JJ89" s="248">
        <f t="shared" si="431"/>
        <v>102</v>
      </c>
      <c r="JK89" s="248">
        <f t="shared" si="431"/>
        <v>103</v>
      </c>
      <c r="JL89" s="248">
        <f t="shared" si="431"/>
        <v>104</v>
      </c>
      <c r="JM89" s="248">
        <f t="shared" si="431"/>
        <v>105</v>
      </c>
      <c r="JN89" s="248">
        <f t="shared" si="431"/>
        <v>106</v>
      </c>
      <c r="JO89" s="248">
        <f t="shared" si="431"/>
        <v>107</v>
      </c>
      <c r="JP89" s="248">
        <f t="shared" si="431"/>
        <v>108</v>
      </c>
      <c r="JQ89" s="248">
        <f t="shared" si="431"/>
        <v>109</v>
      </c>
      <c r="JR89" s="248">
        <f t="shared" si="431"/>
        <v>110</v>
      </c>
      <c r="JS89" s="248">
        <f t="shared" si="431"/>
        <v>111</v>
      </c>
      <c r="JT89" s="248">
        <f t="shared" si="431"/>
        <v>112</v>
      </c>
      <c r="JU89" s="248">
        <f t="shared" si="431"/>
        <v>113</v>
      </c>
      <c r="JV89" s="248">
        <f t="shared" si="431"/>
        <v>114</v>
      </c>
      <c r="JW89" s="248">
        <f t="shared" si="431"/>
        <v>115</v>
      </c>
      <c r="JX89" s="248">
        <f t="shared" si="431"/>
        <v>116</v>
      </c>
      <c r="JY89" s="248">
        <f t="shared" si="431"/>
        <v>117</v>
      </c>
      <c r="JZ89" s="248">
        <f t="shared" si="431"/>
        <v>118</v>
      </c>
      <c r="KA89" s="248">
        <f t="shared" si="431"/>
        <v>119</v>
      </c>
      <c r="KB89" s="248">
        <f t="shared" si="431"/>
        <v>120</v>
      </c>
      <c r="KC89" s="248">
        <f t="shared" si="431"/>
        <v>121</v>
      </c>
    </row>
    <row r="90" spans="1:289" x14ac:dyDescent="0.25">
      <c r="A90" s="150">
        <v>0</v>
      </c>
      <c r="B90" s="180" t="s">
        <v>87</v>
      </c>
      <c r="C90" s="181"/>
      <c r="D90" s="307">
        <v>12</v>
      </c>
      <c r="E90" s="181"/>
      <c r="F90" s="181"/>
      <c r="G90" s="170" t="s">
        <v>200</v>
      </c>
      <c r="H90" s="171" t="s">
        <v>199</v>
      </c>
      <c r="I90" s="308"/>
      <c r="P90" s="157" t="s">
        <v>90</v>
      </c>
      <c r="Q90" s="309">
        <f t="shared" ref="Q90" si="432">IF(Q88&lt;Timing_Operation_Begin_Month,0,1-(FA90/Units))</f>
        <v>0</v>
      </c>
      <c r="R90" s="309">
        <f t="shared" ref="R90" si="433">IF(R88&lt;Timing_Operation_Begin_Month,0,1-(FB90/Units))</f>
        <v>0</v>
      </c>
      <c r="S90" s="309">
        <f t="shared" ref="S90" si="434">IF(S88&lt;Timing_Operation_Begin_Month,0,1-(FC90/Units))</f>
        <v>0</v>
      </c>
      <c r="T90" s="309">
        <f t="shared" ref="T90" si="435">IF(T88&lt;Timing_Operation_Begin_Month,0,1-(FD90/Units))</f>
        <v>0</v>
      </c>
      <c r="U90" s="309">
        <f t="shared" ref="U90" si="436">IF(U88&lt;Timing_Operation_Begin_Month,0,1-(FE90/Units))</f>
        <v>0</v>
      </c>
      <c r="V90" s="309">
        <f t="shared" ref="V90" si="437">IF(V88&lt;Timing_Operation_Begin_Month,0,1-(FF90/Units))</f>
        <v>0</v>
      </c>
      <c r="W90" s="309">
        <f t="shared" ref="W90" si="438">IF(W88&lt;Timing_Operation_Begin_Month,0,1-(FG90/Units))</f>
        <v>0</v>
      </c>
      <c r="X90" s="309">
        <f t="shared" ref="X90" si="439">IF(X88&lt;Timing_Operation_Begin_Month,0,1-(FH90/Units))</f>
        <v>0</v>
      </c>
      <c r="Y90" s="309">
        <f t="shared" ref="Y90" si="440">IF(Y88&lt;Timing_Operation_Begin_Month,0,1-(FI90/Units))</f>
        <v>0</v>
      </c>
      <c r="Z90" s="309">
        <f t="shared" ref="Z90" si="441">IF(Z88&lt;Timing_Operation_Begin_Month,0,1-(FJ90/Units))</f>
        <v>0</v>
      </c>
      <c r="AA90" s="309">
        <f t="shared" ref="AA90" si="442">IF(AA88&lt;Timing_Operation_Begin_Month,0,1-(FK90/Units))</f>
        <v>0</v>
      </c>
      <c r="AB90" s="309">
        <f t="shared" ref="AB90" si="443">IF(AB88&lt;Timing_Operation_Begin_Month,0,1-(FL90/Units))</f>
        <v>0</v>
      </c>
      <c r="AC90" s="309">
        <f t="shared" ref="AC90" si="444">IF(AC88&lt;Timing_Operation_Begin_Month,0,1-(FM90/Units))</f>
        <v>0.25</v>
      </c>
      <c r="AD90" s="309">
        <f t="shared" ref="AD90" si="445">IF(AD88&lt;Timing_Operation_Begin_Month,0,1-(FN90/Units))</f>
        <v>0.625</v>
      </c>
      <c r="AE90" s="309">
        <f t="shared" ref="AE90" si="446">IF(AE88&lt;Timing_Operation_Begin_Month,0,1-(FO90/Units))</f>
        <v>1</v>
      </c>
      <c r="AF90" s="309">
        <f t="shared" ref="AF90" si="447">IF(AF88&lt;Timing_Operation_Begin_Month,0,1-(FP90/Units))</f>
        <v>1</v>
      </c>
      <c r="AG90" s="309">
        <f t="shared" ref="AG90" si="448">IF(AG88&lt;Timing_Operation_Begin_Month,0,1-(FQ90/Units))</f>
        <v>1</v>
      </c>
      <c r="AH90" s="309">
        <f t="shared" ref="AH90" si="449">IF(AH88&lt;Timing_Operation_Begin_Month,0,1-(FR90/Units))</f>
        <v>1</v>
      </c>
      <c r="AI90" s="309">
        <f t="shared" ref="AI90" si="450">IF(AI88&lt;Timing_Operation_Begin_Month,0,1-(FS90/Units))</f>
        <v>1</v>
      </c>
      <c r="AJ90" s="309">
        <f t="shared" ref="AJ90" si="451">IF(AJ88&lt;Timing_Operation_Begin_Month,0,1-(FT90/Units))</f>
        <v>1</v>
      </c>
      <c r="AK90" s="309">
        <f t="shared" ref="AK90" si="452">IF(AK88&lt;Timing_Operation_Begin_Month,0,1-(FU90/Units))</f>
        <v>1</v>
      </c>
      <c r="AL90" s="309">
        <f t="shared" ref="AL90" si="453">IF(AL88&lt;Timing_Operation_Begin_Month,0,1-(FV90/Units))</f>
        <v>1</v>
      </c>
      <c r="AM90" s="309">
        <f t="shared" ref="AM90" si="454">IF(AM88&lt;Timing_Operation_Begin_Month,0,1-(FW90/Units))</f>
        <v>1</v>
      </c>
      <c r="AN90" s="309">
        <f t="shared" ref="AN90" si="455">IF(AN88&lt;Timing_Operation_Begin_Month,0,1-(FX90/Units))</f>
        <v>1</v>
      </c>
      <c r="AO90" s="309">
        <f t="shared" ref="AO90" si="456">IF(AO88&lt;Timing_Operation_Begin_Month,0,1-(FY90/Units))</f>
        <v>1</v>
      </c>
      <c r="AP90" s="309">
        <f t="shared" ref="AP90" si="457">IF(AP88&lt;Timing_Operation_Begin_Month,0,1-(FZ90/Units))</f>
        <v>1</v>
      </c>
      <c r="AQ90" s="309">
        <f t="shared" ref="AQ90" si="458">IF(AQ88&lt;Timing_Operation_Begin_Month,0,1-(GA90/Units))</f>
        <v>1</v>
      </c>
      <c r="AR90" s="309">
        <f t="shared" ref="AR90" si="459">IF(AR88&lt;Timing_Operation_Begin_Month,0,1-(GB90/Units))</f>
        <v>1</v>
      </c>
      <c r="AS90" s="309">
        <f t="shared" ref="AS90" si="460">IF(AS88&lt;Timing_Operation_Begin_Month,0,1-(GC90/Units))</f>
        <v>1</v>
      </c>
      <c r="AT90" s="309">
        <f t="shared" ref="AT90" si="461">IF(AT88&lt;Timing_Operation_Begin_Month,0,1-(GD90/Units))</f>
        <v>1</v>
      </c>
      <c r="AU90" s="309">
        <f t="shared" ref="AU90" si="462">IF(AU88&lt;Timing_Operation_Begin_Month,0,1-(GE90/Units))</f>
        <v>1</v>
      </c>
      <c r="AV90" s="309">
        <f t="shared" ref="AV90" si="463">IF(AV88&lt;Timing_Operation_Begin_Month,0,1-(GF90/Units))</f>
        <v>1</v>
      </c>
      <c r="AW90" s="309">
        <f t="shared" ref="AW90" si="464">IF(AW88&lt;Timing_Operation_Begin_Month,0,1-(GG90/Units))</f>
        <v>1</v>
      </c>
      <c r="AX90" s="309">
        <f t="shared" ref="AX90" si="465">IF(AX88&lt;Timing_Operation_Begin_Month,0,1-(GH90/Units))</f>
        <v>1</v>
      </c>
      <c r="AY90" s="309">
        <f t="shared" ref="AY90" si="466">IF(AY88&lt;Timing_Operation_Begin_Month,0,1-(GI90/Units))</f>
        <v>1</v>
      </c>
      <c r="AZ90" s="309">
        <f t="shared" ref="AZ90" si="467">IF(AZ88&lt;Timing_Operation_Begin_Month,0,1-(GJ90/Units))</f>
        <v>1</v>
      </c>
      <c r="BA90" s="309">
        <f t="shared" ref="BA90" si="468">IF(BA88&lt;Timing_Operation_Begin_Month,0,1-(GK90/Units))</f>
        <v>1</v>
      </c>
      <c r="BB90" s="309">
        <f t="shared" ref="BB90" si="469">IF(BB88&lt;Timing_Operation_Begin_Month,0,1-(GL90/Units))</f>
        <v>1</v>
      </c>
      <c r="BC90" s="309">
        <f t="shared" ref="BC90" si="470">IF(BC88&lt;Timing_Operation_Begin_Month,0,1-(GM90/Units))</f>
        <v>1</v>
      </c>
      <c r="BD90" s="309">
        <f t="shared" ref="BD90" si="471">IF(BD88&lt;Timing_Operation_Begin_Month,0,1-(GN90/Units))</f>
        <v>1</v>
      </c>
      <c r="BE90" s="309">
        <f t="shared" ref="BE90" si="472">IF(BE88&lt;Timing_Operation_Begin_Month,0,1-(GO90/Units))</f>
        <v>1</v>
      </c>
      <c r="BF90" s="309">
        <f t="shared" ref="BF90" si="473">IF(BF88&lt;Timing_Operation_Begin_Month,0,1-(GP90/Units))</f>
        <v>1</v>
      </c>
      <c r="BG90" s="309">
        <f t="shared" ref="BG90" si="474">IF(BG88&lt;Timing_Operation_Begin_Month,0,1-(GQ90/Units))</f>
        <v>1</v>
      </c>
      <c r="BH90" s="309">
        <f t="shared" ref="BH90" si="475">IF(BH88&lt;Timing_Operation_Begin_Month,0,1-(GR90/Units))</f>
        <v>1</v>
      </c>
      <c r="BI90" s="309">
        <f t="shared" ref="BI90" si="476">IF(BI88&lt;Timing_Operation_Begin_Month,0,1-(GS90/Units))</f>
        <v>1</v>
      </c>
      <c r="BJ90" s="309">
        <f t="shared" ref="BJ90" si="477">IF(BJ88&lt;Timing_Operation_Begin_Month,0,1-(GT90/Units))</f>
        <v>1</v>
      </c>
      <c r="BK90" s="309">
        <f t="shared" ref="BK90" si="478">IF(BK88&lt;Timing_Operation_Begin_Month,0,1-(GU90/Units))</f>
        <v>1</v>
      </c>
      <c r="BL90" s="309">
        <f t="shared" ref="BL90" si="479">IF(BL88&lt;Timing_Operation_Begin_Month,0,1-(GV90/Units))</f>
        <v>1</v>
      </c>
      <c r="BM90" s="309">
        <f t="shared" ref="BM90" si="480">IF(BM88&lt;Timing_Operation_Begin_Month,0,1-(GW90/Units))</f>
        <v>1</v>
      </c>
      <c r="BN90" s="309">
        <f t="shared" ref="BN90" si="481">IF(BN88&lt;Timing_Operation_Begin_Month,0,1-(GX90/Units))</f>
        <v>1</v>
      </c>
      <c r="BO90" s="309">
        <f t="shared" ref="BO90" si="482">IF(BO88&lt;Timing_Operation_Begin_Month,0,1-(GY90/Units))</f>
        <v>1</v>
      </c>
      <c r="BP90" s="309">
        <f t="shared" ref="BP90" si="483">IF(BP88&lt;Timing_Operation_Begin_Month,0,1-(GZ90/Units))</f>
        <v>1</v>
      </c>
      <c r="BQ90" s="309">
        <f t="shared" ref="BQ90" si="484">IF(BQ88&lt;Timing_Operation_Begin_Month,0,1-(HA90/Units))</f>
        <v>1</v>
      </c>
      <c r="BR90" s="309">
        <f t="shared" ref="BR90" si="485">IF(BR88&lt;Timing_Operation_Begin_Month,0,1-(HB90/Units))</f>
        <v>1</v>
      </c>
      <c r="BS90" s="309">
        <f t="shared" ref="BS90" si="486">IF(BS88&lt;Timing_Operation_Begin_Month,0,1-(HC90/Units))</f>
        <v>1</v>
      </c>
      <c r="BT90" s="309">
        <f t="shared" ref="BT90" si="487">IF(BT88&lt;Timing_Operation_Begin_Month,0,1-(HD90/Units))</f>
        <v>1</v>
      </c>
      <c r="BU90" s="309">
        <f t="shared" ref="BU90" si="488">IF(BU88&lt;Timing_Operation_Begin_Month,0,1-(HE90/Units))</f>
        <v>1</v>
      </c>
      <c r="BV90" s="309">
        <f t="shared" ref="BV90" si="489">IF(BV88&lt;Timing_Operation_Begin_Month,0,1-(HF90/Units))</f>
        <v>1</v>
      </c>
      <c r="BW90" s="309">
        <f t="shared" ref="BW90" si="490">IF(BW88&lt;Timing_Operation_Begin_Month,0,1-(HG90/Units))</f>
        <v>1</v>
      </c>
      <c r="BX90" s="309">
        <f t="shared" ref="BX90" si="491">IF(BX88&lt;Timing_Operation_Begin_Month,0,1-(HH90/Units))</f>
        <v>1</v>
      </c>
      <c r="BY90" s="309">
        <f t="shared" ref="BY90" si="492">IF(BY88&lt;Timing_Operation_Begin_Month,0,1-(HI90/Units))</f>
        <v>1</v>
      </c>
      <c r="BZ90" s="309">
        <f t="shared" ref="BZ90" si="493">IF(BZ88&lt;Timing_Operation_Begin_Month,0,1-(HJ90/Units))</f>
        <v>1</v>
      </c>
      <c r="CA90" s="309">
        <f t="shared" ref="CA90" si="494">IF(CA88&lt;Timing_Operation_Begin_Month,0,1-(HK90/Units))</f>
        <v>1</v>
      </c>
      <c r="CB90" s="309">
        <f t="shared" ref="CB90" si="495">IF(CB88&lt;Timing_Operation_Begin_Month,0,1-(HL90/Units))</f>
        <v>1</v>
      </c>
      <c r="CC90" s="309">
        <f t="shared" ref="CC90" si="496">IF(CC88&lt;Timing_Operation_Begin_Month,0,1-(HM90/Units))</f>
        <v>1</v>
      </c>
      <c r="CD90" s="309">
        <f t="shared" ref="CD90" si="497">IF(CD88&lt;Timing_Operation_Begin_Month,0,1-(HN90/Units))</f>
        <v>1</v>
      </c>
      <c r="CE90" s="309">
        <f t="shared" ref="CE90" si="498">IF(CE88&lt;Timing_Operation_Begin_Month,0,1-(HO90/Units))</f>
        <v>1</v>
      </c>
      <c r="CF90" s="309">
        <f t="shared" ref="CF90" si="499">IF(CF88&lt;Timing_Operation_Begin_Month,0,1-(HP90/Units))</f>
        <v>1</v>
      </c>
      <c r="CG90" s="309">
        <f t="shared" ref="CG90" si="500">IF(CG88&lt;Timing_Operation_Begin_Month,0,1-(HQ90/Units))</f>
        <v>1</v>
      </c>
      <c r="CH90" s="309">
        <f t="shared" ref="CH90" si="501">IF(CH88&lt;Timing_Operation_Begin_Month,0,1-(HR90/Units))</f>
        <v>1</v>
      </c>
      <c r="CI90" s="309">
        <f t="shared" ref="CI90" si="502">IF(CI88&lt;Timing_Operation_Begin_Month,0,1-(HS90/Units))</f>
        <v>1</v>
      </c>
      <c r="CJ90" s="309">
        <f t="shared" ref="CJ90" si="503">IF(CJ88&lt;Timing_Operation_Begin_Month,0,1-(HT90/Units))</f>
        <v>1</v>
      </c>
      <c r="CK90" s="309">
        <f t="shared" ref="CK90" si="504">IF(CK88&lt;Timing_Operation_Begin_Month,0,1-(HU90/Units))</f>
        <v>1</v>
      </c>
      <c r="CL90" s="309">
        <f t="shared" ref="CL90" si="505">IF(CL88&lt;Timing_Operation_Begin_Month,0,1-(HV90/Units))</f>
        <v>1</v>
      </c>
      <c r="CM90" s="309">
        <f t="shared" ref="CM90" si="506">IF(CM88&lt;Timing_Operation_Begin_Month,0,1-(HW90/Units))</f>
        <v>1</v>
      </c>
      <c r="CN90" s="309">
        <f t="shared" ref="CN90" si="507">IF(CN88&lt;Timing_Operation_Begin_Month,0,1-(HX90/Units))</f>
        <v>1</v>
      </c>
      <c r="CO90" s="309">
        <f t="shared" ref="CO90" si="508">IF(CO88&lt;Timing_Operation_Begin_Month,0,1-(HY90/Units))</f>
        <v>1</v>
      </c>
      <c r="CP90" s="309">
        <f t="shared" ref="CP90" si="509">IF(CP88&lt;Timing_Operation_Begin_Month,0,1-(HZ90/Units))</f>
        <v>1</v>
      </c>
      <c r="CQ90" s="309">
        <f t="shared" ref="CQ90" si="510">IF(CQ88&lt;Timing_Operation_Begin_Month,0,1-(IA90/Units))</f>
        <v>1</v>
      </c>
      <c r="CR90" s="309">
        <f t="shared" ref="CR90" si="511">IF(CR88&lt;Timing_Operation_Begin_Month,0,1-(IB90/Units))</f>
        <v>1</v>
      </c>
      <c r="CS90" s="309">
        <f t="shared" ref="CS90" si="512">IF(CS88&lt;Timing_Operation_Begin_Month,0,1-(IC90/Units))</f>
        <v>1</v>
      </c>
      <c r="CT90" s="309">
        <f t="shared" ref="CT90" si="513">IF(CT88&lt;Timing_Operation_Begin_Month,0,1-(ID90/Units))</f>
        <v>1</v>
      </c>
      <c r="CU90" s="309">
        <f t="shared" ref="CU90" si="514">IF(CU88&lt;Timing_Operation_Begin_Month,0,1-(IE90/Units))</f>
        <v>1</v>
      </c>
      <c r="CV90" s="309">
        <f t="shared" ref="CV90" si="515">IF(CV88&lt;Timing_Operation_Begin_Month,0,1-(IF90/Units))</f>
        <v>1</v>
      </c>
      <c r="CW90" s="309">
        <f t="shared" ref="CW90" si="516">IF(CW88&lt;Timing_Operation_Begin_Month,0,1-(IG90/Units))</f>
        <v>1</v>
      </c>
      <c r="CX90" s="309">
        <f t="shared" ref="CX90" si="517">IF(CX88&lt;Timing_Operation_Begin_Month,0,1-(IH90/Units))</f>
        <v>1</v>
      </c>
      <c r="CY90" s="309">
        <f t="shared" ref="CY90" si="518">IF(CY88&lt;Timing_Operation_Begin_Month,0,1-(II90/Units))</f>
        <v>1</v>
      </c>
      <c r="CZ90" s="309">
        <f t="shared" ref="CZ90" si="519">IF(CZ88&lt;Timing_Operation_Begin_Month,0,1-(IJ90/Units))</f>
        <v>1</v>
      </c>
      <c r="DA90" s="309">
        <f t="shared" ref="DA90" si="520">IF(DA88&lt;Timing_Operation_Begin_Month,0,1-(IK90/Units))</f>
        <v>1</v>
      </c>
      <c r="DB90" s="309">
        <f t="shared" ref="DB90" si="521">IF(DB88&lt;Timing_Operation_Begin_Month,0,1-(IL90/Units))</f>
        <v>1</v>
      </c>
      <c r="DC90" s="309">
        <f t="shared" ref="DC90" si="522">IF(DC88&lt;Timing_Operation_Begin_Month,0,1-(IM90/Units))</f>
        <v>1</v>
      </c>
      <c r="DD90" s="309">
        <f t="shared" ref="DD90" si="523">IF(DD88&lt;Timing_Operation_Begin_Month,0,1-(IN90/Units))</f>
        <v>1</v>
      </c>
      <c r="DE90" s="309">
        <f t="shared" ref="DE90" si="524">IF(DE88&lt;Timing_Operation_Begin_Month,0,1-(IO90/Units))</f>
        <v>1</v>
      </c>
      <c r="DF90" s="309">
        <f t="shared" ref="DF90" si="525">IF(DF88&lt;Timing_Operation_Begin_Month,0,1-(IP90/Units))</f>
        <v>1</v>
      </c>
      <c r="DG90" s="309">
        <f t="shared" ref="DG90" si="526">IF(DG88&lt;Timing_Operation_Begin_Month,0,1-(IQ90/Units))</f>
        <v>1</v>
      </c>
      <c r="DH90" s="309">
        <f t="shared" ref="DH90" si="527">IF(DH88&lt;Timing_Operation_Begin_Month,0,1-(IR90/Units))</f>
        <v>1</v>
      </c>
      <c r="DI90" s="309">
        <f t="shared" ref="DI90" si="528">IF(DI88&lt;Timing_Operation_Begin_Month,0,1-(IS90/Units))</f>
        <v>1</v>
      </c>
      <c r="DJ90" s="309">
        <f t="shared" ref="DJ90" si="529">IF(DJ88&lt;Timing_Operation_Begin_Month,0,1-(IT90/Units))</f>
        <v>1</v>
      </c>
      <c r="DK90" s="309">
        <f t="shared" ref="DK90" si="530">IF(DK88&lt;Timing_Operation_Begin_Month,0,1-(IU90/Units))</f>
        <v>1</v>
      </c>
      <c r="DL90" s="309">
        <f t="shared" ref="DL90" si="531">IF(DL88&lt;Timing_Operation_Begin_Month,0,1-(IV90/Units))</f>
        <v>1</v>
      </c>
      <c r="DM90" s="309">
        <f t="shared" ref="DM90" si="532">IF(DM88&lt;Timing_Operation_Begin_Month,0,1-(IW90/Units))</f>
        <v>1</v>
      </c>
      <c r="DN90" s="309">
        <f t="shared" ref="DN90" si="533">IF(DN88&lt;Timing_Operation_Begin_Month,0,1-(IX90/Units))</f>
        <v>1</v>
      </c>
      <c r="DO90" s="309">
        <f t="shared" ref="DO90" si="534">IF(DO88&lt;Timing_Operation_Begin_Month,0,1-(IY90/Units))</f>
        <v>1</v>
      </c>
      <c r="DP90" s="309">
        <f t="shared" ref="DP90" si="535">IF(DP88&lt;Timing_Operation_Begin_Month,0,1-(IZ90/Units))</f>
        <v>1</v>
      </c>
      <c r="DQ90" s="309">
        <f t="shared" ref="DQ90" si="536">IF(DQ88&lt;Timing_Operation_Begin_Month,0,1-(JA90/Units))</f>
        <v>1</v>
      </c>
      <c r="DR90" s="309">
        <f t="shared" ref="DR90" si="537">IF(DR88&lt;Timing_Operation_Begin_Month,0,1-(JB90/Units))</f>
        <v>1</v>
      </c>
      <c r="DS90" s="309">
        <f t="shared" ref="DS90" si="538">IF(DS88&lt;Timing_Operation_Begin_Month,0,1-(JC90/Units))</f>
        <v>1</v>
      </c>
      <c r="DT90" s="309">
        <f t="shared" ref="DT90" si="539">IF(DT88&lt;Timing_Operation_Begin_Month,0,1-(JD90/Units))</f>
        <v>1</v>
      </c>
      <c r="DU90" s="309">
        <f t="shared" ref="DU90" si="540">IF(DU88&lt;Timing_Operation_Begin_Month,0,1-(JE90/Units))</f>
        <v>1</v>
      </c>
      <c r="DV90" s="309">
        <f t="shared" ref="DV90" si="541">IF(DV88&lt;Timing_Operation_Begin_Month,0,1-(JF90/Units))</f>
        <v>1</v>
      </c>
      <c r="DW90" s="309">
        <f t="shared" ref="DW90" si="542">IF(DW88&lt;Timing_Operation_Begin_Month,0,1-(JG90/Units))</f>
        <v>1</v>
      </c>
      <c r="DX90" s="309">
        <f t="shared" ref="DX90" si="543">IF(DX88&lt;Timing_Operation_Begin_Month,0,1-(JH90/Units))</f>
        <v>1</v>
      </c>
      <c r="DY90" s="309">
        <f t="shared" ref="DY90" si="544">IF(DY88&lt;Timing_Operation_Begin_Month,0,1-(JI90/Units))</f>
        <v>1</v>
      </c>
      <c r="DZ90" s="309">
        <f t="shared" ref="DZ90" si="545">IF(DZ88&lt;Timing_Operation_Begin_Month,0,1-(JJ90/Units))</f>
        <v>1</v>
      </c>
      <c r="EA90" s="309">
        <f t="shared" ref="EA90" si="546">IF(EA88&lt;Timing_Operation_Begin_Month,0,1-(JK90/Units))</f>
        <v>1</v>
      </c>
      <c r="EB90" s="309">
        <f t="shared" ref="EB90" si="547">IF(EB88&lt;Timing_Operation_Begin_Month,0,1-(JL90/Units))</f>
        <v>1</v>
      </c>
      <c r="EC90" s="309">
        <f t="shared" ref="EC90" si="548">IF(EC88&lt;Timing_Operation_Begin_Month,0,1-(JM90/Units))</f>
        <v>1</v>
      </c>
      <c r="ED90" s="309">
        <f t="shared" ref="ED90" si="549">IF(ED88&lt;Timing_Operation_Begin_Month,0,1-(JN90/Units))</f>
        <v>1</v>
      </c>
      <c r="EE90" s="309">
        <f t="shared" ref="EE90" si="550">IF(EE88&lt;Timing_Operation_Begin_Month,0,1-(JO90/Units))</f>
        <v>1</v>
      </c>
      <c r="EF90" s="309">
        <f t="shared" ref="EF90" si="551">IF(EF88&lt;Timing_Operation_Begin_Month,0,1-(JP90/Units))</f>
        <v>1</v>
      </c>
      <c r="EG90" s="309">
        <f t="shared" ref="EG90" si="552">IF(EG88&lt;Timing_Operation_Begin_Month,0,1-(JQ90/Units))</f>
        <v>1</v>
      </c>
      <c r="EH90" s="309">
        <f t="shared" ref="EH90" si="553">IF(EH88&lt;Timing_Operation_Begin_Month,0,1-(JR90/Units))</f>
        <v>1</v>
      </c>
      <c r="EI90" s="309">
        <f t="shared" ref="EI90" si="554">IF(EI88&lt;Timing_Operation_Begin_Month,0,1-(JS90/Units))</f>
        <v>1</v>
      </c>
      <c r="EJ90" s="309">
        <f t="shared" ref="EJ90" si="555">IF(EJ88&lt;Timing_Operation_Begin_Month,0,1-(JT90/Units))</f>
        <v>1</v>
      </c>
      <c r="EK90" s="309">
        <f t="shared" ref="EK90" si="556">IF(EK88&lt;Timing_Operation_Begin_Month,0,1-(JU90/Units))</f>
        <v>1</v>
      </c>
      <c r="EL90" s="309">
        <f t="shared" ref="EL90" si="557">IF(EL88&lt;Timing_Operation_Begin_Month,0,1-(JV90/Units))</f>
        <v>1</v>
      </c>
      <c r="EM90" s="309">
        <f t="shared" ref="EM90" si="558">IF(EM88&lt;Timing_Operation_Begin_Month,0,1-(JW90/Units))</f>
        <v>1</v>
      </c>
      <c r="EN90" s="309">
        <f t="shared" ref="EN90" si="559">IF(EN88&lt;Timing_Operation_Begin_Month,0,1-(JX90/Units))</f>
        <v>1</v>
      </c>
      <c r="EO90" s="309">
        <f t="shared" ref="EO90" si="560">IF(EO88&lt;Timing_Operation_Begin_Month,0,1-(JY90/Units))</f>
        <v>1</v>
      </c>
      <c r="EP90" s="309">
        <f t="shared" ref="EP90" si="561">IF(EP88&lt;Timing_Operation_Begin_Month,0,1-(JZ90/Units))</f>
        <v>1</v>
      </c>
      <c r="EQ90" s="309">
        <f t="shared" ref="EQ90" si="562">IF(EQ88&lt;Timing_Operation_Begin_Month,0,1-(KA90/Units))</f>
        <v>1</v>
      </c>
      <c r="ER90" s="309">
        <f t="shared" ref="ER90" si="563">IF(ER88&lt;Timing_Operation_Begin_Month,0,1-(KB90/Units))</f>
        <v>1</v>
      </c>
      <c r="ES90" s="309">
        <f t="shared" ref="ES90" si="564">IF(ES88&lt;Timing_Operation_Begin_Month,0,1-(KC90/Units))</f>
        <v>1</v>
      </c>
      <c r="EU90" s="153" t="s">
        <v>93</v>
      </c>
      <c r="EV90" s="153"/>
      <c r="EW90" s="153"/>
      <c r="EX90" s="153"/>
      <c r="EY90" s="153"/>
      <c r="EZ90" s="154"/>
      <c r="FA90" s="153"/>
      <c r="FB90" s="153">
        <f>(FB89&gt;0)*(Units-SUM($EZ$91:FB91))</f>
        <v>0</v>
      </c>
      <c r="FC90" s="153">
        <f>(FC89&gt;0)*(Units-SUM($EZ$91:FC91))</f>
        <v>0</v>
      </c>
      <c r="FD90" s="153">
        <f>(FD89&gt;0)*(Units-SUM($EZ$91:FD91))</f>
        <v>0</v>
      </c>
      <c r="FE90" s="153">
        <f>(FE89&gt;0)*(Units-SUM($EZ$91:FE91))</f>
        <v>0</v>
      </c>
      <c r="FF90" s="153">
        <f>(FF89&gt;0)*(Units-SUM($EZ$91:FF91))</f>
        <v>0</v>
      </c>
      <c r="FG90" s="153">
        <f>(FG89&gt;0)*(Units-SUM($EZ$91:FG91))</f>
        <v>0</v>
      </c>
      <c r="FH90" s="153">
        <f>(FH89&gt;0)*(Units-SUM($EZ$91:FH91))</f>
        <v>0</v>
      </c>
      <c r="FI90" s="153">
        <f>(FI89&gt;0)*(Units-SUM($EZ$91:FI91))</f>
        <v>0</v>
      </c>
      <c r="FJ90" s="153">
        <f>(FJ89&gt;0)*(Units-SUM($EZ$91:FJ91))</f>
        <v>0</v>
      </c>
      <c r="FK90" s="153">
        <f>(FK89&gt;0)*(Units-SUM($EZ$91:FK91))</f>
        <v>0</v>
      </c>
      <c r="FL90" s="153">
        <f>(FL89&gt;0)*(Units-SUM($EZ$91:FL91))</f>
        <v>0</v>
      </c>
      <c r="FM90" s="153">
        <f>(FM89&gt;0)*(Units-SUM($EZ$91:FM91))</f>
        <v>12</v>
      </c>
      <c r="FN90" s="153">
        <f>(FN89&gt;0)*(Units-SUM($EZ$91:FN91))</f>
        <v>6</v>
      </c>
      <c r="FO90" s="153">
        <f>(FO89&gt;0)*(Units-SUM($EZ$91:FO91))</f>
        <v>0</v>
      </c>
      <c r="FP90" s="153">
        <f>(FP89&gt;0)*(Units-SUM($EZ$91:FP91))</f>
        <v>0</v>
      </c>
      <c r="FQ90" s="153">
        <f>(FQ89&gt;0)*(Units-SUM($EZ$91:FQ91))</f>
        <v>0</v>
      </c>
      <c r="FR90" s="153">
        <f>(FR89&gt;0)*(Units-SUM($EZ$91:FR91))</f>
        <v>0</v>
      </c>
      <c r="FS90" s="153">
        <f>(FS89&gt;0)*(Units-SUM($EZ$91:FS91))</f>
        <v>0</v>
      </c>
      <c r="FT90" s="153">
        <f>(FT89&gt;0)*(Units-SUM($EZ$91:FT91))</f>
        <v>0</v>
      </c>
      <c r="FU90" s="153">
        <f>(FU89&gt;0)*(Units-SUM($EZ$91:FU91))</f>
        <v>0</v>
      </c>
      <c r="FV90" s="153">
        <f>(FV89&gt;0)*(Units-SUM($EZ$91:FV91))</f>
        <v>0</v>
      </c>
      <c r="FW90" s="153">
        <f>(FW89&gt;0)*(Units-SUM($EZ$91:FW91))</f>
        <v>0</v>
      </c>
      <c r="FX90" s="153">
        <f>(FX89&gt;0)*(Units-SUM($EZ$91:FX91))</f>
        <v>0</v>
      </c>
      <c r="FY90" s="153">
        <f>(FY89&gt;0)*(Units-SUM($EZ$91:FY91))</f>
        <v>0</v>
      </c>
      <c r="FZ90" s="153">
        <f>(FZ89&gt;0)*(Units-SUM($EZ$91:FZ91))</f>
        <v>0</v>
      </c>
      <c r="GA90" s="153">
        <f>(GA89&gt;0)*(Units-SUM($EZ$91:GA91))</f>
        <v>0</v>
      </c>
      <c r="GB90" s="153">
        <f>(GB89&gt;0)*(Units-SUM($EZ$91:GB91))</f>
        <v>0</v>
      </c>
      <c r="GC90" s="153">
        <f>(GC89&gt;0)*(Units-SUM($EZ$91:GC91))</f>
        <v>0</v>
      </c>
      <c r="GD90" s="153">
        <f>(GD89&gt;0)*(Units-SUM($EZ$91:GD91))</f>
        <v>0</v>
      </c>
      <c r="GE90" s="153">
        <f>(GE89&gt;0)*(Units-SUM($EZ$91:GE91))</f>
        <v>0</v>
      </c>
      <c r="GF90" s="153">
        <f>(GF89&gt;0)*(Units-SUM($EZ$91:GF91))</f>
        <v>0</v>
      </c>
      <c r="GG90" s="153">
        <f>(GG89&gt;0)*(Units-SUM($EZ$91:GG91))</f>
        <v>0</v>
      </c>
      <c r="GH90" s="153">
        <f>(GH89&gt;0)*(Units-SUM($EZ$91:GH91))</f>
        <v>0</v>
      </c>
      <c r="GI90" s="153">
        <f>(GI89&gt;0)*(Units-SUM($EZ$91:GI91))</f>
        <v>0</v>
      </c>
      <c r="GJ90" s="153">
        <f>(GJ89&gt;0)*(Units-SUM($EZ$91:GJ91))</f>
        <v>0</v>
      </c>
      <c r="GK90" s="153">
        <f>(GK89&gt;0)*(Units-SUM($EZ$91:GK91))</f>
        <v>0</v>
      </c>
      <c r="GL90" s="153">
        <f>(GL89&gt;0)*(Units-SUM($EZ$91:GL91))</f>
        <v>0</v>
      </c>
      <c r="GM90" s="153">
        <f>(GM89&gt;0)*(Units-SUM($EZ$91:GM91))</f>
        <v>0</v>
      </c>
      <c r="GN90" s="153">
        <f>(GN89&gt;0)*(Units-SUM($EZ$91:GN91))</f>
        <v>0</v>
      </c>
      <c r="GO90" s="153">
        <f>(GO89&gt;0)*(Units-SUM($EZ$91:GO91))</f>
        <v>0</v>
      </c>
      <c r="GP90" s="153">
        <f>(GP89&gt;0)*(Units-SUM($EZ$91:GP91))</f>
        <v>0</v>
      </c>
      <c r="GQ90" s="153">
        <f>(GQ89&gt;0)*(Units-SUM($EZ$91:GQ91))</f>
        <v>0</v>
      </c>
      <c r="GR90" s="153">
        <f>(GR89&gt;0)*(Units-SUM($EZ$91:GR91))</f>
        <v>0</v>
      </c>
      <c r="GS90" s="153">
        <f>(GS89&gt;0)*(Units-SUM($EZ$91:GS91))</f>
        <v>0</v>
      </c>
      <c r="GT90" s="153">
        <f>(GT89&gt;0)*(Units-SUM($EZ$91:GT91))</f>
        <v>0</v>
      </c>
      <c r="GU90" s="153">
        <f>(GU89&gt;0)*(Units-SUM($EZ$91:GU91))</f>
        <v>0</v>
      </c>
      <c r="GV90" s="153">
        <f>(GV89&gt;0)*(Units-SUM($EZ$91:GV91))</f>
        <v>0</v>
      </c>
      <c r="GW90" s="153">
        <f>(GW89&gt;0)*(Units-SUM($EZ$91:GW91))</f>
        <v>0</v>
      </c>
      <c r="GX90" s="153">
        <f>(GX89&gt;0)*(Units-SUM($EZ$91:GX91))</f>
        <v>0</v>
      </c>
      <c r="GY90" s="153">
        <f>(GY89&gt;0)*(Units-SUM($EZ$91:GY91))</f>
        <v>0</v>
      </c>
      <c r="GZ90" s="153">
        <f>(GZ89&gt;0)*(Units-SUM($EZ$91:GZ91))</f>
        <v>0</v>
      </c>
      <c r="HA90" s="153">
        <f>(HA89&gt;0)*(Units-SUM($EZ$91:HA91))</f>
        <v>0</v>
      </c>
      <c r="HB90" s="153">
        <f>(HB89&gt;0)*(Units-SUM($EZ$91:HB91))</f>
        <v>0</v>
      </c>
      <c r="HC90" s="153">
        <f>(HC89&gt;0)*(Units-SUM($EZ$91:HC91))</f>
        <v>0</v>
      </c>
      <c r="HD90" s="153">
        <f>(HD89&gt;0)*(Units-SUM($EZ$91:HD91))</f>
        <v>0</v>
      </c>
      <c r="HE90" s="153">
        <f>(HE89&gt;0)*(Units-SUM($EZ$91:HE91))</f>
        <v>0</v>
      </c>
      <c r="HF90" s="153">
        <f>(HF89&gt;0)*(Units-SUM($EZ$91:HF91))</f>
        <v>0</v>
      </c>
      <c r="HG90" s="153">
        <f>(HG89&gt;0)*(Units-SUM($EZ$91:HG91))</f>
        <v>0</v>
      </c>
      <c r="HH90" s="153">
        <f>(HH89&gt;0)*(Units-SUM($EZ$91:HH91))</f>
        <v>0</v>
      </c>
      <c r="HI90" s="153">
        <f>(HI89&gt;0)*(Units-SUM($EZ$91:HI91))</f>
        <v>0</v>
      </c>
      <c r="HJ90" s="153">
        <f>(HJ89&gt;0)*(Units-SUM($EZ$91:HJ91))</f>
        <v>0</v>
      </c>
      <c r="HK90" s="153">
        <f>(HK89&gt;0)*(Units-SUM($EZ$91:HK91))</f>
        <v>0</v>
      </c>
      <c r="HL90" s="153">
        <f>(HL89&gt;0)*(Units-SUM($EZ$91:HL91))</f>
        <v>0</v>
      </c>
      <c r="HM90" s="153">
        <f>(HM89&gt;0)*(Units-SUM($EZ$91:HM91))</f>
        <v>0</v>
      </c>
      <c r="HN90" s="153">
        <f>(HN89&gt;0)*(Units-SUM($EZ$91:HN91))</f>
        <v>0</v>
      </c>
      <c r="HO90" s="153">
        <f>(HO89&gt;0)*(Units-SUM($EZ$91:HO91))</f>
        <v>0</v>
      </c>
      <c r="HP90" s="153">
        <f>(HP89&gt;0)*(Units-SUM($EZ$91:HP91))</f>
        <v>0</v>
      </c>
      <c r="HQ90" s="153">
        <f>(HQ89&gt;0)*(Units-SUM($EZ$91:HQ91))</f>
        <v>0</v>
      </c>
      <c r="HR90" s="153">
        <f>(HR89&gt;0)*(Units-SUM($EZ$91:HR91))</f>
        <v>0</v>
      </c>
      <c r="HS90" s="153">
        <f>(HS89&gt;0)*(Units-SUM($EZ$91:HS91))</f>
        <v>0</v>
      </c>
      <c r="HT90" s="153">
        <f>(HT89&gt;0)*(Units-SUM($EZ$91:HT91))</f>
        <v>0</v>
      </c>
      <c r="HU90" s="153">
        <f>(HU89&gt;0)*(Units-SUM($EZ$91:HU91))</f>
        <v>0</v>
      </c>
      <c r="HV90" s="153">
        <f>(HV89&gt;0)*(Units-SUM($EZ$91:HV91))</f>
        <v>0</v>
      </c>
      <c r="HW90" s="153">
        <f>(HW89&gt;0)*(Units-SUM($EZ$91:HW91))</f>
        <v>0</v>
      </c>
      <c r="HX90" s="153">
        <f>(HX89&gt;0)*(Units-SUM($EZ$91:HX91))</f>
        <v>0</v>
      </c>
      <c r="HY90" s="153">
        <f>(HY89&gt;0)*(Units-SUM($EZ$91:HY91))</f>
        <v>0</v>
      </c>
      <c r="HZ90" s="153">
        <f>(HZ89&gt;0)*(Units-SUM($EZ$91:HZ91))</f>
        <v>0</v>
      </c>
      <c r="IA90" s="153">
        <f>(IA89&gt;0)*(Units-SUM($EZ$91:IA91))</f>
        <v>0</v>
      </c>
      <c r="IB90" s="153">
        <f>(IB89&gt;0)*(Units-SUM($EZ$91:IB91))</f>
        <v>0</v>
      </c>
      <c r="IC90" s="153">
        <f>(IC89&gt;0)*(Units-SUM($EZ$91:IC91))</f>
        <v>0</v>
      </c>
      <c r="ID90" s="153">
        <f>(ID89&gt;0)*(Units-SUM($EZ$91:ID91))</f>
        <v>0</v>
      </c>
      <c r="IE90" s="153">
        <f>(IE89&gt;0)*(Units-SUM($EZ$91:IE91))</f>
        <v>0</v>
      </c>
      <c r="IF90" s="153">
        <f>(IF89&gt;0)*(Units-SUM($EZ$91:IF91))</f>
        <v>0</v>
      </c>
      <c r="IG90" s="153">
        <f>(IG89&gt;0)*(Units-SUM($EZ$91:IG91))</f>
        <v>0</v>
      </c>
      <c r="IH90" s="153">
        <f>(IH89&gt;0)*(Units-SUM($EZ$91:IH91))</f>
        <v>0</v>
      </c>
      <c r="II90" s="153">
        <f>(II89&gt;0)*(Units-SUM($EZ$91:II91))</f>
        <v>0</v>
      </c>
      <c r="IJ90" s="153">
        <f>(IJ89&gt;0)*(Units-SUM($EZ$91:IJ91))</f>
        <v>0</v>
      </c>
      <c r="IK90" s="153">
        <f>(IK89&gt;0)*(Units-SUM($EZ$91:IK91))</f>
        <v>0</v>
      </c>
      <c r="IL90" s="153">
        <f>(IL89&gt;0)*(Units-SUM($EZ$91:IL91))</f>
        <v>0</v>
      </c>
      <c r="IM90" s="153">
        <f>(IM89&gt;0)*(Units-SUM($EZ$91:IM91))</f>
        <v>0</v>
      </c>
      <c r="IN90" s="153">
        <f>(IN89&gt;0)*(Units-SUM($EZ$91:IN91))</f>
        <v>0</v>
      </c>
      <c r="IO90" s="153">
        <f>(IO89&gt;0)*(Units-SUM($EZ$91:IO91))</f>
        <v>0</v>
      </c>
      <c r="IP90" s="153">
        <f>(IP89&gt;0)*(Units-SUM($EZ$91:IP91))</f>
        <v>0</v>
      </c>
      <c r="IQ90" s="153">
        <f>(IQ89&gt;0)*(Units-SUM($EZ$91:IQ91))</f>
        <v>0</v>
      </c>
      <c r="IR90" s="153">
        <f>(IR89&gt;0)*(Units-SUM($EZ$91:IR91))</f>
        <v>0</v>
      </c>
      <c r="IS90" s="153">
        <f>(IS89&gt;0)*(Units-SUM($EZ$91:IS91))</f>
        <v>0</v>
      </c>
      <c r="IT90" s="153">
        <f>(IT89&gt;0)*(Units-SUM($EZ$91:IT91))</f>
        <v>0</v>
      </c>
      <c r="IU90" s="153">
        <f>(IU89&gt;0)*(Units-SUM($EZ$91:IU91))</f>
        <v>0</v>
      </c>
      <c r="IV90" s="153">
        <f>(IV89&gt;0)*(Units-SUM($EZ$91:IV91))</f>
        <v>0</v>
      </c>
      <c r="IW90" s="153">
        <f>(IW89&gt;0)*(Units-SUM($EZ$91:IW91))</f>
        <v>0</v>
      </c>
      <c r="IX90" s="153">
        <f>(IX89&gt;0)*(Units-SUM($EZ$91:IX91))</f>
        <v>0</v>
      </c>
      <c r="IY90" s="153">
        <f>(IY89&gt;0)*(Units-SUM($EZ$91:IY91))</f>
        <v>0</v>
      </c>
      <c r="IZ90" s="153">
        <f>(IZ89&gt;0)*(Units-SUM($EZ$91:IZ91))</f>
        <v>0</v>
      </c>
      <c r="JA90" s="153">
        <f>(JA89&gt;0)*(Units-SUM($EZ$91:JA91))</f>
        <v>0</v>
      </c>
      <c r="JB90" s="153">
        <f>(JB89&gt;0)*(Units-SUM($EZ$91:JB91))</f>
        <v>0</v>
      </c>
      <c r="JC90" s="153">
        <f>(JC89&gt;0)*(Units-SUM($EZ$91:JC91))</f>
        <v>0</v>
      </c>
      <c r="JD90" s="153">
        <f>(JD89&gt;0)*(Units-SUM($EZ$91:JD91))</f>
        <v>0</v>
      </c>
      <c r="JE90" s="153">
        <f>(JE89&gt;0)*(Units-SUM($EZ$91:JE91))</f>
        <v>0</v>
      </c>
      <c r="JF90" s="153">
        <f>(JF89&gt;0)*(Units-SUM($EZ$91:JF91))</f>
        <v>0</v>
      </c>
      <c r="JG90" s="153">
        <f>(JG89&gt;0)*(Units-SUM($EZ$91:JG91))</f>
        <v>0</v>
      </c>
      <c r="JH90" s="153">
        <f>(JH89&gt;0)*(Units-SUM($EZ$91:JH91))</f>
        <v>0</v>
      </c>
      <c r="JI90" s="153">
        <f>(JI89&gt;0)*(Units-SUM($EZ$91:JI91))</f>
        <v>0</v>
      </c>
      <c r="JJ90" s="153">
        <f>(JJ89&gt;0)*(Units-SUM($EZ$91:JJ91))</f>
        <v>0</v>
      </c>
      <c r="JK90" s="153">
        <f>(JK89&gt;0)*(Units-SUM($EZ$91:JK91))</f>
        <v>0</v>
      </c>
      <c r="JL90" s="153">
        <f>(JL89&gt;0)*(Units-SUM($EZ$91:JL91))</f>
        <v>0</v>
      </c>
      <c r="JM90" s="153">
        <f>(JM89&gt;0)*(Units-SUM($EZ$91:JM91))</f>
        <v>0</v>
      </c>
      <c r="JN90" s="153">
        <f>(JN89&gt;0)*(Units-SUM($EZ$91:JN91))</f>
        <v>0</v>
      </c>
      <c r="JO90" s="153">
        <f>(JO89&gt;0)*(Units-SUM($EZ$91:JO91))</f>
        <v>0</v>
      </c>
      <c r="JP90" s="153">
        <f>(JP89&gt;0)*(Units-SUM($EZ$91:JP91))</f>
        <v>0</v>
      </c>
      <c r="JQ90" s="153">
        <f>(JQ89&gt;0)*(Units-SUM($EZ$91:JQ91))</f>
        <v>0</v>
      </c>
      <c r="JR90" s="153">
        <f>(JR89&gt;0)*(Units-SUM($EZ$91:JR91))</f>
        <v>0</v>
      </c>
      <c r="JS90" s="153">
        <f>(JS89&gt;0)*(Units-SUM($EZ$91:JS91))</f>
        <v>0</v>
      </c>
      <c r="JT90" s="153">
        <f>(JT89&gt;0)*(Units-SUM($EZ$91:JT91))</f>
        <v>0</v>
      </c>
      <c r="JU90" s="153">
        <f>(JU89&gt;0)*(Units-SUM($EZ$91:JU91))</f>
        <v>0</v>
      </c>
      <c r="JV90" s="153">
        <f>(JV89&gt;0)*(Units-SUM($EZ$91:JV91))</f>
        <v>0</v>
      </c>
      <c r="JW90" s="153">
        <f>(JW89&gt;0)*(Units-SUM($EZ$91:JW91))</f>
        <v>0</v>
      </c>
      <c r="JX90" s="153">
        <f>(JX89&gt;0)*(Units-SUM($EZ$91:JX91))</f>
        <v>0</v>
      </c>
      <c r="JY90" s="153">
        <f>(JY89&gt;0)*(Units-SUM($EZ$91:JY91))</f>
        <v>0</v>
      </c>
      <c r="JZ90" s="153">
        <f>(JZ89&gt;0)*(Units-SUM($EZ$91:JZ91))</f>
        <v>0</v>
      </c>
      <c r="KA90" s="153">
        <f>(KA89&gt;0)*(Units-SUM($EZ$91:KA91))</f>
        <v>0</v>
      </c>
      <c r="KB90" s="153">
        <f>(KB89&gt;0)*(Units-SUM($EZ$91:KB91))</f>
        <v>0</v>
      </c>
      <c r="KC90" s="153">
        <f>(KC89&gt;0)*(Units-SUM($EZ$91:KC91))</f>
        <v>0</v>
      </c>
    </row>
    <row r="91" spans="1:289" x14ac:dyDescent="0.25">
      <c r="B91" s="180" t="s">
        <v>766</v>
      </c>
      <c r="C91" s="181"/>
      <c r="D91" s="310">
        <v>0.03</v>
      </c>
      <c r="E91" s="311">
        <f>Timing_Operation_Begin_Month</f>
        <v>12</v>
      </c>
      <c r="F91" s="181"/>
      <c r="G91" s="180" t="s">
        <v>88</v>
      </c>
      <c r="H91" s="181"/>
      <c r="I91" s="308">
        <v>0.25</v>
      </c>
      <c r="P91" s="157" t="s">
        <v>142</v>
      </c>
      <c r="Q91" s="312"/>
      <c r="R91" s="312">
        <f t="shared" ref="R91:AW91" ca="1" si="565">IFERROR(IF($E$112&lt;&gt;"Total Potential Income",(R114-R108)/R99,R114/(R99+R108/MIN(R90,1-SUM($F$112:$F$113)))),0)</f>
        <v>0</v>
      </c>
      <c r="S91" s="312">
        <f t="shared" ca="1" si="565"/>
        <v>0</v>
      </c>
      <c r="T91" s="312">
        <f t="shared" ca="1" si="565"/>
        <v>0</v>
      </c>
      <c r="U91" s="312">
        <f t="shared" ca="1" si="565"/>
        <v>0</v>
      </c>
      <c r="V91" s="312">
        <f t="shared" ca="1" si="565"/>
        <v>0</v>
      </c>
      <c r="W91" s="312">
        <f t="shared" ca="1" si="565"/>
        <v>0</v>
      </c>
      <c r="X91" s="312">
        <f t="shared" ca="1" si="565"/>
        <v>0</v>
      </c>
      <c r="Y91" s="312">
        <f t="shared" ca="1" si="565"/>
        <v>0</v>
      </c>
      <c r="Z91" s="312">
        <f t="shared" ca="1" si="565"/>
        <v>0</v>
      </c>
      <c r="AA91" s="312">
        <f t="shared" ca="1" si="565"/>
        <v>0</v>
      </c>
      <c r="AB91" s="312">
        <f t="shared" ca="1" si="565"/>
        <v>0</v>
      </c>
      <c r="AC91" s="312">
        <f t="shared" ca="1" si="565"/>
        <v>0.23749999999999999</v>
      </c>
      <c r="AD91" s="312">
        <f t="shared" ca="1" si="565"/>
        <v>0.59375</v>
      </c>
      <c r="AE91" s="312">
        <f t="shared" ca="1" si="565"/>
        <v>0.95</v>
      </c>
      <c r="AF91" s="312">
        <f t="shared" ca="1" si="565"/>
        <v>0.95</v>
      </c>
      <c r="AG91" s="312">
        <f t="shared" ca="1" si="565"/>
        <v>0.95</v>
      </c>
      <c r="AH91" s="312">
        <f t="shared" ca="1" si="565"/>
        <v>0.95</v>
      </c>
      <c r="AI91" s="312">
        <f t="shared" ca="1" si="565"/>
        <v>0.95</v>
      </c>
      <c r="AJ91" s="312">
        <f t="shared" ca="1" si="565"/>
        <v>0.95</v>
      </c>
      <c r="AK91" s="312">
        <f t="shared" ca="1" si="565"/>
        <v>0.95</v>
      </c>
      <c r="AL91" s="312">
        <f t="shared" ca="1" si="565"/>
        <v>0.95</v>
      </c>
      <c r="AM91" s="312">
        <f t="shared" ca="1" si="565"/>
        <v>0.95</v>
      </c>
      <c r="AN91" s="312">
        <f t="shared" ca="1" si="565"/>
        <v>0.95</v>
      </c>
      <c r="AO91" s="312">
        <f t="shared" ca="1" si="565"/>
        <v>0.92924757281553394</v>
      </c>
      <c r="AP91" s="312">
        <f t="shared" ca="1" si="565"/>
        <v>0.939623786407767</v>
      </c>
      <c r="AQ91" s="312">
        <f t="shared" ca="1" si="565"/>
        <v>0.95000000000000007</v>
      </c>
      <c r="AR91" s="312">
        <f t="shared" ca="1" si="565"/>
        <v>0.95000000000000007</v>
      </c>
      <c r="AS91" s="312">
        <f t="shared" ca="1" si="565"/>
        <v>0.95000000000000007</v>
      </c>
      <c r="AT91" s="312">
        <f t="shared" ca="1" si="565"/>
        <v>0.95000000000000007</v>
      </c>
      <c r="AU91" s="312">
        <f t="shared" ca="1" si="565"/>
        <v>0.95000000000000007</v>
      </c>
      <c r="AV91" s="312">
        <f t="shared" ca="1" si="565"/>
        <v>0.95000000000000007</v>
      </c>
      <c r="AW91" s="312">
        <f t="shared" ca="1" si="565"/>
        <v>0.95000000000000007</v>
      </c>
      <c r="AX91" s="312">
        <f t="shared" ref="AX91:CC91" ca="1" si="566">IFERROR(IF($E$112&lt;&gt;"Total Potential Income",(AX114-AX108)/AX99,AX114/(AX99+AX108/MIN(AX90,1-SUM($F$112:$F$113)))),0)</f>
        <v>0.95000000000000007</v>
      </c>
      <c r="AY91" s="312">
        <f t="shared" ca="1" si="566"/>
        <v>0.95000000000000007</v>
      </c>
      <c r="AZ91" s="312">
        <f t="shared" ca="1" si="566"/>
        <v>0.95000000000000007</v>
      </c>
      <c r="BA91" s="312">
        <f t="shared" ca="1" si="566"/>
        <v>0.92924757281553394</v>
      </c>
      <c r="BB91" s="312">
        <f t="shared" ca="1" si="566"/>
        <v>0.93962378640776689</v>
      </c>
      <c r="BC91" s="312">
        <f t="shared" ca="1" si="566"/>
        <v>0.95000000000000007</v>
      </c>
      <c r="BD91" s="312">
        <f t="shared" ca="1" si="566"/>
        <v>0.95000000000000007</v>
      </c>
      <c r="BE91" s="312">
        <f t="shared" ca="1" si="566"/>
        <v>0.95000000000000007</v>
      </c>
      <c r="BF91" s="312">
        <f t="shared" ca="1" si="566"/>
        <v>0.95000000000000007</v>
      </c>
      <c r="BG91" s="312">
        <f t="shared" ca="1" si="566"/>
        <v>0.95000000000000007</v>
      </c>
      <c r="BH91" s="312">
        <f t="shared" ca="1" si="566"/>
        <v>0.95000000000000007</v>
      </c>
      <c r="BI91" s="312">
        <f t="shared" ca="1" si="566"/>
        <v>0.95000000000000007</v>
      </c>
      <c r="BJ91" s="312">
        <f t="shared" ca="1" si="566"/>
        <v>0.95000000000000007</v>
      </c>
      <c r="BK91" s="312">
        <f t="shared" ca="1" si="566"/>
        <v>0.95000000000000007</v>
      </c>
      <c r="BL91" s="312">
        <f t="shared" ca="1" si="566"/>
        <v>0.95000000000000007</v>
      </c>
      <c r="BM91" s="312">
        <f t="shared" ca="1" si="566"/>
        <v>0.92924757281553405</v>
      </c>
      <c r="BN91" s="312">
        <f t="shared" ca="1" si="566"/>
        <v>0.939623786407767</v>
      </c>
      <c r="BO91" s="312">
        <f t="shared" ca="1" si="566"/>
        <v>0.95000000000000007</v>
      </c>
      <c r="BP91" s="312">
        <f t="shared" ca="1" si="566"/>
        <v>0.95000000000000007</v>
      </c>
      <c r="BQ91" s="312">
        <f t="shared" ca="1" si="566"/>
        <v>0.95000000000000007</v>
      </c>
      <c r="BR91" s="312">
        <f t="shared" ca="1" si="566"/>
        <v>0.95000000000000007</v>
      </c>
      <c r="BS91" s="312">
        <f t="shared" ca="1" si="566"/>
        <v>0.95000000000000007</v>
      </c>
      <c r="BT91" s="312">
        <f t="shared" ca="1" si="566"/>
        <v>0.95000000000000007</v>
      </c>
      <c r="BU91" s="312">
        <f t="shared" ca="1" si="566"/>
        <v>0.95000000000000007</v>
      </c>
      <c r="BV91" s="312">
        <f t="shared" ca="1" si="566"/>
        <v>0.95000000000000007</v>
      </c>
      <c r="BW91" s="312">
        <f t="shared" ca="1" si="566"/>
        <v>0.95000000000000007</v>
      </c>
      <c r="BX91" s="312">
        <f t="shared" ca="1" si="566"/>
        <v>0.95000000000000007</v>
      </c>
      <c r="BY91" s="312">
        <f t="shared" ca="1" si="566"/>
        <v>0.92924757281553383</v>
      </c>
      <c r="BZ91" s="312">
        <f t="shared" ca="1" si="566"/>
        <v>0.93962378640776689</v>
      </c>
      <c r="CA91" s="312">
        <f t="shared" ca="1" si="566"/>
        <v>0.95</v>
      </c>
      <c r="CB91" s="312">
        <f t="shared" ca="1" si="566"/>
        <v>0.95</v>
      </c>
      <c r="CC91" s="312">
        <f t="shared" ca="1" si="566"/>
        <v>0.95</v>
      </c>
      <c r="CD91" s="312">
        <f t="shared" ref="CD91:DI91" ca="1" si="567">IFERROR(IF($E$112&lt;&gt;"Total Potential Income",(CD114-CD108)/CD99,CD114/(CD99+CD108/MIN(CD90,1-SUM($F$112:$F$113)))),0)</f>
        <v>0.95</v>
      </c>
      <c r="CE91" s="312">
        <f t="shared" ca="1" si="567"/>
        <v>0.95</v>
      </c>
      <c r="CF91" s="312">
        <f t="shared" ca="1" si="567"/>
        <v>0.95</v>
      </c>
      <c r="CG91" s="312">
        <f t="shared" ca="1" si="567"/>
        <v>0.95</v>
      </c>
      <c r="CH91" s="312">
        <f t="shared" ca="1" si="567"/>
        <v>0.95</v>
      </c>
      <c r="CI91" s="312">
        <f t="shared" ca="1" si="567"/>
        <v>0.95</v>
      </c>
      <c r="CJ91" s="312">
        <f t="shared" ca="1" si="567"/>
        <v>0.95</v>
      </c>
      <c r="CK91" s="312">
        <f t="shared" ca="1" si="567"/>
        <v>0.92924757281553405</v>
      </c>
      <c r="CL91" s="312">
        <f t="shared" ca="1" si="567"/>
        <v>0.939623786407767</v>
      </c>
      <c r="CM91" s="312">
        <f t="shared" ca="1" si="567"/>
        <v>0.95</v>
      </c>
      <c r="CN91" s="312">
        <f t="shared" ca="1" si="567"/>
        <v>0.95</v>
      </c>
      <c r="CO91" s="312">
        <f t="shared" ca="1" si="567"/>
        <v>0.95</v>
      </c>
      <c r="CP91" s="312">
        <f t="shared" ca="1" si="567"/>
        <v>0.95</v>
      </c>
      <c r="CQ91" s="312">
        <f t="shared" ca="1" si="567"/>
        <v>0.95</v>
      </c>
      <c r="CR91" s="312">
        <f t="shared" ca="1" si="567"/>
        <v>0.95</v>
      </c>
      <c r="CS91" s="312">
        <f t="shared" ca="1" si="567"/>
        <v>0.95</v>
      </c>
      <c r="CT91" s="312">
        <f t="shared" ca="1" si="567"/>
        <v>0.95</v>
      </c>
      <c r="CU91" s="312">
        <f t="shared" ca="1" si="567"/>
        <v>0.95</v>
      </c>
      <c r="CV91" s="312">
        <f t="shared" ca="1" si="567"/>
        <v>0.95</v>
      </c>
      <c r="CW91" s="312">
        <f t="shared" ca="1" si="567"/>
        <v>0.92924757281553394</v>
      </c>
      <c r="CX91" s="312">
        <f t="shared" ca="1" si="567"/>
        <v>0.939623786407767</v>
      </c>
      <c r="CY91" s="312">
        <f t="shared" ca="1" si="567"/>
        <v>0.95</v>
      </c>
      <c r="CZ91" s="312">
        <f t="shared" ca="1" si="567"/>
        <v>0.95</v>
      </c>
      <c r="DA91" s="312">
        <f t="shared" ca="1" si="567"/>
        <v>0.95</v>
      </c>
      <c r="DB91" s="312">
        <f t="shared" ca="1" si="567"/>
        <v>0.95</v>
      </c>
      <c r="DC91" s="312">
        <f t="shared" ca="1" si="567"/>
        <v>0.95</v>
      </c>
      <c r="DD91" s="312">
        <f t="shared" ca="1" si="567"/>
        <v>0.95</v>
      </c>
      <c r="DE91" s="312">
        <f t="shared" ca="1" si="567"/>
        <v>0.95</v>
      </c>
      <c r="DF91" s="312">
        <f t="shared" ca="1" si="567"/>
        <v>0.95</v>
      </c>
      <c r="DG91" s="312">
        <f t="shared" ca="1" si="567"/>
        <v>0.95</v>
      </c>
      <c r="DH91" s="312">
        <f t="shared" ca="1" si="567"/>
        <v>0.95</v>
      </c>
      <c r="DI91" s="312">
        <f t="shared" ca="1" si="567"/>
        <v>0.92924757281553394</v>
      </c>
      <c r="DJ91" s="312">
        <f t="shared" ref="DJ91:EO91" ca="1" si="568">IFERROR(IF($E$112&lt;&gt;"Total Potential Income",(DJ114-DJ108)/DJ99,DJ114/(DJ99+DJ108/MIN(DJ90,1-SUM($F$112:$F$113)))),0)</f>
        <v>0.93962378640776711</v>
      </c>
      <c r="DK91" s="312">
        <f t="shared" ca="1" si="568"/>
        <v>0.95000000000000007</v>
      </c>
      <c r="DL91" s="312">
        <f t="shared" ca="1" si="568"/>
        <v>0.95000000000000007</v>
      </c>
      <c r="DM91" s="312">
        <f t="shared" ca="1" si="568"/>
        <v>0.95000000000000007</v>
      </c>
      <c r="DN91" s="312">
        <f t="shared" ca="1" si="568"/>
        <v>0.95000000000000007</v>
      </c>
      <c r="DO91" s="312">
        <f t="shared" ca="1" si="568"/>
        <v>0.95000000000000007</v>
      </c>
      <c r="DP91" s="312">
        <f t="shared" ca="1" si="568"/>
        <v>0.95000000000000007</v>
      </c>
      <c r="DQ91" s="312">
        <f t="shared" ca="1" si="568"/>
        <v>0.95000000000000007</v>
      </c>
      <c r="DR91" s="312">
        <f t="shared" ca="1" si="568"/>
        <v>0.95000000000000007</v>
      </c>
      <c r="DS91" s="312">
        <f t="shared" ca="1" si="568"/>
        <v>0.95000000000000007</v>
      </c>
      <c r="DT91" s="312">
        <f t="shared" ca="1" si="568"/>
        <v>0.95000000000000007</v>
      </c>
      <c r="DU91" s="312">
        <f t="shared" ca="1" si="568"/>
        <v>0.92924757281553427</v>
      </c>
      <c r="DV91" s="312">
        <f t="shared" ca="1" si="568"/>
        <v>0.939623786407767</v>
      </c>
      <c r="DW91" s="312">
        <f t="shared" ca="1" si="568"/>
        <v>0.95000000000000007</v>
      </c>
      <c r="DX91" s="312">
        <f t="shared" ca="1" si="568"/>
        <v>0.95000000000000007</v>
      </c>
      <c r="DY91" s="312">
        <f t="shared" ca="1" si="568"/>
        <v>0.95000000000000007</v>
      </c>
      <c r="DZ91" s="312">
        <f t="shared" ca="1" si="568"/>
        <v>0.95000000000000007</v>
      </c>
      <c r="EA91" s="312">
        <f t="shared" ca="1" si="568"/>
        <v>0.95000000000000007</v>
      </c>
      <c r="EB91" s="312">
        <f t="shared" ca="1" si="568"/>
        <v>0.95000000000000007</v>
      </c>
      <c r="EC91" s="312">
        <f t="shared" ca="1" si="568"/>
        <v>0.95000000000000007</v>
      </c>
      <c r="ED91" s="312">
        <f t="shared" ca="1" si="568"/>
        <v>0.95000000000000007</v>
      </c>
      <c r="EE91" s="312">
        <f t="shared" ca="1" si="568"/>
        <v>0.95000000000000007</v>
      </c>
      <c r="EF91" s="312">
        <f t="shared" ca="1" si="568"/>
        <v>0.95000000000000007</v>
      </c>
      <c r="EG91" s="312">
        <f t="shared" ca="1" si="568"/>
        <v>0.92924757281553372</v>
      </c>
      <c r="EH91" s="312">
        <f t="shared" ca="1" si="568"/>
        <v>0.939623786407767</v>
      </c>
      <c r="EI91" s="312">
        <f t="shared" ca="1" si="568"/>
        <v>0.95</v>
      </c>
      <c r="EJ91" s="312">
        <f t="shared" ca="1" si="568"/>
        <v>0.95</v>
      </c>
      <c r="EK91" s="312">
        <f t="shared" ca="1" si="568"/>
        <v>0.95</v>
      </c>
      <c r="EL91" s="312">
        <f t="shared" ca="1" si="568"/>
        <v>0.95</v>
      </c>
      <c r="EM91" s="312">
        <f t="shared" ca="1" si="568"/>
        <v>0.95</v>
      </c>
      <c r="EN91" s="312">
        <f t="shared" ca="1" si="568"/>
        <v>0.95</v>
      </c>
      <c r="EO91" s="312">
        <f t="shared" ca="1" si="568"/>
        <v>0.95</v>
      </c>
      <c r="EP91" s="312">
        <f t="shared" ref="EP91:ES91" ca="1" si="569">IFERROR(IF($E$112&lt;&gt;"Total Potential Income",(EP114-EP108)/EP99,EP114/(EP99+EP108/MIN(EP90,1-SUM($F$112:$F$113)))),0)</f>
        <v>0.95</v>
      </c>
      <c r="EQ91" s="312">
        <f t="shared" ca="1" si="569"/>
        <v>0.95</v>
      </c>
      <c r="ER91" s="312">
        <f t="shared" ca="1" si="569"/>
        <v>0.95</v>
      </c>
      <c r="ES91" s="312">
        <f t="shared" ca="1" si="569"/>
        <v>0.92924757281553394</v>
      </c>
      <c r="EU91" s="153" t="s">
        <v>94</v>
      </c>
      <c r="EV91" s="153"/>
      <c r="EW91" s="153"/>
      <c r="EX91" s="153"/>
      <c r="EY91" s="153"/>
      <c r="EZ91" s="154"/>
      <c r="FA91" s="153"/>
      <c r="FB91" s="153">
        <f t="shared" ref="FB91:GG91" si="570">(FB89=1)*($I$91*Units)+(FB89&gt;1)*(MIN($I$92,FA90))</f>
        <v>0</v>
      </c>
      <c r="FC91" s="153">
        <f t="shared" si="570"/>
        <v>0</v>
      </c>
      <c r="FD91" s="153">
        <f t="shared" si="570"/>
        <v>0</v>
      </c>
      <c r="FE91" s="153">
        <f t="shared" si="570"/>
        <v>0</v>
      </c>
      <c r="FF91" s="153">
        <f t="shared" si="570"/>
        <v>0</v>
      </c>
      <c r="FG91" s="153">
        <f t="shared" si="570"/>
        <v>0</v>
      </c>
      <c r="FH91" s="153">
        <f t="shared" si="570"/>
        <v>0</v>
      </c>
      <c r="FI91" s="153">
        <f t="shared" si="570"/>
        <v>0</v>
      </c>
      <c r="FJ91" s="153">
        <f t="shared" si="570"/>
        <v>0</v>
      </c>
      <c r="FK91" s="153">
        <f t="shared" si="570"/>
        <v>0</v>
      </c>
      <c r="FL91" s="153">
        <f t="shared" si="570"/>
        <v>0</v>
      </c>
      <c r="FM91" s="153">
        <f t="shared" si="570"/>
        <v>4</v>
      </c>
      <c r="FN91" s="153">
        <f t="shared" si="570"/>
        <v>6</v>
      </c>
      <c r="FO91" s="153">
        <f t="shared" si="570"/>
        <v>6</v>
      </c>
      <c r="FP91" s="153">
        <f t="shared" si="570"/>
        <v>0</v>
      </c>
      <c r="FQ91" s="153">
        <f t="shared" si="570"/>
        <v>0</v>
      </c>
      <c r="FR91" s="153">
        <f t="shared" si="570"/>
        <v>0</v>
      </c>
      <c r="FS91" s="153">
        <f t="shared" si="570"/>
        <v>0</v>
      </c>
      <c r="FT91" s="153">
        <f t="shared" si="570"/>
        <v>0</v>
      </c>
      <c r="FU91" s="153">
        <f t="shared" si="570"/>
        <v>0</v>
      </c>
      <c r="FV91" s="153">
        <f t="shared" si="570"/>
        <v>0</v>
      </c>
      <c r="FW91" s="153">
        <f t="shared" si="570"/>
        <v>0</v>
      </c>
      <c r="FX91" s="153">
        <f t="shared" si="570"/>
        <v>0</v>
      </c>
      <c r="FY91" s="153">
        <f t="shared" si="570"/>
        <v>0</v>
      </c>
      <c r="FZ91" s="153">
        <f t="shared" si="570"/>
        <v>0</v>
      </c>
      <c r="GA91" s="153">
        <f t="shared" si="570"/>
        <v>0</v>
      </c>
      <c r="GB91" s="153">
        <f t="shared" si="570"/>
        <v>0</v>
      </c>
      <c r="GC91" s="153">
        <f t="shared" si="570"/>
        <v>0</v>
      </c>
      <c r="GD91" s="153">
        <f t="shared" si="570"/>
        <v>0</v>
      </c>
      <c r="GE91" s="153">
        <f t="shared" si="570"/>
        <v>0</v>
      </c>
      <c r="GF91" s="153">
        <f t="shared" si="570"/>
        <v>0</v>
      </c>
      <c r="GG91" s="153">
        <f t="shared" si="570"/>
        <v>0</v>
      </c>
      <c r="GH91" s="153">
        <f t="shared" ref="GH91:HM91" si="571">(GH89=1)*($I$91*Units)+(GH89&gt;1)*(MIN($I$92,GG90))</f>
        <v>0</v>
      </c>
      <c r="GI91" s="153">
        <f t="shared" si="571"/>
        <v>0</v>
      </c>
      <c r="GJ91" s="153">
        <f t="shared" si="571"/>
        <v>0</v>
      </c>
      <c r="GK91" s="153">
        <f t="shared" si="571"/>
        <v>0</v>
      </c>
      <c r="GL91" s="153">
        <f t="shared" si="571"/>
        <v>0</v>
      </c>
      <c r="GM91" s="153">
        <f t="shared" si="571"/>
        <v>0</v>
      </c>
      <c r="GN91" s="153">
        <f t="shared" si="571"/>
        <v>0</v>
      </c>
      <c r="GO91" s="153">
        <f t="shared" si="571"/>
        <v>0</v>
      </c>
      <c r="GP91" s="153">
        <f t="shared" si="571"/>
        <v>0</v>
      </c>
      <c r="GQ91" s="153">
        <f t="shared" si="571"/>
        <v>0</v>
      </c>
      <c r="GR91" s="153">
        <f t="shared" si="571"/>
        <v>0</v>
      </c>
      <c r="GS91" s="153">
        <f t="shared" si="571"/>
        <v>0</v>
      </c>
      <c r="GT91" s="153">
        <f t="shared" si="571"/>
        <v>0</v>
      </c>
      <c r="GU91" s="153">
        <f t="shared" si="571"/>
        <v>0</v>
      </c>
      <c r="GV91" s="153">
        <f t="shared" si="571"/>
        <v>0</v>
      </c>
      <c r="GW91" s="153">
        <f t="shared" si="571"/>
        <v>0</v>
      </c>
      <c r="GX91" s="153">
        <f t="shared" si="571"/>
        <v>0</v>
      </c>
      <c r="GY91" s="153">
        <f t="shared" si="571"/>
        <v>0</v>
      </c>
      <c r="GZ91" s="153">
        <f t="shared" si="571"/>
        <v>0</v>
      </c>
      <c r="HA91" s="153">
        <f t="shared" si="571"/>
        <v>0</v>
      </c>
      <c r="HB91" s="153">
        <f t="shared" si="571"/>
        <v>0</v>
      </c>
      <c r="HC91" s="153">
        <f t="shared" si="571"/>
        <v>0</v>
      </c>
      <c r="HD91" s="153">
        <f t="shared" si="571"/>
        <v>0</v>
      </c>
      <c r="HE91" s="153">
        <f t="shared" si="571"/>
        <v>0</v>
      </c>
      <c r="HF91" s="153">
        <f t="shared" si="571"/>
        <v>0</v>
      </c>
      <c r="HG91" s="153">
        <f t="shared" si="571"/>
        <v>0</v>
      </c>
      <c r="HH91" s="153">
        <f t="shared" si="571"/>
        <v>0</v>
      </c>
      <c r="HI91" s="153">
        <f t="shared" si="571"/>
        <v>0</v>
      </c>
      <c r="HJ91" s="153">
        <f t="shared" si="571"/>
        <v>0</v>
      </c>
      <c r="HK91" s="153">
        <f t="shared" si="571"/>
        <v>0</v>
      </c>
      <c r="HL91" s="153">
        <f t="shared" si="571"/>
        <v>0</v>
      </c>
      <c r="HM91" s="153">
        <f t="shared" si="571"/>
        <v>0</v>
      </c>
      <c r="HN91" s="153">
        <f t="shared" ref="HN91:IS91" si="572">(HN89=1)*($I$91*Units)+(HN89&gt;1)*(MIN($I$92,HM90))</f>
        <v>0</v>
      </c>
      <c r="HO91" s="153">
        <f t="shared" si="572"/>
        <v>0</v>
      </c>
      <c r="HP91" s="153">
        <f t="shared" si="572"/>
        <v>0</v>
      </c>
      <c r="HQ91" s="153">
        <f t="shared" si="572"/>
        <v>0</v>
      </c>
      <c r="HR91" s="153">
        <f t="shared" si="572"/>
        <v>0</v>
      </c>
      <c r="HS91" s="153">
        <f t="shared" si="572"/>
        <v>0</v>
      </c>
      <c r="HT91" s="153">
        <f t="shared" si="572"/>
        <v>0</v>
      </c>
      <c r="HU91" s="153">
        <f t="shared" si="572"/>
        <v>0</v>
      </c>
      <c r="HV91" s="153">
        <f t="shared" si="572"/>
        <v>0</v>
      </c>
      <c r="HW91" s="153">
        <f t="shared" si="572"/>
        <v>0</v>
      </c>
      <c r="HX91" s="153">
        <f t="shared" si="572"/>
        <v>0</v>
      </c>
      <c r="HY91" s="153">
        <f t="shared" si="572"/>
        <v>0</v>
      </c>
      <c r="HZ91" s="153">
        <f t="shared" si="572"/>
        <v>0</v>
      </c>
      <c r="IA91" s="153">
        <f t="shared" si="572"/>
        <v>0</v>
      </c>
      <c r="IB91" s="153">
        <f t="shared" si="572"/>
        <v>0</v>
      </c>
      <c r="IC91" s="153">
        <f t="shared" si="572"/>
        <v>0</v>
      </c>
      <c r="ID91" s="153">
        <f t="shared" si="572"/>
        <v>0</v>
      </c>
      <c r="IE91" s="153">
        <f t="shared" si="572"/>
        <v>0</v>
      </c>
      <c r="IF91" s="153">
        <f t="shared" si="572"/>
        <v>0</v>
      </c>
      <c r="IG91" s="153">
        <f t="shared" si="572"/>
        <v>0</v>
      </c>
      <c r="IH91" s="153">
        <f t="shared" si="572"/>
        <v>0</v>
      </c>
      <c r="II91" s="153">
        <f t="shared" si="572"/>
        <v>0</v>
      </c>
      <c r="IJ91" s="153">
        <f t="shared" si="572"/>
        <v>0</v>
      </c>
      <c r="IK91" s="153">
        <f t="shared" si="572"/>
        <v>0</v>
      </c>
      <c r="IL91" s="153">
        <f t="shared" si="572"/>
        <v>0</v>
      </c>
      <c r="IM91" s="153">
        <f t="shared" si="572"/>
        <v>0</v>
      </c>
      <c r="IN91" s="153">
        <f t="shared" si="572"/>
        <v>0</v>
      </c>
      <c r="IO91" s="153">
        <f t="shared" si="572"/>
        <v>0</v>
      </c>
      <c r="IP91" s="153">
        <f t="shared" si="572"/>
        <v>0</v>
      </c>
      <c r="IQ91" s="153">
        <f t="shared" si="572"/>
        <v>0</v>
      </c>
      <c r="IR91" s="153">
        <f t="shared" si="572"/>
        <v>0</v>
      </c>
      <c r="IS91" s="153">
        <f t="shared" si="572"/>
        <v>0</v>
      </c>
      <c r="IT91" s="153">
        <f t="shared" ref="IT91:KC91" si="573">(IT89=1)*($I$91*Units)+(IT89&gt;1)*(MIN($I$92,IS90))</f>
        <v>0</v>
      </c>
      <c r="IU91" s="153">
        <f t="shared" si="573"/>
        <v>0</v>
      </c>
      <c r="IV91" s="153">
        <f t="shared" si="573"/>
        <v>0</v>
      </c>
      <c r="IW91" s="153">
        <f t="shared" si="573"/>
        <v>0</v>
      </c>
      <c r="IX91" s="153">
        <f t="shared" si="573"/>
        <v>0</v>
      </c>
      <c r="IY91" s="153">
        <f t="shared" si="573"/>
        <v>0</v>
      </c>
      <c r="IZ91" s="153">
        <f t="shared" si="573"/>
        <v>0</v>
      </c>
      <c r="JA91" s="153">
        <f t="shared" si="573"/>
        <v>0</v>
      </c>
      <c r="JB91" s="153">
        <f t="shared" si="573"/>
        <v>0</v>
      </c>
      <c r="JC91" s="153">
        <f t="shared" si="573"/>
        <v>0</v>
      </c>
      <c r="JD91" s="153">
        <f t="shared" si="573"/>
        <v>0</v>
      </c>
      <c r="JE91" s="153">
        <f t="shared" si="573"/>
        <v>0</v>
      </c>
      <c r="JF91" s="153">
        <f t="shared" si="573"/>
        <v>0</v>
      </c>
      <c r="JG91" s="153">
        <f t="shared" si="573"/>
        <v>0</v>
      </c>
      <c r="JH91" s="153">
        <f t="shared" si="573"/>
        <v>0</v>
      </c>
      <c r="JI91" s="153">
        <f t="shared" si="573"/>
        <v>0</v>
      </c>
      <c r="JJ91" s="153">
        <f t="shared" si="573"/>
        <v>0</v>
      </c>
      <c r="JK91" s="153">
        <f t="shared" si="573"/>
        <v>0</v>
      </c>
      <c r="JL91" s="153">
        <f t="shared" si="573"/>
        <v>0</v>
      </c>
      <c r="JM91" s="153">
        <f t="shared" si="573"/>
        <v>0</v>
      </c>
      <c r="JN91" s="153">
        <f t="shared" si="573"/>
        <v>0</v>
      </c>
      <c r="JO91" s="153">
        <f t="shared" si="573"/>
        <v>0</v>
      </c>
      <c r="JP91" s="153">
        <f t="shared" si="573"/>
        <v>0</v>
      </c>
      <c r="JQ91" s="153">
        <f t="shared" si="573"/>
        <v>0</v>
      </c>
      <c r="JR91" s="153">
        <f t="shared" si="573"/>
        <v>0</v>
      </c>
      <c r="JS91" s="153">
        <f t="shared" si="573"/>
        <v>0</v>
      </c>
      <c r="JT91" s="153">
        <f t="shared" si="573"/>
        <v>0</v>
      </c>
      <c r="JU91" s="153">
        <f t="shared" si="573"/>
        <v>0</v>
      </c>
      <c r="JV91" s="153">
        <f t="shared" si="573"/>
        <v>0</v>
      </c>
      <c r="JW91" s="153">
        <f t="shared" si="573"/>
        <v>0</v>
      </c>
      <c r="JX91" s="153">
        <f t="shared" si="573"/>
        <v>0</v>
      </c>
      <c r="JY91" s="153">
        <f t="shared" si="573"/>
        <v>0</v>
      </c>
      <c r="JZ91" s="153">
        <f t="shared" si="573"/>
        <v>0</v>
      </c>
      <c r="KA91" s="153">
        <f t="shared" si="573"/>
        <v>0</v>
      </c>
      <c r="KB91" s="153">
        <f t="shared" si="573"/>
        <v>0</v>
      </c>
      <c r="KC91" s="153">
        <f t="shared" si="573"/>
        <v>0</v>
      </c>
    </row>
    <row r="92" spans="1:289" x14ac:dyDescent="0.25">
      <c r="B92" s="180" t="s">
        <v>158</v>
      </c>
      <c r="C92" s="181"/>
      <c r="D92" s="186">
        <f>MATCH(1,$FB$92:$KC$92)</f>
        <v>14</v>
      </c>
      <c r="E92" s="181"/>
      <c r="F92" s="181"/>
      <c r="G92" s="180" t="s">
        <v>89</v>
      </c>
      <c r="H92" s="181"/>
      <c r="I92" s="313">
        <v>6</v>
      </c>
      <c r="Q92" s="157"/>
      <c r="R92" s="301"/>
      <c r="S92" s="301"/>
      <c r="T92" s="301"/>
      <c r="U92" s="301"/>
      <c r="V92" s="301"/>
      <c r="W92" s="301"/>
      <c r="X92" s="301"/>
      <c r="Y92" s="301"/>
      <c r="Z92" s="301"/>
      <c r="AA92" s="301"/>
      <c r="AB92" s="301"/>
      <c r="AC92" s="301"/>
      <c r="AD92" s="301"/>
      <c r="AE92" s="301"/>
      <c r="AF92" s="301"/>
      <c r="AG92" s="301"/>
      <c r="AH92" s="301"/>
      <c r="AI92" s="301"/>
      <c r="AJ92" s="301"/>
      <c r="AK92" s="301"/>
      <c r="AL92" s="301"/>
      <c r="AM92" s="301"/>
      <c r="AN92" s="301"/>
      <c r="AO92" s="301"/>
      <c r="AP92" s="301"/>
      <c r="AQ92" s="301"/>
      <c r="AR92" s="301"/>
      <c r="AS92" s="301"/>
      <c r="AT92" s="301"/>
      <c r="AU92" s="301"/>
      <c r="AV92" s="301"/>
      <c r="AW92" s="314"/>
      <c r="AX92" s="314"/>
      <c r="AY92" s="314"/>
      <c r="AZ92" s="314"/>
      <c r="BA92" s="301"/>
      <c r="BB92" s="301"/>
      <c r="BC92" s="301"/>
      <c r="BD92" s="301"/>
      <c r="BE92" s="301"/>
      <c r="BF92" s="301"/>
      <c r="BG92" s="301"/>
      <c r="BH92" s="301"/>
      <c r="BI92" s="301"/>
      <c r="BJ92" s="301"/>
      <c r="BK92" s="301"/>
      <c r="BL92" s="301"/>
      <c r="BM92" s="301"/>
      <c r="BN92" s="301"/>
      <c r="BO92" s="301"/>
      <c r="BP92" s="301"/>
      <c r="BQ92" s="301"/>
      <c r="BR92" s="301"/>
      <c r="BS92" s="301"/>
      <c r="BT92" s="301"/>
      <c r="BU92" s="301"/>
      <c r="BV92" s="301"/>
      <c r="BW92" s="301"/>
      <c r="BX92" s="301"/>
      <c r="BY92" s="301"/>
      <c r="BZ92" s="301"/>
      <c r="CA92" s="301"/>
      <c r="CB92" s="301"/>
      <c r="CC92" s="301"/>
      <c r="CD92" s="301"/>
      <c r="CE92" s="301"/>
      <c r="CF92" s="301"/>
      <c r="CG92" s="301"/>
      <c r="CH92" s="301"/>
      <c r="CI92" s="301"/>
      <c r="CJ92" s="301"/>
      <c r="CK92" s="301"/>
      <c r="CL92" s="301"/>
      <c r="CM92" s="301"/>
      <c r="CN92" s="301"/>
      <c r="CO92" s="301"/>
      <c r="CP92" s="301"/>
      <c r="CQ92" s="301"/>
      <c r="CR92" s="301"/>
      <c r="CS92" s="301"/>
      <c r="CT92" s="301"/>
      <c r="CU92" s="301"/>
      <c r="CV92" s="301"/>
      <c r="CW92" s="301"/>
      <c r="CX92" s="301"/>
      <c r="CY92" s="301"/>
      <c r="CZ92" s="301"/>
      <c r="DA92" s="301"/>
      <c r="DB92" s="301"/>
      <c r="DC92" s="301"/>
      <c r="DD92" s="301"/>
      <c r="DE92" s="301"/>
      <c r="DF92" s="301"/>
      <c r="DG92" s="301"/>
      <c r="DH92" s="301"/>
      <c r="DI92" s="301"/>
      <c r="DJ92" s="301"/>
      <c r="DK92" s="301"/>
      <c r="DL92" s="301"/>
      <c r="DM92" s="301"/>
      <c r="DN92" s="301"/>
      <c r="DO92" s="301"/>
      <c r="DP92" s="301"/>
      <c r="DQ92" s="301"/>
      <c r="DR92" s="301"/>
      <c r="DS92" s="301"/>
      <c r="DT92" s="301"/>
      <c r="DU92" s="301"/>
      <c r="DV92" s="301"/>
      <c r="DW92" s="301"/>
      <c r="DX92" s="301"/>
      <c r="DY92" s="301"/>
      <c r="DZ92" s="301"/>
      <c r="EA92" s="301"/>
      <c r="EB92" s="301"/>
      <c r="EC92" s="301"/>
      <c r="ED92" s="301"/>
      <c r="EE92" s="301"/>
      <c r="EF92" s="301"/>
      <c r="EG92" s="301"/>
      <c r="EH92" s="301"/>
      <c r="EI92" s="301"/>
      <c r="EJ92" s="301"/>
      <c r="EK92" s="301"/>
      <c r="EL92" s="301"/>
      <c r="EM92" s="301"/>
      <c r="EN92" s="301"/>
      <c r="EO92" s="301"/>
      <c r="EP92" s="301"/>
      <c r="EQ92" s="301"/>
      <c r="ER92" s="301"/>
      <c r="ES92" s="301"/>
      <c r="EU92" s="153"/>
      <c r="EV92" s="153"/>
      <c r="EW92" s="153"/>
      <c r="EX92" s="153"/>
      <c r="EY92" s="153"/>
      <c r="EZ92" s="154" t="s">
        <v>101</v>
      </c>
      <c r="FA92" s="162"/>
      <c r="FB92" s="162">
        <f t="shared" ref="FB92:GF92" si="574">IF(R90=1,FA92+1,0)</f>
        <v>0</v>
      </c>
      <c r="FC92" s="162">
        <f t="shared" si="574"/>
        <v>0</v>
      </c>
      <c r="FD92" s="162">
        <f t="shared" si="574"/>
        <v>0</v>
      </c>
      <c r="FE92" s="162">
        <f t="shared" si="574"/>
        <v>0</v>
      </c>
      <c r="FF92" s="162">
        <f t="shared" si="574"/>
        <v>0</v>
      </c>
      <c r="FG92" s="162">
        <f t="shared" si="574"/>
        <v>0</v>
      </c>
      <c r="FH92" s="162">
        <f t="shared" si="574"/>
        <v>0</v>
      </c>
      <c r="FI92" s="162">
        <f t="shared" si="574"/>
        <v>0</v>
      </c>
      <c r="FJ92" s="162">
        <f t="shared" si="574"/>
        <v>0</v>
      </c>
      <c r="FK92" s="162">
        <f t="shared" si="574"/>
        <v>0</v>
      </c>
      <c r="FL92" s="162">
        <f t="shared" si="574"/>
        <v>0</v>
      </c>
      <c r="FM92" s="162">
        <f t="shared" si="574"/>
        <v>0</v>
      </c>
      <c r="FN92" s="162">
        <f t="shared" si="574"/>
        <v>0</v>
      </c>
      <c r="FO92" s="162">
        <f t="shared" si="574"/>
        <v>1</v>
      </c>
      <c r="FP92" s="162">
        <f t="shared" si="574"/>
        <v>2</v>
      </c>
      <c r="FQ92" s="162">
        <f t="shared" si="574"/>
        <v>3</v>
      </c>
      <c r="FR92" s="162">
        <f t="shared" si="574"/>
        <v>4</v>
      </c>
      <c r="FS92" s="162">
        <f t="shared" si="574"/>
        <v>5</v>
      </c>
      <c r="FT92" s="162">
        <f t="shared" si="574"/>
        <v>6</v>
      </c>
      <c r="FU92" s="162">
        <f t="shared" si="574"/>
        <v>7</v>
      </c>
      <c r="FV92" s="162">
        <f t="shared" si="574"/>
        <v>8</v>
      </c>
      <c r="FW92" s="162">
        <f t="shared" si="574"/>
        <v>9</v>
      </c>
      <c r="FX92" s="162">
        <f t="shared" si="574"/>
        <v>10</v>
      </c>
      <c r="FY92" s="162">
        <f t="shared" si="574"/>
        <v>11</v>
      </c>
      <c r="FZ92" s="162">
        <f t="shared" si="574"/>
        <v>12</v>
      </c>
      <c r="GA92" s="162">
        <f t="shared" si="574"/>
        <v>13</v>
      </c>
      <c r="GB92" s="162">
        <f t="shared" si="574"/>
        <v>14</v>
      </c>
      <c r="GC92" s="162">
        <f t="shared" si="574"/>
        <v>15</v>
      </c>
      <c r="GD92" s="162">
        <f t="shared" si="574"/>
        <v>16</v>
      </c>
      <c r="GE92" s="162">
        <f t="shared" si="574"/>
        <v>17</v>
      </c>
      <c r="GF92" s="162">
        <f t="shared" si="574"/>
        <v>18</v>
      </c>
      <c r="GG92" s="162">
        <f t="shared" ref="GG92:HL92" si="575">IF(AW90=1,GF92+1,0)</f>
        <v>19</v>
      </c>
      <c r="GH92" s="162">
        <f t="shared" si="575"/>
        <v>20</v>
      </c>
      <c r="GI92" s="162">
        <f t="shared" si="575"/>
        <v>21</v>
      </c>
      <c r="GJ92" s="162">
        <f t="shared" si="575"/>
        <v>22</v>
      </c>
      <c r="GK92" s="162">
        <f t="shared" si="575"/>
        <v>23</v>
      </c>
      <c r="GL92" s="162">
        <f t="shared" si="575"/>
        <v>24</v>
      </c>
      <c r="GM92" s="162">
        <f t="shared" si="575"/>
        <v>25</v>
      </c>
      <c r="GN92" s="162">
        <f t="shared" si="575"/>
        <v>26</v>
      </c>
      <c r="GO92" s="162">
        <f t="shared" si="575"/>
        <v>27</v>
      </c>
      <c r="GP92" s="162">
        <f t="shared" si="575"/>
        <v>28</v>
      </c>
      <c r="GQ92" s="162">
        <f t="shared" si="575"/>
        <v>29</v>
      </c>
      <c r="GR92" s="162">
        <f t="shared" si="575"/>
        <v>30</v>
      </c>
      <c r="GS92" s="162">
        <f t="shared" si="575"/>
        <v>31</v>
      </c>
      <c r="GT92" s="162">
        <f t="shared" si="575"/>
        <v>32</v>
      </c>
      <c r="GU92" s="162">
        <f t="shared" si="575"/>
        <v>33</v>
      </c>
      <c r="GV92" s="162">
        <f t="shared" si="575"/>
        <v>34</v>
      </c>
      <c r="GW92" s="162">
        <f t="shared" si="575"/>
        <v>35</v>
      </c>
      <c r="GX92" s="162">
        <f t="shared" si="575"/>
        <v>36</v>
      </c>
      <c r="GY92" s="162">
        <f t="shared" si="575"/>
        <v>37</v>
      </c>
      <c r="GZ92" s="162">
        <f t="shared" si="575"/>
        <v>38</v>
      </c>
      <c r="HA92" s="162">
        <f t="shared" si="575"/>
        <v>39</v>
      </c>
      <c r="HB92" s="162">
        <f t="shared" si="575"/>
        <v>40</v>
      </c>
      <c r="HC92" s="162">
        <f t="shared" si="575"/>
        <v>41</v>
      </c>
      <c r="HD92" s="162">
        <f t="shared" si="575"/>
        <v>42</v>
      </c>
      <c r="HE92" s="162">
        <f t="shared" si="575"/>
        <v>43</v>
      </c>
      <c r="HF92" s="162">
        <f t="shared" si="575"/>
        <v>44</v>
      </c>
      <c r="HG92" s="162">
        <f t="shared" si="575"/>
        <v>45</v>
      </c>
      <c r="HH92" s="162">
        <f t="shared" si="575"/>
        <v>46</v>
      </c>
      <c r="HI92" s="162">
        <f t="shared" si="575"/>
        <v>47</v>
      </c>
      <c r="HJ92" s="162">
        <f t="shared" si="575"/>
        <v>48</v>
      </c>
      <c r="HK92" s="162">
        <f t="shared" si="575"/>
        <v>49</v>
      </c>
      <c r="HL92" s="162">
        <f t="shared" si="575"/>
        <v>50</v>
      </c>
      <c r="HM92" s="162">
        <f t="shared" ref="HM92:IR92" si="576">IF(CC90=1,HL92+1,0)</f>
        <v>51</v>
      </c>
      <c r="HN92" s="162">
        <f t="shared" si="576"/>
        <v>52</v>
      </c>
      <c r="HO92" s="162">
        <f t="shared" si="576"/>
        <v>53</v>
      </c>
      <c r="HP92" s="162">
        <f t="shared" si="576"/>
        <v>54</v>
      </c>
      <c r="HQ92" s="162">
        <f t="shared" si="576"/>
        <v>55</v>
      </c>
      <c r="HR92" s="162">
        <f t="shared" si="576"/>
        <v>56</v>
      </c>
      <c r="HS92" s="162">
        <f t="shared" si="576"/>
        <v>57</v>
      </c>
      <c r="HT92" s="162">
        <f t="shared" si="576"/>
        <v>58</v>
      </c>
      <c r="HU92" s="162">
        <f t="shared" si="576"/>
        <v>59</v>
      </c>
      <c r="HV92" s="162">
        <f t="shared" si="576"/>
        <v>60</v>
      </c>
      <c r="HW92" s="162">
        <f t="shared" si="576"/>
        <v>61</v>
      </c>
      <c r="HX92" s="162">
        <f t="shared" si="576"/>
        <v>62</v>
      </c>
      <c r="HY92" s="162">
        <f t="shared" si="576"/>
        <v>63</v>
      </c>
      <c r="HZ92" s="162">
        <f t="shared" si="576"/>
        <v>64</v>
      </c>
      <c r="IA92" s="162">
        <f t="shared" si="576"/>
        <v>65</v>
      </c>
      <c r="IB92" s="162">
        <f t="shared" si="576"/>
        <v>66</v>
      </c>
      <c r="IC92" s="162">
        <f t="shared" si="576"/>
        <v>67</v>
      </c>
      <c r="ID92" s="162">
        <f t="shared" si="576"/>
        <v>68</v>
      </c>
      <c r="IE92" s="162">
        <f t="shared" si="576"/>
        <v>69</v>
      </c>
      <c r="IF92" s="162">
        <f t="shared" si="576"/>
        <v>70</v>
      </c>
      <c r="IG92" s="162">
        <f t="shared" si="576"/>
        <v>71</v>
      </c>
      <c r="IH92" s="162">
        <f t="shared" si="576"/>
        <v>72</v>
      </c>
      <c r="II92" s="162">
        <f t="shared" si="576"/>
        <v>73</v>
      </c>
      <c r="IJ92" s="162">
        <f t="shared" si="576"/>
        <v>74</v>
      </c>
      <c r="IK92" s="162">
        <f t="shared" si="576"/>
        <v>75</v>
      </c>
      <c r="IL92" s="162">
        <f t="shared" si="576"/>
        <v>76</v>
      </c>
      <c r="IM92" s="162">
        <f t="shared" si="576"/>
        <v>77</v>
      </c>
      <c r="IN92" s="162">
        <f t="shared" si="576"/>
        <v>78</v>
      </c>
      <c r="IO92" s="162">
        <f t="shared" si="576"/>
        <v>79</v>
      </c>
      <c r="IP92" s="162">
        <f t="shared" si="576"/>
        <v>80</v>
      </c>
      <c r="IQ92" s="162">
        <f t="shared" si="576"/>
        <v>81</v>
      </c>
      <c r="IR92" s="162">
        <f t="shared" si="576"/>
        <v>82</v>
      </c>
      <c r="IS92" s="162">
        <f t="shared" ref="IS92:JX92" si="577">IF(DI90=1,IR92+1,0)</f>
        <v>83</v>
      </c>
      <c r="IT92" s="162">
        <f t="shared" si="577"/>
        <v>84</v>
      </c>
      <c r="IU92" s="162">
        <f t="shared" si="577"/>
        <v>85</v>
      </c>
      <c r="IV92" s="162">
        <f t="shared" si="577"/>
        <v>86</v>
      </c>
      <c r="IW92" s="162">
        <f t="shared" si="577"/>
        <v>87</v>
      </c>
      <c r="IX92" s="162">
        <f t="shared" si="577"/>
        <v>88</v>
      </c>
      <c r="IY92" s="162">
        <f t="shared" si="577"/>
        <v>89</v>
      </c>
      <c r="IZ92" s="162">
        <f t="shared" si="577"/>
        <v>90</v>
      </c>
      <c r="JA92" s="162">
        <f t="shared" si="577"/>
        <v>91</v>
      </c>
      <c r="JB92" s="162">
        <f t="shared" si="577"/>
        <v>92</v>
      </c>
      <c r="JC92" s="162">
        <f t="shared" si="577"/>
        <v>93</v>
      </c>
      <c r="JD92" s="162">
        <f t="shared" si="577"/>
        <v>94</v>
      </c>
      <c r="JE92" s="162">
        <f t="shared" si="577"/>
        <v>95</v>
      </c>
      <c r="JF92" s="162">
        <f t="shared" si="577"/>
        <v>96</v>
      </c>
      <c r="JG92" s="162">
        <f t="shared" si="577"/>
        <v>97</v>
      </c>
      <c r="JH92" s="162">
        <f t="shared" si="577"/>
        <v>98</v>
      </c>
      <c r="JI92" s="162">
        <f t="shared" si="577"/>
        <v>99</v>
      </c>
      <c r="JJ92" s="162">
        <f t="shared" si="577"/>
        <v>100</v>
      </c>
      <c r="JK92" s="162">
        <f t="shared" si="577"/>
        <v>101</v>
      </c>
      <c r="JL92" s="162">
        <f t="shared" si="577"/>
        <v>102</v>
      </c>
      <c r="JM92" s="162">
        <f t="shared" si="577"/>
        <v>103</v>
      </c>
      <c r="JN92" s="162">
        <f t="shared" si="577"/>
        <v>104</v>
      </c>
      <c r="JO92" s="162">
        <f t="shared" si="577"/>
        <v>105</v>
      </c>
      <c r="JP92" s="162">
        <f t="shared" si="577"/>
        <v>106</v>
      </c>
      <c r="JQ92" s="162">
        <f t="shared" si="577"/>
        <v>107</v>
      </c>
      <c r="JR92" s="162">
        <f t="shared" si="577"/>
        <v>108</v>
      </c>
      <c r="JS92" s="162">
        <f t="shared" si="577"/>
        <v>109</v>
      </c>
      <c r="JT92" s="162">
        <f t="shared" si="577"/>
        <v>110</v>
      </c>
      <c r="JU92" s="162">
        <f t="shared" si="577"/>
        <v>111</v>
      </c>
      <c r="JV92" s="162">
        <f t="shared" si="577"/>
        <v>112</v>
      </c>
      <c r="JW92" s="162">
        <f t="shared" si="577"/>
        <v>113</v>
      </c>
      <c r="JX92" s="162">
        <f t="shared" si="577"/>
        <v>114</v>
      </c>
      <c r="JY92" s="162">
        <f>IF(EO90=1,JX92+1,0)</f>
        <v>115</v>
      </c>
      <c r="JZ92" s="162">
        <f>IF(EP90=1,JY92+1,0)</f>
        <v>116</v>
      </c>
      <c r="KA92" s="162">
        <f>IF(EQ90=1,JZ92+1,0)</f>
        <v>117</v>
      </c>
      <c r="KB92" s="162">
        <f>IF(ER90=1,KA92+1,0)</f>
        <v>118</v>
      </c>
      <c r="KC92" s="162">
        <f>IF(ES90=1,KB92+1,0)</f>
        <v>119</v>
      </c>
    </row>
    <row r="93" spans="1:289" x14ac:dyDescent="0.25">
      <c r="B93" s="181"/>
      <c r="C93" s="181"/>
      <c r="D93" s="181"/>
      <c r="E93" s="181"/>
      <c r="F93" s="181"/>
      <c r="G93" s="180" t="s">
        <v>111</v>
      </c>
      <c r="H93" s="181"/>
      <c r="I93" s="315">
        <v>12</v>
      </c>
      <c r="Q93" s="157"/>
      <c r="EU93" s="153"/>
      <c r="EV93" s="153"/>
      <c r="EW93" s="153"/>
      <c r="EX93" s="153"/>
      <c r="EY93" s="153"/>
      <c r="EZ93" s="154" t="s">
        <v>482</v>
      </c>
      <c r="FA93" s="162"/>
      <c r="FB93" s="316">
        <f>ROUNDUP(FB94/12,0)</f>
        <v>1</v>
      </c>
      <c r="FC93" s="316">
        <f t="shared" ref="FC93:HN93" si="578">ROUNDUP(FC94/12,0)</f>
        <v>1</v>
      </c>
      <c r="FD93" s="316">
        <f t="shared" si="578"/>
        <v>1</v>
      </c>
      <c r="FE93" s="316">
        <f t="shared" si="578"/>
        <v>1</v>
      </c>
      <c r="FF93" s="316">
        <f t="shared" si="578"/>
        <v>1</v>
      </c>
      <c r="FG93" s="316">
        <f t="shared" si="578"/>
        <v>1</v>
      </c>
      <c r="FH93" s="316">
        <f t="shared" si="578"/>
        <v>1</v>
      </c>
      <c r="FI93" s="316">
        <f t="shared" si="578"/>
        <v>1</v>
      </c>
      <c r="FJ93" s="316">
        <f t="shared" si="578"/>
        <v>1</v>
      </c>
      <c r="FK93" s="316">
        <f t="shared" si="578"/>
        <v>1</v>
      </c>
      <c r="FL93" s="316">
        <f t="shared" si="578"/>
        <v>1</v>
      </c>
      <c r="FM93" s="316">
        <f t="shared" si="578"/>
        <v>1</v>
      </c>
      <c r="FN93" s="316">
        <f t="shared" si="578"/>
        <v>1</v>
      </c>
      <c r="FO93" s="316">
        <f t="shared" si="578"/>
        <v>1</v>
      </c>
      <c r="FP93" s="316">
        <f t="shared" si="578"/>
        <v>1</v>
      </c>
      <c r="FQ93" s="316">
        <f t="shared" si="578"/>
        <v>1</v>
      </c>
      <c r="FR93" s="316">
        <f t="shared" si="578"/>
        <v>1</v>
      </c>
      <c r="FS93" s="316">
        <f t="shared" si="578"/>
        <v>1</v>
      </c>
      <c r="FT93" s="316">
        <f t="shared" si="578"/>
        <v>1</v>
      </c>
      <c r="FU93" s="316">
        <f t="shared" si="578"/>
        <v>1</v>
      </c>
      <c r="FV93" s="316">
        <f t="shared" si="578"/>
        <v>1</v>
      </c>
      <c r="FW93" s="316">
        <f t="shared" si="578"/>
        <v>1</v>
      </c>
      <c r="FX93" s="316">
        <f t="shared" si="578"/>
        <v>1</v>
      </c>
      <c r="FY93" s="316">
        <f t="shared" si="578"/>
        <v>2</v>
      </c>
      <c r="FZ93" s="316">
        <f t="shared" si="578"/>
        <v>2</v>
      </c>
      <c r="GA93" s="316">
        <f t="shared" si="578"/>
        <v>2</v>
      </c>
      <c r="GB93" s="316">
        <f t="shared" si="578"/>
        <v>2</v>
      </c>
      <c r="GC93" s="316">
        <f t="shared" si="578"/>
        <v>2</v>
      </c>
      <c r="GD93" s="316">
        <f t="shared" si="578"/>
        <v>2</v>
      </c>
      <c r="GE93" s="316">
        <f t="shared" si="578"/>
        <v>2</v>
      </c>
      <c r="GF93" s="316">
        <f t="shared" si="578"/>
        <v>2</v>
      </c>
      <c r="GG93" s="316">
        <f t="shared" si="578"/>
        <v>2</v>
      </c>
      <c r="GH93" s="316">
        <f t="shared" si="578"/>
        <v>2</v>
      </c>
      <c r="GI93" s="316">
        <f t="shared" si="578"/>
        <v>2</v>
      </c>
      <c r="GJ93" s="316">
        <f t="shared" si="578"/>
        <v>2</v>
      </c>
      <c r="GK93" s="316">
        <f t="shared" si="578"/>
        <v>3</v>
      </c>
      <c r="GL93" s="316">
        <f t="shared" si="578"/>
        <v>3</v>
      </c>
      <c r="GM93" s="316">
        <f t="shared" si="578"/>
        <v>3</v>
      </c>
      <c r="GN93" s="316">
        <f t="shared" si="578"/>
        <v>3</v>
      </c>
      <c r="GO93" s="316">
        <f t="shared" si="578"/>
        <v>3</v>
      </c>
      <c r="GP93" s="316">
        <f t="shared" si="578"/>
        <v>3</v>
      </c>
      <c r="GQ93" s="316">
        <f t="shared" si="578"/>
        <v>3</v>
      </c>
      <c r="GR93" s="316">
        <f t="shared" si="578"/>
        <v>3</v>
      </c>
      <c r="GS93" s="316">
        <f t="shared" si="578"/>
        <v>3</v>
      </c>
      <c r="GT93" s="316">
        <f t="shared" si="578"/>
        <v>3</v>
      </c>
      <c r="GU93" s="316">
        <f t="shared" si="578"/>
        <v>3</v>
      </c>
      <c r="GV93" s="316">
        <f t="shared" si="578"/>
        <v>3</v>
      </c>
      <c r="GW93" s="316">
        <f t="shared" si="578"/>
        <v>4</v>
      </c>
      <c r="GX93" s="316">
        <f t="shared" si="578"/>
        <v>4</v>
      </c>
      <c r="GY93" s="316">
        <f t="shared" si="578"/>
        <v>4</v>
      </c>
      <c r="GZ93" s="316">
        <f t="shared" si="578"/>
        <v>4</v>
      </c>
      <c r="HA93" s="316">
        <f t="shared" si="578"/>
        <v>4</v>
      </c>
      <c r="HB93" s="316">
        <f t="shared" si="578"/>
        <v>4</v>
      </c>
      <c r="HC93" s="316">
        <f t="shared" si="578"/>
        <v>4</v>
      </c>
      <c r="HD93" s="316">
        <f t="shared" si="578"/>
        <v>4</v>
      </c>
      <c r="HE93" s="316">
        <f t="shared" si="578"/>
        <v>4</v>
      </c>
      <c r="HF93" s="316">
        <f t="shared" si="578"/>
        <v>4</v>
      </c>
      <c r="HG93" s="316">
        <f t="shared" si="578"/>
        <v>4</v>
      </c>
      <c r="HH93" s="316">
        <f t="shared" si="578"/>
        <v>4</v>
      </c>
      <c r="HI93" s="316">
        <f t="shared" si="578"/>
        <v>5</v>
      </c>
      <c r="HJ93" s="316">
        <f t="shared" si="578"/>
        <v>5</v>
      </c>
      <c r="HK93" s="316">
        <f t="shared" si="578"/>
        <v>5</v>
      </c>
      <c r="HL93" s="316">
        <f t="shared" si="578"/>
        <v>5</v>
      </c>
      <c r="HM93" s="316">
        <f t="shared" si="578"/>
        <v>5</v>
      </c>
      <c r="HN93" s="316">
        <f t="shared" si="578"/>
        <v>5</v>
      </c>
      <c r="HO93" s="316">
        <f t="shared" ref="HO93:JZ93" si="579">ROUNDUP(HO94/12,0)</f>
        <v>5</v>
      </c>
      <c r="HP93" s="316">
        <f t="shared" si="579"/>
        <v>5</v>
      </c>
      <c r="HQ93" s="316">
        <f t="shared" si="579"/>
        <v>5</v>
      </c>
      <c r="HR93" s="316">
        <f t="shared" si="579"/>
        <v>5</v>
      </c>
      <c r="HS93" s="316">
        <f t="shared" si="579"/>
        <v>5</v>
      </c>
      <c r="HT93" s="316">
        <f t="shared" si="579"/>
        <v>5</v>
      </c>
      <c r="HU93" s="316">
        <f t="shared" si="579"/>
        <v>6</v>
      </c>
      <c r="HV93" s="316">
        <f t="shared" si="579"/>
        <v>6</v>
      </c>
      <c r="HW93" s="316">
        <f t="shared" si="579"/>
        <v>6</v>
      </c>
      <c r="HX93" s="316">
        <f t="shared" si="579"/>
        <v>6</v>
      </c>
      <c r="HY93" s="316">
        <f t="shared" si="579"/>
        <v>6</v>
      </c>
      <c r="HZ93" s="316">
        <f t="shared" si="579"/>
        <v>6</v>
      </c>
      <c r="IA93" s="316">
        <f t="shared" si="579"/>
        <v>6</v>
      </c>
      <c r="IB93" s="316">
        <f t="shared" si="579"/>
        <v>6</v>
      </c>
      <c r="IC93" s="316">
        <f t="shared" si="579"/>
        <v>6</v>
      </c>
      <c r="ID93" s="316">
        <f t="shared" si="579"/>
        <v>6</v>
      </c>
      <c r="IE93" s="316">
        <f t="shared" si="579"/>
        <v>6</v>
      </c>
      <c r="IF93" s="316">
        <f t="shared" si="579"/>
        <v>6</v>
      </c>
      <c r="IG93" s="316">
        <f t="shared" si="579"/>
        <v>7</v>
      </c>
      <c r="IH93" s="316">
        <f t="shared" si="579"/>
        <v>7</v>
      </c>
      <c r="II93" s="316">
        <f t="shared" si="579"/>
        <v>7</v>
      </c>
      <c r="IJ93" s="316">
        <f t="shared" si="579"/>
        <v>7</v>
      </c>
      <c r="IK93" s="316">
        <f t="shared" si="579"/>
        <v>7</v>
      </c>
      <c r="IL93" s="316">
        <f t="shared" si="579"/>
        <v>7</v>
      </c>
      <c r="IM93" s="316">
        <f t="shared" si="579"/>
        <v>7</v>
      </c>
      <c r="IN93" s="316">
        <f t="shared" si="579"/>
        <v>7</v>
      </c>
      <c r="IO93" s="316">
        <f t="shared" si="579"/>
        <v>7</v>
      </c>
      <c r="IP93" s="316">
        <f t="shared" si="579"/>
        <v>7</v>
      </c>
      <c r="IQ93" s="316">
        <f t="shared" si="579"/>
        <v>7</v>
      </c>
      <c r="IR93" s="316">
        <f t="shared" si="579"/>
        <v>7</v>
      </c>
      <c r="IS93" s="316">
        <f t="shared" si="579"/>
        <v>8</v>
      </c>
      <c r="IT93" s="316">
        <f t="shared" si="579"/>
        <v>8</v>
      </c>
      <c r="IU93" s="316">
        <f t="shared" si="579"/>
        <v>8</v>
      </c>
      <c r="IV93" s="316">
        <f t="shared" si="579"/>
        <v>8</v>
      </c>
      <c r="IW93" s="316">
        <f t="shared" si="579"/>
        <v>8</v>
      </c>
      <c r="IX93" s="316">
        <f t="shared" si="579"/>
        <v>8</v>
      </c>
      <c r="IY93" s="316">
        <f t="shared" si="579"/>
        <v>8</v>
      </c>
      <c r="IZ93" s="316">
        <f t="shared" si="579"/>
        <v>8</v>
      </c>
      <c r="JA93" s="316">
        <f t="shared" si="579"/>
        <v>8</v>
      </c>
      <c r="JB93" s="316">
        <f t="shared" si="579"/>
        <v>8</v>
      </c>
      <c r="JC93" s="316">
        <f t="shared" si="579"/>
        <v>8</v>
      </c>
      <c r="JD93" s="316">
        <f t="shared" si="579"/>
        <v>8</v>
      </c>
      <c r="JE93" s="316">
        <f t="shared" si="579"/>
        <v>9</v>
      </c>
      <c r="JF93" s="316">
        <f t="shared" si="579"/>
        <v>9</v>
      </c>
      <c r="JG93" s="316">
        <f t="shared" si="579"/>
        <v>9</v>
      </c>
      <c r="JH93" s="316">
        <f t="shared" si="579"/>
        <v>9</v>
      </c>
      <c r="JI93" s="316">
        <f t="shared" si="579"/>
        <v>9</v>
      </c>
      <c r="JJ93" s="316">
        <f t="shared" si="579"/>
        <v>9</v>
      </c>
      <c r="JK93" s="316">
        <f t="shared" si="579"/>
        <v>9</v>
      </c>
      <c r="JL93" s="316">
        <f t="shared" si="579"/>
        <v>9</v>
      </c>
      <c r="JM93" s="316">
        <f t="shared" si="579"/>
        <v>9</v>
      </c>
      <c r="JN93" s="316">
        <f t="shared" si="579"/>
        <v>9</v>
      </c>
      <c r="JO93" s="316">
        <f t="shared" si="579"/>
        <v>9</v>
      </c>
      <c r="JP93" s="316">
        <f t="shared" si="579"/>
        <v>9</v>
      </c>
      <c r="JQ93" s="316">
        <f t="shared" si="579"/>
        <v>10</v>
      </c>
      <c r="JR93" s="316">
        <f t="shared" si="579"/>
        <v>10</v>
      </c>
      <c r="JS93" s="316">
        <f t="shared" si="579"/>
        <v>10</v>
      </c>
      <c r="JT93" s="316">
        <f t="shared" si="579"/>
        <v>10</v>
      </c>
      <c r="JU93" s="316">
        <f t="shared" si="579"/>
        <v>10</v>
      </c>
      <c r="JV93" s="316">
        <f t="shared" si="579"/>
        <v>10</v>
      </c>
      <c r="JW93" s="316">
        <f t="shared" si="579"/>
        <v>10</v>
      </c>
      <c r="JX93" s="316">
        <f t="shared" si="579"/>
        <v>10</v>
      </c>
      <c r="JY93" s="316">
        <f t="shared" si="579"/>
        <v>10</v>
      </c>
      <c r="JZ93" s="316">
        <f t="shared" si="579"/>
        <v>10</v>
      </c>
      <c r="KA93" s="316">
        <f>ROUNDUP(KA94/12,0)</f>
        <v>10</v>
      </c>
      <c r="KB93" s="316">
        <f>ROUNDUP(KB94/12,0)</f>
        <v>10</v>
      </c>
      <c r="KC93" s="316">
        <f>ROUNDUP(KC94/12,0)</f>
        <v>11</v>
      </c>
    </row>
    <row r="94" spans="1:289" x14ac:dyDescent="0.25">
      <c r="B94" s="209" t="s">
        <v>114</v>
      </c>
      <c r="C94" s="181"/>
      <c r="D94" s="181"/>
      <c r="E94" s="181"/>
      <c r="F94" s="181"/>
      <c r="G94" s="317">
        <f>Units_SF_M2</f>
        <v>16296</v>
      </c>
      <c r="H94" s="318">
        <f>G94/I94</f>
        <v>0.8</v>
      </c>
      <c r="I94" s="319">
        <f>E18</f>
        <v>20370</v>
      </c>
      <c r="AJ94" s="220"/>
      <c r="EU94" s="153"/>
      <c r="EV94" s="154" t="s">
        <v>196</v>
      </c>
      <c r="EW94" s="230">
        <f>COUNTA($B$96:$B$98)</f>
        <v>3</v>
      </c>
      <c r="EX94" s="153"/>
      <c r="EY94" s="153"/>
      <c r="EZ94" s="154" t="s">
        <v>480</v>
      </c>
      <c r="FA94" s="162"/>
      <c r="FB94" s="162">
        <f t="shared" ref="FB94:GG94" si="580">MAX(FB3-Timing_Growth_Begin_Income+1,1)</f>
        <v>1</v>
      </c>
      <c r="FC94" s="162">
        <f t="shared" si="580"/>
        <v>1</v>
      </c>
      <c r="FD94" s="162">
        <f t="shared" si="580"/>
        <v>1</v>
      </c>
      <c r="FE94" s="162">
        <f t="shared" si="580"/>
        <v>1</v>
      </c>
      <c r="FF94" s="162">
        <f t="shared" si="580"/>
        <v>1</v>
      </c>
      <c r="FG94" s="162">
        <f t="shared" si="580"/>
        <v>1</v>
      </c>
      <c r="FH94" s="162">
        <f t="shared" si="580"/>
        <v>1</v>
      </c>
      <c r="FI94" s="162">
        <f t="shared" si="580"/>
        <v>1</v>
      </c>
      <c r="FJ94" s="162">
        <f t="shared" si="580"/>
        <v>1</v>
      </c>
      <c r="FK94" s="162">
        <f t="shared" si="580"/>
        <v>1</v>
      </c>
      <c r="FL94" s="162">
        <f t="shared" si="580"/>
        <v>1</v>
      </c>
      <c r="FM94" s="162">
        <f t="shared" si="580"/>
        <v>1</v>
      </c>
      <c r="FN94" s="162">
        <f t="shared" si="580"/>
        <v>2</v>
      </c>
      <c r="FO94" s="162">
        <f t="shared" si="580"/>
        <v>3</v>
      </c>
      <c r="FP94" s="162">
        <f t="shared" si="580"/>
        <v>4</v>
      </c>
      <c r="FQ94" s="162">
        <f t="shared" si="580"/>
        <v>5</v>
      </c>
      <c r="FR94" s="162">
        <f t="shared" si="580"/>
        <v>6</v>
      </c>
      <c r="FS94" s="162">
        <f t="shared" si="580"/>
        <v>7</v>
      </c>
      <c r="FT94" s="162">
        <f t="shared" si="580"/>
        <v>8</v>
      </c>
      <c r="FU94" s="162">
        <f t="shared" si="580"/>
        <v>9</v>
      </c>
      <c r="FV94" s="162">
        <f t="shared" si="580"/>
        <v>10</v>
      </c>
      <c r="FW94" s="162">
        <f t="shared" si="580"/>
        <v>11</v>
      </c>
      <c r="FX94" s="162">
        <f t="shared" si="580"/>
        <v>12</v>
      </c>
      <c r="FY94" s="162">
        <f t="shared" si="580"/>
        <v>13</v>
      </c>
      <c r="FZ94" s="162">
        <f t="shared" si="580"/>
        <v>14</v>
      </c>
      <c r="GA94" s="162">
        <f t="shared" si="580"/>
        <v>15</v>
      </c>
      <c r="GB94" s="162">
        <f t="shared" si="580"/>
        <v>16</v>
      </c>
      <c r="GC94" s="162">
        <f t="shared" si="580"/>
        <v>17</v>
      </c>
      <c r="GD94" s="162">
        <f t="shared" si="580"/>
        <v>18</v>
      </c>
      <c r="GE94" s="162">
        <f t="shared" si="580"/>
        <v>19</v>
      </c>
      <c r="GF94" s="162">
        <f t="shared" si="580"/>
        <v>20</v>
      </c>
      <c r="GG94" s="162">
        <f t="shared" si="580"/>
        <v>21</v>
      </c>
      <c r="GH94" s="162">
        <f t="shared" ref="GH94:HM94" si="581">MAX(GH3-Timing_Growth_Begin_Income+1,1)</f>
        <v>22</v>
      </c>
      <c r="GI94" s="162">
        <f t="shared" si="581"/>
        <v>23</v>
      </c>
      <c r="GJ94" s="162">
        <f t="shared" si="581"/>
        <v>24</v>
      </c>
      <c r="GK94" s="162">
        <f t="shared" si="581"/>
        <v>25</v>
      </c>
      <c r="GL94" s="162">
        <f t="shared" si="581"/>
        <v>26</v>
      </c>
      <c r="GM94" s="162">
        <f t="shared" si="581"/>
        <v>27</v>
      </c>
      <c r="GN94" s="162">
        <f t="shared" si="581"/>
        <v>28</v>
      </c>
      <c r="GO94" s="162">
        <f t="shared" si="581"/>
        <v>29</v>
      </c>
      <c r="GP94" s="162">
        <f t="shared" si="581"/>
        <v>30</v>
      </c>
      <c r="GQ94" s="162">
        <f t="shared" si="581"/>
        <v>31</v>
      </c>
      <c r="GR94" s="162">
        <f t="shared" si="581"/>
        <v>32</v>
      </c>
      <c r="GS94" s="162">
        <f t="shared" si="581"/>
        <v>33</v>
      </c>
      <c r="GT94" s="162">
        <f t="shared" si="581"/>
        <v>34</v>
      </c>
      <c r="GU94" s="162">
        <f t="shared" si="581"/>
        <v>35</v>
      </c>
      <c r="GV94" s="162">
        <f t="shared" si="581"/>
        <v>36</v>
      </c>
      <c r="GW94" s="162">
        <f t="shared" si="581"/>
        <v>37</v>
      </c>
      <c r="GX94" s="162">
        <f t="shared" si="581"/>
        <v>38</v>
      </c>
      <c r="GY94" s="162">
        <f t="shared" si="581"/>
        <v>39</v>
      </c>
      <c r="GZ94" s="162">
        <f t="shared" si="581"/>
        <v>40</v>
      </c>
      <c r="HA94" s="162">
        <f t="shared" si="581"/>
        <v>41</v>
      </c>
      <c r="HB94" s="162">
        <f t="shared" si="581"/>
        <v>42</v>
      </c>
      <c r="HC94" s="162">
        <f t="shared" si="581"/>
        <v>43</v>
      </c>
      <c r="HD94" s="162">
        <f t="shared" si="581"/>
        <v>44</v>
      </c>
      <c r="HE94" s="162">
        <f t="shared" si="581"/>
        <v>45</v>
      </c>
      <c r="HF94" s="162">
        <f t="shared" si="581"/>
        <v>46</v>
      </c>
      <c r="HG94" s="162">
        <f t="shared" si="581"/>
        <v>47</v>
      </c>
      <c r="HH94" s="162">
        <f t="shared" si="581"/>
        <v>48</v>
      </c>
      <c r="HI94" s="162">
        <f t="shared" si="581"/>
        <v>49</v>
      </c>
      <c r="HJ94" s="162">
        <f t="shared" si="581"/>
        <v>50</v>
      </c>
      <c r="HK94" s="162">
        <f t="shared" si="581"/>
        <v>51</v>
      </c>
      <c r="HL94" s="162">
        <f t="shared" si="581"/>
        <v>52</v>
      </c>
      <c r="HM94" s="162">
        <f t="shared" si="581"/>
        <v>53</v>
      </c>
      <c r="HN94" s="162">
        <f t="shared" ref="HN94:IS94" si="582">MAX(HN3-Timing_Growth_Begin_Income+1,1)</f>
        <v>54</v>
      </c>
      <c r="HO94" s="162">
        <f t="shared" si="582"/>
        <v>55</v>
      </c>
      <c r="HP94" s="162">
        <f t="shared" si="582"/>
        <v>56</v>
      </c>
      <c r="HQ94" s="162">
        <f t="shared" si="582"/>
        <v>57</v>
      </c>
      <c r="HR94" s="162">
        <f t="shared" si="582"/>
        <v>58</v>
      </c>
      <c r="HS94" s="162">
        <f t="shared" si="582"/>
        <v>59</v>
      </c>
      <c r="HT94" s="162">
        <f t="shared" si="582"/>
        <v>60</v>
      </c>
      <c r="HU94" s="162">
        <f t="shared" si="582"/>
        <v>61</v>
      </c>
      <c r="HV94" s="162">
        <f t="shared" si="582"/>
        <v>62</v>
      </c>
      <c r="HW94" s="162">
        <f t="shared" si="582"/>
        <v>63</v>
      </c>
      <c r="HX94" s="162">
        <f t="shared" si="582"/>
        <v>64</v>
      </c>
      <c r="HY94" s="162">
        <f t="shared" si="582"/>
        <v>65</v>
      </c>
      <c r="HZ94" s="162">
        <f t="shared" si="582"/>
        <v>66</v>
      </c>
      <c r="IA94" s="162">
        <f t="shared" si="582"/>
        <v>67</v>
      </c>
      <c r="IB94" s="162">
        <f t="shared" si="582"/>
        <v>68</v>
      </c>
      <c r="IC94" s="162">
        <f t="shared" si="582"/>
        <v>69</v>
      </c>
      <c r="ID94" s="162">
        <f t="shared" si="582"/>
        <v>70</v>
      </c>
      <c r="IE94" s="162">
        <f t="shared" si="582"/>
        <v>71</v>
      </c>
      <c r="IF94" s="162">
        <f t="shared" si="582"/>
        <v>72</v>
      </c>
      <c r="IG94" s="162">
        <f t="shared" si="582"/>
        <v>73</v>
      </c>
      <c r="IH94" s="162">
        <f t="shared" si="582"/>
        <v>74</v>
      </c>
      <c r="II94" s="162">
        <f t="shared" si="582"/>
        <v>75</v>
      </c>
      <c r="IJ94" s="162">
        <f t="shared" si="582"/>
        <v>76</v>
      </c>
      <c r="IK94" s="162">
        <f t="shared" si="582"/>
        <v>77</v>
      </c>
      <c r="IL94" s="162">
        <f t="shared" si="582"/>
        <v>78</v>
      </c>
      <c r="IM94" s="162">
        <f t="shared" si="582"/>
        <v>79</v>
      </c>
      <c r="IN94" s="162">
        <f t="shared" si="582"/>
        <v>80</v>
      </c>
      <c r="IO94" s="162">
        <f t="shared" si="582"/>
        <v>81</v>
      </c>
      <c r="IP94" s="162">
        <f t="shared" si="582"/>
        <v>82</v>
      </c>
      <c r="IQ94" s="162">
        <f t="shared" si="582"/>
        <v>83</v>
      </c>
      <c r="IR94" s="162">
        <f t="shared" si="582"/>
        <v>84</v>
      </c>
      <c r="IS94" s="162">
        <f t="shared" si="582"/>
        <v>85</v>
      </c>
      <c r="IT94" s="162">
        <f t="shared" ref="IT94:KC94" si="583">MAX(IT3-Timing_Growth_Begin_Income+1,1)</f>
        <v>86</v>
      </c>
      <c r="IU94" s="162">
        <f t="shared" si="583"/>
        <v>87</v>
      </c>
      <c r="IV94" s="162">
        <f t="shared" si="583"/>
        <v>88</v>
      </c>
      <c r="IW94" s="162">
        <f t="shared" si="583"/>
        <v>89</v>
      </c>
      <c r="IX94" s="162">
        <f t="shared" si="583"/>
        <v>90</v>
      </c>
      <c r="IY94" s="162">
        <f t="shared" si="583"/>
        <v>91</v>
      </c>
      <c r="IZ94" s="162">
        <f t="shared" si="583"/>
        <v>92</v>
      </c>
      <c r="JA94" s="162">
        <f t="shared" si="583"/>
        <v>93</v>
      </c>
      <c r="JB94" s="162">
        <f t="shared" si="583"/>
        <v>94</v>
      </c>
      <c r="JC94" s="162">
        <f t="shared" si="583"/>
        <v>95</v>
      </c>
      <c r="JD94" s="162">
        <f t="shared" si="583"/>
        <v>96</v>
      </c>
      <c r="JE94" s="162">
        <f t="shared" si="583"/>
        <v>97</v>
      </c>
      <c r="JF94" s="162">
        <f t="shared" si="583"/>
        <v>98</v>
      </c>
      <c r="JG94" s="162">
        <f t="shared" si="583"/>
        <v>99</v>
      </c>
      <c r="JH94" s="162">
        <f t="shared" si="583"/>
        <v>100</v>
      </c>
      <c r="JI94" s="162">
        <f t="shared" si="583"/>
        <v>101</v>
      </c>
      <c r="JJ94" s="162">
        <f t="shared" si="583"/>
        <v>102</v>
      </c>
      <c r="JK94" s="162">
        <f t="shared" si="583"/>
        <v>103</v>
      </c>
      <c r="JL94" s="162">
        <f t="shared" si="583"/>
        <v>104</v>
      </c>
      <c r="JM94" s="162">
        <f t="shared" si="583"/>
        <v>105</v>
      </c>
      <c r="JN94" s="162">
        <f t="shared" si="583"/>
        <v>106</v>
      </c>
      <c r="JO94" s="162">
        <f t="shared" si="583"/>
        <v>107</v>
      </c>
      <c r="JP94" s="162">
        <f t="shared" si="583"/>
        <v>108</v>
      </c>
      <c r="JQ94" s="162">
        <f t="shared" si="583"/>
        <v>109</v>
      </c>
      <c r="JR94" s="162">
        <f t="shared" si="583"/>
        <v>110</v>
      </c>
      <c r="JS94" s="162">
        <f t="shared" si="583"/>
        <v>111</v>
      </c>
      <c r="JT94" s="162">
        <f t="shared" si="583"/>
        <v>112</v>
      </c>
      <c r="JU94" s="162">
        <f t="shared" si="583"/>
        <v>113</v>
      </c>
      <c r="JV94" s="162">
        <f t="shared" si="583"/>
        <v>114</v>
      </c>
      <c r="JW94" s="162">
        <f t="shared" si="583"/>
        <v>115</v>
      </c>
      <c r="JX94" s="162">
        <f t="shared" si="583"/>
        <v>116</v>
      </c>
      <c r="JY94" s="162">
        <f t="shared" si="583"/>
        <v>117</v>
      </c>
      <c r="JZ94" s="162">
        <f t="shared" si="583"/>
        <v>118</v>
      </c>
      <c r="KA94" s="162">
        <f t="shared" si="583"/>
        <v>119</v>
      </c>
      <c r="KB94" s="162">
        <f t="shared" si="583"/>
        <v>120</v>
      </c>
      <c r="KC94" s="162">
        <f t="shared" si="583"/>
        <v>121</v>
      </c>
    </row>
    <row r="95" spans="1:289" x14ac:dyDescent="0.25">
      <c r="B95" s="320" t="s">
        <v>295</v>
      </c>
      <c r="C95" s="210" t="s">
        <v>117</v>
      </c>
      <c r="D95" s="210" t="str">
        <f>"AVG. "&amp;Unit_Type</f>
        <v>AVG. SF</v>
      </c>
      <c r="E95" s="210" t="s">
        <v>121</v>
      </c>
      <c r="F95" s="210" t="s">
        <v>122</v>
      </c>
      <c r="G95" s="210" t="str">
        <f>"RENT/"&amp;Unit_Type&amp;"/MO"</f>
        <v>RENT/SF/MO</v>
      </c>
      <c r="H95" s="210" t="s">
        <v>137</v>
      </c>
      <c r="I95" s="210" t="s">
        <v>118</v>
      </c>
      <c r="P95" s="152" t="s">
        <v>447</v>
      </c>
      <c r="Q95" s="264"/>
      <c r="R95" s="161">
        <f t="shared" ref="R95:AW95" si="584">R88</f>
        <v>1</v>
      </c>
      <c r="S95" s="161">
        <f t="shared" si="584"/>
        <v>2</v>
      </c>
      <c r="T95" s="161">
        <f t="shared" si="584"/>
        <v>3</v>
      </c>
      <c r="U95" s="161">
        <f t="shared" si="584"/>
        <v>4</v>
      </c>
      <c r="V95" s="161">
        <f t="shared" si="584"/>
        <v>5</v>
      </c>
      <c r="W95" s="161">
        <f t="shared" si="584"/>
        <v>6</v>
      </c>
      <c r="X95" s="161">
        <f t="shared" si="584"/>
        <v>7</v>
      </c>
      <c r="Y95" s="161">
        <f t="shared" si="584"/>
        <v>8</v>
      </c>
      <c r="Z95" s="161">
        <f t="shared" si="584"/>
        <v>9</v>
      </c>
      <c r="AA95" s="161">
        <f t="shared" si="584"/>
        <v>10</v>
      </c>
      <c r="AB95" s="161">
        <f t="shared" si="584"/>
        <v>11</v>
      </c>
      <c r="AC95" s="161">
        <f t="shared" si="584"/>
        <v>12</v>
      </c>
      <c r="AD95" s="161">
        <f t="shared" si="584"/>
        <v>13</v>
      </c>
      <c r="AE95" s="161">
        <f t="shared" si="584"/>
        <v>14</v>
      </c>
      <c r="AF95" s="161">
        <f t="shared" si="584"/>
        <v>15</v>
      </c>
      <c r="AG95" s="161">
        <f t="shared" si="584"/>
        <v>16</v>
      </c>
      <c r="AH95" s="161">
        <f t="shared" si="584"/>
        <v>17</v>
      </c>
      <c r="AI95" s="161">
        <f t="shared" si="584"/>
        <v>18</v>
      </c>
      <c r="AJ95" s="161">
        <f t="shared" si="584"/>
        <v>19</v>
      </c>
      <c r="AK95" s="161">
        <f t="shared" si="584"/>
        <v>20</v>
      </c>
      <c r="AL95" s="161">
        <f t="shared" si="584"/>
        <v>21</v>
      </c>
      <c r="AM95" s="161">
        <f t="shared" si="584"/>
        <v>22</v>
      </c>
      <c r="AN95" s="161">
        <f t="shared" si="584"/>
        <v>23</v>
      </c>
      <c r="AO95" s="161">
        <f t="shared" si="584"/>
        <v>24</v>
      </c>
      <c r="AP95" s="161">
        <f t="shared" si="584"/>
        <v>25</v>
      </c>
      <c r="AQ95" s="161">
        <f t="shared" si="584"/>
        <v>26</v>
      </c>
      <c r="AR95" s="161">
        <f t="shared" si="584"/>
        <v>27</v>
      </c>
      <c r="AS95" s="161">
        <f t="shared" si="584"/>
        <v>28</v>
      </c>
      <c r="AT95" s="161">
        <f t="shared" si="584"/>
        <v>29</v>
      </c>
      <c r="AU95" s="161">
        <f t="shared" si="584"/>
        <v>30</v>
      </c>
      <c r="AV95" s="161">
        <f t="shared" si="584"/>
        <v>31</v>
      </c>
      <c r="AW95" s="161">
        <f t="shared" si="584"/>
        <v>32</v>
      </c>
      <c r="AX95" s="161">
        <f t="shared" ref="AX95:CC95" si="585">AX88</f>
        <v>33</v>
      </c>
      <c r="AY95" s="161">
        <f t="shared" si="585"/>
        <v>34</v>
      </c>
      <c r="AZ95" s="161">
        <f t="shared" si="585"/>
        <v>35</v>
      </c>
      <c r="BA95" s="161">
        <f t="shared" si="585"/>
        <v>36</v>
      </c>
      <c r="BB95" s="161">
        <f t="shared" si="585"/>
        <v>37</v>
      </c>
      <c r="BC95" s="161">
        <f t="shared" si="585"/>
        <v>38</v>
      </c>
      <c r="BD95" s="161">
        <f t="shared" si="585"/>
        <v>39</v>
      </c>
      <c r="BE95" s="161">
        <f t="shared" si="585"/>
        <v>40</v>
      </c>
      <c r="BF95" s="161">
        <f t="shared" si="585"/>
        <v>41</v>
      </c>
      <c r="BG95" s="161">
        <f t="shared" si="585"/>
        <v>42</v>
      </c>
      <c r="BH95" s="161">
        <f t="shared" si="585"/>
        <v>43</v>
      </c>
      <c r="BI95" s="161">
        <f t="shared" si="585"/>
        <v>44</v>
      </c>
      <c r="BJ95" s="161">
        <f t="shared" si="585"/>
        <v>45</v>
      </c>
      <c r="BK95" s="161">
        <f t="shared" si="585"/>
        <v>46</v>
      </c>
      <c r="BL95" s="161">
        <f t="shared" si="585"/>
        <v>47</v>
      </c>
      <c r="BM95" s="161">
        <f t="shared" si="585"/>
        <v>48</v>
      </c>
      <c r="BN95" s="161">
        <f t="shared" si="585"/>
        <v>49</v>
      </c>
      <c r="BO95" s="161">
        <f t="shared" si="585"/>
        <v>50</v>
      </c>
      <c r="BP95" s="161">
        <f t="shared" si="585"/>
        <v>51</v>
      </c>
      <c r="BQ95" s="161">
        <f t="shared" si="585"/>
        <v>52</v>
      </c>
      <c r="BR95" s="161">
        <f t="shared" si="585"/>
        <v>53</v>
      </c>
      <c r="BS95" s="161">
        <f t="shared" si="585"/>
        <v>54</v>
      </c>
      <c r="BT95" s="161">
        <f t="shared" si="585"/>
        <v>55</v>
      </c>
      <c r="BU95" s="161">
        <f t="shared" si="585"/>
        <v>56</v>
      </c>
      <c r="BV95" s="161">
        <f t="shared" si="585"/>
        <v>57</v>
      </c>
      <c r="BW95" s="161">
        <f t="shared" si="585"/>
        <v>58</v>
      </c>
      <c r="BX95" s="161">
        <f t="shared" si="585"/>
        <v>59</v>
      </c>
      <c r="BY95" s="161">
        <f t="shared" si="585"/>
        <v>60</v>
      </c>
      <c r="BZ95" s="161">
        <f t="shared" si="585"/>
        <v>61</v>
      </c>
      <c r="CA95" s="161">
        <f t="shared" si="585"/>
        <v>62</v>
      </c>
      <c r="CB95" s="161">
        <f t="shared" si="585"/>
        <v>63</v>
      </c>
      <c r="CC95" s="161">
        <f t="shared" si="585"/>
        <v>64</v>
      </c>
      <c r="CD95" s="161">
        <f t="shared" ref="CD95:DI95" si="586">CD88</f>
        <v>65</v>
      </c>
      <c r="CE95" s="161">
        <f t="shared" si="586"/>
        <v>66</v>
      </c>
      <c r="CF95" s="161">
        <f t="shared" si="586"/>
        <v>67</v>
      </c>
      <c r="CG95" s="161">
        <f t="shared" si="586"/>
        <v>68</v>
      </c>
      <c r="CH95" s="161">
        <f t="shared" si="586"/>
        <v>69</v>
      </c>
      <c r="CI95" s="161">
        <f t="shared" si="586"/>
        <v>70</v>
      </c>
      <c r="CJ95" s="161">
        <f t="shared" si="586"/>
        <v>71</v>
      </c>
      <c r="CK95" s="161">
        <f t="shared" si="586"/>
        <v>72</v>
      </c>
      <c r="CL95" s="161">
        <f t="shared" si="586"/>
        <v>73</v>
      </c>
      <c r="CM95" s="161">
        <f t="shared" si="586"/>
        <v>74</v>
      </c>
      <c r="CN95" s="161">
        <f t="shared" si="586"/>
        <v>75</v>
      </c>
      <c r="CO95" s="161">
        <f t="shared" si="586"/>
        <v>76</v>
      </c>
      <c r="CP95" s="161">
        <f t="shared" si="586"/>
        <v>77</v>
      </c>
      <c r="CQ95" s="161">
        <f t="shared" si="586"/>
        <v>78</v>
      </c>
      <c r="CR95" s="161">
        <f t="shared" si="586"/>
        <v>79</v>
      </c>
      <c r="CS95" s="161">
        <f t="shared" si="586"/>
        <v>80</v>
      </c>
      <c r="CT95" s="161">
        <f t="shared" si="586"/>
        <v>81</v>
      </c>
      <c r="CU95" s="161">
        <f t="shared" si="586"/>
        <v>82</v>
      </c>
      <c r="CV95" s="161">
        <f t="shared" si="586"/>
        <v>83</v>
      </c>
      <c r="CW95" s="161">
        <f t="shared" si="586"/>
        <v>84</v>
      </c>
      <c r="CX95" s="161">
        <f t="shared" si="586"/>
        <v>85</v>
      </c>
      <c r="CY95" s="161">
        <f t="shared" si="586"/>
        <v>86</v>
      </c>
      <c r="CZ95" s="161">
        <f t="shared" si="586"/>
        <v>87</v>
      </c>
      <c r="DA95" s="161">
        <f t="shared" si="586"/>
        <v>88</v>
      </c>
      <c r="DB95" s="161">
        <f t="shared" si="586"/>
        <v>89</v>
      </c>
      <c r="DC95" s="161">
        <f t="shared" si="586"/>
        <v>90</v>
      </c>
      <c r="DD95" s="161">
        <f t="shared" si="586"/>
        <v>91</v>
      </c>
      <c r="DE95" s="161">
        <f t="shared" si="586"/>
        <v>92</v>
      </c>
      <c r="DF95" s="161">
        <f t="shared" si="586"/>
        <v>93</v>
      </c>
      <c r="DG95" s="161">
        <f t="shared" si="586"/>
        <v>94</v>
      </c>
      <c r="DH95" s="161">
        <f t="shared" si="586"/>
        <v>95</v>
      </c>
      <c r="DI95" s="161">
        <f t="shared" si="586"/>
        <v>96</v>
      </c>
      <c r="DJ95" s="161">
        <f t="shared" ref="DJ95:ES95" si="587">DJ88</f>
        <v>97</v>
      </c>
      <c r="DK95" s="161">
        <f t="shared" si="587"/>
        <v>98</v>
      </c>
      <c r="DL95" s="161">
        <f t="shared" si="587"/>
        <v>99</v>
      </c>
      <c r="DM95" s="161">
        <f t="shared" si="587"/>
        <v>100</v>
      </c>
      <c r="DN95" s="161">
        <f t="shared" si="587"/>
        <v>101</v>
      </c>
      <c r="DO95" s="161">
        <f t="shared" si="587"/>
        <v>102</v>
      </c>
      <c r="DP95" s="161">
        <f t="shared" si="587"/>
        <v>103</v>
      </c>
      <c r="DQ95" s="161">
        <f t="shared" si="587"/>
        <v>104</v>
      </c>
      <c r="DR95" s="161">
        <f t="shared" si="587"/>
        <v>105</v>
      </c>
      <c r="DS95" s="161">
        <f t="shared" si="587"/>
        <v>106</v>
      </c>
      <c r="DT95" s="161">
        <f t="shared" si="587"/>
        <v>107</v>
      </c>
      <c r="DU95" s="161">
        <f t="shared" si="587"/>
        <v>108</v>
      </c>
      <c r="DV95" s="161">
        <f t="shared" si="587"/>
        <v>109</v>
      </c>
      <c r="DW95" s="161">
        <f t="shared" si="587"/>
        <v>110</v>
      </c>
      <c r="DX95" s="161">
        <f t="shared" si="587"/>
        <v>111</v>
      </c>
      <c r="DY95" s="161">
        <f t="shared" si="587"/>
        <v>112</v>
      </c>
      <c r="DZ95" s="161">
        <f t="shared" si="587"/>
        <v>113</v>
      </c>
      <c r="EA95" s="161">
        <f t="shared" si="587"/>
        <v>114</v>
      </c>
      <c r="EB95" s="161">
        <f t="shared" si="587"/>
        <v>115</v>
      </c>
      <c r="EC95" s="161">
        <f t="shared" si="587"/>
        <v>116</v>
      </c>
      <c r="ED95" s="161">
        <f t="shared" si="587"/>
        <v>117</v>
      </c>
      <c r="EE95" s="161">
        <f t="shared" si="587"/>
        <v>118</v>
      </c>
      <c r="EF95" s="161">
        <f t="shared" si="587"/>
        <v>119</v>
      </c>
      <c r="EG95" s="161">
        <f t="shared" si="587"/>
        <v>120</v>
      </c>
      <c r="EH95" s="161">
        <f t="shared" si="587"/>
        <v>121</v>
      </c>
      <c r="EI95" s="161">
        <f t="shared" si="587"/>
        <v>122</v>
      </c>
      <c r="EJ95" s="161">
        <f t="shared" si="587"/>
        <v>123</v>
      </c>
      <c r="EK95" s="161">
        <f t="shared" si="587"/>
        <v>124</v>
      </c>
      <c r="EL95" s="161">
        <f t="shared" si="587"/>
        <v>125</v>
      </c>
      <c r="EM95" s="161">
        <f t="shared" si="587"/>
        <v>126</v>
      </c>
      <c r="EN95" s="161">
        <f t="shared" si="587"/>
        <v>127</v>
      </c>
      <c r="EO95" s="161">
        <f t="shared" si="587"/>
        <v>128</v>
      </c>
      <c r="EP95" s="161">
        <f t="shared" si="587"/>
        <v>129</v>
      </c>
      <c r="EQ95" s="161">
        <f t="shared" si="587"/>
        <v>130</v>
      </c>
      <c r="ER95" s="161">
        <f t="shared" si="587"/>
        <v>131</v>
      </c>
      <c r="ES95" s="161">
        <f t="shared" si="587"/>
        <v>132</v>
      </c>
      <c r="EU95" s="202" t="s">
        <v>99</v>
      </c>
      <c r="EV95" s="153"/>
      <c r="EW95" s="154" t="s">
        <v>86</v>
      </c>
      <c r="EX95" s="154" t="s">
        <v>100</v>
      </c>
      <c r="EY95" s="153"/>
      <c r="EZ95" s="154" t="s">
        <v>96</v>
      </c>
      <c r="FA95" s="321"/>
      <c r="FB95" s="321">
        <f t="shared" ref="FB95:GG95" si="588">ROUNDUP(FB89/12,0)</f>
        <v>0</v>
      </c>
      <c r="FC95" s="321">
        <f t="shared" si="588"/>
        <v>0</v>
      </c>
      <c r="FD95" s="321">
        <f t="shared" si="588"/>
        <v>0</v>
      </c>
      <c r="FE95" s="321">
        <f t="shared" si="588"/>
        <v>0</v>
      </c>
      <c r="FF95" s="321">
        <f t="shared" si="588"/>
        <v>0</v>
      </c>
      <c r="FG95" s="321">
        <f t="shared" si="588"/>
        <v>0</v>
      </c>
      <c r="FH95" s="321">
        <f t="shared" si="588"/>
        <v>0</v>
      </c>
      <c r="FI95" s="321">
        <f t="shared" si="588"/>
        <v>0</v>
      </c>
      <c r="FJ95" s="321">
        <f t="shared" si="588"/>
        <v>0</v>
      </c>
      <c r="FK95" s="321">
        <f t="shared" si="588"/>
        <v>0</v>
      </c>
      <c r="FL95" s="321">
        <f t="shared" si="588"/>
        <v>0</v>
      </c>
      <c r="FM95" s="321">
        <f t="shared" si="588"/>
        <v>1</v>
      </c>
      <c r="FN95" s="321">
        <f t="shared" si="588"/>
        <v>1</v>
      </c>
      <c r="FO95" s="321">
        <f t="shared" si="588"/>
        <v>1</v>
      </c>
      <c r="FP95" s="321">
        <f t="shared" si="588"/>
        <v>1</v>
      </c>
      <c r="FQ95" s="321">
        <f t="shared" si="588"/>
        <v>1</v>
      </c>
      <c r="FR95" s="321">
        <f t="shared" si="588"/>
        <v>1</v>
      </c>
      <c r="FS95" s="321">
        <f t="shared" si="588"/>
        <v>1</v>
      </c>
      <c r="FT95" s="321">
        <f t="shared" si="588"/>
        <v>1</v>
      </c>
      <c r="FU95" s="321">
        <f t="shared" si="588"/>
        <v>1</v>
      </c>
      <c r="FV95" s="321">
        <f t="shared" si="588"/>
        <v>1</v>
      </c>
      <c r="FW95" s="321">
        <f t="shared" si="588"/>
        <v>1</v>
      </c>
      <c r="FX95" s="321">
        <f t="shared" si="588"/>
        <v>1</v>
      </c>
      <c r="FY95" s="321">
        <f t="shared" si="588"/>
        <v>2</v>
      </c>
      <c r="FZ95" s="321">
        <f t="shared" si="588"/>
        <v>2</v>
      </c>
      <c r="GA95" s="321">
        <f t="shared" si="588"/>
        <v>2</v>
      </c>
      <c r="GB95" s="321">
        <f t="shared" si="588"/>
        <v>2</v>
      </c>
      <c r="GC95" s="321">
        <f t="shared" si="588"/>
        <v>2</v>
      </c>
      <c r="GD95" s="321">
        <f t="shared" si="588"/>
        <v>2</v>
      </c>
      <c r="GE95" s="321">
        <f t="shared" si="588"/>
        <v>2</v>
      </c>
      <c r="GF95" s="321">
        <f t="shared" si="588"/>
        <v>2</v>
      </c>
      <c r="GG95" s="321">
        <f t="shared" si="588"/>
        <v>2</v>
      </c>
      <c r="GH95" s="321">
        <f t="shared" ref="GH95:HM95" si="589">ROUNDUP(GH89/12,0)</f>
        <v>2</v>
      </c>
      <c r="GI95" s="321">
        <f t="shared" si="589"/>
        <v>2</v>
      </c>
      <c r="GJ95" s="321">
        <f t="shared" si="589"/>
        <v>2</v>
      </c>
      <c r="GK95" s="321">
        <f t="shared" si="589"/>
        <v>3</v>
      </c>
      <c r="GL95" s="321">
        <f t="shared" si="589"/>
        <v>3</v>
      </c>
      <c r="GM95" s="321">
        <f t="shared" si="589"/>
        <v>3</v>
      </c>
      <c r="GN95" s="321">
        <f t="shared" si="589"/>
        <v>3</v>
      </c>
      <c r="GO95" s="321">
        <f t="shared" si="589"/>
        <v>3</v>
      </c>
      <c r="GP95" s="321">
        <f t="shared" si="589"/>
        <v>3</v>
      </c>
      <c r="GQ95" s="321">
        <f t="shared" si="589"/>
        <v>3</v>
      </c>
      <c r="GR95" s="321">
        <f t="shared" si="589"/>
        <v>3</v>
      </c>
      <c r="GS95" s="321">
        <f t="shared" si="589"/>
        <v>3</v>
      </c>
      <c r="GT95" s="321">
        <f t="shared" si="589"/>
        <v>3</v>
      </c>
      <c r="GU95" s="321">
        <f t="shared" si="589"/>
        <v>3</v>
      </c>
      <c r="GV95" s="321">
        <f t="shared" si="589"/>
        <v>3</v>
      </c>
      <c r="GW95" s="321">
        <f t="shared" si="589"/>
        <v>4</v>
      </c>
      <c r="GX95" s="321">
        <f t="shared" si="589"/>
        <v>4</v>
      </c>
      <c r="GY95" s="321">
        <f t="shared" si="589"/>
        <v>4</v>
      </c>
      <c r="GZ95" s="321">
        <f t="shared" si="589"/>
        <v>4</v>
      </c>
      <c r="HA95" s="321">
        <f t="shared" si="589"/>
        <v>4</v>
      </c>
      <c r="HB95" s="321">
        <f t="shared" si="589"/>
        <v>4</v>
      </c>
      <c r="HC95" s="321">
        <f t="shared" si="589"/>
        <v>4</v>
      </c>
      <c r="HD95" s="321">
        <f t="shared" si="589"/>
        <v>4</v>
      </c>
      <c r="HE95" s="321">
        <f t="shared" si="589"/>
        <v>4</v>
      </c>
      <c r="HF95" s="321">
        <f t="shared" si="589"/>
        <v>4</v>
      </c>
      <c r="HG95" s="321">
        <f t="shared" si="589"/>
        <v>4</v>
      </c>
      <c r="HH95" s="321">
        <f t="shared" si="589"/>
        <v>4</v>
      </c>
      <c r="HI95" s="321">
        <f t="shared" si="589"/>
        <v>5</v>
      </c>
      <c r="HJ95" s="321">
        <f t="shared" si="589"/>
        <v>5</v>
      </c>
      <c r="HK95" s="321">
        <f t="shared" si="589"/>
        <v>5</v>
      </c>
      <c r="HL95" s="321">
        <f t="shared" si="589"/>
        <v>5</v>
      </c>
      <c r="HM95" s="321">
        <f t="shared" si="589"/>
        <v>5</v>
      </c>
      <c r="HN95" s="321">
        <f t="shared" ref="HN95:IS95" si="590">ROUNDUP(HN89/12,0)</f>
        <v>5</v>
      </c>
      <c r="HO95" s="321">
        <f t="shared" si="590"/>
        <v>5</v>
      </c>
      <c r="HP95" s="321">
        <f t="shared" si="590"/>
        <v>5</v>
      </c>
      <c r="HQ95" s="321">
        <f t="shared" si="590"/>
        <v>5</v>
      </c>
      <c r="HR95" s="321">
        <f t="shared" si="590"/>
        <v>5</v>
      </c>
      <c r="HS95" s="321">
        <f t="shared" si="590"/>
        <v>5</v>
      </c>
      <c r="HT95" s="321">
        <f t="shared" si="590"/>
        <v>5</v>
      </c>
      <c r="HU95" s="321">
        <f t="shared" si="590"/>
        <v>6</v>
      </c>
      <c r="HV95" s="321">
        <f t="shared" si="590"/>
        <v>6</v>
      </c>
      <c r="HW95" s="321">
        <f t="shared" si="590"/>
        <v>6</v>
      </c>
      <c r="HX95" s="321">
        <f t="shared" si="590"/>
        <v>6</v>
      </c>
      <c r="HY95" s="321">
        <f t="shared" si="590"/>
        <v>6</v>
      </c>
      <c r="HZ95" s="321">
        <f t="shared" si="590"/>
        <v>6</v>
      </c>
      <c r="IA95" s="321">
        <f t="shared" si="590"/>
        <v>6</v>
      </c>
      <c r="IB95" s="321">
        <f t="shared" si="590"/>
        <v>6</v>
      </c>
      <c r="IC95" s="321">
        <f t="shared" si="590"/>
        <v>6</v>
      </c>
      <c r="ID95" s="321">
        <f t="shared" si="590"/>
        <v>6</v>
      </c>
      <c r="IE95" s="321">
        <f t="shared" si="590"/>
        <v>6</v>
      </c>
      <c r="IF95" s="321">
        <f t="shared" si="590"/>
        <v>6</v>
      </c>
      <c r="IG95" s="321">
        <f t="shared" si="590"/>
        <v>7</v>
      </c>
      <c r="IH95" s="321">
        <f t="shared" si="590"/>
        <v>7</v>
      </c>
      <c r="II95" s="321">
        <f t="shared" si="590"/>
        <v>7</v>
      </c>
      <c r="IJ95" s="321">
        <f t="shared" si="590"/>
        <v>7</v>
      </c>
      <c r="IK95" s="321">
        <f t="shared" si="590"/>
        <v>7</v>
      </c>
      <c r="IL95" s="321">
        <f t="shared" si="590"/>
        <v>7</v>
      </c>
      <c r="IM95" s="321">
        <f t="shared" si="590"/>
        <v>7</v>
      </c>
      <c r="IN95" s="321">
        <f t="shared" si="590"/>
        <v>7</v>
      </c>
      <c r="IO95" s="321">
        <f t="shared" si="590"/>
        <v>7</v>
      </c>
      <c r="IP95" s="321">
        <f t="shared" si="590"/>
        <v>7</v>
      </c>
      <c r="IQ95" s="321">
        <f t="shared" si="590"/>
        <v>7</v>
      </c>
      <c r="IR95" s="321">
        <f t="shared" si="590"/>
        <v>7</v>
      </c>
      <c r="IS95" s="321">
        <f t="shared" si="590"/>
        <v>8</v>
      </c>
      <c r="IT95" s="321">
        <f t="shared" ref="IT95:KC95" si="591">ROUNDUP(IT89/12,0)</f>
        <v>8</v>
      </c>
      <c r="IU95" s="321">
        <f t="shared" si="591"/>
        <v>8</v>
      </c>
      <c r="IV95" s="321">
        <f t="shared" si="591"/>
        <v>8</v>
      </c>
      <c r="IW95" s="321">
        <f t="shared" si="591"/>
        <v>8</v>
      </c>
      <c r="IX95" s="321">
        <f t="shared" si="591"/>
        <v>8</v>
      </c>
      <c r="IY95" s="321">
        <f t="shared" si="591"/>
        <v>8</v>
      </c>
      <c r="IZ95" s="321">
        <f t="shared" si="591"/>
        <v>8</v>
      </c>
      <c r="JA95" s="321">
        <f t="shared" si="591"/>
        <v>8</v>
      </c>
      <c r="JB95" s="321">
        <f t="shared" si="591"/>
        <v>8</v>
      </c>
      <c r="JC95" s="321">
        <f t="shared" si="591"/>
        <v>8</v>
      </c>
      <c r="JD95" s="321">
        <f t="shared" si="591"/>
        <v>8</v>
      </c>
      <c r="JE95" s="321">
        <f t="shared" si="591"/>
        <v>9</v>
      </c>
      <c r="JF95" s="321">
        <f t="shared" si="591"/>
        <v>9</v>
      </c>
      <c r="JG95" s="321">
        <f t="shared" si="591"/>
        <v>9</v>
      </c>
      <c r="JH95" s="321">
        <f t="shared" si="591"/>
        <v>9</v>
      </c>
      <c r="JI95" s="321">
        <f t="shared" si="591"/>
        <v>9</v>
      </c>
      <c r="JJ95" s="321">
        <f t="shared" si="591"/>
        <v>9</v>
      </c>
      <c r="JK95" s="321">
        <f t="shared" si="591"/>
        <v>9</v>
      </c>
      <c r="JL95" s="321">
        <f t="shared" si="591"/>
        <v>9</v>
      </c>
      <c r="JM95" s="321">
        <f t="shared" si="591"/>
        <v>9</v>
      </c>
      <c r="JN95" s="321">
        <f t="shared" si="591"/>
        <v>9</v>
      </c>
      <c r="JO95" s="321">
        <f t="shared" si="591"/>
        <v>9</v>
      </c>
      <c r="JP95" s="321">
        <f t="shared" si="591"/>
        <v>9</v>
      </c>
      <c r="JQ95" s="321">
        <f t="shared" si="591"/>
        <v>10</v>
      </c>
      <c r="JR95" s="321">
        <f t="shared" si="591"/>
        <v>10</v>
      </c>
      <c r="JS95" s="321">
        <f t="shared" si="591"/>
        <v>10</v>
      </c>
      <c r="JT95" s="321">
        <f t="shared" si="591"/>
        <v>10</v>
      </c>
      <c r="JU95" s="321">
        <f t="shared" si="591"/>
        <v>10</v>
      </c>
      <c r="JV95" s="321">
        <f t="shared" si="591"/>
        <v>10</v>
      </c>
      <c r="JW95" s="321">
        <f t="shared" si="591"/>
        <v>10</v>
      </c>
      <c r="JX95" s="321">
        <f t="shared" si="591"/>
        <v>10</v>
      </c>
      <c r="JY95" s="321">
        <f t="shared" si="591"/>
        <v>10</v>
      </c>
      <c r="JZ95" s="321">
        <f t="shared" si="591"/>
        <v>10</v>
      </c>
      <c r="KA95" s="321">
        <f t="shared" si="591"/>
        <v>10</v>
      </c>
      <c r="KB95" s="321">
        <f t="shared" si="591"/>
        <v>10</v>
      </c>
      <c r="KC95" s="321">
        <f t="shared" si="591"/>
        <v>11</v>
      </c>
    </row>
    <row r="96" spans="1:289" x14ac:dyDescent="0.25">
      <c r="B96" s="558" t="s">
        <v>920</v>
      </c>
      <c r="C96" s="322">
        <v>12</v>
      </c>
      <c r="D96" s="322">
        <v>1014</v>
      </c>
      <c r="E96" s="323">
        <v>0</v>
      </c>
      <c r="F96" s="323">
        <v>0</v>
      </c>
      <c r="G96" s="324">
        <f>IFERROR(H96/D96,0)</f>
        <v>1.873767258382643</v>
      </c>
      <c r="H96" s="325">
        <v>1900</v>
      </c>
      <c r="I96" s="326">
        <f>H96*C96*12</f>
        <v>273600</v>
      </c>
      <c r="Q96" s="220"/>
      <c r="R96" s="220">
        <f t="shared" ref="R96:AA98" si="592">(R$90&gt;0)*($C96*$H96*(1+$D$91)^(FB$93-1))</f>
        <v>0</v>
      </c>
      <c r="S96" s="220">
        <f t="shared" si="592"/>
        <v>0</v>
      </c>
      <c r="T96" s="220">
        <f t="shared" si="592"/>
        <v>0</v>
      </c>
      <c r="U96" s="220">
        <f t="shared" si="592"/>
        <v>0</v>
      </c>
      <c r="V96" s="220">
        <f t="shared" si="592"/>
        <v>0</v>
      </c>
      <c r="W96" s="220">
        <f t="shared" si="592"/>
        <v>0</v>
      </c>
      <c r="X96" s="220">
        <f t="shared" si="592"/>
        <v>0</v>
      </c>
      <c r="Y96" s="220">
        <f t="shared" si="592"/>
        <v>0</v>
      </c>
      <c r="Z96" s="220">
        <f t="shared" si="592"/>
        <v>0</v>
      </c>
      <c r="AA96" s="220">
        <f t="shared" si="592"/>
        <v>0</v>
      </c>
      <c r="AB96" s="220">
        <f t="shared" ref="AB96:AK98" si="593">(AB$90&gt;0)*($C96*$H96*(1+$D$91)^(FL$93-1))</f>
        <v>0</v>
      </c>
      <c r="AC96" s="220">
        <f t="shared" si="593"/>
        <v>22800</v>
      </c>
      <c r="AD96" s="220">
        <f t="shared" si="593"/>
        <v>22800</v>
      </c>
      <c r="AE96" s="220">
        <f t="shared" si="593"/>
        <v>22800</v>
      </c>
      <c r="AF96" s="220">
        <f t="shared" si="593"/>
        <v>22800</v>
      </c>
      <c r="AG96" s="220">
        <f t="shared" si="593"/>
        <v>22800</v>
      </c>
      <c r="AH96" s="220">
        <f t="shared" si="593"/>
        <v>22800</v>
      </c>
      <c r="AI96" s="220">
        <f t="shared" si="593"/>
        <v>22800</v>
      </c>
      <c r="AJ96" s="220">
        <f t="shared" si="593"/>
        <v>22800</v>
      </c>
      <c r="AK96" s="220">
        <f t="shared" si="593"/>
        <v>22800</v>
      </c>
      <c r="AL96" s="220">
        <f t="shared" ref="AL96:AU98" si="594">(AL$90&gt;0)*($C96*$H96*(1+$D$91)^(FV$93-1))</f>
        <v>22800</v>
      </c>
      <c r="AM96" s="220">
        <f t="shared" si="594"/>
        <v>22800</v>
      </c>
      <c r="AN96" s="220">
        <f t="shared" si="594"/>
        <v>22800</v>
      </c>
      <c r="AO96" s="220">
        <f t="shared" si="594"/>
        <v>23484</v>
      </c>
      <c r="AP96" s="220">
        <f t="shared" si="594"/>
        <v>23484</v>
      </c>
      <c r="AQ96" s="220">
        <f t="shared" si="594"/>
        <v>23484</v>
      </c>
      <c r="AR96" s="220">
        <f t="shared" si="594"/>
        <v>23484</v>
      </c>
      <c r="AS96" s="220">
        <f t="shared" si="594"/>
        <v>23484</v>
      </c>
      <c r="AT96" s="220">
        <f t="shared" si="594"/>
        <v>23484</v>
      </c>
      <c r="AU96" s="220">
        <f t="shared" si="594"/>
        <v>23484</v>
      </c>
      <c r="AV96" s="220">
        <f t="shared" ref="AV96:BE98" si="595">(AV$90&gt;0)*($C96*$H96*(1+$D$91)^(GF$93-1))</f>
        <v>23484</v>
      </c>
      <c r="AW96" s="220">
        <f t="shared" si="595"/>
        <v>23484</v>
      </c>
      <c r="AX96" s="220">
        <f t="shared" si="595"/>
        <v>23484</v>
      </c>
      <c r="AY96" s="220">
        <f t="shared" si="595"/>
        <v>23484</v>
      </c>
      <c r="AZ96" s="220">
        <f t="shared" si="595"/>
        <v>23484</v>
      </c>
      <c r="BA96" s="220">
        <f t="shared" si="595"/>
        <v>24188.52</v>
      </c>
      <c r="BB96" s="220">
        <f t="shared" si="595"/>
        <v>24188.52</v>
      </c>
      <c r="BC96" s="220">
        <f t="shared" si="595"/>
        <v>24188.52</v>
      </c>
      <c r="BD96" s="220">
        <f t="shared" si="595"/>
        <v>24188.52</v>
      </c>
      <c r="BE96" s="220">
        <f t="shared" si="595"/>
        <v>24188.52</v>
      </c>
      <c r="BF96" s="220">
        <f t="shared" ref="BF96:BO98" si="596">(BF$90&gt;0)*($C96*$H96*(1+$D$91)^(GP$93-1))</f>
        <v>24188.52</v>
      </c>
      <c r="BG96" s="220">
        <f t="shared" si="596"/>
        <v>24188.52</v>
      </c>
      <c r="BH96" s="220">
        <f t="shared" si="596"/>
        <v>24188.52</v>
      </c>
      <c r="BI96" s="220">
        <f t="shared" si="596"/>
        <v>24188.52</v>
      </c>
      <c r="BJ96" s="220">
        <f t="shared" si="596"/>
        <v>24188.52</v>
      </c>
      <c r="BK96" s="220">
        <f t="shared" si="596"/>
        <v>24188.52</v>
      </c>
      <c r="BL96" s="220">
        <f t="shared" si="596"/>
        <v>24188.52</v>
      </c>
      <c r="BM96" s="220">
        <f t="shared" si="596"/>
        <v>24914.175599999999</v>
      </c>
      <c r="BN96" s="220">
        <f t="shared" si="596"/>
        <v>24914.175599999999</v>
      </c>
      <c r="BO96" s="220">
        <f t="shared" si="596"/>
        <v>24914.175599999999</v>
      </c>
      <c r="BP96" s="220">
        <f t="shared" ref="BP96:BY98" si="597">(BP$90&gt;0)*($C96*$H96*(1+$D$91)^(GZ$93-1))</f>
        <v>24914.175599999999</v>
      </c>
      <c r="BQ96" s="220">
        <f t="shared" si="597"/>
        <v>24914.175599999999</v>
      </c>
      <c r="BR96" s="220">
        <f t="shared" si="597"/>
        <v>24914.175599999999</v>
      </c>
      <c r="BS96" s="220">
        <f t="shared" si="597"/>
        <v>24914.175599999999</v>
      </c>
      <c r="BT96" s="220">
        <f t="shared" si="597"/>
        <v>24914.175599999999</v>
      </c>
      <c r="BU96" s="220">
        <f t="shared" si="597"/>
        <v>24914.175599999999</v>
      </c>
      <c r="BV96" s="220">
        <f t="shared" si="597"/>
        <v>24914.175599999999</v>
      </c>
      <c r="BW96" s="220">
        <f t="shared" si="597"/>
        <v>24914.175599999999</v>
      </c>
      <c r="BX96" s="220">
        <f t="shared" si="597"/>
        <v>24914.175599999999</v>
      </c>
      <c r="BY96" s="220">
        <f t="shared" si="597"/>
        <v>25661.600867999998</v>
      </c>
      <c r="BZ96" s="220">
        <f t="shared" ref="BZ96:CI98" si="598">(BZ$90&gt;0)*($C96*$H96*(1+$D$91)^(HJ$93-1))</f>
        <v>25661.600867999998</v>
      </c>
      <c r="CA96" s="220">
        <f t="shared" si="598"/>
        <v>25661.600867999998</v>
      </c>
      <c r="CB96" s="220">
        <f t="shared" si="598"/>
        <v>25661.600867999998</v>
      </c>
      <c r="CC96" s="220">
        <f t="shared" si="598"/>
        <v>25661.600867999998</v>
      </c>
      <c r="CD96" s="220">
        <f t="shared" si="598"/>
        <v>25661.600867999998</v>
      </c>
      <c r="CE96" s="220">
        <f t="shared" si="598"/>
        <v>25661.600867999998</v>
      </c>
      <c r="CF96" s="220">
        <f t="shared" si="598"/>
        <v>25661.600867999998</v>
      </c>
      <c r="CG96" s="220">
        <f t="shared" si="598"/>
        <v>25661.600867999998</v>
      </c>
      <c r="CH96" s="220">
        <f t="shared" si="598"/>
        <v>25661.600867999998</v>
      </c>
      <c r="CI96" s="220">
        <f t="shared" si="598"/>
        <v>25661.600867999998</v>
      </c>
      <c r="CJ96" s="220">
        <f t="shared" ref="CJ96:CS98" si="599">(CJ$90&gt;0)*($C96*$H96*(1+$D$91)^(HT$93-1))</f>
        <v>25661.600867999998</v>
      </c>
      <c r="CK96" s="220">
        <f t="shared" si="599"/>
        <v>26431.448894039997</v>
      </c>
      <c r="CL96" s="220">
        <f t="shared" si="599"/>
        <v>26431.448894039997</v>
      </c>
      <c r="CM96" s="220">
        <f t="shared" si="599"/>
        <v>26431.448894039997</v>
      </c>
      <c r="CN96" s="220">
        <f t="shared" si="599"/>
        <v>26431.448894039997</v>
      </c>
      <c r="CO96" s="220">
        <f t="shared" si="599"/>
        <v>26431.448894039997</v>
      </c>
      <c r="CP96" s="220">
        <f t="shared" si="599"/>
        <v>26431.448894039997</v>
      </c>
      <c r="CQ96" s="220">
        <f t="shared" si="599"/>
        <v>26431.448894039997</v>
      </c>
      <c r="CR96" s="220">
        <f t="shared" si="599"/>
        <v>26431.448894039997</v>
      </c>
      <c r="CS96" s="220">
        <f t="shared" si="599"/>
        <v>26431.448894039997</v>
      </c>
      <c r="CT96" s="220">
        <f t="shared" ref="CT96:DC98" si="600">(CT$90&gt;0)*($C96*$H96*(1+$D$91)^(ID$93-1))</f>
        <v>26431.448894039997</v>
      </c>
      <c r="CU96" s="220">
        <f t="shared" si="600"/>
        <v>26431.448894039997</v>
      </c>
      <c r="CV96" s="220">
        <f t="shared" si="600"/>
        <v>26431.448894039997</v>
      </c>
      <c r="CW96" s="220">
        <f t="shared" si="600"/>
        <v>27224.392360861199</v>
      </c>
      <c r="CX96" s="220">
        <f t="shared" si="600"/>
        <v>27224.392360861199</v>
      </c>
      <c r="CY96" s="220">
        <f t="shared" si="600"/>
        <v>27224.392360861199</v>
      </c>
      <c r="CZ96" s="220">
        <f t="shared" si="600"/>
        <v>27224.392360861199</v>
      </c>
      <c r="DA96" s="220">
        <f t="shared" si="600"/>
        <v>27224.392360861199</v>
      </c>
      <c r="DB96" s="220">
        <f t="shared" si="600"/>
        <v>27224.392360861199</v>
      </c>
      <c r="DC96" s="220">
        <f t="shared" si="600"/>
        <v>27224.392360861199</v>
      </c>
      <c r="DD96" s="220">
        <f t="shared" ref="DD96:DM98" si="601">(DD$90&gt;0)*($C96*$H96*(1+$D$91)^(IN$93-1))</f>
        <v>27224.392360861199</v>
      </c>
      <c r="DE96" s="220">
        <f t="shared" si="601"/>
        <v>27224.392360861199</v>
      </c>
      <c r="DF96" s="220">
        <f t="shared" si="601"/>
        <v>27224.392360861199</v>
      </c>
      <c r="DG96" s="220">
        <f t="shared" si="601"/>
        <v>27224.392360861199</v>
      </c>
      <c r="DH96" s="220">
        <f t="shared" si="601"/>
        <v>27224.392360861199</v>
      </c>
      <c r="DI96" s="220">
        <f t="shared" si="601"/>
        <v>28041.124131687036</v>
      </c>
      <c r="DJ96" s="220">
        <f t="shared" si="601"/>
        <v>28041.124131687036</v>
      </c>
      <c r="DK96" s="220">
        <f t="shared" si="601"/>
        <v>28041.124131687036</v>
      </c>
      <c r="DL96" s="220">
        <f t="shared" si="601"/>
        <v>28041.124131687036</v>
      </c>
      <c r="DM96" s="220">
        <f t="shared" si="601"/>
        <v>28041.124131687036</v>
      </c>
      <c r="DN96" s="220">
        <f t="shared" ref="DN96:DW98" si="602">(DN$90&gt;0)*($C96*$H96*(1+$D$91)^(IX$93-1))</f>
        <v>28041.124131687036</v>
      </c>
      <c r="DO96" s="220">
        <f t="shared" si="602"/>
        <v>28041.124131687036</v>
      </c>
      <c r="DP96" s="220">
        <f t="shared" si="602"/>
        <v>28041.124131687036</v>
      </c>
      <c r="DQ96" s="220">
        <f t="shared" si="602"/>
        <v>28041.124131687036</v>
      </c>
      <c r="DR96" s="220">
        <f t="shared" si="602"/>
        <v>28041.124131687036</v>
      </c>
      <c r="DS96" s="220">
        <f t="shared" si="602"/>
        <v>28041.124131687036</v>
      </c>
      <c r="DT96" s="220">
        <f t="shared" si="602"/>
        <v>28041.124131687036</v>
      </c>
      <c r="DU96" s="220">
        <f t="shared" si="602"/>
        <v>28882.357855637641</v>
      </c>
      <c r="DV96" s="220">
        <f t="shared" si="602"/>
        <v>28882.357855637641</v>
      </c>
      <c r="DW96" s="220">
        <f t="shared" si="602"/>
        <v>28882.357855637641</v>
      </c>
      <c r="DX96" s="220">
        <f t="shared" ref="DX96:EG98" si="603">(DX$90&gt;0)*($C96*$H96*(1+$D$91)^(JH$93-1))</f>
        <v>28882.357855637641</v>
      </c>
      <c r="DY96" s="220">
        <f t="shared" si="603"/>
        <v>28882.357855637641</v>
      </c>
      <c r="DZ96" s="220">
        <f t="shared" si="603"/>
        <v>28882.357855637641</v>
      </c>
      <c r="EA96" s="220">
        <f t="shared" si="603"/>
        <v>28882.357855637641</v>
      </c>
      <c r="EB96" s="220">
        <f t="shared" si="603"/>
        <v>28882.357855637641</v>
      </c>
      <c r="EC96" s="220">
        <f t="shared" si="603"/>
        <v>28882.357855637641</v>
      </c>
      <c r="ED96" s="220">
        <f t="shared" si="603"/>
        <v>28882.357855637641</v>
      </c>
      <c r="EE96" s="220">
        <f t="shared" si="603"/>
        <v>28882.357855637641</v>
      </c>
      <c r="EF96" s="220">
        <f t="shared" si="603"/>
        <v>28882.357855637641</v>
      </c>
      <c r="EG96" s="220">
        <f t="shared" si="603"/>
        <v>29748.828591306774</v>
      </c>
      <c r="EH96" s="220">
        <f t="shared" ref="EH96:EQ98" si="604">(EH$90&gt;0)*($C96*$H96*(1+$D$91)^(JR$93-1))</f>
        <v>29748.828591306774</v>
      </c>
      <c r="EI96" s="220">
        <f t="shared" si="604"/>
        <v>29748.828591306774</v>
      </c>
      <c r="EJ96" s="220">
        <f t="shared" si="604"/>
        <v>29748.828591306774</v>
      </c>
      <c r="EK96" s="220">
        <f t="shared" si="604"/>
        <v>29748.828591306774</v>
      </c>
      <c r="EL96" s="220">
        <f t="shared" si="604"/>
        <v>29748.828591306774</v>
      </c>
      <c r="EM96" s="220">
        <f t="shared" si="604"/>
        <v>29748.828591306774</v>
      </c>
      <c r="EN96" s="220">
        <f t="shared" si="604"/>
        <v>29748.828591306774</v>
      </c>
      <c r="EO96" s="220">
        <f t="shared" si="604"/>
        <v>29748.828591306774</v>
      </c>
      <c r="EP96" s="220">
        <f t="shared" si="604"/>
        <v>29748.828591306774</v>
      </c>
      <c r="EQ96" s="220">
        <f t="shared" si="604"/>
        <v>29748.828591306774</v>
      </c>
      <c r="ER96" s="220">
        <f t="shared" ref="ER96:ES98" si="605">(ER$90&gt;0)*($C96*$H96*(1+$D$91)^(KB$93-1))</f>
        <v>29748.828591306774</v>
      </c>
      <c r="ES96" s="220">
        <f t="shared" si="605"/>
        <v>30641.293449045977</v>
      </c>
      <c r="EU96" s="153" t="str">
        <f>B96</f>
        <v>2 BR / 2 BATH</v>
      </c>
      <c r="EV96" s="153"/>
      <c r="EW96" s="327">
        <f t="shared" ref="EW96:EX98" si="606">E96/$I$93</f>
        <v>0</v>
      </c>
      <c r="EX96" s="327">
        <f t="shared" si="606"/>
        <v>0</v>
      </c>
      <c r="EY96" s="153"/>
      <c r="EZ96" s="154"/>
      <c r="FA96" s="221"/>
      <c r="FB96" s="221">
        <f t="shared" ref="FB96:FK97" si="607">IF(FB$92=0,$EW96*R96,$EX96*R96)</f>
        <v>0</v>
      </c>
      <c r="FC96" s="221">
        <f t="shared" si="607"/>
        <v>0</v>
      </c>
      <c r="FD96" s="221">
        <f t="shared" si="607"/>
        <v>0</v>
      </c>
      <c r="FE96" s="221">
        <f t="shared" si="607"/>
        <v>0</v>
      </c>
      <c r="FF96" s="221">
        <f t="shared" si="607"/>
        <v>0</v>
      </c>
      <c r="FG96" s="221">
        <f t="shared" si="607"/>
        <v>0</v>
      </c>
      <c r="FH96" s="221">
        <f t="shared" si="607"/>
        <v>0</v>
      </c>
      <c r="FI96" s="221">
        <f t="shared" si="607"/>
        <v>0</v>
      </c>
      <c r="FJ96" s="221">
        <f t="shared" si="607"/>
        <v>0</v>
      </c>
      <c r="FK96" s="221">
        <f t="shared" si="607"/>
        <v>0</v>
      </c>
      <c r="FL96" s="221">
        <f t="shared" ref="FL96:FU97" si="608">IF(FL$92=0,$EW96*AB96,$EX96*AB96)</f>
        <v>0</v>
      </c>
      <c r="FM96" s="221">
        <f t="shared" si="608"/>
        <v>0</v>
      </c>
      <c r="FN96" s="221">
        <f t="shared" si="608"/>
        <v>0</v>
      </c>
      <c r="FO96" s="221">
        <f t="shared" si="608"/>
        <v>0</v>
      </c>
      <c r="FP96" s="221">
        <f t="shared" si="608"/>
        <v>0</v>
      </c>
      <c r="FQ96" s="221">
        <f t="shared" si="608"/>
        <v>0</v>
      </c>
      <c r="FR96" s="221">
        <f t="shared" si="608"/>
        <v>0</v>
      </c>
      <c r="FS96" s="221">
        <f t="shared" si="608"/>
        <v>0</v>
      </c>
      <c r="FT96" s="221">
        <f t="shared" si="608"/>
        <v>0</v>
      </c>
      <c r="FU96" s="221">
        <f t="shared" si="608"/>
        <v>0</v>
      </c>
      <c r="FV96" s="221">
        <f t="shared" ref="FV96:GE97" si="609">IF(FV$92=0,$EW96*AL96,$EX96*AL96)</f>
        <v>0</v>
      </c>
      <c r="FW96" s="221">
        <f t="shared" si="609"/>
        <v>0</v>
      </c>
      <c r="FX96" s="221">
        <f t="shared" si="609"/>
        <v>0</v>
      </c>
      <c r="FY96" s="221">
        <f t="shared" si="609"/>
        <v>0</v>
      </c>
      <c r="FZ96" s="221">
        <f t="shared" si="609"/>
        <v>0</v>
      </c>
      <c r="GA96" s="221">
        <f t="shared" si="609"/>
        <v>0</v>
      </c>
      <c r="GB96" s="221">
        <f t="shared" si="609"/>
        <v>0</v>
      </c>
      <c r="GC96" s="221">
        <f t="shared" si="609"/>
        <v>0</v>
      </c>
      <c r="GD96" s="221">
        <f t="shared" si="609"/>
        <v>0</v>
      </c>
      <c r="GE96" s="221">
        <f t="shared" si="609"/>
        <v>0</v>
      </c>
      <c r="GF96" s="221">
        <f t="shared" ref="GF96:GO97" si="610">IF(GF$92=0,$EW96*AV96,$EX96*AV96)</f>
        <v>0</v>
      </c>
      <c r="GG96" s="221">
        <f t="shared" si="610"/>
        <v>0</v>
      </c>
      <c r="GH96" s="221">
        <f t="shared" si="610"/>
        <v>0</v>
      </c>
      <c r="GI96" s="221">
        <f t="shared" si="610"/>
        <v>0</v>
      </c>
      <c r="GJ96" s="221">
        <f t="shared" si="610"/>
        <v>0</v>
      </c>
      <c r="GK96" s="221">
        <f t="shared" si="610"/>
        <v>0</v>
      </c>
      <c r="GL96" s="221">
        <f t="shared" si="610"/>
        <v>0</v>
      </c>
      <c r="GM96" s="221">
        <f t="shared" si="610"/>
        <v>0</v>
      </c>
      <c r="GN96" s="221">
        <f t="shared" si="610"/>
        <v>0</v>
      </c>
      <c r="GO96" s="221">
        <f t="shared" si="610"/>
        <v>0</v>
      </c>
      <c r="GP96" s="221">
        <f t="shared" ref="GP96:GY97" si="611">IF(GP$92=0,$EW96*BF96,$EX96*BF96)</f>
        <v>0</v>
      </c>
      <c r="GQ96" s="221">
        <f t="shared" si="611"/>
        <v>0</v>
      </c>
      <c r="GR96" s="221">
        <f t="shared" si="611"/>
        <v>0</v>
      </c>
      <c r="GS96" s="221">
        <f t="shared" si="611"/>
        <v>0</v>
      </c>
      <c r="GT96" s="221">
        <f t="shared" si="611"/>
        <v>0</v>
      </c>
      <c r="GU96" s="221">
        <f t="shared" si="611"/>
        <v>0</v>
      </c>
      <c r="GV96" s="221">
        <f t="shared" si="611"/>
        <v>0</v>
      </c>
      <c r="GW96" s="221">
        <f t="shared" si="611"/>
        <v>0</v>
      </c>
      <c r="GX96" s="221">
        <f t="shared" si="611"/>
        <v>0</v>
      </c>
      <c r="GY96" s="221">
        <f t="shared" si="611"/>
        <v>0</v>
      </c>
      <c r="GZ96" s="221">
        <f t="shared" ref="GZ96:HI97" si="612">IF(GZ$92=0,$EW96*BP96,$EX96*BP96)</f>
        <v>0</v>
      </c>
      <c r="HA96" s="221">
        <f t="shared" si="612"/>
        <v>0</v>
      </c>
      <c r="HB96" s="221">
        <f t="shared" si="612"/>
        <v>0</v>
      </c>
      <c r="HC96" s="221">
        <f t="shared" si="612"/>
        <v>0</v>
      </c>
      <c r="HD96" s="221">
        <f t="shared" si="612"/>
        <v>0</v>
      </c>
      <c r="HE96" s="221">
        <f t="shared" si="612"/>
        <v>0</v>
      </c>
      <c r="HF96" s="221">
        <f t="shared" si="612"/>
        <v>0</v>
      </c>
      <c r="HG96" s="221">
        <f t="shared" si="612"/>
        <v>0</v>
      </c>
      <c r="HH96" s="221">
        <f t="shared" si="612"/>
        <v>0</v>
      </c>
      <c r="HI96" s="221">
        <f t="shared" si="612"/>
        <v>0</v>
      </c>
      <c r="HJ96" s="221">
        <f t="shared" ref="HJ96:HS97" si="613">IF(HJ$92=0,$EW96*BZ96,$EX96*BZ96)</f>
        <v>0</v>
      </c>
      <c r="HK96" s="221">
        <f t="shared" si="613"/>
        <v>0</v>
      </c>
      <c r="HL96" s="221">
        <f t="shared" si="613"/>
        <v>0</v>
      </c>
      <c r="HM96" s="221">
        <f t="shared" si="613"/>
        <v>0</v>
      </c>
      <c r="HN96" s="221">
        <f t="shared" si="613"/>
        <v>0</v>
      </c>
      <c r="HO96" s="221">
        <f t="shared" si="613"/>
        <v>0</v>
      </c>
      <c r="HP96" s="221">
        <f t="shared" si="613"/>
        <v>0</v>
      </c>
      <c r="HQ96" s="221">
        <f t="shared" si="613"/>
        <v>0</v>
      </c>
      <c r="HR96" s="221">
        <f t="shared" si="613"/>
        <v>0</v>
      </c>
      <c r="HS96" s="221">
        <f t="shared" si="613"/>
        <v>0</v>
      </c>
      <c r="HT96" s="221">
        <f t="shared" ref="HT96:IC97" si="614">IF(HT$92=0,$EW96*CJ96,$EX96*CJ96)</f>
        <v>0</v>
      </c>
      <c r="HU96" s="221">
        <f t="shared" si="614"/>
        <v>0</v>
      </c>
      <c r="HV96" s="221">
        <f t="shared" si="614"/>
        <v>0</v>
      </c>
      <c r="HW96" s="221">
        <f t="shared" si="614"/>
        <v>0</v>
      </c>
      <c r="HX96" s="221">
        <f t="shared" si="614"/>
        <v>0</v>
      </c>
      <c r="HY96" s="221">
        <f t="shared" si="614"/>
        <v>0</v>
      </c>
      <c r="HZ96" s="221">
        <f t="shared" si="614"/>
        <v>0</v>
      </c>
      <c r="IA96" s="221">
        <f t="shared" si="614"/>
        <v>0</v>
      </c>
      <c r="IB96" s="221">
        <f t="shared" si="614"/>
        <v>0</v>
      </c>
      <c r="IC96" s="221">
        <f t="shared" si="614"/>
        <v>0</v>
      </c>
      <c r="ID96" s="221">
        <f t="shared" ref="ID96:IM97" si="615">IF(ID$92=0,$EW96*CT96,$EX96*CT96)</f>
        <v>0</v>
      </c>
      <c r="IE96" s="221">
        <f t="shared" si="615"/>
        <v>0</v>
      </c>
      <c r="IF96" s="221">
        <f t="shared" si="615"/>
        <v>0</v>
      </c>
      <c r="IG96" s="221">
        <f t="shared" si="615"/>
        <v>0</v>
      </c>
      <c r="IH96" s="221">
        <f t="shared" si="615"/>
        <v>0</v>
      </c>
      <c r="II96" s="221">
        <f t="shared" si="615"/>
        <v>0</v>
      </c>
      <c r="IJ96" s="221">
        <f t="shared" si="615"/>
        <v>0</v>
      </c>
      <c r="IK96" s="221">
        <f t="shared" si="615"/>
        <v>0</v>
      </c>
      <c r="IL96" s="221">
        <f t="shared" si="615"/>
        <v>0</v>
      </c>
      <c r="IM96" s="221">
        <f t="shared" si="615"/>
        <v>0</v>
      </c>
      <c r="IN96" s="221">
        <f t="shared" ref="IN96:IW97" si="616">IF(IN$92=0,$EW96*DD96,$EX96*DD96)</f>
        <v>0</v>
      </c>
      <c r="IO96" s="221">
        <f t="shared" si="616"/>
        <v>0</v>
      </c>
      <c r="IP96" s="221">
        <f t="shared" si="616"/>
        <v>0</v>
      </c>
      <c r="IQ96" s="221">
        <f t="shared" si="616"/>
        <v>0</v>
      </c>
      <c r="IR96" s="221">
        <f t="shared" si="616"/>
        <v>0</v>
      </c>
      <c r="IS96" s="221">
        <f t="shared" si="616"/>
        <v>0</v>
      </c>
      <c r="IT96" s="221">
        <f t="shared" si="616"/>
        <v>0</v>
      </c>
      <c r="IU96" s="221">
        <f t="shared" si="616"/>
        <v>0</v>
      </c>
      <c r="IV96" s="221">
        <f t="shared" si="616"/>
        <v>0</v>
      </c>
      <c r="IW96" s="221">
        <f t="shared" si="616"/>
        <v>0</v>
      </c>
      <c r="IX96" s="221">
        <f t="shared" ref="IX96:JG97" si="617">IF(IX$92=0,$EW96*DN96,$EX96*DN96)</f>
        <v>0</v>
      </c>
      <c r="IY96" s="221">
        <f t="shared" si="617"/>
        <v>0</v>
      </c>
      <c r="IZ96" s="221">
        <f t="shared" si="617"/>
        <v>0</v>
      </c>
      <c r="JA96" s="221">
        <f t="shared" si="617"/>
        <v>0</v>
      </c>
      <c r="JB96" s="221">
        <f t="shared" si="617"/>
        <v>0</v>
      </c>
      <c r="JC96" s="221">
        <f t="shared" si="617"/>
        <v>0</v>
      </c>
      <c r="JD96" s="221">
        <f t="shared" si="617"/>
        <v>0</v>
      </c>
      <c r="JE96" s="221">
        <f t="shared" si="617"/>
        <v>0</v>
      </c>
      <c r="JF96" s="221">
        <f t="shared" si="617"/>
        <v>0</v>
      </c>
      <c r="JG96" s="221">
        <f t="shared" si="617"/>
        <v>0</v>
      </c>
      <c r="JH96" s="221">
        <f t="shared" ref="JH96:JQ97" si="618">IF(JH$92=0,$EW96*DX96,$EX96*DX96)</f>
        <v>0</v>
      </c>
      <c r="JI96" s="221">
        <f t="shared" si="618"/>
        <v>0</v>
      </c>
      <c r="JJ96" s="221">
        <f t="shared" si="618"/>
        <v>0</v>
      </c>
      <c r="JK96" s="221">
        <f t="shared" si="618"/>
        <v>0</v>
      </c>
      <c r="JL96" s="221">
        <f t="shared" si="618"/>
        <v>0</v>
      </c>
      <c r="JM96" s="221">
        <f t="shared" si="618"/>
        <v>0</v>
      </c>
      <c r="JN96" s="221">
        <f t="shared" si="618"/>
        <v>0</v>
      </c>
      <c r="JO96" s="221">
        <f t="shared" si="618"/>
        <v>0</v>
      </c>
      <c r="JP96" s="221">
        <f t="shared" si="618"/>
        <v>0</v>
      </c>
      <c r="JQ96" s="221">
        <f t="shared" si="618"/>
        <v>0</v>
      </c>
      <c r="JR96" s="221">
        <f t="shared" ref="JR96:KA97" si="619">IF(JR$92=0,$EW96*EH96,$EX96*EH96)</f>
        <v>0</v>
      </c>
      <c r="JS96" s="221">
        <f t="shared" si="619"/>
        <v>0</v>
      </c>
      <c r="JT96" s="221">
        <f t="shared" si="619"/>
        <v>0</v>
      </c>
      <c r="JU96" s="221">
        <f t="shared" si="619"/>
        <v>0</v>
      </c>
      <c r="JV96" s="221">
        <f t="shared" si="619"/>
        <v>0</v>
      </c>
      <c r="JW96" s="221">
        <f t="shared" si="619"/>
        <v>0</v>
      </c>
      <c r="JX96" s="221">
        <f t="shared" si="619"/>
        <v>0</v>
      </c>
      <c r="JY96" s="221">
        <f t="shared" si="619"/>
        <v>0</v>
      </c>
      <c r="JZ96" s="221">
        <f t="shared" si="619"/>
        <v>0</v>
      </c>
      <c r="KA96" s="221">
        <f t="shared" si="619"/>
        <v>0</v>
      </c>
      <c r="KB96" s="221">
        <f t="shared" ref="KB96:KC97" si="620">IF(KB$92=0,$EW96*ER96,$EX96*ER96)</f>
        <v>0</v>
      </c>
      <c r="KC96" s="221">
        <f t="shared" si="620"/>
        <v>0</v>
      </c>
    </row>
    <row r="97" spans="1:289" x14ac:dyDescent="0.25">
      <c r="B97" s="558" t="s">
        <v>921</v>
      </c>
      <c r="C97" s="322">
        <v>4</v>
      </c>
      <c r="D97" s="322">
        <v>1032</v>
      </c>
      <c r="E97" s="323">
        <v>0</v>
      </c>
      <c r="F97" s="323">
        <v>0</v>
      </c>
      <c r="G97" s="324">
        <f>IFERROR(H97/D97,0)</f>
        <v>1.8410852713178294</v>
      </c>
      <c r="H97" s="325">
        <v>1900</v>
      </c>
      <c r="I97" s="326">
        <f>H97*C97*12</f>
        <v>91200</v>
      </c>
      <c r="Q97" s="220"/>
      <c r="R97" s="220">
        <f t="shared" si="592"/>
        <v>0</v>
      </c>
      <c r="S97" s="220">
        <f t="shared" si="592"/>
        <v>0</v>
      </c>
      <c r="T97" s="220">
        <f t="shared" si="592"/>
        <v>0</v>
      </c>
      <c r="U97" s="220">
        <f t="shared" si="592"/>
        <v>0</v>
      </c>
      <c r="V97" s="220">
        <f t="shared" si="592"/>
        <v>0</v>
      </c>
      <c r="W97" s="220">
        <f t="shared" si="592"/>
        <v>0</v>
      </c>
      <c r="X97" s="220">
        <f t="shared" si="592"/>
        <v>0</v>
      </c>
      <c r="Y97" s="220">
        <f t="shared" si="592"/>
        <v>0</v>
      </c>
      <c r="Z97" s="220">
        <f t="shared" si="592"/>
        <v>0</v>
      </c>
      <c r="AA97" s="220">
        <f t="shared" si="592"/>
        <v>0</v>
      </c>
      <c r="AB97" s="220">
        <f t="shared" si="593"/>
        <v>0</v>
      </c>
      <c r="AC97" s="220">
        <f t="shared" si="593"/>
        <v>7600</v>
      </c>
      <c r="AD97" s="220">
        <f t="shared" si="593"/>
        <v>7600</v>
      </c>
      <c r="AE97" s="220">
        <f t="shared" si="593"/>
        <v>7600</v>
      </c>
      <c r="AF97" s="220">
        <f t="shared" si="593"/>
        <v>7600</v>
      </c>
      <c r="AG97" s="220">
        <f t="shared" si="593"/>
        <v>7600</v>
      </c>
      <c r="AH97" s="220">
        <f t="shared" si="593"/>
        <v>7600</v>
      </c>
      <c r="AI97" s="220">
        <f t="shared" si="593"/>
        <v>7600</v>
      </c>
      <c r="AJ97" s="220">
        <f t="shared" si="593"/>
        <v>7600</v>
      </c>
      <c r="AK97" s="220">
        <f t="shared" si="593"/>
        <v>7600</v>
      </c>
      <c r="AL97" s="220">
        <f t="shared" si="594"/>
        <v>7600</v>
      </c>
      <c r="AM97" s="220">
        <f t="shared" si="594"/>
        <v>7600</v>
      </c>
      <c r="AN97" s="220">
        <f t="shared" si="594"/>
        <v>7600</v>
      </c>
      <c r="AO97" s="220">
        <f t="shared" si="594"/>
        <v>7828</v>
      </c>
      <c r="AP97" s="220">
        <f t="shared" si="594"/>
        <v>7828</v>
      </c>
      <c r="AQ97" s="220">
        <f t="shared" si="594"/>
        <v>7828</v>
      </c>
      <c r="AR97" s="220">
        <f t="shared" si="594"/>
        <v>7828</v>
      </c>
      <c r="AS97" s="220">
        <f t="shared" si="594"/>
        <v>7828</v>
      </c>
      <c r="AT97" s="220">
        <f t="shared" si="594"/>
        <v>7828</v>
      </c>
      <c r="AU97" s="220">
        <f t="shared" si="594"/>
        <v>7828</v>
      </c>
      <c r="AV97" s="220">
        <f t="shared" si="595"/>
        <v>7828</v>
      </c>
      <c r="AW97" s="220">
        <f t="shared" si="595"/>
        <v>7828</v>
      </c>
      <c r="AX97" s="220">
        <f t="shared" si="595"/>
        <v>7828</v>
      </c>
      <c r="AY97" s="220">
        <f t="shared" si="595"/>
        <v>7828</v>
      </c>
      <c r="AZ97" s="220">
        <f t="shared" si="595"/>
        <v>7828</v>
      </c>
      <c r="BA97" s="220">
        <f t="shared" si="595"/>
        <v>8062.8399999999992</v>
      </c>
      <c r="BB97" s="220">
        <f t="shared" si="595"/>
        <v>8062.8399999999992</v>
      </c>
      <c r="BC97" s="220">
        <f t="shared" si="595"/>
        <v>8062.8399999999992</v>
      </c>
      <c r="BD97" s="220">
        <f t="shared" si="595"/>
        <v>8062.8399999999992</v>
      </c>
      <c r="BE97" s="220">
        <f t="shared" si="595"/>
        <v>8062.8399999999992</v>
      </c>
      <c r="BF97" s="220">
        <f t="shared" si="596"/>
        <v>8062.8399999999992</v>
      </c>
      <c r="BG97" s="220">
        <f t="shared" si="596"/>
        <v>8062.8399999999992</v>
      </c>
      <c r="BH97" s="220">
        <f t="shared" si="596"/>
        <v>8062.8399999999992</v>
      </c>
      <c r="BI97" s="220">
        <f t="shared" si="596"/>
        <v>8062.8399999999992</v>
      </c>
      <c r="BJ97" s="220">
        <f t="shared" si="596"/>
        <v>8062.8399999999992</v>
      </c>
      <c r="BK97" s="220">
        <f t="shared" si="596"/>
        <v>8062.8399999999992</v>
      </c>
      <c r="BL97" s="220">
        <f t="shared" si="596"/>
        <v>8062.8399999999992</v>
      </c>
      <c r="BM97" s="220">
        <f t="shared" si="596"/>
        <v>8304.7252000000008</v>
      </c>
      <c r="BN97" s="220">
        <f t="shared" si="596"/>
        <v>8304.7252000000008</v>
      </c>
      <c r="BO97" s="220">
        <f t="shared" si="596"/>
        <v>8304.7252000000008</v>
      </c>
      <c r="BP97" s="220">
        <f t="shared" si="597"/>
        <v>8304.7252000000008</v>
      </c>
      <c r="BQ97" s="220">
        <f t="shared" si="597"/>
        <v>8304.7252000000008</v>
      </c>
      <c r="BR97" s="220">
        <f t="shared" si="597"/>
        <v>8304.7252000000008</v>
      </c>
      <c r="BS97" s="220">
        <f t="shared" si="597"/>
        <v>8304.7252000000008</v>
      </c>
      <c r="BT97" s="220">
        <f t="shared" si="597"/>
        <v>8304.7252000000008</v>
      </c>
      <c r="BU97" s="220">
        <f t="shared" si="597"/>
        <v>8304.7252000000008</v>
      </c>
      <c r="BV97" s="220">
        <f t="shared" si="597"/>
        <v>8304.7252000000008</v>
      </c>
      <c r="BW97" s="220">
        <f t="shared" si="597"/>
        <v>8304.7252000000008</v>
      </c>
      <c r="BX97" s="220">
        <f t="shared" si="597"/>
        <v>8304.7252000000008</v>
      </c>
      <c r="BY97" s="220">
        <f t="shared" si="597"/>
        <v>8553.8669559999998</v>
      </c>
      <c r="BZ97" s="220">
        <f t="shared" si="598"/>
        <v>8553.8669559999998</v>
      </c>
      <c r="CA97" s="220">
        <f t="shared" si="598"/>
        <v>8553.8669559999998</v>
      </c>
      <c r="CB97" s="220">
        <f t="shared" si="598"/>
        <v>8553.8669559999998</v>
      </c>
      <c r="CC97" s="220">
        <f t="shared" si="598"/>
        <v>8553.8669559999998</v>
      </c>
      <c r="CD97" s="220">
        <f t="shared" si="598"/>
        <v>8553.8669559999998</v>
      </c>
      <c r="CE97" s="220">
        <f t="shared" si="598"/>
        <v>8553.8669559999998</v>
      </c>
      <c r="CF97" s="220">
        <f t="shared" si="598"/>
        <v>8553.8669559999998</v>
      </c>
      <c r="CG97" s="220">
        <f t="shared" si="598"/>
        <v>8553.8669559999998</v>
      </c>
      <c r="CH97" s="220">
        <f t="shared" si="598"/>
        <v>8553.8669559999998</v>
      </c>
      <c r="CI97" s="220">
        <f t="shared" si="598"/>
        <v>8553.8669559999998</v>
      </c>
      <c r="CJ97" s="220">
        <f t="shared" si="599"/>
        <v>8553.8669559999998</v>
      </c>
      <c r="CK97" s="220">
        <f t="shared" si="599"/>
        <v>8810.482964679999</v>
      </c>
      <c r="CL97" s="220">
        <f t="shared" si="599"/>
        <v>8810.482964679999</v>
      </c>
      <c r="CM97" s="220">
        <f t="shared" si="599"/>
        <v>8810.482964679999</v>
      </c>
      <c r="CN97" s="220">
        <f t="shared" si="599"/>
        <v>8810.482964679999</v>
      </c>
      <c r="CO97" s="220">
        <f t="shared" si="599"/>
        <v>8810.482964679999</v>
      </c>
      <c r="CP97" s="220">
        <f t="shared" si="599"/>
        <v>8810.482964679999</v>
      </c>
      <c r="CQ97" s="220">
        <f t="shared" si="599"/>
        <v>8810.482964679999</v>
      </c>
      <c r="CR97" s="220">
        <f t="shared" si="599"/>
        <v>8810.482964679999</v>
      </c>
      <c r="CS97" s="220">
        <f t="shared" si="599"/>
        <v>8810.482964679999</v>
      </c>
      <c r="CT97" s="220">
        <f t="shared" si="600"/>
        <v>8810.482964679999</v>
      </c>
      <c r="CU97" s="220">
        <f t="shared" si="600"/>
        <v>8810.482964679999</v>
      </c>
      <c r="CV97" s="220">
        <f t="shared" si="600"/>
        <v>8810.482964679999</v>
      </c>
      <c r="CW97" s="220">
        <f t="shared" si="600"/>
        <v>9074.7974536204001</v>
      </c>
      <c r="CX97" s="220">
        <f t="shared" si="600"/>
        <v>9074.7974536204001</v>
      </c>
      <c r="CY97" s="220">
        <f t="shared" si="600"/>
        <v>9074.7974536204001</v>
      </c>
      <c r="CZ97" s="220">
        <f t="shared" si="600"/>
        <v>9074.7974536204001</v>
      </c>
      <c r="DA97" s="220">
        <f t="shared" si="600"/>
        <v>9074.7974536204001</v>
      </c>
      <c r="DB97" s="220">
        <f t="shared" si="600"/>
        <v>9074.7974536204001</v>
      </c>
      <c r="DC97" s="220">
        <f t="shared" si="600"/>
        <v>9074.7974536204001</v>
      </c>
      <c r="DD97" s="220">
        <f t="shared" si="601"/>
        <v>9074.7974536204001</v>
      </c>
      <c r="DE97" s="220">
        <f t="shared" si="601"/>
        <v>9074.7974536204001</v>
      </c>
      <c r="DF97" s="220">
        <f t="shared" si="601"/>
        <v>9074.7974536204001</v>
      </c>
      <c r="DG97" s="220">
        <f t="shared" si="601"/>
        <v>9074.7974536204001</v>
      </c>
      <c r="DH97" s="220">
        <f t="shared" si="601"/>
        <v>9074.7974536204001</v>
      </c>
      <c r="DI97" s="220">
        <f t="shared" si="601"/>
        <v>9347.0413772290121</v>
      </c>
      <c r="DJ97" s="220">
        <f t="shared" si="601"/>
        <v>9347.0413772290121</v>
      </c>
      <c r="DK97" s="220">
        <f t="shared" si="601"/>
        <v>9347.0413772290121</v>
      </c>
      <c r="DL97" s="220">
        <f t="shared" si="601"/>
        <v>9347.0413772290121</v>
      </c>
      <c r="DM97" s="220">
        <f t="shared" si="601"/>
        <v>9347.0413772290121</v>
      </c>
      <c r="DN97" s="220">
        <f t="shared" si="602"/>
        <v>9347.0413772290121</v>
      </c>
      <c r="DO97" s="220">
        <f t="shared" si="602"/>
        <v>9347.0413772290121</v>
      </c>
      <c r="DP97" s="220">
        <f t="shared" si="602"/>
        <v>9347.0413772290121</v>
      </c>
      <c r="DQ97" s="220">
        <f t="shared" si="602"/>
        <v>9347.0413772290121</v>
      </c>
      <c r="DR97" s="220">
        <f t="shared" si="602"/>
        <v>9347.0413772290121</v>
      </c>
      <c r="DS97" s="220">
        <f t="shared" si="602"/>
        <v>9347.0413772290121</v>
      </c>
      <c r="DT97" s="220">
        <f t="shared" si="602"/>
        <v>9347.0413772290121</v>
      </c>
      <c r="DU97" s="220">
        <f t="shared" si="602"/>
        <v>9627.4526185458817</v>
      </c>
      <c r="DV97" s="220">
        <f t="shared" si="602"/>
        <v>9627.4526185458817</v>
      </c>
      <c r="DW97" s="220">
        <f t="shared" si="602"/>
        <v>9627.4526185458817</v>
      </c>
      <c r="DX97" s="220">
        <f t="shared" si="603"/>
        <v>9627.4526185458817</v>
      </c>
      <c r="DY97" s="220">
        <f t="shared" si="603"/>
        <v>9627.4526185458817</v>
      </c>
      <c r="DZ97" s="220">
        <f t="shared" si="603"/>
        <v>9627.4526185458817</v>
      </c>
      <c r="EA97" s="220">
        <f t="shared" si="603"/>
        <v>9627.4526185458817</v>
      </c>
      <c r="EB97" s="220">
        <f t="shared" si="603"/>
        <v>9627.4526185458817</v>
      </c>
      <c r="EC97" s="220">
        <f t="shared" si="603"/>
        <v>9627.4526185458817</v>
      </c>
      <c r="ED97" s="220">
        <f t="shared" si="603"/>
        <v>9627.4526185458817</v>
      </c>
      <c r="EE97" s="220">
        <f t="shared" si="603"/>
        <v>9627.4526185458817</v>
      </c>
      <c r="EF97" s="220">
        <f t="shared" si="603"/>
        <v>9627.4526185458817</v>
      </c>
      <c r="EG97" s="220">
        <f t="shared" si="603"/>
        <v>9916.2761971022574</v>
      </c>
      <c r="EH97" s="220">
        <f t="shared" si="604"/>
        <v>9916.2761971022574</v>
      </c>
      <c r="EI97" s="220">
        <f t="shared" si="604"/>
        <v>9916.2761971022574</v>
      </c>
      <c r="EJ97" s="220">
        <f t="shared" si="604"/>
        <v>9916.2761971022574</v>
      </c>
      <c r="EK97" s="220">
        <f t="shared" si="604"/>
        <v>9916.2761971022574</v>
      </c>
      <c r="EL97" s="220">
        <f t="shared" si="604"/>
        <v>9916.2761971022574</v>
      </c>
      <c r="EM97" s="220">
        <f t="shared" si="604"/>
        <v>9916.2761971022574</v>
      </c>
      <c r="EN97" s="220">
        <f t="shared" si="604"/>
        <v>9916.2761971022574</v>
      </c>
      <c r="EO97" s="220">
        <f t="shared" si="604"/>
        <v>9916.2761971022574</v>
      </c>
      <c r="EP97" s="220">
        <f t="shared" si="604"/>
        <v>9916.2761971022574</v>
      </c>
      <c r="EQ97" s="220">
        <f t="shared" si="604"/>
        <v>9916.2761971022574</v>
      </c>
      <c r="ER97" s="220">
        <f t="shared" si="605"/>
        <v>9916.2761971022574</v>
      </c>
      <c r="ES97" s="220">
        <f t="shared" si="605"/>
        <v>10213.764483015326</v>
      </c>
      <c r="EU97" s="153" t="str">
        <f>B97</f>
        <v>2 BR + / 2 BATH</v>
      </c>
      <c r="EV97" s="153"/>
      <c r="EW97" s="327">
        <f t="shared" si="606"/>
        <v>0</v>
      </c>
      <c r="EX97" s="327">
        <f t="shared" si="606"/>
        <v>0</v>
      </c>
      <c r="EY97" s="153"/>
      <c r="EZ97" s="154"/>
      <c r="FA97" s="221"/>
      <c r="FB97" s="221">
        <f t="shared" si="607"/>
        <v>0</v>
      </c>
      <c r="FC97" s="221">
        <f t="shared" si="607"/>
        <v>0</v>
      </c>
      <c r="FD97" s="221">
        <f t="shared" si="607"/>
        <v>0</v>
      </c>
      <c r="FE97" s="221">
        <f t="shared" si="607"/>
        <v>0</v>
      </c>
      <c r="FF97" s="221">
        <f t="shared" si="607"/>
        <v>0</v>
      </c>
      <c r="FG97" s="221">
        <f t="shared" si="607"/>
        <v>0</v>
      </c>
      <c r="FH97" s="221">
        <f t="shared" si="607"/>
        <v>0</v>
      </c>
      <c r="FI97" s="221">
        <f t="shared" si="607"/>
        <v>0</v>
      </c>
      <c r="FJ97" s="221">
        <f t="shared" si="607"/>
        <v>0</v>
      </c>
      <c r="FK97" s="221">
        <f t="shared" si="607"/>
        <v>0</v>
      </c>
      <c r="FL97" s="221">
        <f t="shared" si="608"/>
        <v>0</v>
      </c>
      <c r="FM97" s="221">
        <f t="shared" si="608"/>
        <v>0</v>
      </c>
      <c r="FN97" s="221">
        <f t="shared" si="608"/>
        <v>0</v>
      </c>
      <c r="FO97" s="221">
        <f t="shared" si="608"/>
        <v>0</v>
      </c>
      <c r="FP97" s="221">
        <f t="shared" si="608"/>
        <v>0</v>
      </c>
      <c r="FQ97" s="221">
        <f t="shared" si="608"/>
        <v>0</v>
      </c>
      <c r="FR97" s="221">
        <f t="shared" si="608"/>
        <v>0</v>
      </c>
      <c r="FS97" s="221">
        <f t="shared" si="608"/>
        <v>0</v>
      </c>
      <c r="FT97" s="221">
        <f t="shared" si="608"/>
        <v>0</v>
      </c>
      <c r="FU97" s="221">
        <f t="shared" si="608"/>
        <v>0</v>
      </c>
      <c r="FV97" s="221">
        <f t="shared" si="609"/>
        <v>0</v>
      </c>
      <c r="FW97" s="221">
        <f t="shared" si="609"/>
        <v>0</v>
      </c>
      <c r="FX97" s="221">
        <f t="shared" si="609"/>
        <v>0</v>
      </c>
      <c r="FY97" s="221">
        <f t="shared" si="609"/>
        <v>0</v>
      </c>
      <c r="FZ97" s="221">
        <f t="shared" si="609"/>
        <v>0</v>
      </c>
      <c r="GA97" s="221">
        <f t="shared" si="609"/>
        <v>0</v>
      </c>
      <c r="GB97" s="221">
        <f t="shared" si="609"/>
        <v>0</v>
      </c>
      <c r="GC97" s="221">
        <f t="shared" si="609"/>
        <v>0</v>
      </c>
      <c r="GD97" s="221">
        <f t="shared" si="609"/>
        <v>0</v>
      </c>
      <c r="GE97" s="221">
        <f t="shared" si="609"/>
        <v>0</v>
      </c>
      <c r="GF97" s="221">
        <f t="shared" si="610"/>
        <v>0</v>
      </c>
      <c r="GG97" s="221">
        <f t="shared" si="610"/>
        <v>0</v>
      </c>
      <c r="GH97" s="221">
        <f t="shared" si="610"/>
        <v>0</v>
      </c>
      <c r="GI97" s="221">
        <f t="shared" si="610"/>
        <v>0</v>
      </c>
      <c r="GJ97" s="221">
        <f t="shared" si="610"/>
        <v>0</v>
      </c>
      <c r="GK97" s="221">
        <f t="shared" si="610"/>
        <v>0</v>
      </c>
      <c r="GL97" s="221">
        <f t="shared" si="610"/>
        <v>0</v>
      </c>
      <c r="GM97" s="221">
        <f t="shared" si="610"/>
        <v>0</v>
      </c>
      <c r="GN97" s="221">
        <f t="shared" si="610"/>
        <v>0</v>
      </c>
      <c r="GO97" s="221">
        <f t="shared" si="610"/>
        <v>0</v>
      </c>
      <c r="GP97" s="221">
        <f t="shared" si="611"/>
        <v>0</v>
      </c>
      <c r="GQ97" s="221">
        <f t="shared" si="611"/>
        <v>0</v>
      </c>
      <c r="GR97" s="221">
        <f t="shared" si="611"/>
        <v>0</v>
      </c>
      <c r="GS97" s="221">
        <f t="shared" si="611"/>
        <v>0</v>
      </c>
      <c r="GT97" s="221">
        <f t="shared" si="611"/>
        <v>0</v>
      </c>
      <c r="GU97" s="221">
        <f t="shared" si="611"/>
        <v>0</v>
      </c>
      <c r="GV97" s="221">
        <f t="shared" si="611"/>
        <v>0</v>
      </c>
      <c r="GW97" s="221">
        <f t="shared" si="611"/>
        <v>0</v>
      </c>
      <c r="GX97" s="221">
        <f t="shared" si="611"/>
        <v>0</v>
      </c>
      <c r="GY97" s="221">
        <f t="shared" si="611"/>
        <v>0</v>
      </c>
      <c r="GZ97" s="221">
        <f t="shared" si="612"/>
        <v>0</v>
      </c>
      <c r="HA97" s="221">
        <f t="shared" si="612"/>
        <v>0</v>
      </c>
      <c r="HB97" s="221">
        <f t="shared" si="612"/>
        <v>0</v>
      </c>
      <c r="HC97" s="221">
        <f t="shared" si="612"/>
        <v>0</v>
      </c>
      <c r="HD97" s="221">
        <f t="shared" si="612"/>
        <v>0</v>
      </c>
      <c r="HE97" s="221">
        <f t="shared" si="612"/>
        <v>0</v>
      </c>
      <c r="HF97" s="221">
        <f t="shared" si="612"/>
        <v>0</v>
      </c>
      <c r="HG97" s="221">
        <f t="shared" si="612"/>
        <v>0</v>
      </c>
      <c r="HH97" s="221">
        <f t="shared" si="612"/>
        <v>0</v>
      </c>
      <c r="HI97" s="221">
        <f t="shared" si="612"/>
        <v>0</v>
      </c>
      <c r="HJ97" s="221">
        <f t="shared" si="613"/>
        <v>0</v>
      </c>
      <c r="HK97" s="221">
        <f t="shared" si="613"/>
        <v>0</v>
      </c>
      <c r="HL97" s="221">
        <f t="shared" si="613"/>
        <v>0</v>
      </c>
      <c r="HM97" s="221">
        <f t="shared" si="613"/>
        <v>0</v>
      </c>
      <c r="HN97" s="221">
        <f t="shared" si="613"/>
        <v>0</v>
      </c>
      <c r="HO97" s="221">
        <f t="shared" si="613"/>
        <v>0</v>
      </c>
      <c r="HP97" s="221">
        <f t="shared" si="613"/>
        <v>0</v>
      </c>
      <c r="HQ97" s="221">
        <f t="shared" si="613"/>
        <v>0</v>
      </c>
      <c r="HR97" s="221">
        <f t="shared" si="613"/>
        <v>0</v>
      </c>
      <c r="HS97" s="221">
        <f t="shared" si="613"/>
        <v>0</v>
      </c>
      <c r="HT97" s="221">
        <f t="shared" si="614"/>
        <v>0</v>
      </c>
      <c r="HU97" s="221">
        <f t="shared" si="614"/>
        <v>0</v>
      </c>
      <c r="HV97" s="221">
        <f t="shared" si="614"/>
        <v>0</v>
      </c>
      <c r="HW97" s="221">
        <f t="shared" si="614"/>
        <v>0</v>
      </c>
      <c r="HX97" s="221">
        <f t="shared" si="614"/>
        <v>0</v>
      </c>
      <c r="HY97" s="221">
        <f t="shared" si="614"/>
        <v>0</v>
      </c>
      <c r="HZ97" s="221">
        <f t="shared" si="614"/>
        <v>0</v>
      </c>
      <c r="IA97" s="221">
        <f t="shared" si="614"/>
        <v>0</v>
      </c>
      <c r="IB97" s="221">
        <f t="shared" si="614"/>
        <v>0</v>
      </c>
      <c r="IC97" s="221">
        <f t="shared" si="614"/>
        <v>0</v>
      </c>
      <c r="ID97" s="221">
        <f t="shared" si="615"/>
        <v>0</v>
      </c>
      <c r="IE97" s="221">
        <f t="shared" si="615"/>
        <v>0</v>
      </c>
      <c r="IF97" s="221">
        <f t="shared" si="615"/>
        <v>0</v>
      </c>
      <c r="IG97" s="221">
        <f t="shared" si="615"/>
        <v>0</v>
      </c>
      <c r="IH97" s="221">
        <f t="shared" si="615"/>
        <v>0</v>
      </c>
      <c r="II97" s="221">
        <f t="shared" si="615"/>
        <v>0</v>
      </c>
      <c r="IJ97" s="221">
        <f t="shared" si="615"/>
        <v>0</v>
      </c>
      <c r="IK97" s="221">
        <f t="shared" si="615"/>
        <v>0</v>
      </c>
      <c r="IL97" s="221">
        <f t="shared" si="615"/>
        <v>0</v>
      </c>
      <c r="IM97" s="221">
        <f t="shared" si="615"/>
        <v>0</v>
      </c>
      <c r="IN97" s="221">
        <f t="shared" si="616"/>
        <v>0</v>
      </c>
      <c r="IO97" s="221">
        <f t="shared" si="616"/>
        <v>0</v>
      </c>
      <c r="IP97" s="221">
        <f t="shared" si="616"/>
        <v>0</v>
      </c>
      <c r="IQ97" s="221">
        <f t="shared" si="616"/>
        <v>0</v>
      </c>
      <c r="IR97" s="221">
        <f t="shared" si="616"/>
        <v>0</v>
      </c>
      <c r="IS97" s="221">
        <f t="shared" si="616"/>
        <v>0</v>
      </c>
      <c r="IT97" s="221">
        <f t="shared" si="616"/>
        <v>0</v>
      </c>
      <c r="IU97" s="221">
        <f t="shared" si="616"/>
        <v>0</v>
      </c>
      <c r="IV97" s="221">
        <f t="shared" si="616"/>
        <v>0</v>
      </c>
      <c r="IW97" s="221">
        <f t="shared" si="616"/>
        <v>0</v>
      </c>
      <c r="IX97" s="221">
        <f t="shared" si="617"/>
        <v>0</v>
      </c>
      <c r="IY97" s="221">
        <f t="shared" si="617"/>
        <v>0</v>
      </c>
      <c r="IZ97" s="221">
        <f t="shared" si="617"/>
        <v>0</v>
      </c>
      <c r="JA97" s="221">
        <f t="shared" si="617"/>
        <v>0</v>
      </c>
      <c r="JB97" s="221">
        <f t="shared" si="617"/>
        <v>0</v>
      </c>
      <c r="JC97" s="221">
        <f t="shared" si="617"/>
        <v>0</v>
      </c>
      <c r="JD97" s="221">
        <f t="shared" si="617"/>
        <v>0</v>
      </c>
      <c r="JE97" s="221">
        <f t="shared" si="617"/>
        <v>0</v>
      </c>
      <c r="JF97" s="221">
        <f t="shared" si="617"/>
        <v>0</v>
      </c>
      <c r="JG97" s="221">
        <f t="shared" si="617"/>
        <v>0</v>
      </c>
      <c r="JH97" s="221">
        <f t="shared" si="618"/>
        <v>0</v>
      </c>
      <c r="JI97" s="221">
        <f t="shared" si="618"/>
        <v>0</v>
      </c>
      <c r="JJ97" s="221">
        <f t="shared" si="618"/>
        <v>0</v>
      </c>
      <c r="JK97" s="221">
        <f t="shared" si="618"/>
        <v>0</v>
      </c>
      <c r="JL97" s="221">
        <f t="shared" si="618"/>
        <v>0</v>
      </c>
      <c r="JM97" s="221">
        <f t="shared" si="618"/>
        <v>0</v>
      </c>
      <c r="JN97" s="221">
        <f t="shared" si="618"/>
        <v>0</v>
      </c>
      <c r="JO97" s="221">
        <f t="shared" si="618"/>
        <v>0</v>
      </c>
      <c r="JP97" s="221">
        <f t="shared" si="618"/>
        <v>0</v>
      </c>
      <c r="JQ97" s="221">
        <f t="shared" si="618"/>
        <v>0</v>
      </c>
      <c r="JR97" s="221">
        <f t="shared" si="619"/>
        <v>0</v>
      </c>
      <c r="JS97" s="221">
        <f t="shared" si="619"/>
        <v>0</v>
      </c>
      <c r="JT97" s="221">
        <f t="shared" si="619"/>
        <v>0</v>
      </c>
      <c r="JU97" s="221">
        <f t="shared" si="619"/>
        <v>0</v>
      </c>
      <c r="JV97" s="221">
        <f t="shared" si="619"/>
        <v>0</v>
      </c>
      <c r="JW97" s="221">
        <f t="shared" si="619"/>
        <v>0</v>
      </c>
      <c r="JX97" s="221">
        <f t="shared" si="619"/>
        <v>0</v>
      </c>
      <c r="JY97" s="221">
        <f t="shared" si="619"/>
        <v>0</v>
      </c>
      <c r="JZ97" s="221">
        <f t="shared" si="619"/>
        <v>0</v>
      </c>
      <c r="KA97" s="221">
        <f t="shared" si="619"/>
        <v>0</v>
      </c>
      <c r="KB97" s="221">
        <f t="shared" si="620"/>
        <v>0</v>
      </c>
      <c r="KC97" s="221">
        <f t="shared" si="620"/>
        <v>0</v>
      </c>
    </row>
    <row r="98" spans="1:289" ht="16.5" x14ac:dyDescent="0.35">
      <c r="B98" s="214" t="s">
        <v>454</v>
      </c>
      <c r="C98" s="328">
        <v>0</v>
      </c>
      <c r="D98" s="328">
        <v>0</v>
      </c>
      <c r="E98" s="329">
        <v>0</v>
      </c>
      <c r="F98" s="329">
        <v>0</v>
      </c>
      <c r="G98" s="330">
        <f>IFERROR(H98/D98,0)</f>
        <v>0</v>
      </c>
      <c r="H98" s="331">
        <v>0</v>
      </c>
      <c r="I98" s="332">
        <f>H98*C98*12</f>
        <v>0</v>
      </c>
      <c r="R98" s="226">
        <f t="shared" si="592"/>
        <v>0</v>
      </c>
      <c r="S98" s="226">
        <f t="shared" si="592"/>
        <v>0</v>
      </c>
      <c r="T98" s="226">
        <f t="shared" si="592"/>
        <v>0</v>
      </c>
      <c r="U98" s="226">
        <f t="shared" si="592"/>
        <v>0</v>
      </c>
      <c r="V98" s="226">
        <f t="shared" si="592"/>
        <v>0</v>
      </c>
      <c r="W98" s="226">
        <f t="shared" si="592"/>
        <v>0</v>
      </c>
      <c r="X98" s="226">
        <f t="shared" si="592"/>
        <v>0</v>
      </c>
      <c r="Y98" s="226">
        <f t="shared" si="592"/>
        <v>0</v>
      </c>
      <c r="Z98" s="226">
        <f t="shared" si="592"/>
        <v>0</v>
      </c>
      <c r="AA98" s="226">
        <f t="shared" si="592"/>
        <v>0</v>
      </c>
      <c r="AB98" s="226">
        <f t="shared" si="593"/>
        <v>0</v>
      </c>
      <c r="AC98" s="226">
        <f t="shared" si="593"/>
        <v>0</v>
      </c>
      <c r="AD98" s="226">
        <f t="shared" si="593"/>
        <v>0</v>
      </c>
      <c r="AE98" s="226">
        <f t="shared" si="593"/>
        <v>0</v>
      </c>
      <c r="AF98" s="226">
        <f t="shared" si="593"/>
        <v>0</v>
      </c>
      <c r="AG98" s="226">
        <f t="shared" si="593"/>
        <v>0</v>
      </c>
      <c r="AH98" s="226">
        <f t="shared" si="593"/>
        <v>0</v>
      </c>
      <c r="AI98" s="226">
        <f t="shared" si="593"/>
        <v>0</v>
      </c>
      <c r="AJ98" s="226">
        <f t="shared" si="593"/>
        <v>0</v>
      </c>
      <c r="AK98" s="226">
        <f t="shared" si="593"/>
        <v>0</v>
      </c>
      <c r="AL98" s="226">
        <f t="shared" si="594"/>
        <v>0</v>
      </c>
      <c r="AM98" s="226">
        <f t="shared" si="594"/>
        <v>0</v>
      </c>
      <c r="AN98" s="226">
        <f t="shared" si="594"/>
        <v>0</v>
      </c>
      <c r="AO98" s="226">
        <f t="shared" si="594"/>
        <v>0</v>
      </c>
      <c r="AP98" s="226">
        <f t="shared" si="594"/>
        <v>0</v>
      </c>
      <c r="AQ98" s="226">
        <f t="shared" si="594"/>
        <v>0</v>
      </c>
      <c r="AR98" s="226">
        <f t="shared" si="594"/>
        <v>0</v>
      </c>
      <c r="AS98" s="226">
        <f t="shared" si="594"/>
        <v>0</v>
      </c>
      <c r="AT98" s="226">
        <f t="shared" si="594"/>
        <v>0</v>
      </c>
      <c r="AU98" s="226">
        <f t="shared" si="594"/>
        <v>0</v>
      </c>
      <c r="AV98" s="226">
        <f t="shared" si="595"/>
        <v>0</v>
      </c>
      <c r="AW98" s="226">
        <f t="shared" si="595"/>
        <v>0</v>
      </c>
      <c r="AX98" s="226">
        <f t="shared" si="595"/>
        <v>0</v>
      </c>
      <c r="AY98" s="226">
        <f t="shared" si="595"/>
        <v>0</v>
      </c>
      <c r="AZ98" s="226">
        <f t="shared" si="595"/>
        <v>0</v>
      </c>
      <c r="BA98" s="226">
        <f t="shared" si="595"/>
        <v>0</v>
      </c>
      <c r="BB98" s="226">
        <f t="shared" si="595"/>
        <v>0</v>
      </c>
      <c r="BC98" s="226">
        <f t="shared" si="595"/>
        <v>0</v>
      </c>
      <c r="BD98" s="226">
        <f t="shared" si="595"/>
        <v>0</v>
      </c>
      <c r="BE98" s="226">
        <f t="shared" si="595"/>
        <v>0</v>
      </c>
      <c r="BF98" s="226">
        <f t="shared" si="596"/>
        <v>0</v>
      </c>
      <c r="BG98" s="226">
        <f t="shared" si="596"/>
        <v>0</v>
      </c>
      <c r="BH98" s="226">
        <f t="shared" si="596"/>
        <v>0</v>
      </c>
      <c r="BI98" s="226">
        <f t="shared" si="596"/>
        <v>0</v>
      </c>
      <c r="BJ98" s="226">
        <f t="shared" si="596"/>
        <v>0</v>
      </c>
      <c r="BK98" s="226">
        <f t="shared" si="596"/>
        <v>0</v>
      </c>
      <c r="BL98" s="226">
        <f t="shared" si="596"/>
        <v>0</v>
      </c>
      <c r="BM98" s="226">
        <f t="shared" si="596"/>
        <v>0</v>
      </c>
      <c r="BN98" s="226">
        <f t="shared" si="596"/>
        <v>0</v>
      </c>
      <c r="BO98" s="226">
        <f t="shared" si="596"/>
        <v>0</v>
      </c>
      <c r="BP98" s="226">
        <f t="shared" si="597"/>
        <v>0</v>
      </c>
      <c r="BQ98" s="226">
        <f t="shared" si="597"/>
        <v>0</v>
      </c>
      <c r="BR98" s="226">
        <f t="shared" si="597"/>
        <v>0</v>
      </c>
      <c r="BS98" s="226">
        <f t="shared" si="597"/>
        <v>0</v>
      </c>
      <c r="BT98" s="226">
        <f t="shared" si="597"/>
        <v>0</v>
      </c>
      <c r="BU98" s="226">
        <f t="shared" si="597"/>
        <v>0</v>
      </c>
      <c r="BV98" s="226">
        <f t="shared" si="597"/>
        <v>0</v>
      </c>
      <c r="BW98" s="226">
        <f t="shared" si="597"/>
        <v>0</v>
      </c>
      <c r="BX98" s="226">
        <f t="shared" si="597"/>
        <v>0</v>
      </c>
      <c r="BY98" s="226">
        <f t="shared" si="597"/>
        <v>0</v>
      </c>
      <c r="BZ98" s="226">
        <f t="shared" si="598"/>
        <v>0</v>
      </c>
      <c r="CA98" s="226">
        <f t="shared" si="598"/>
        <v>0</v>
      </c>
      <c r="CB98" s="226">
        <f t="shared" si="598"/>
        <v>0</v>
      </c>
      <c r="CC98" s="226">
        <f t="shared" si="598"/>
        <v>0</v>
      </c>
      <c r="CD98" s="226">
        <f t="shared" si="598"/>
        <v>0</v>
      </c>
      <c r="CE98" s="226">
        <f t="shared" si="598"/>
        <v>0</v>
      </c>
      <c r="CF98" s="226">
        <f t="shared" si="598"/>
        <v>0</v>
      </c>
      <c r="CG98" s="226">
        <f t="shared" si="598"/>
        <v>0</v>
      </c>
      <c r="CH98" s="226">
        <f t="shared" si="598"/>
        <v>0</v>
      </c>
      <c r="CI98" s="226">
        <f t="shared" si="598"/>
        <v>0</v>
      </c>
      <c r="CJ98" s="226">
        <f t="shared" si="599"/>
        <v>0</v>
      </c>
      <c r="CK98" s="226">
        <f t="shared" si="599"/>
        <v>0</v>
      </c>
      <c r="CL98" s="226">
        <f t="shared" si="599"/>
        <v>0</v>
      </c>
      <c r="CM98" s="226">
        <f t="shared" si="599"/>
        <v>0</v>
      </c>
      <c r="CN98" s="226">
        <f t="shared" si="599"/>
        <v>0</v>
      </c>
      <c r="CO98" s="226">
        <f t="shared" si="599"/>
        <v>0</v>
      </c>
      <c r="CP98" s="226">
        <f t="shared" si="599"/>
        <v>0</v>
      </c>
      <c r="CQ98" s="226">
        <f t="shared" si="599"/>
        <v>0</v>
      </c>
      <c r="CR98" s="226">
        <f t="shared" si="599"/>
        <v>0</v>
      </c>
      <c r="CS98" s="226">
        <f t="shared" si="599"/>
        <v>0</v>
      </c>
      <c r="CT98" s="226">
        <f t="shared" si="600"/>
        <v>0</v>
      </c>
      <c r="CU98" s="226">
        <f t="shared" si="600"/>
        <v>0</v>
      </c>
      <c r="CV98" s="226">
        <f t="shared" si="600"/>
        <v>0</v>
      </c>
      <c r="CW98" s="226">
        <f t="shared" si="600"/>
        <v>0</v>
      </c>
      <c r="CX98" s="226">
        <f t="shared" si="600"/>
        <v>0</v>
      </c>
      <c r="CY98" s="226">
        <f t="shared" si="600"/>
        <v>0</v>
      </c>
      <c r="CZ98" s="226">
        <f t="shared" si="600"/>
        <v>0</v>
      </c>
      <c r="DA98" s="226">
        <f t="shared" si="600"/>
        <v>0</v>
      </c>
      <c r="DB98" s="226">
        <f t="shared" si="600"/>
        <v>0</v>
      </c>
      <c r="DC98" s="226">
        <f t="shared" si="600"/>
        <v>0</v>
      </c>
      <c r="DD98" s="226">
        <f t="shared" si="601"/>
        <v>0</v>
      </c>
      <c r="DE98" s="226">
        <f t="shared" si="601"/>
        <v>0</v>
      </c>
      <c r="DF98" s="226">
        <f t="shared" si="601"/>
        <v>0</v>
      </c>
      <c r="DG98" s="226">
        <f t="shared" si="601"/>
        <v>0</v>
      </c>
      <c r="DH98" s="226">
        <f t="shared" si="601"/>
        <v>0</v>
      </c>
      <c r="DI98" s="226">
        <f t="shared" si="601"/>
        <v>0</v>
      </c>
      <c r="DJ98" s="226">
        <f t="shared" si="601"/>
        <v>0</v>
      </c>
      <c r="DK98" s="226">
        <f t="shared" si="601"/>
        <v>0</v>
      </c>
      <c r="DL98" s="226">
        <f t="shared" si="601"/>
        <v>0</v>
      </c>
      <c r="DM98" s="226">
        <f t="shared" si="601"/>
        <v>0</v>
      </c>
      <c r="DN98" s="226">
        <f t="shared" si="602"/>
        <v>0</v>
      </c>
      <c r="DO98" s="226">
        <f t="shared" si="602"/>
        <v>0</v>
      </c>
      <c r="DP98" s="226">
        <f t="shared" si="602"/>
        <v>0</v>
      </c>
      <c r="DQ98" s="226">
        <f t="shared" si="602"/>
        <v>0</v>
      </c>
      <c r="DR98" s="226">
        <f t="shared" si="602"/>
        <v>0</v>
      </c>
      <c r="DS98" s="226">
        <f t="shared" si="602"/>
        <v>0</v>
      </c>
      <c r="DT98" s="226">
        <f t="shared" si="602"/>
        <v>0</v>
      </c>
      <c r="DU98" s="226">
        <f t="shared" si="602"/>
        <v>0</v>
      </c>
      <c r="DV98" s="226">
        <f t="shared" si="602"/>
        <v>0</v>
      </c>
      <c r="DW98" s="226">
        <f t="shared" si="602"/>
        <v>0</v>
      </c>
      <c r="DX98" s="226">
        <f t="shared" si="603"/>
        <v>0</v>
      </c>
      <c r="DY98" s="226">
        <f t="shared" si="603"/>
        <v>0</v>
      </c>
      <c r="DZ98" s="226">
        <f t="shared" si="603"/>
        <v>0</v>
      </c>
      <c r="EA98" s="226">
        <f t="shared" si="603"/>
        <v>0</v>
      </c>
      <c r="EB98" s="226">
        <f t="shared" si="603"/>
        <v>0</v>
      </c>
      <c r="EC98" s="226">
        <f t="shared" si="603"/>
        <v>0</v>
      </c>
      <c r="ED98" s="226">
        <f t="shared" si="603"/>
        <v>0</v>
      </c>
      <c r="EE98" s="226">
        <f t="shared" si="603"/>
        <v>0</v>
      </c>
      <c r="EF98" s="226">
        <f t="shared" si="603"/>
        <v>0</v>
      </c>
      <c r="EG98" s="226">
        <f t="shared" si="603"/>
        <v>0</v>
      </c>
      <c r="EH98" s="226">
        <f t="shared" si="604"/>
        <v>0</v>
      </c>
      <c r="EI98" s="226">
        <f t="shared" si="604"/>
        <v>0</v>
      </c>
      <c r="EJ98" s="226">
        <f t="shared" si="604"/>
        <v>0</v>
      </c>
      <c r="EK98" s="226">
        <f t="shared" si="604"/>
        <v>0</v>
      </c>
      <c r="EL98" s="226">
        <f t="shared" si="604"/>
        <v>0</v>
      </c>
      <c r="EM98" s="226">
        <f t="shared" si="604"/>
        <v>0</v>
      </c>
      <c r="EN98" s="226">
        <f t="shared" si="604"/>
        <v>0</v>
      </c>
      <c r="EO98" s="226">
        <f t="shared" si="604"/>
        <v>0</v>
      </c>
      <c r="EP98" s="226">
        <f t="shared" si="604"/>
        <v>0</v>
      </c>
      <c r="EQ98" s="226">
        <f t="shared" si="604"/>
        <v>0</v>
      </c>
      <c r="ER98" s="226">
        <f t="shared" si="605"/>
        <v>0</v>
      </c>
      <c r="ES98" s="226">
        <f t="shared" si="605"/>
        <v>0</v>
      </c>
      <c r="EU98" s="153" t="str">
        <f>B98</f>
        <v>[Unit Type]</v>
      </c>
      <c r="EV98" s="153"/>
      <c r="EW98" s="327">
        <f t="shared" si="606"/>
        <v>0</v>
      </c>
      <c r="EX98" s="327">
        <f t="shared" si="606"/>
        <v>0</v>
      </c>
      <c r="EY98" s="153"/>
      <c r="EZ98" s="154"/>
      <c r="FA98" s="221"/>
      <c r="FB98" s="252">
        <f t="shared" ref="FB98:GG98" si="621">IF(FB$92=0,$EW98*R98,$EX98*R98)</f>
        <v>0</v>
      </c>
      <c r="FC98" s="252">
        <f t="shared" si="621"/>
        <v>0</v>
      </c>
      <c r="FD98" s="252">
        <f t="shared" si="621"/>
        <v>0</v>
      </c>
      <c r="FE98" s="252">
        <f t="shared" si="621"/>
        <v>0</v>
      </c>
      <c r="FF98" s="252">
        <f t="shared" si="621"/>
        <v>0</v>
      </c>
      <c r="FG98" s="252">
        <f t="shared" si="621"/>
        <v>0</v>
      </c>
      <c r="FH98" s="252">
        <f t="shared" si="621"/>
        <v>0</v>
      </c>
      <c r="FI98" s="252">
        <f t="shared" si="621"/>
        <v>0</v>
      </c>
      <c r="FJ98" s="252">
        <f t="shared" si="621"/>
        <v>0</v>
      </c>
      <c r="FK98" s="252">
        <f t="shared" si="621"/>
        <v>0</v>
      </c>
      <c r="FL98" s="252">
        <f t="shared" si="621"/>
        <v>0</v>
      </c>
      <c r="FM98" s="252">
        <f t="shared" si="621"/>
        <v>0</v>
      </c>
      <c r="FN98" s="252">
        <f t="shared" si="621"/>
        <v>0</v>
      </c>
      <c r="FO98" s="252">
        <f t="shared" si="621"/>
        <v>0</v>
      </c>
      <c r="FP98" s="252">
        <f t="shared" si="621"/>
        <v>0</v>
      </c>
      <c r="FQ98" s="252">
        <f t="shared" si="621"/>
        <v>0</v>
      </c>
      <c r="FR98" s="252">
        <f t="shared" si="621"/>
        <v>0</v>
      </c>
      <c r="FS98" s="252">
        <f t="shared" si="621"/>
        <v>0</v>
      </c>
      <c r="FT98" s="252">
        <f t="shared" si="621"/>
        <v>0</v>
      </c>
      <c r="FU98" s="252">
        <f t="shared" si="621"/>
        <v>0</v>
      </c>
      <c r="FV98" s="252">
        <f t="shared" si="621"/>
        <v>0</v>
      </c>
      <c r="FW98" s="252">
        <f t="shared" si="621"/>
        <v>0</v>
      </c>
      <c r="FX98" s="252">
        <f t="shared" si="621"/>
        <v>0</v>
      </c>
      <c r="FY98" s="252">
        <f t="shared" si="621"/>
        <v>0</v>
      </c>
      <c r="FZ98" s="252">
        <f t="shared" si="621"/>
        <v>0</v>
      </c>
      <c r="GA98" s="252">
        <f t="shared" si="621"/>
        <v>0</v>
      </c>
      <c r="GB98" s="252">
        <f t="shared" si="621"/>
        <v>0</v>
      </c>
      <c r="GC98" s="252">
        <f t="shared" si="621"/>
        <v>0</v>
      </c>
      <c r="GD98" s="252">
        <f t="shared" si="621"/>
        <v>0</v>
      </c>
      <c r="GE98" s="252">
        <f t="shared" si="621"/>
        <v>0</v>
      </c>
      <c r="GF98" s="252">
        <f t="shared" si="621"/>
        <v>0</v>
      </c>
      <c r="GG98" s="252">
        <f t="shared" si="621"/>
        <v>0</v>
      </c>
      <c r="GH98" s="252">
        <f t="shared" ref="GH98:HM98" si="622">IF(GH$92=0,$EW98*AX98,$EX98*AX98)</f>
        <v>0</v>
      </c>
      <c r="GI98" s="252">
        <f t="shared" si="622"/>
        <v>0</v>
      </c>
      <c r="GJ98" s="252">
        <f t="shared" si="622"/>
        <v>0</v>
      </c>
      <c r="GK98" s="252">
        <f t="shared" si="622"/>
        <v>0</v>
      </c>
      <c r="GL98" s="252">
        <f t="shared" si="622"/>
        <v>0</v>
      </c>
      <c r="GM98" s="252">
        <f t="shared" si="622"/>
        <v>0</v>
      </c>
      <c r="GN98" s="252">
        <f t="shared" si="622"/>
        <v>0</v>
      </c>
      <c r="GO98" s="252">
        <f t="shared" si="622"/>
        <v>0</v>
      </c>
      <c r="GP98" s="252">
        <f t="shared" si="622"/>
        <v>0</v>
      </c>
      <c r="GQ98" s="252">
        <f t="shared" si="622"/>
        <v>0</v>
      </c>
      <c r="GR98" s="252">
        <f t="shared" si="622"/>
        <v>0</v>
      </c>
      <c r="GS98" s="252">
        <f t="shared" si="622"/>
        <v>0</v>
      </c>
      <c r="GT98" s="252">
        <f t="shared" si="622"/>
        <v>0</v>
      </c>
      <c r="GU98" s="252">
        <f t="shared" si="622"/>
        <v>0</v>
      </c>
      <c r="GV98" s="252">
        <f t="shared" si="622"/>
        <v>0</v>
      </c>
      <c r="GW98" s="252">
        <f t="shared" si="622"/>
        <v>0</v>
      </c>
      <c r="GX98" s="252">
        <f t="shared" si="622"/>
        <v>0</v>
      </c>
      <c r="GY98" s="252">
        <f t="shared" si="622"/>
        <v>0</v>
      </c>
      <c r="GZ98" s="252">
        <f t="shared" si="622"/>
        <v>0</v>
      </c>
      <c r="HA98" s="252">
        <f t="shared" si="622"/>
        <v>0</v>
      </c>
      <c r="HB98" s="252">
        <f t="shared" si="622"/>
        <v>0</v>
      </c>
      <c r="HC98" s="252">
        <f t="shared" si="622"/>
        <v>0</v>
      </c>
      <c r="HD98" s="252">
        <f t="shared" si="622"/>
        <v>0</v>
      </c>
      <c r="HE98" s="252">
        <f t="shared" si="622"/>
        <v>0</v>
      </c>
      <c r="HF98" s="252">
        <f t="shared" si="622"/>
        <v>0</v>
      </c>
      <c r="HG98" s="252">
        <f t="shared" si="622"/>
        <v>0</v>
      </c>
      <c r="HH98" s="252">
        <f t="shared" si="622"/>
        <v>0</v>
      </c>
      <c r="HI98" s="252">
        <f t="shared" si="622"/>
        <v>0</v>
      </c>
      <c r="HJ98" s="252">
        <f t="shared" si="622"/>
        <v>0</v>
      </c>
      <c r="HK98" s="252">
        <f t="shared" si="622"/>
        <v>0</v>
      </c>
      <c r="HL98" s="252">
        <f t="shared" si="622"/>
        <v>0</v>
      </c>
      <c r="HM98" s="252">
        <f t="shared" si="622"/>
        <v>0</v>
      </c>
      <c r="HN98" s="252">
        <f t="shared" ref="HN98:IS98" si="623">IF(HN$92=0,$EW98*CD98,$EX98*CD98)</f>
        <v>0</v>
      </c>
      <c r="HO98" s="252">
        <f t="shared" si="623"/>
        <v>0</v>
      </c>
      <c r="HP98" s="252">
        <f t="shared" si="623"/>
        <v>0</v>
      </c>
      <c r="HQ98" s="252">
        <f t="shared" si="623"/>
        <v>0</v>
      </c>
      <c r="HR98" s="252">
        <f t="shared" si="623"/>
        <v>0</v>
      </c>
      <c r="HS98" s="252">
        <f t="shared" si="623"/>
        <v>0</v>
      </c>
      <c r="HT98" s="252">
        <f t="shared" si="623"/>
        <v>0</v>
      </c>
      <c r="HU98" s="252">
        <f t="shared" si="623"/>
        <v>0</v>
      </c>
      <c r="HV98" s="252">
        <f t="shared" si="623"/>
        <v>0</v>
      </c>
      <c r="HW98" s="252">
        <f t="shared" si="623"/>
        <v>0</v>
      </c>
      <c r="HX98" s="252">
        <f t="shared" si="623"/>
        <v>0</v>
      </c>
      <c r="HY98" s="252">
        <f t="shared" si="623"/>
        <v>0</v>
      </c>
      <c r="HZ98" s="252">
        <f t="shared" si="623"/>
        <v>0</v>
      </c>
      <c r="IA98" s="252">
        <f t="shared" si="623"/>
        <v>0</v>
      </c>
      <c r="IB98" s="252">
        <f t="shared" si="623"/>
        <v>0</v>
      </c>
      <c r="IC98" s="252">
        <f t="shared" si="623"/>
        <v>0</v>
      </c>
      <c r="ID98" s="252">
        <f t="shared" si="623"/>
        <v>0</v>
      </c>
      <c r="IE98" s="252">
        <f t="shared" si="623"/>
        <v>0</v>
      </c>
      <c r="IF98" s="252">
        <f t="shared" si="623"/>
        <v>0</v>
      </c>
      <c r="IG98" s="252">
        <f t="shared" si="623"/>
        <v>0</v>
      </c>
      <c r="IH98" s="252">
        <f t="shared" si="623"/>
        <v>0</v>
      </c>
      <c r="II98" s="252">
        <f t="shared" si="623"/>
        <v>0</v>
      </c>
      <c r="IJ98" s="252">
        <f t="shared" si="623"/>
        <v>0</v>
      </c>
      <c r="IK98" s="252">
        <f t="shared" si="623"/>
        <v>0</v>
      </c>
      <c r="IL98" s="252">
        <f t="shared" si="623"/>
        <v>0</v>
      </c>
      <c r="IM98" s="252">
        <f t="shared" si="623"/>
        <v>0</v>
      </c>
      <c r="IN98" s="252">
        <f t="shared" si="623"/>
        <v>0</v>
      </c>
      <c r="IO98" s="252">
        <f t="shared" si="623"/>
        <v>0</v>
      </c>
      <c r="IP98" s="252">
        <f t="shared" si="623"/>
        <v>0</v>
      </c>
      <c r="IQ98" s="252">
        <f t="shared" si="623"/>
        <v>0</v>
      </c>
      <c r="IR98" s="252">
        <f t="shared" si="623"/>
        <v>0</v>
      </c>
      <c r="IS98" s="252">
        <f t="shared" si="623"/>
        <v>0</v>
      </c>
      <c r="IT98" s="252">
        <f t="shared" ref="IT98:JY98" si="624">IF(IT$92=0,$EW98*DJ98,$EX98*DJ98)</f>
        <v>0</v>
      </c>
      <c r="IU98" s="252">
        <f t="shared" si="624"/>
        <v>0</v>
      </c>
      <c r="IV98" s="252">
        <f t="shared" si="624"/>
        <v>0</v>
      </c>
      <c r="IW98" s="252">
        <f t="shared" si="624"/>
        <v>0</v>
      </c>
      <c r="IX98" s="252">
        <f t="shared" si="624"/>
        <v>0</v>
      </c>
      <c r="IY98" s="252">
        <f t="shared" si="624"/>
        <v>0</v>
      </c>
      <c r="IZ98" s="252">
        <f t="shared" si="624"/>
        <v>0</v>
      </c>
      <c r="JA98" s="252">
        <f t="shared" si="624"/>
        <v>0</v>
      </c>
      <c r="JB98" s="252">
        <f t="shared" si="624"/>
        <v>0</v>
      </c>
      <c r="JC98" s="252">
        <f t="shared" si="624"/>
        <v>0</v>
      </c>
      <c r="JD98" s="252">
        <f t="shared" si="624"/>
        <v>0</v>
      </c>
      <c r="JE98" s="252">
        <f t="shared" si="624"/>
        <v>0</v>
      </c>
      <c r="JF98" s="252">
        <f t="shared" si="624"/>
        <v>0</v>
      </c>
      <c r="JG98" s="252">
        <f t="shared" si="624"/>
        <v>0</v>
      </c>
      <c r="JH98" s="252">
        <f t="shared" si="624"/>
        <v>0</v>
      </c>
      <c r="JI98" s="252">
        <f t="shared" si="624"/>
        <v>0</v>
      </c>
      <c r="JJ98" s="252">
        <f t="shared" si="624"/>
        <v>0</v>
      </c>
      <c r="JK98" s="252">
        <f t="shared" si="624"/>
        <v>0</v>
      </c>
      <c r="JL98" s="252">
        <f t="shared" si="624"/>
        <v>0</v>
      </c>
      <c r="JM98" s="252">
        <f t="shared" si="624"/>
        <v>0</v>
      </c>
      <c r="JN98" s="252">
        <f t="shared" si="624"/>
        <v>0</v>
      </c>
      <c r="JO98" s="252">
        <f t="shared" si="624"/>
        <v>0</v>
      </c>
      <c r="JP98" s="252">
        <f t="shared" si="624"/>
        <v>0</v>
      </c>
      <c r="JQ98" s="252">
        <f t="shared" si="624"/>
        <v>0</v>
      </c>
      <c r="JR98" s="252">
        <f t="shared" si="624"/>
        <v>0</v>
      </c>
      <c r="JS98" s="252">
        <f t="shared" si="624"/>
        <v>0</v>
      </c>
      <c r="JT98" s="252">
        <f t="shared" si="624"/>
        <v>0</v>
      </c>
      <c r="JU98" s="252">
        <f t="shared" si="624"/>
        <v>0</v>
      </c>
      <c r="JV98" s="252">
        <f t="shared" si="624"/>
        <v>0</v>
      </c>
      <c r="JW98" s="252">
        <f t="shared" si="624"/>
        <v>0</v>
      </c>
      <c r="JX98" s="252">
        <f t="shared" si="624"/>
        <v>0</v>
      </c>
      <c r="JY98" s="252">
        <f t="shared" si="624"/>
        <v>0</v>
      </c>
      <c r="JZ98" s="252">
        <f t="shared" ref="JZ98:KC98" si="625">IF(JZ$92=0,$EW98*EP98,$EX98*EP98)</f>
        <v>0</v>
      </c>
      <c r="KA98" s="252">
        <f t="shared" si="625"/>
        <v>0</v>
      </c>
      <c r="KB98" s="252">
        <f t="shared" si="625"/>
        <v>0</v>
      </c>
      <c r="KC98" s="252">
        <f t="shared" si="625"/>
        <v>0</v>
      </c>
    </row>
    <row r="99" spans="1:289" x14ac:dyDescent="0.25">
      <c r="B99" s="180" t="s">
        <v>124</v>
      </c>
      <c r="C99" s="333">
        <f>SUM(C96:C98)</f>
        <v>16</v>
      </c>
      <c r="D99" s="333">
        <f>SUMPRODUCT(D96:D98,$C$96:$C$98)/$C$99</f>
        <v>1018.5</v>
      </c>
      <c r="E99" s="334">
        <f>SUMPRODUCT(E96:E98,$C$96:$C$98)/$C$99</f>
        <v>0</v>
      </c>
      <c r="F99" s="334">
        <f>SUMPRODUCT(F96:F98,$C$96:$C$98)/$C$99</f>
        <v>0</v>
      </c>
      <c r="G99" s="324">
        <f>I99/Units_SF_M2/12</f>
        <v>1.8654884634266076</v>
      </c>
      <c r="H99" s="335">
        <f>I99/C99/12</f>
        <v>1900</v>
      </c>
      <c r="I99" s="326">
        <f>SUM(I96:I98)</f>
        <v>364800</v>
      </c>
      <c r="P99" s="152" t="s">
        <v>97</v>
      </c>
      <c r="R99" s="220">
        <f t="shared" ref="R99:AW99" si="626">SUM(R96:R98)</f>
        <v>0</v>
      </c>
      <c r="S99" s="220">
        <f t="shared" si="626"/>
        <v>0</v>
      </c>
      <c r="T99" s="220">
        <f t="shared" si="626"/>
        <v>0</v>
      </c>
      <c r="U99" s="220">
        <f t="shared" si="626"/>
        <v>0</v>
      </c>
      <c r="V99" s="220">
        <f t="shared" si="626"/>
        <v>0</v>
      </c>
      <c r="W99" s="220">
        <f t="shared" si="626"/>
        <v>0</v>
      </c>
      <c r="X99" s="220">
        <f t="shared" si="626"/>
        <v>0</v>
      </c>
      <c r="Y99" s="220">
        <f t="shared" si="626"/>
        <v>0</v>
      </c>
      <c r="Z99" s="220">
        <f t="shared" si="626"/>
        <v>0</v>
      </c>
      <c r="AA99" s="220">
        <f t="shared" si="626"/>
        <v>0</v>
      </c>
      <c r="AB99" s="220">
        <f t="shared" si="626"/>
        <v>0</v>
      </c>
      <c r="AC99" s="220">
        <f t="shared" si="626"/>
        <v>30400</v>
      </c>
      <c r="AD99" s="220">
        <f t="shared" si="626"/>
        <v>30400</v>
      </c>
      <c r="AE99" s="220">
        <f t="shared" si="626"/>
        <v>30400</v>
      </c>
      <c r="AF99" s="220">
        <f t="shared" si="626"/>
        <v>30400</v>
      </c>
      <c r="AG99" s="220">
        <f t="shared" si="626"/>
        <v>30400</v>
      </c>
      <c r="AH99" s="220">
        <f t="shared" si="626"/>
        <v>30400</v>
      </c>
      <c r="AI99" s="220">
        <f t="shared" si="626"/>
        <v>30400</v>
      </c>
      <c r="AJ99" s="220">
        <f t="shared" si="626"/>
        <v>30400</v>
      </c>
      <c r="AK99" s="220">
        <f t="shared" si="626"/>
        <v>30400</v>
      </c>
      <c r="AL99" s="220">
        <f t="shared" si="626"/>
        <v>30400</v>
      </c>
      <c r="AM99" s="220">
        <f t="shared" si="626"/>
        <v>30400</v>
      </c>
      <c r="AN99" s="220">
        <f t="shared" si="626"/>
        <v>30400</v>
      </c>
      <c r="AO99" s="220">
        <f t="shared" si="626"/>
        <v>31312</v>
      </c>
      <c r="AP99" s="220">
        <f t="shared" si="626"/>
        <v>31312</v>
      </c>
      <c r="AQ99" s="220">
        <f t="shared" si="626"/>
        <v>31312</v>
      </c>
      <c r="AR99" s="220">
        <f t="shared" si="626"/>
        <v>31312</v>
      </c>
      <c r="AS99" s="220">
        <f t="shared" si="626"/>
        <v>31312</v>
      </c>
      <c r="AT99" s="220">
        <f t="shared" si="626"/>
        <v>31312</v>
      </c>
      <c r="AU99" s="220">
        <f t="shared" si="626"/>
        <v>31312</v>
      </c>
      <c r="AV99" s="220">
        <f t="shared" si="626"/>
        <v>31312</v>
      </c>
      <c r="AW99" s="220">
        <f t="shared" si="626"/>
        <v>31312</v>
      </c>
      <c r="AX99" s="220">
        <f t="shared" ref="AX99:CC99" si="627">SUM(AX96:AX98)</f>
        <v>31312</v>
      </c>
      <c r="AY99" s="220">
        <f t="shared" si="627"/>
        <v>31312</v>
      </c>
      <c r="AZ99" s="220">
        <f t="shared" si="627"/>
        <v>31312</v>
      </c>
      <c r="BA99" s="220">
        <f t="shared" si="627"/>
        <v>32251.360000000001</v>
      </c>
      <c r="BB99" s="220">
        <f t="shared" si="627"/>
        <v>32251.360000000001</v>
      </c>
      <c r="BC99" s="220">
        <f t="shared" si="627"/>
        <v>32251.360000000001</v>
      </c>
      <c r="BD99" s="220">
        <f t="shared" si="627"/>
        <v>32251.360000000001</v>
      </c>
      <c r="BE99" s="220">
        <f t="shared" si="627"/>
        <v>32251.360000000001</v>
      </c>
      <c r="BF99" s="220">
        <f t="shared" si="627"/>
        <v>32251.360000000001</v>
      </c>
      <c r="BG99" s="220">
        <f t="shared" si="627"/>
        <v>32251.360000000001</v>
      </c>
      <c r="BH99" s="220">
        <f t="shared" si="627"/>
        <v>32251.360000000001</v>
      </c>
      <c r="BI99" s="220">
        <f t="shared" si="627"/>
        <v>32251.360000000001</v>
      </c>
      <c r="BJ99" s="220">
        <f t="shared" si="627"/>
        <v>32251.360000000001</v>
      </c>
      <c r="BK99" s="220">
        <f t="shared" si="627"/>
        <v>32251.360000000001</v>
      </c>
      <c r="BL99" s="220">
        <f t="shared" si="627"/>
        <v>32251.360000000001</v>
      </c>
      <c r="BM99" s="220">
        <f t="shared" si="627"/>
        <v>33218.900800000003</v>
      </c>
      <c r="BN99" s="220">
        <f t="shared" si="627"/>
        <v>33218.900800000003</v>
      </c>
      <c r="BO99" s="220">
        <f t="shared" si="627"/>
        <v>33218.900800000003</v>
      </c>
      <c r="BP99" s="220">
        <f t="shared" si="627"/>
        <v>33218.900800000003</v>
      </c>
      <c r="BQ99" s="220">
        <f t="shared" si="627"/>
        <v>33218.900800000003</v>
      </c>
      <c r="BR99" s="220">
        <f t="shared" si="627"/>
        <v>33218.900800000003</v>
      </c>
      <c r="BS99" s="220">
        <f t="shared" si="627"/>
        <v>33218.900800000003</v>
      </c>
      <c r="BT99" s="220">
        <f t="shared" si="627"/>
        <v>33218.900800000003</v>
      </c>
      <c r="BU99" s="220">
        <f t="shared" si="627"/>
        <v>33218.900800000003</v>
      </c>
      <c r="BV99" s="220">
        <f t="shared" si="627"/>
        <v>33218.900800000003</v>
      </c>
      <c r="BW99" s="220">
        <f t="shared" si="627"/>
        <v>33218.900800000003</v>
      </c>
      <c r="BX99" s="220">
        <f t="shared" si="627"/>
        <v>33218.900800000003</v>
      </c>
      <c r="BY99" s="220">
        <f t="shared" si="627"/>
        <v>34215.467823999999</v>
      </c>
      <c r="BZ99" s="220">
        <f t="shared" si="627"/>
        <v>34215.467823999999</v>
      </c>
      <c r="CA99" s="220">
        <f t="shared" si="627"/>
        <v>34215.467823999999</v>
      </c>
      <c r="CB99" s="220">
        <f t="shared" si="627"/>
        <v>34215.467823999999</v>
      </c>
      <c r="CC99" s="220">
        <f t="shared" si="627"/>
        <v>34215.467823999999</v>
      </c>
      <c r="CD99" s="220">
        <f t="shared" ref="CD99:DI99" si="628">SUM(CD96:CD98)</f>
        <v>34215.467823999999</v>
      </c>
      <c r="CE99" s="220">
        <f t="shared" si="628"/>
        <v>34215.467823999999</v>
      </c>
      <c r="CF99" s="220">
        <f t="shared" si="628"/>
        <v>34215.467823999999</v>
      </c>
      <c r="CG99" s="220">
        <f t="shared" si="628"/>
        <v>34215.467823999999</v>
      </c>
      <c r="CH99" s="220">
        <f t="shared" si="628"/>
        <v>34215.467823999999</v>
      </c>
      <c r="CI99" s="220">
        <f t="shared" si="628"/>
        <v>34215.467823999999</v>
      </c>
      <c r="CJ99" s="220">
        <f t="shared" si="628"/>
        <v>34215.467823999999</v>
      </c>
      <c r="CK99" s="220">
        <f t="shared" si="628"/>
        <v>35241.931858719996</v>
      </c>
      <c r="CL99" s="220">
        <f t="shared" si="628"/>
        <v>35241.931858719996</v>
      </c>
      <c r="CM99" s="220">
        <f t="shared" si="628"/>
        <v>35241.931858719996</v>
      </c>
      <c r="CN99" s="220">
        <f t="shared" si="628"/>
        <v>35241.931858719996</v>
      </c>
      <c r="CO99" s="220">
        <f t="shared" si="628"/>
        <v>35241.931858719996</v>
      </c>
      <c r="CP99" s="220">
        <f t="shared" si="628"/>
        <v>35241.931858719996</v>
      </c>
      <c r="CQ99" s="220">
        <f t="shared" si="628"/>
        <v>35241.931858719996</v>
      </c>
      <c r="CR99" s="220">
        <f t="shared" si="628"/>
        <v>35241.931858719996</v>
      </c>
      <c r="CS99" s="220">
        <f t="shared" si="628"/>
        <v>35241.931858719996</v>
      </c>
      <c r="CT99" s="220">
        <f t="shared" si="628"/>
        <v>35241.931858719996</v>
      </c>
      <c r="CU99" s="220">
        <f t="shared" si="628"/>
        <v>35241.931858719996</v>
      </c>
      <c r="CV99" s="220">
        <f t="shared" si="628"/>
        <v>35241.931858719996</v>
      </c>
      <c r="CW99" s="220">
        <f t="shared" si="628"/>
        <v>36299.1898144816</v>
      </c>
      <c r="CX99" s="220">
        <f t="shared" si="628"/>
        <v>36299.1898144816</v>
      </c>
      <c r="CY99" s="220">
        <f t="shared" si="628"/>
        <v>36299.1898144816</v>
      </c>
      <c r="CZ99" s="220">
        <f t="shared" si="628"/>
        <v>36299.1898144816</v>
      </c>
      <c r="DA99" s="220">
        <f t="shared" si="628"/>
        <v>36299.1898144816</v>
      </c>
      <c r="DB99" s="220">
        <f t="shared" si="628"/>
        <v>36299.1898144816</v>
      </c>
      <c r="DC99" s="220">
        <f t="shared" si="628"/>
        <v>36299.1898144816</v>
      </c>
      <c r="DD99" s="220">
        <f t="shared" si="628"/>
        <v>36299.1898144816</v>
      </c>
      <c r="DE99" s="220">
        <f t="shared" si="628"/>
        <v>36299.1898144816</v>
      </c>
      <c r="DF99" s="220">
        <f t="shared" si="628"/>
        <v>36299.1898144816</v>
      </c>
      <c r="DG99" s="220">
        <f t="shared" si="628"/>
        <v>36299.1898144816</v>
      </c>
      <c r="DH99" s="220">
        <f t="shared" si="628"/>
        <v>36299.1898144816</v>
      </c>
      <c r="DI99" s="220">
        <f t="shared" si="628"/>
        <v>37388.165508916049</v>
      </c>
      <c r="DJ99" s="220">
        <f t="shared" ref="DJ99:EO99" si="629">SUM(DJ96:DJ98)</f>
        <v>37388.165508916049</v>
      </c>
      <c r="DK99" s="220">
        <f t="shared" si="629"/>
        <v>37388.165508916049</v>
      </c>
      <c r="DL99" s="220">
        <f t="shared" si="629"/>
        <v>37388.165508916049</v>
      </c>
      <c r="DM99" s="220">
        <f t="shared" si="629"/>
        <v>37388.165508916049</v>
      </c>
      <c r="DN99" s="220">
        <f t="shared" si="629"/>
        <v>37388.165508916049</v>
      </c>
      <c r="DO99" s="220">
        <f t="shared" si="629"/>
        <v>37388.165508916049</v>
      </c>
      <c r="DP99" s="220">
        <f t="shared" si="629"/>
        <v>37388.165508916049</v>
      </c>
      <c r="DQ99" s="220">
        <f t="shared" si="629"/>
        <v>37388.165508916049</v>
      </c>
      <c r="DR99" s="220">
        <f t="shared" si="629"/>
        <v>37388.165508916049</v>
      </c>
      <c r="DS99" s="220">
        <f t="shared" si="629"/>
        <v>37388.165508916049</v>
      </c>
      <c r="DT99" s="220">
        <f t="shared" si="629"/>
        <v>37388.165508916049</v>
      </c>
      <c r="DU99" s="220">
        <f t="shared" si="629"/>
        <v>38509.810474183527</v>
      </c>
      <c r="DV99" s="220">
        <f t="shared" si="629"/>
        <v>38509.810474183527</v>
      </c>
      <c r="DW99" s="220">
        <f t="shared" si="629"/>
        <v>38509.810474183527</v>
      </c>
      <c r="DX99" s="220">
        <f t="shared" si="629"/>
        <v>38509.810474183527</v>
      </c>
      <c r="DY99" s="220">
        <f t="shared" si="629"/>
        <v>38509.810474183527</v>
      </c>
      <c r="DZ99" s="220">
        <f t="shared" si="629"/>
        <v>38509.810474183527</v>
      </c>
      <c r="EA99" s="220">
        <f t="shared" si="629"/>
        <v>38509.810474183527</v>
      </c>
      <c r="EB99" s="220">
        <f t="shared" si="629"/>
        <v>38509.810474183527</v>
      </c>
      <c r="EC99" s="220">
        <f t="shared" si="629"/>
        <v>38509.810474183527</v>
      </c>
      <c r="ED99" s="220">
        <f t="shared" si="629"/>
        <v>38509.810474183527</v>
      </c>
      <c r="EE99" s="220">
        <f t="shared" si="629"/>
        <v>38509.810474183527</v>
      </c>
      <c r="EF99" s="220">
        <f t="shared" si="629"/>
        <v>38509.810474183527</v>
      </c>
      <c r="EG99" s="220">
        <f t="shared" si="629"/>
        <v>39665.104788409029</v>
      </c>
      <c r="EH99" s="220">
        <f t="shared" si="629"/>
        <v>39665.104788409029</v>
      </c>
      <c r="EI99" s="220">
        <f t="shared" si="629"/>
        <v>39665.104788409029</v>
      </c>
      <c r="EJ99" s="220">
        <f t="shared" si="629"/>
        <v>39665.104788409029</v>
      </c>
      <c r="EK99" s="220">
        <f t="shared" si="629"/>
        <v>39665.104788409029</v>
      </c>
      <c r="EL99" s="220">
        <f t="shared" si="629"/>
        <v>39665.104788409029</v>
      </c>
      <c r="EM99" s="220">
        <f t="shared" si="629"/>
        <v>39665.104788409029</v>
      </c>
      <c r="EN99" s="220">
        <f t="shared" si="629"/>
        <v>39665.104788409029</v>
      </c>
      <c r="EO99" s="220">
        <f t="shared" si="629"/>
        <v>39665.104788409029</v>
      </c>
      <c r="EP99" s="220">
        <f t="shared" ref="EP99:ES99" si="630">SUM(EP96:EP98)</f>
        <v>39665.104788409029</v>
      </c>
      <c r="EQ99" s="220">
        <f t="shared" si="630"/>
        <v>39665.104788409029</v>
      </c>
      <c r="ER99" s="220">
        <f t="shared" si="630"/>
        <v>39665.104788409029</v>
      </c>
      <c r="ES99" s="220">
        <f t="shared" si="630"/>
        <v>40855.057932061303</v>
      </c>
      <c r="EU99" s="153"/>
      <c r="EV99" s="153"/>
      <c r="EW99" s="153"/>
      <c r="EX99" s="153"/>
      <c r="EY99" s="153"/>
      <c r="EZ99" s="154"/>
      <c r="FA99" s="221"/>
      <c r="FB99" s="221">
        <f t="shared" ref="FB99:GG99" si="631">SUM(FB96:FB98)</f>
        <v>0</v>
      </c>
      <c r="FC99" s="221">
        <f t="shared" si="631"/>
        <v>0</v>
      </c>
      <c r="FD99" s="221">
        <f t="shared" si="631"/>
        <v>0</v>
      </c>
      <c r="FE99" s="221">
        <f t="shared" si="631"/>
        <v>0</v>
      </c>
      <c r="FF99" s="221">
        <f t="shared" si="631"/>
        <v>0</v>
      </c>
      <c r="FG99" s="221">
        <f t="shared" si="631"/>
        <v>0</v>
      </c>
      <c r="FH99" s="221">
        <f t="shared" si="631"/>
        <v>0</v>
      </c>
      <c r="FI99" s="221">
        <f t="shared" si="631"/>
        <v>0</v>
      </c>
      <c r="FJ99" s="221">
        <f t="shared" si="631"/>
        <v>0</v>
      </c>
      <c r="FK99" s="221">
        <f t="shared" si="631"/>
        <v>0</v>
      </c>
      <c r="FL99" s="221">
        <f t="shared" si="631"/>
        <v>0</v>
      </c>
      <c r="FM99" s="221">
        <f t="shared" si="631"/>
        <v>0</v>
      </c>
      <c r="FN99" s="221">
        <f t="shared" si="631"/>
        <v>0</v>
      </c>
      <c r="FO99" s="221">
        <f t="shared" si="631"/>
        <v>0</v>
      </c>
      <c r="FP99" s="221">
        <f t="shared" si="631"/>
        <v>0</v>
      </c>
      <c r="FQ99" s="221">
        <f t="shared" si="631"/>
        <v>0</v>
      </c>
      <c r="FR99" s="221">
        <f t="shared" si="631"/>
        <v>0</v>
      </c>
      <c r="FS99" s="221">
        <f t="shared" si="631"/>
        <v>0</v>
      </c>
      <c r="FT99" s="221">
        <f t="shared" si="631"/>
        <v>0</v>
      </c>
      <c r="FU99" s="221">
        <f t="shared" si="631"/>
        <v>0</v>
      </c>
      <c r="FV99" s="221">
        <f t="shared" si="631"/>
        <v>0</v>
      </c>
      <c r="FW99" s="221">
        <f t="shared" si="631"/>
        <v>0</v>
      </c>
      <c r="FX99" s="221">
        <f t="shared" si="631"/>
        <v>0</v>
      </c>
      <c r="FY99" s="221">
        <f t="shared" si="631"/>
        <v>0</v>
      </c>
      <c r="FZ99" s="221">
        <f t="shared" si="631"/>
        <v>0</v>
      </c>
      <c r="GA99" s="221">
        <f t="shared" si="631"/>
        <v>0</v>
      </c>
      <c r="GB99" s="221">
        <f t="shared" si="631"/>
        <v>0</v>
      </c>
      <c r="GC99" s="221">
        <f t="shared" si="631"/>
        <v>0</v>
      </c>
      <c r="GD99" s="221">
        <f t="shared" si="631"/>
        <v>0</v>
      </c>
      <c r="GE99" s="221">
        <f t="shared" si="631"/>
        <v>0</v>
      </c>
      <c r="GF99" s="221">
        <f t="shared" si="631"/>
        <v>0</v>
      </c>
      <c r="GG99" s="221">
        <f t="shared" si="631"/>
        <v>0</v>
      </c>
      <c r="GH99" s="221">
        <f t="shared" ref="GH99:HM99" si="632">SUM(GH96:GH98)</f>
        <v>0</v>
      </c>
      <c r="GI99" s="221">
        <f t="shared" si="632"/>
        <v>0</v>
      </c>
      <c r="GJ99" s="221">
        <f t="shared" si="632"/>
        <v>0</v>
      </c>
      <c r="GK99" s="221">
        <f t="shared" si="632"/>
        <v>0</v>
      </c>
      <c r="GL99" s="221">
        <f t="shared" si="632"/>
        <v>0</v>
      </c>
      <c r="GM99" s="221">
        <f t="shared" si="632"/>
        <v>0</v>
      </c>
      <c r="GN99" s="221">
        <f t="shared" si="632"/>
        <v>0</v>
      </c>
      <c r="GO99" s="221">
        <f t="shared" si="632"/>
        <v>0</v>
      </c>
      <c r="GP99" s="221">
        <f t="shared" si="632"/>
        <v>0</v>
      </c>
      <c r="GQ99" s="221">
        <f t="shared" si="632"/>
        <v>0</v>
      </c>
      <c r="GR99" s="221">
        <f t="shared" si="632"/>
        <v>0</v>
      </c>
      <c r="GS99" s="221">
        <f t="shared" si="632"/>
        <v>0</v>
      </c>
      <c r="GT99" s="221">
        <f t="shared" si="632"/>
        <v>0</v>
      </c>
      <c r="GU99" s="221">
        <f t="shared" si="632"/>
        <v>0</v>
      </c>
      <c r="GV99" s="221">
        <f t="shared" si="632"/>
        <v>0</v>
      </c>
      <c r="GW99" s="221">
        <f t="shared" si="632"/>
        <v>0</v>
      </c>
      <c r="GX99" s="221">
        <f t="shared" si="632"/>
        <v>0</v>
      </c>
      <c r="GY99" s="221">
        <f t="shared" si="632"/>
        <v>0</v>
      </c>
      <c r="GZ99" s="221">
        <f t="shared" si="632"/>
        <v>0</v>
      </c>
      <c r="HA99" s="221">
        <f t="shared" si="632"/>
        <v>0</v>
      </c>
      <c r="HB99" s="221">
        <f t="shared" si="632"/>
        <v>0</v>
      </c>
      <c r="HC99" s="221">
        <f t="shared" si="632"/>
        <v>0</v>
      </c>
      <c r="HD99" s="221">
        <f t="shared" si="632"/>
        <v>0</v>
      </c>
      <c r="HE99" s="221">
        <f t="shared" si="632"/>
        <v>0</v>
      </c>
      <c r="HF99" s="221">
        <f t="shared" si="632"/>
        <v>0</v>
      </c>
      <c r="HG99" s="221">
        <f t="shared" si="632"/>
        <v>0</v>
      </c>
      <c r="HH99" s="221">
        <f t="shared" si="632"/>
        <v>0</v>
      </c>
      <c r="HI99" s="221">
        <f t="shared" si="632"/>
        <v>0</v>
      </c>
      <c r="HJ99" s="221">
        <f t="shared" si="632"/>
        <v>0</v>
      </c>
      <c r="HK99" s="221">
        <f t="shared" si="632"/>
        <v>0</v>
      </c>
      <c r="HL99" s="221">
        <f t="shared" si="632"/>
        <v>0</v>
      </c>
      <c r="HM99" s="221">
        <f t="shared" si="632"/>
        <v>0</v>
      </c>
      <c r="HN99" s="221">
        <f t="shared" ref="HN99:IS99" si="633">SUM(HN96:HN98)</f>
        <v>0</v>
      </c>
      <c r="HO99" s="221">
        <f t="shared" si="633"/>
        <v>0</v>
      </c>
      <c r="HP99" s="221">
        <f t="shared" si="633"/>
        <v>0</v>
      </c>
      <c r="HQ99" s="221">
        <f t="shared" si="633"/>
        <v>0</v>
      </c>
      <c r="HR99" s="221">
        <f t="shared" si="633"/>
        <v>0</v>
      </c>
      <c r="HS99" s="221">
        <f t="shared" si="633"/>
        <v>0</v>
      </c>
      <c r="HT99" s="221">
        <f t="shared" si="633"/>
        <v>0</v>
      </c>
      <c r="HU99" s="221">
        <f t="shared" si="633"/>
        <v>0</v>
      </c>
      <c r="HV99" s="221">
        <f t="shared" si="633"/>
        <v>0</v>
      </c>
      <c r="HW99" s="221">
        <f t="shared" si="633"/>
        <v>0</v>
      </c>
      <c r="HX99" s="221">
        <f t="shared" si="633"/>
        <v>0</v>
      </c>
      <c r="HY99" s="221">
        <f t="shared" si="633"/>
        <v>0</v>
      </c>
      <c r="HZ99" s="221">
        <f t="shared" si="633"/>
        <v>0</v>
      </c>
      <c r="IA99" s="221">
        <f t="shared" si="633"/>
        <v>0</v>
      </c>
      <c r="IB99" s="221">
        <f t="shared" si="633"/>
        <v>0</v>
      </c>
      <c r="IC99" s="221">
        <f t="shared" si="633"/>
        <v>0</v>
      </c>
      <c r="ID99" s="221">
        <f t="shared" si="633"/>
        <v>0</v>
      </c>
      <c r="IE99" s="221">
        <f t="shared" si="633"/>
        <v>0</v>
      </c>
      <c r="IF99" s="221">
        <f t="shared" si="633"/>
        <v>0</v>
      </c>
      <c r="IG99" s="221">
        <f t="shared" si="633"/>
        <v>0</v>
      </c>
      <c r="IH99" s="221">
        <f t="shared" si="633"/>
        <v>0</v>
      </c>
      <c r="II99" s="221">
        <f t="shared" si="633"/>
        <v>0</v>
      </c>
      <c r="IJ99" s="221">
        <f t="shared" si="633"/>
        <v>0</v>
      </c>
      <c r="IK99" s="221">
        <f t="shared" si="633"/>
        <v>0</v>
      </c>
      <c r="IL99" s="221">
        <f t="shared" si="633"/>
        <v>0</v>
      </c>
      <c r="IM99" s="221">
        <f t="shared" si="633"/>
        <v>0</v>
      </c>
      <c r="IN99" s="221">
        <f t="shared" si="633"/>
        <v>0</v>
      </c>
      <c r="IO99" s="221">
        <f t="shared" si="633"/>
        <v>0</v>
      </c>
      <c r="IP99" s="221">
        <f t="shared" si="633"/>
        <v>0</v>
      </c>
      <c r="IQ99" s="221">
        <f t="shared" si="633"/>
        <v>0</v>
      </c>
      <c r="IR99" s="221">
        <f t="shared" si="633"/>
        <v>0</v>
      </c>
      <c r="IS99" s="221">
        <f t="shared" si="633"/>
        <v>0</v>
      </c>
      <c r="IT99" s="221">
        <f t="shared" ref="IT99:JY99" si="634">SUM(IT96:IT98)</f>
        <v>0</v>
      </c>
      <c r="IU99" s="221">
        <f t="shared" si="634"/>
        <v>0</v>
      </c>
      <c r="IV99" s="221">
        <f t="shared" si="634"/>
        <v>0</v>
      </c>
      <c r="IW99" s="221">
        <f t="shared" si="634"/>
        <v>0</v>
      </c>
      <c r="IX99" s="221">
        <f t="shared" si="634"/>
        <v>0</v>
      </c>
      <c r="IY99" s="221">
        <f t="shared" si="634"/>
        <v>0</v>
      </c>
      <c r="IZ99" s="221">
        <f t="shared" si="634"/>
        <v>0</v>
      </c>
      <c r="JA99" s="221">
        <f t="shared" si="634"/>
        <v>0</v>
      </c>
      <c r="JB99" s="221">
        <f t="shared" si="634"/>
        <v>0</v>
      </c>
      <c r="JC99" s="221">
        <f t="shared" si="634"/>
        <v>0</v>
      </c>
      <c r="JD99" s="221">
        <f t="shared" si="634"/>
        <v>0</v>
      </c>
      <c r="JE99" s="221">
        <f t="shared" si="634"/>
        <v>0</v>
      </c>
      <c r="JF99" s="221">
        <f t="shared" si="634"/>
        <v>0</v>
      </c>
      <c r="JG99" s="221">
        <f t="shared" si="634"/>
        <v>0</v>
      </c>
      <c r="JH99" s="221">
        <f t="shared" si="634"/>
        <v>0</v>
      </c>
      <c r="JI99" s="221">
        <f t="shared" si="634"/>
        <v>0</v>
      </c>
      <c r="JJ99" s="221">
        <f t="shared" si="634"/>
        <v>0</v>
      </c>
      <c r="JK99" s="221">
        <f t="shared" si="634"/>
        <v>0</v>
      </c>
      <c r="JL99" s="221">
        <f t="shared" si="634"/>
        <v>0</v>
      </c>
      <c r="JM99" s="221">
        <f t="shared" si="634"/>
        <v>0</v>
      </c>
      <c r="JN99" s="221">
        <f t="shared" si="634"/>
        <v>0</v>
      </c>
      <c r="JO99" s="221">
        <f t="shared" si="634"/>
        <v>0</v>
      </c>
      <c r="JP99" s="221">
        <f t="shared" si="634"/>
        <v>0</v>
      </c>
      <c r="JQ99" s="221">
        <f t="shared" si="634"/>
        <v>0</v>
      </c>
      <c r="JR99" s="221">
        <f t="shared" si="634"/>
        <v>0</v>
      </c>
      <c r="JS99" s="221">
        <f t="shared" si="634"/>
        <v>0</v>
      </c>
      <c r="JT99" s="221">
        <f t="shared" si="634"/>
        <v>0</v>
      </c>
      <c r="JU99" s="221">
        <f t="shared" si="634"/>
        <v>0</v>
      </c>
      <c r="JV99" s="221">
        <f t="shared" si="634"/>
        <v>0</v>
      </c>
      <c r="JW99" s="221">
        <f t="shared" si="634"/>
        <v>0</v>
      </c>
      <c r="JX99" s="221">
        <f t="shared" si="634"/>
        <v>0</v>
      </c>
      <c r="JY99" s="221">
        <f t="shared" si="634"/>
        <v>0</v>
      </c>
      <c r="JZ99" s="221">
        <f t="shared" ref="JZ99:KC99" si="635">SUM(JZ96:JZ98)</f>
        <v>0</v>
      </c>
      <c r="KA99" s="221">
        <f t="shared" si="635"/>
        <v>0</v>
      </c>
      <c r="KB99" s="221">
        <f t="shared" si="635"/>
        <v>0</v>
      </c>
      <c r="KC99" s="221">
        <f t="shared" si="635"/>
        <v>0</v>
      </c>
    </row>
    <row r="100" spans="1:289" x14ac:dyDescent="0.25">
      <c r="B100" s="336" t="s">
        <v>108</v>
      </c>
      <c r="C100" s="181"/>
      <c r="D100" s="181"/>
      <c r="E100" s="181"/>
      <c r="F100" s="181"/>
      <c r="G100" s="324">
        <f>I100/Units_SF_M2/12</f>
        <v>0</v>
      </c>
      <c r="H100" s="218">
        <f>I100/Units/12</f>
        <v>0</v>
      </c>
      <c r="I100" s="335">
        <f>-(F99/I93)*I99</f>
        <v>0</v>
      </c>
      <c r="R100" s="220">
        <f t="shared" ref="R100:AW100" si="636">-FB99</f>
        <v>0</v>
      </c>
      <c r="S100" s="220">
        <f t="shared" si="636"/>
        <v>0</v>
      </c>
      <c r="T100" s="220">
        <f t="shared" si="636"/>
        <v>0</v>
      </c>
      <c r="U100" s="220">
        <f t="shared" si="636"/>
        <v>0</v>
      </c>
      <c r="V100" s="220">
        <f t="shared" si="636"/>
        <v>0</v>
      </c>
      <c r="W100" s="220">
        <f t="shared" si="636"/>
        <v>0</v>
      </c>
      <c r="X100" s="220">
        <f t="shared" si="636"/>
        <v>0</v>
      </c>
      <c r="Y100" s="220">
        <f t="shared" si="636"/>
        <v>0</v>
      </c>
      <c r="Z100" s="220">
        <f t="shared" si="636"/>
        <v>0</v>
      </c>
      <c r="AA100" s="220">
        <f t="shared" si="636"/>
        <v>0</v>
      </c>
      <c r="AB100" s="220">
        <f t="shared" si="636"/>
        <v>0</v>
      </c>
      <c r="AC100" s="220">
        <f t="shared" si="636"/>
        <v>0</v>
      </c>
      <c r="AD100" s="220">
        <f t="shared" si="636"/>
        <v>0</v>
      </c>
      <c r="AE100" s="220">
        <f t="shared" si="636"/>
        <v>0</v>
      </c>
      <c r="AF100" s="220">
        <f t="shared" si="636"/>
        <v>0</v>
      </c>
      <c r="AG100" s="220">
        <f t="shared" si="636"/>
        <v>0</v>
      </c>
      <c r="AH100" s="220">
        <f t="shared" si="636"/>
        <v>0</v>
      </c>
      <c r="AI100" s="220">
        <f t="shared" si="636"/>
        <v>0</v>
      </c>
      <c r="AJ100" s="220">
        <f t="shared" si="636"/>
        <v>0</v>
      </c>
      <c r="AK100" s="220">
        <f t="shared" si="636"/>
        <v>0</v>
      </c>
      <c r="AL100" s="220">
        <f t="shared" si="636"/>
        <v>0</v>
      </c>
      <c r="AM100" s="220">
        <f t="shared" si="636"/>
        <v>0</v>
      </c>
      <c r="AN100" s="220">
        <f t="shared" si="636"/>
        <v>0</v>
      </c>
      <c r="AO100" s="220">
        <f t="shared" si="636"/>
        <v>0</v>
      </c>
      <c r="AP100" s="220">
        <f t="shared" si="636"/>
        <v>0</v>
      </c>
      <c r="AQ100" s="220">
        <f t="shared" si="636"/>
        <v>0</v>
      </c>
      <c r="AR100" s="220">
        <f t="shared" si="636"/>
        <v>0</v>
      </c>
      <c r="AS100" s="220">
        <f t="shared" si="636"/>
        <v>0</v>
      </c>
      <c r="AT100" s="220">
        <f t="shared" si="636"/>
        <v>0</v>
      </c>
      <c r="AU100" s="220">
        <f t="shared" si="636"/>
        <v>0</v>
      </c>
      <c r="AV100" s="220">
        <f t="shared" si="636"/>
        <v>0</v>
      </c>
      <c r="AW100" s="220">
        <f t="shared" si="636"/>
        <v>0</v>
      </c>
      <c r="AX100" s="220">
        <f t="shared" ref="AX100:CC100" si="637">-GH99</f>
        <v>0</v>
      </c>
      <c r="AY100" s="220">
        <f t="shared" si="637"/>
        <v>0</v>
      </c>
      <c r="AZ100" s="220">
        <f t="shared" si="637"/>
        <v>0</v>
      </c>
      <c r="BA100" s="220">
        <f t="shared" si="637"/>
        <v>0</v>
      </c>
      <c r="BB100" s="220">
        <f t="shared" si="637"/>
        <v>0</v>
      </c>
      <c r="BC100" s="220">
        <f t="shared" si="637"/>
        <v>0</v>
      </c>
      <c r="BD100" s="220">
        <f t="shared" si="637"/>
        <v>0</v>
      </c>
      <c r="BE100" s="220">
        <f t="shared" si="637"/>
        <v>0</v>
      </c>
      <c r="BF100" s="220">
        <f t="shared" si="637"/>
        <v>0</v>
      </c>
      <c r="BG100" s="220">
        <f t="shared" si="637"/>
        <v>0</v>
      </c>
      <c r="BH100" s="220">
        <f t="shared" si="637"/>
        <v>0</v>
      </c>
      <c r="BI100" s="220">
        <f t="shared" si="637"/>
        <v>0</v>
      </c>
      <c r="BJ100" s="220">
        <f t="shared" si="637"/>
        <v>0</v>
      </c>
      <c r="BK100" s="220">
        <f t="shared" si="637"/>
        <v>0</v>
      </c>
      <c r="BL100" s="220">
        <f t="shared" si="637"/>
        <v>0</v>
      </c>
      <c r="BM100" s="220">
        <f t="shared" si="637"/>
        <v>0</v>
      </c>
      <c r="BN100" s="220">
        <f t="shared" si="637"/>
        <v>0</v>
      </c>
      <c r="BO100" s="220">
        <f t="shared" si="637"/>
        <v>0</v>
      </c>
      <c r="BP100" s="220">
        <f t="shared" si="637"/>
        <v>0</v>
      </c>
      <c r="BQ100" s="220">
        <f t="shared" si="637"/>
        <v>0</v>
      </c>
      <c r="BR100" s="220">
        <f t="shared" si="637"/>
        <v>0</v>
      </c>
      <c r="BS100" s="220">
        <f t="shared" si="637"/>
        <v>0</v>
      </c>
      <c r="BT100" s="220">
        <f t="shared" si="637"/>
        <v>0</v>
      </c>
      <c r="BU100" s="220">
        <f t="shared" si="637"/>
        <v>0</v>
      </c>
      <c r="BV100" s="220">
        <f t="shared" si="637"/>
        <v>0</v>
      </c>
      <c r="BW100" s="220">
        <f t="shared" si="637"/>
        <v>0</v>
      </c>
      <c r="BX100" s="220">
        <f t="shared" si="637"/>
        <v>0</v>
      </c>
      <c r="BY100" s="220">
        <f t="shared" si="637"/>
        <v>0</v>
      </c>
      <c r="BZ100" s="220">
        <f t="shared" si="637"/>
        <v>0</v>
      </c>
      <c r="CA100" s="220">
        <f t="shared" si="637"/>
        <v>0</v>
      </c>
      <c r="CB100" s="220">
        <f t="shared" si="637"/>
        <v>0</v>
      </c>
      <c r="CC100" s="220">
        <f t="shared" si="637"/>
        <v>0</v>
      </c>
      <c r="CD100" s="220">
        <f t="shared" ref="CD100:DI100" si="638">-HN99</f>
        <v>0</v>
      </c>
      <c r="CE100" s="220">
        <f t="shared" si="638"/>
        <v>0</v>
      </c>
      <c r="CF100" s="220">
        <f t="shared" si="638"/>
        <v>0</v>
      </c>
      <c r="CG100" s="220">
        <f t="shared" si="638"/>
        <v>0</v>
      </c>
      <c r="CH100" s="220">
        <f t="shared" si="638"/>
        <v>0</v>
      </c>
      <c r="CI100" s="220">
        <f t="shared" si="638"/>
        <v>0</v>
      </c>
      <c r="CJ100" s="220">
        <f t="shared" si="638"/>
        <v>0</v>
      </c>
      <c r="CK100" s="220">
        <f t="shared" si="638"/>
        <v>0</v>
      </c>
      <c r="CL100" s="220">
        <f t="shared" si="638"/>
        <v>0</v>
      </c>
      <c r="CM100" s="220">
        <f t="shared" si="638"/>
        <v>0</v>
      </c>
      <c r="CN100" s="220">
        <f t="shared" si="638"/>
        <v>0</v>
      </c>
      <c r="CO100" s="220">
        <f t="shared" si="638"/>
        <v>0</v>
      </c>
      <c r="CP100" s="220">
        <f t="shared" si="638"/>
        <v>0</v>
      </c>
      <c r="CQ100" s="220">
        <f t="shared" si="638"/>
        <v>0</v>
      </c>
      <c r="CR100" s="220">
        <f t="shared" si="638"/>
        <v>0</v>
      </c>
      <c r="CS100" s="220">
        <f t="shared" si="638"/>
        <v>0</v>
      </c>
      <c r="CT100" s="220">
        <f t="shared" si="638"/>
        <v>0</v>
      </c>
      <c r="CU100" s="220">
        <f t="shared" si="638"/>
        <v>0</v>
      </c>
      <c r="CV100" s="220">
        <f t="shared" si="638"/>
        <v>0</v>
      </c>
      <c r="CW100" s="220">
        <f t="shared" si="638"/>
        <v>0</v>
      </c>
      <c r="CX100" s="220">
        <f t="shared" si="638"/>
        <v>0</v>
      </c>
      <c r="CY100" s="220">
        <f t="shared" si="638"/>
        <v>0</v>
      </c>
      <c r="CZ100" s="220">
        <f t="shared" si="638"/>
        <v>0</v>
      </c>
      <c r="DA100" s="220">
        <f t="shared" si="638"/>
        <v>0</v>
      </c>
      <c r="DB100" s="220">
        <f t="shared" si="638"/>
        <v>0</v>
      </c>
      <c r="DC100" s="220">
        <f t="shared" si="638"/>
        <v>0</v>
      </c>
      <c r="DD100" s="220">
        <f t="shared" si="638"/>
        <v>0</v>
      </c>
      <c r="DE100" s="220">
        <f t="shared" si="638"/>
        <v>0</v>
      </c>
      <c r="DF100" s="220">
        <f t="shared" si="638"/>
        <v>0</v>
      </c>
      <c r="DG100" s="220">
        <f t="shared" si="638"/>
        <v>0</v>
      </c>
      <c r="DH100" s="220">
        <f t="shared" si="638"/>
        <v>0</v>
      </c>
      <c r="DI100" s="220">
        <f t="shared" si="638"/>
        <v>0</v>
      </c>
      <c r="DJ100" s="220">
        <f t="shared" ref="DJ100:EO100" si="639">-IT99</f>
        <v>0</v>
      </c>
      <c r="DK100" s="220">
        <f t="shared" si="639"/>
        <v>0</v>
      </c>
      <c r="DL100" s="220">
        <f t="shared" si="639"/>
        <v>0</v>
      </c>
      <c r="DM100" s="220">
        <f t="shared" si="639"/>
        <v>0</v>
      </c>
      <c r="DN100" s="220">
        <f t="shared" si="639"/>
        <v>0</v>
      </c>
      <c r="DO100" s="220">
        <f t="shared" si="639"/>
        <v>0</v>
      </c>
      <c r="DP100" s="220">
        <f t="shared" si="639"/>
        <v>0</v>
      </c>
      <c r="DQ100" s="220">
        <f t="shared" si="639"/>
        <v>0</v>
      </c>
      <c r="DR100" s="220">
        <f t="shared" si="639"/>
        <v>0</v>
      </c>
      <c r="DS100" s="220">
        <f t="shared" si="639"/>
        <v>0</v>
      </c>
      <c r="DT100" s="220">
        <f t="shared" si="639"/>
        <v>0</v>
      </c>
      <c r="DU100" s="220">
        <f t="shared" si="639"/>
        <v>0</v>
      </c>
      <c r="DV100" s="220">
        <f t="shared" si="639"/>
        <v>0</v>
      </c>
      <c r="DW100" s="220">
        <f t="shared" si="639"/>
        <v>0</v>
      </c>
      <c r="DX100" s="220">
        <f t="shared" si="639"/>
        <v>0</v>
      </c>
      <c r="DY100" s="220">
        <f t="shared" si="639"/>
        <v>0</v>
      </c>
      <c r="DZ100" s="220">
        <f t="shared" si="639"/>
        <v>0</v>
      </c>
      <c r="EA100" s="220">
        <f t="shared" si="639"/>
        <v>0</v>
      </c>
      <c r="EB100" s="220">
        <f t="shared" si="639"/>
        <v>0</v>
      </c>
      <c r="EC100" s="220">
        <f t="shared" si="639"/>
        <v>0</v>
      </c>
      <c r="ED100" s="220">
        <f t="shared" si="639"/>
        <v>0</v>
      </c>
      <c r="EE100" s="220">
        <f t="shared" si="639"/>
        <v>0</v>
      </c>
      <c r="EF100" s="220">
        <f t="shared" si="639"/>
        <v>0</v>
      </c>
      <c r="EG100" s="220">
        <f t="shared" si="639"/>
        <v>0</v>
      </c>
      <c r="EH100" s="220">
        <f t="shared" si="639"/>
        <v>0</v>
      </c>
      <c r="EI100" s="220">
        <f t="shared" si="639"/>
        <v>0</v>
      </c>
      <c r="EJ100" s="220">
        <f t="shared" si="639"/>
        <v>0</v>
      </c>
      <c r="EK100" s="220">
        <f t="shared" si="639"/>
        <v>0</v>
      </c>
      <c r="EL100" s="220">
        <f t="shared" si="639"/>
        <v>0</v>
      </c>
      <c r="EM100" s="220">
        <f t="shared" si="639"/>
        <v>0</v>
      </c>
      <c r="EN100" s="220">
        <f t="shared" si="639"/>
        <v>0</v>
      </c>
      <c r="EO100" s="220">
        <f t="shared" si="639"/>
        <v>0</v>
      </c>
      <c r="EP100" s="220">
        <f>-JZ99</f>
        <v>0</v>
      </c>
      <c r="EQ100" s="220">
        <f>-KA99</f>
        <v>0</v>
      </c>
      <c r="ER100" s="220">
        <f>-KB99</f>
        <v>0</v>
      </c>
      <c r="ES100" s="220">
        <f>-KC99</f>
        <v>0</v>
      </c>
      <c r="EU100" s="153"/>
      <c r="EV100" s="153"/>
    </row>
    <row r="101" spans="1:289" x14ac:dyDescent="0.25">
      <c r="B101" s="336" t="s">
        <v>109</v>
      </c>
      <c r="C101" s="181"/>
      <c r="D101" s="181"/>
      <c r="E101" s="181"/>
      <c r="F101" s="181"/>
      <c r="G101" s="324">
        <f>I101/Units_SF_M2/12</f>
        <v>0</v>
      </c>
      <c r="H101" s="218">
        <f>I101/Units/12</f>
        <v>0</v>
      </c>
      <c r="I101" s="337">
        <v>0</v>
      </c>
      <c r="R101" s="220">
        <f t="shared" ref="R101:AW101" ca="1" si="640">MAX(-(R99+R100+R102),-FB159)</f>
        <v>0</v>
      </c>
      <c r="S101" s="220">
        <f t="shared" ca="1" si="640"/>
        <v>0</v>
      </c>
      <c r="T101" s="220">
        <f t="shared" ca="1" si="640"/>
        <v>0</v>
      </c>
      <c r="U101" s="220">
        <f t="shared" ca="1" si="640"/>
        <v>0</v>
      </c>
      <c r="V101" s="220">
        <f t="shared" ca="1" si="640"/>
        <v>0</v>
      </c>
      <c r="W101" s="220">
        <f t="shared" ca="1" si="640"/>
        <v>0</v>
      </c>
      <c r="X101" s="220">
        <f t="shared" ca="1" si="640"/>
        <v>0</v>
      </c>
      <c r="Y101" s="220">
        <f t="shared" ca="1" si="640"/>
        <v>0</v>
      </c>
      <c r="Z101" s="220">
        <f t="shared" ca="1" si="640"/>
        <v>0</v>
      </c>
      <c r="AA101" s="220">
        <f t="shared" ca="1" si="640"/>
        <v>0</v>
      </c>
      <c r="AB101" s="220">
        <f t="shared" ca="1" si="640"/>
        <v>0</v>
      </c>
      <c r="AC101" s="220">
        <f t="shared" ca="1" si="640"/>
        <v>-22800</v>
      </c>
      <c r="AD101" s="220">
        <f t="shared" ca="1" si="640"/>
        <v>-11400</v>
      </c>
      <c r="AE101" s="220">
        <f t="shared" ca="1" si="640"/>
        <v>0</v>
      </c>
      <c r="AF101" s="220">
        <f t="shared" ca="1" si="640"/>
        <v>0</v>
      </c>
      <c r="AG101" s="220">
        <f t="shared" ca="1" si="640"/>
        <v>0</v>
      </c>
      <c r="AH101" s="220">
        <f t="shared" ca="1" si="640"/>
        <v>0</v>
      </c>
      <c r="AI101" s="220">
        <f t="shared" ca="1" si="640"/>
        <v>0</v>
      </c>
      <c r="AJ101" s="220">
        <f t="shared" ca="1" si="640"/>
        <v>0</v>
      </c>
      <c r="AK101" s="220">
        <f t="shared" ca="1" si="640"/>
        <v>0</v>
      </c>
      <c r="AL101" s="220">
        <f t="shared" ca="1" si="640"/>
        <v>0</v>
      </c>
      <c r="AM101" s="220">
        <f t="shared" ca="1" si="640"/>
        <v>0</v>
      </c>
      <c r="AN101" s="220">
        <f t="shared" ca="1" si="640"/>
        <v>0</v>
      </c>
      <c r="AO101" s="220">
        <f t="shared" ca="1" si="640"/>
        <v>-684</v>
      </c>
      <c r="AP101" s="220">
        <f t="shared" ca="1" si="640"/>
        <v>-342</v>
      </c>
      <c r="AQ101" s="220">
        <f t="shared" ca="1" si="640"/>
        <v>0</v>
      </c>
      <c r="AR101" s="220">
        <f t="shared" ca="1" si="640"/>
        <v>0</v>
      </c>
      <c r="AS101" s="220">
        <f t="shared" ca="1" si="640"/>
        <v>0</v>
      </c>
      <c r="AT101" s="220">
        <f t="shared" ca="1" si="640"/>
        <v>0</v>
      </c>
      <c r="AU101" s="220">
        <f t="shared" ca="1" si="640"/>
        <v>0</v>
      </c>
      <c r="AV101" s="220">
        <f t="shared" ca="1" si="640"/>
        <v>0</v>
      </c>
      <c r="AW101" s="220">
        <f t="shared" ca="1" si="640"/>
        <v>0</v>
      </c>
      <c r="AX101" s="220">
        <f t="shared" ref="AX101:CC101" ca="1" si="641">MAX(-(AX99+AX100+AX102),-GH159)</f>
        <v>0</v>
      </c>
      <c r="AY101" s="220">
        <f t="shared" ca="1" si="641"/>
        <v>0</v>
      </c>
      <c r="AZ101" s="220">
        <f t="shared" ca="1" si="641"/>
        <v>0</v>
      </c>
      <c r="BA101" s="220">
        <f t="shared" ca="1" si="641"/>
        <v>-704.52000000000044</v>
      </c>
      <c r="BB101" s="220">
        <f t="shared" ca="1" si="641"/>
        <v>-352.26000000000204</v>
      </c>
      <c r="BC101" s="220">
        <f t="shared" ca="1" si="641"/>
        <v>0</v>
      </c>
      <c r="BD101" s="220">
        <f t="shared" ca="1" si="641"/>
        <v>0</v>
      </c>
      <c r="BE101" s="220">
        <f t="shared" ca="1" si="641"/>
        <v>0</v>
      </c>
      <c r="BF101" s="220">
        <f t="shared" ca="1" si="641"/>
        <v>0</v>
      </c>
      <c r="BG101" s="220">
        <f t="shared" ca="1" si="641"/>
        <v>0</v>
      </c>
      <c r="BH101" s="220">
        <f t="shared" ca="1" si="641"/>
        <v>0</v>
      </c>
      <c r="BI101" s="220">
        <f t="shared" ca="1" si="641"/>
        <v>0</v>
      </c>
      <c r="BJ101" s="220">
        <f t="shared" ca="1" si="641"/>
        <v>0</v>
      </c>
      <c r="BK101" s="220">
        <f t="shared" ca="1" si="641"/>
        <v>0</v>
      </c>
      <c r="BL101" s="220">
        <f t="shared" ca="1" si="641"/>
        <v>0</v>
      </c>
      <c r="BM101" s="220">
        <f t="shared" ca="1" si="641"/>
        <v>-725.65559999999823</v>
      </c>
      <c r="BN101" s="220">
        <f t="shared" ca="1" si="641"/>
        <v>-362.82779999999912</v>
      </c>
      <c r="BO101" s="220">
        <f t="shared" ca="1" si="641"/>
        <v>0</v>
      </c>
      <c r="BP101" s="220">
        <f t="shared" ca="1" si="641"/>
        <v>0</v>
      </c>
      <c r="BQ101" s="220">
        <f t="shared" ca="1" si="641"/>
        <v>0</v>
      </c>
      <c r="BR101" s="220">
        <f t="shared" ca="1" si="641"/>
        <v>0</v>
      </c>
      <c r="BS101" s="220">
        <f t="shared" ca="1" si="641"/>
        <v>0</v>
      </c>
      <c r="BT101" s="220">
        <f t="shared" ca="1" si="641"/>
        <v>0</v>
      </c>
      <c r="BU101" s="220">
        <f t="shared" ca="1" si="641"/>
        <v>0</v>
      </c>
      <c r="BV101" s="220">
        <f t="shared" ca="1" si="641"/>
        <v>0</v>
      </c>
      <c r="BW101" s="220">
        <f t="shared" ca="1" si="641"/>
        <v>0</v>
      </c>
      <c r="BX101" s="220">
        <f t="shared" ca="1" si="641"/>
        <v>0</v>
      </c>
      <c r="BY101" s="220">
        <f t="shared" ca="1" si="641"/>
        <v>-747.42526800000633</v>
      </c>
      <c r="BZ101" s="220">
        <f t="shared" ca="1" si="641"/>
        <v>-373.71263400000316</v>
      </c>
      <c r="CA101" s="220">
        <f t="shared" ca="1" si="641"/>
        <v>0</v>
      </c>
      <c r="CB101" s="220">
        <f t="shared" ca="1" si="641"/>
        <v>0</v>
      </c>
      <c r="CC101" s="220">
        <f t="shared" ca="1" si="641"/>
        <v>0</v>
      </c>
      <c r="CD101" s="220">
        <f t="shared" ref="CD101:DI101" ca="1" si="642">MAX(-(CD99+CD100+CD102),-HN159)</f>
        <v>0</v>
      </c>
      <c r="CE101" s="220">
        <f t="shared" ca="1" si="642"/>
        <v>0</v>
      </c>
      <c r="CF101" s="220">
        <f t="shared" ca="1" si="642"/>
        <v>0</v>
      </c>
      <c r="CG101" s="220">
        <f t="shared" ca="1" si="642"/>
        <v>0</v>
      </c>
      <c r="CH101" s="220">
        <f t="shared" ca="1" si="642"/>
        <v>0</v>
      </c>
      <c r="CI101" s="220">
        <f t="shared" ca="1" si="642"/>
        <v>0</v>
      </c>
      <c r="CJ101" s="220">
        <f t="shared" ca="1" si="642"/>
        <v>0</v>
      </c>
      <c r="CK101" s="220">
        <f t="shared" ca="1" si="642"/>
        <v>-769.8480260399956</v>
      </c>
      <c r="CL101" s="220">
        <f t="shared" ca="1" si="642"/>
        <v>-384.9240130199978</v>
      </c>
      <c r="CM101" s="220">
        <f t="shared" ca="1" si="642"/>
        <v>0</v>
      </c>
      <c r="CN101" s="220">
        <f t="shared" ca="1" si="642"/>
        <v>0</v>
      </c>
      <c r="CO101" s="220">
        <f t="shared" ca="1" si="642"/>
        <v>0</v>
      </c>
      <c r="CP101" s="220">
        <f t="shared" ca="1" si="642"/>
        <v>0</v>
      </c>
      <c r="CQ101" s="220">
        <f t="shared" ca="1" si="642"/>
        <v>0</v>
      </c>
      <c r="CR101" s="220">
        <f t="shared" ca="1" si="642"/>
        <v>0</v>
      </c>
      <c r="CS101" s="220">
        <f t="shared" ca="1" si="642"/>
        <v>0</v>
      </c>
      <c r="CT101" s="220">
        <f t="shared" ca="1" si="642"/>
        <v>0</v>
      </c>
      <c r="CU101" s="220">
        <f t="shared" ca="1" si="642"/>
        <v>0</v>
      </c>
      <c r="CV101" s="220">
        <f t="shared" ca="1" si="642"/>
        <v>0</v>
      </c>
      <c r="CW101" s="220">
        <f t="shared" ca="1" si="642"/>
        <v>-792.94346682120522</v>
      </c>
      <c r="CX101" s="220">
        <f t="shared" ca="1" si="642"/>
        <v>-396.47173341060261</v>
      </c>
      <c r="CY101" s="220">
        <f t="shared" ca="1" si="642"/>
        <v>0</v>
      </c>
      <c r="CZ101" s="220">
        <f t="shared" ca="1" si="642"/>
        <v>0</v>
      </c>
      <c r="DA101" s="220">
        <f t="shared" ca="1" si="642"/>
        <v>0</v>
      </c>
      <c r="DB101" s="220">
        <f t="shared" ca="1" si="642"/>
        <v>0</v>
      </c>
      <c r="DC101" s="220">
        <f t="shared" ca="1" si="642"/>
        <v>0</v>
      </c>
      <c r="DD101" s="220">
        <f t="shared" ca="1" si="642"/>
        <v>0</v>
      </c>
      <c r="DE101" s="220">
        <f t="shared" ca="1" si="642"/>
        <v>0</v>
      </c>
      <c r="DF101" s="220">
        <f t="shared" ca="1" si="642"/>
        <v>0</v>
      </c>
      <c r="DG101" s="220">
        <f t="shared" ca="1" si="642"/>
        <v>0</v>
      </c>
      <c r="DH101" s="220">
        <f t="shared" ca="1" si="642"/>
        <v>0</v>
      </c>
      <c r="DI101" s="220">
        <f t="shared" ca="1" si="642"/>
        <v>-816.73177082583425</v>
      </c>
      <c r="DJ101" s="220">
        <f t="shared" ref="DJ101:EO101" ca="1" si="643">MAX(-(DJ99+DJ100+DJ102),-IT159)</f>
        <v>-408.36588541291712</v>
      </c>
      <c r="DK101" s="220">
        <f t="shared" ca="1" si="643"/>
        <v>0</v>
      </c>
      <c r="DL101" s="220">
        <f t="shared" ca="1" si="643"/>
        <v>0</v>
      </c>
      <c r="DM101" s="220">
        <f t="shared" ca="1" si="643"/>
        <v>0</v>
      </c>
      <c r="DN101" s="220">
        <f t="shared" ca="1" si="643"/>
        <v>0</v>
      </c>
      <c r="DO101" s="220">
        <f t="shared" ca="1" si="643"/>
        <v>0</v>
      </c>
      <c r="DP101" s="220">
        <f t="shared" ca="1" si="643"/>
        <v>0</v>
      </c>
      <c r="DQ101" s="220">
        <f t="shared" ca="1" si="643"/>
        <v>0</v>
      </c>
      <c r="DR101" s="220">
        <f t="shared" ca="1" si="643"/>
        <v>0</v>
      </c>
      <c r="DS101" s="220">
        <f t="shared" ca="1" si="643"/>
        <v>0</v>
      </c>
      <c r="DT101" s="220">
        <f t="shared" ca="1" si="643"/>
        <v>0</v>
      </c>
      <c r="DU101" s="220">
        <f t="shared" ca="1" si="643"/>
        <v>-841.23372395060142</v>
      </c>
      <c r="DV101" s="220">
        <f t="shared" ca="1" si="643"/>
        <v>-420.61686197530798</v>
      </c>
      <c r="DW101" s="220">
        <f t="shared" ca="1" si="643"/>
        <v>0</v>
      </c>
      <c r="DX101" s="220">
        <f t="shared" ca="1" si="643"/>
        <v>0</v>
      </c>
      <c r="DY101" s="220">
        <f t="shared" ca="1" si="643"/>
        <v>0</v>
      </c>
      <c r="DZ101" s="220">
        <f t="shared" ca="1" si="643"/>
        <v>0</v>
      </c>
      <c r="EA101" s="220">
        <f t="shared" ca="1" si="643"/>
        <v>0</v>
      </c>
      <c r="EB101" s="220">
        <f t="shared" ca="1" si="643"/>
        <v>0</v>
      </c>
      <c r="EC101" s="220">
        <f t="shared" ca="1" si="643"/>
        <v>0</v>
      </c>
      <c r="ED101" s="220">
        <f t="shared" ca="1" si="643"/>
        <v>0</v>
      </c>
      <c r="EE101" s="220">
        <f t="shared" ca="1" si="643"/>
        <v>0</v>
      </c>
      <c r="EF101" s="220">
        <f t="shared" ca="1" si="643"/>
        <v>0</v>
      </c>
      <c r="EG101" s="220">
        <f t="shared" ca="1" si="643"/>
        <v>-866.47073566913605</v>
      </c>
      <c r="EH101" s="220">
        <f t="shared" ca="1" si="643"/>
        <v>-433.23536783456075</v>
      </c>
      <c r="EI101" s="220">
        <f t="shared" ca="1" si="643"/>
        <v>0</v>
      </c>
      <c r="EJ101" s="220">
        <f t="shared" ca="1" si="643"/>
        <v>0</v>
      </c>
      <c r="EK101" s="220">
        <f t="shared" ca="1" si="643"/>
        <v>0</v>
      </c>
      <c r="EL101" s="220">
        <f t="shared" ca="1" si="643"/>
        <v>0</v>
      </c>
      <c r="EM101" s="220">
        <f t="shared" ca="1" si="643"/>
        <v>0</v>
      </c>
      <c r="EN101" s="220">
        <f t="shared" ca="1" si="643"/>
        <v>0</v>
      </c>
      <c r="EO101" s="220">
        <f t="shared" ca="1" si="643"/>
        <v>0</v>
      </c>
      <c r="EP101" s="220">
        <f t="shared" ref="EP101:ES101" ca="1" si="644">MAX(-(EP99+EP100+EP102),-JZ159)</f>
        <v>0</v>
      </c>
      <c r="EQ101" s="220">
        <f t="shared" ca="1" si="644"/>
        <v>0</v>
      </c>
      <c r="ER101" s="220">
        <f t="shared" ca="1" si="644"/>
        <v>0</v>
      </c>
      <c r="ES101" s="220">
        <f t="shared" ca="1" si="644"/>
        <v>-892.46485773920722</v>
      </c>
      <c r="EU101" s="153"/>
      <c r="EV101" s="153"/>
    </row>
    <row r="102" spans="1:289" ht="16.5" x14ac:dyDescent="0.35">
      <c r="B102" s="336" t="s">
        <v>110</v>
      </c>
      <c r="C102" s="181"/>
      <c r="D102" s="338">
        <v>0</v>
      </c>
      <c r="E102" s="339">
        <f>+-D102/C99*I99/12</f>
        <v>0</v>
      </c>
      <c r="F102" s="339"/>
      <c r="G102" s="340">
        <f>I102/Units_SF_M2/12</f>
        <v>0</v>
      </c>
      <c r="H102" s="341">
        <f>I102/Units/12</f>
        <v>0</v>
      </c>
      <c r="I102" s="342">
        <f>E102*12</f>
        <v>0</v>
      </c>
      <c r="R102" s="226">
        <f t="shared" ref="R102:AW102" si="645">IF(R90=0,0,$E102*(1+$D$91)^(FB95-1))</f>
        <v>0</v>
      </c>
      <c r="S102" s="226">
        <f t="shared" si="645"/>
        <v>0</v>
      </c>
      <c r="T102" s="226">
        <f t="shared" si="645"/>
        <v>0</v>
      </c>
      <c r="U102" s="226">
        <f t="shared" si="645"/>
        <v>0</v>
      </c>
      <c r="V102" s="226">
        <f t="shared" si="645"/>
        <v>0</v>
      </c>
      <c r="W102" s="226">
        <f t="shared" si="645"/>
        <v>0</v>
      </c>
      <c r="X102" s="226">
        <f t="shared" si="645"/>
        <v>0</v>
      </c>
      <c r="Y102" s="226">
        <f t="shared" si="645"/>
        <v>0</v>
      </c>
      <c r="Z102" s="226">
        <f t="shared" si="645"/>
        <v>0</v>
      </c>
      <c r="AA102" s="226">
        <f t="shared" si="645"/>
        <v>0</v>
      </c>
      <c r="AB102" s="226">
        <f t="shared" si="645"/>
        <v>0</v>
      </c>
      <c r="AC102" s="226">
        <f t="shared" si="645"/>
        <v>0</v>
      </c>
      <c r="AD102" s="226">
        <f t="shared" si="645"/>
        <v>0</v>
      </c>
      <c r="AE102" s="226">
        <f t="shared" si="645"/>
        <v>0</v>
      </c>
      <c r="AF102" s="226">
        <f t="shared" si="645"/>
        <v>0</v>
      </c>
      <c r="AG102" s="226">
        <f t="shared" si="645"/>
        <v>0</v>
      </c>
      <c r="AH102" s="226">
        <f t="shared" si="645"/>
        <v>0</v>
      </c>
      <c r="AI102" s="226">
        <f t="shared" si="645"/>
        <v>0</v>
      </c>
      <c r="AJ102" s="226">
        <f t="shared" si="645"/>
        <v>0</v>
      </c>
      <c r="AK102" s="226">
        <f t="shared" si="645"/>
        <v>0</v>
      </c>
      <c r="AL102" s="226">
        <f t="shared" si="645"/>
        <v>0</v>
      </c>
      <c r="AM102" s="226">
        <f t="shared" si="645"/>
        <v>0</v>
      </c>
      <c r="AN102" s="226">
        <f t="shared" si="645"/>
        <v>0</v>
      </c>
      <c r="AO102" s="226">
        <f t="shared" si="645"/>
        <v>0</v>
      </c>
      <c r="AP102" s="226">
        <f t="shared" si="645"/>
        <v>0</v>
      </c>
      <c r="AQ102" s="226">
        <f t="shared" si="645"/>
        <v>0</v>
      </c>
      <c r="AR102" s="226">
        <f t="shared" si="645"/>
        <v>0</v>
      </c>
      <c r="AS102" s="226">
        <f t="shared" si="645"/>
        <v>0</v>
      </c>
      <c r="AT102" s="226">
        <f t="shared" si="645"/>
        <v>0</v>
      </c>
      <c r="AU102" s="226">
        <f t="shared" si="645"/>
        <v>0</v>
      </c>
      <c r="AV102" s="226">
        <f t="shared" si="645"/>
        <v>0</v>
      </c>
      <c r="AW102" s="226">
        <f t="shared" si="645"/>
        <v>0</v>
      </c>
      <c r="AX102" s="226">
        <f t="shared" ref="AX102:CC102" si="646">IF(AX90=0,0,$E102*(1+$D$91)^(GH95-1))</f>
        <v>0</v>
      </c>
      <c r="AY102" s="226">
        <f t="shared" si="646"/>
        <v>0</v>
      </c>
      <c r="AZ102" s="226">
        <f t="shared" si="646"/>
        <v>0</v>
      </c>
      <c r="BA102" s="226">
        <f t="shared" si="646"/>
        <v>0</v>
      </c>
      <c r="BB102" s="226">
        <f t="shared" si="646"/>
        <v>0</v>
      </c>
      <c r="BC102" s="226">
        <f t="shared" si="646"/>
        <v>0</v>
      </c>
      <c r="BD102" s="226">
        <f t="shared" si="646"/>
        <v>0</v>
      </c>
      <c r="BE102" s="226">
        <f t="shared" si="646"/>
        <v>0</v>
      </c>
      <c r="BF102" s="226">
        <f t="shared" si="646"/>
        <v>0</v>
      </c>
      <c r="BG102" s="226">
        <f t="shared" si="646"/>
        <v>0</v>
      </c>
      <c r="BH102" s="226">
        <f t="shared" si="646"/>
        <v>0</v>
      </c>
      <c r="BI102" s="226">
        <f t="shared" si="646"/>
        <v>0</v>
      </c>
      <c r="BJ102" s="226">
        <f t="shared" si="646"/>
        <v>0</v>
      </c>
      <c r="BK102" s="226">
        <f t="shared" si="646"/>
        <v>0</v>
      </c>
      <c r="BL102" s="226">
        <f t="shared" si="646"/>
        <v>0</v>
      </c>
      <c r="BM102" s="226">
        <f t="shared" si="646"/>
        <v>0</v>
      </c>
      <c r="BN102" s="226">
        <f t="shared" si="646"/>
        <v>0</v>
      </c>
      <c r="BO102" s="226">
        <f t="shared" si="646"/>
        <v>0</v>
      </c>
      <c r="BP102" s="226">
        <f t="shared" si="646"/>
        <v>0</v>
      </c>
      <c r="BQ102" s="226">
        <f t="shared" si="646"/>
        <v>0</v>
      </c>
      <c r="BR102" s="226">
        <f t="shared" si="646"/>
        <v>0</v>
      </c>
      <c r="BS102" s="226">
        <f t="shared" si="646"/>
        <v>0</v>
      </c>
      <c r="BT102" s="226">
        <f t="shared" si="646"/>
        <v>0</v>
      </c>
      <c r="BU102" s="226">
        <f t="shared" si="646"/>
        <v>0</v>
      </c>
      <c r="BV102" s="226">
        <f t="shared" si="646"/>
        <v>0</v>
      </c>
      <c r="BW102" s="226">
        <f t="shared" si="646"/>
        <v>0</v>
      </c>
      <c r="BX102" s="226">
        <f t="shared" si="646"/>
        <v>0</v>
      </c>
      <c r="BY102" s="226">
        <f t="shared" si="646"/>
        <v>0</v>
      </c>
      <c r="BZ102" s="226">
        <f t="shared" si="646"/>
        <v>0</v>
      </c>
      <c r="CA102" s="226">
        <f t="shared" si="646"/>
        <v>0</v>
      </c>
      <c r="CB102" s="226">
        <f t="shared" si="646"/>
        <v>0</v>
      </c>
      <c r="CC102" s="226">
        <f t="shared" si="646"/>
        <v>0</v>
      </c>
      <c r="CD102" s="226">
        <f t="shared" ref="CD102:DI102" si="647">IF(CD90=0,0,$E102*(1+$D$91)^(HN95-1))</f>
        <v>0</v>
      </c>
      <c r="CE102" s="226">
        <f t="shared" si="647"/>
        <v>0</v>
      </c>
      <c r="CF102" s="226">
        <f t="shared" si="647"/>
        <v>0</v>
      </c>
      <c r="CG102" s="226">
        <f t="shared" si="647"/>
        <v>0</v>
      </c>
      <c r="CH102" s="226">
        <f t="shared" si="647"/>
        <v>0</v>
      </c>
      <c r="CI102" s="226">
        <f t="shared" si="647"/>
        <v>0</v>
      </c>
      <c r="CJ102" s="226">
        <f t="shared" si="647"/>
        <v>0</v>
      </c>
      <c r="CK102" s="226">
        <f t="shared" si="647"/>
        <v>0</v>
      </c>
      <c r="CL102" s="226">
        <f t="shared" si="647"/>
        <v>0</v>
      </c>
      <c r="CM102" s="226">
        <f t="shared" si="647"/>
        <v>0</v>
      </c>
      <c r="CN102" s="226">
        <f t="shared" si="647"/>
        <v>0</v>
      </c>
      <c r="CO102" s="226">
        <f t="shared" si="647"/>
        <v>0</v>
      </c>
      <c r="CP102" s="226">
        <f t="shared" si="647"/>
        <v>0</v>
      </c>
      <c r="CQ102" s="226">
        <f t="shared" si="647"/>
        <v>0</v>
      </c>
      <c r="CR102" s="226">
        <f t="shared" si="647"/>
        <v>0</v>
      </c>
      <c r="CS102" s="226">
        <f t="shared" si="647"/>
        <v>0</v>
      </c>
      <c r="CT102" s="226">
        <f t="shared" si="647"/>
        <v>0</v>
      </c>
      <c r="CU102" s="226">
        <f t="shared" si="647"/>
        <v>0</v>
      </c>
      <c r="CV102" s="226">
        <f t="shared" si="647"/>
        <v>0</v>
      </c>
      <c r="CW102" s="226">
        <f t="shared" si="647"/>
        <v>0</v>
      </c>
      <c r="CX102" s="226">
        <f t="shared" si="647"/>
        <v>0</v>
      </c>
      <c r="CY102" s="226">
        <f t="shared" si="647"/>
        <v>0</v>
      </c>
      <c r="CZ102" s="226">
        <f t="shared" si="647"/>
        <v>0</v>
      </c>
      <c r="DA102" s="226">
        <f t="shared" si="647"/>
        <v>0</v>
      </c>
      <c r="DB102" s="226">
        <f t="shared" si="647"/>
        <v>0</v>
      </c>
      <c r="DC102" s="226">
        <f t="shared" si="647"/>
        <v>0</v>
      </c>
      <c r="DD102" s="226">
        <f t="shared" si="647"/>
        <v>0</v>
      </c>
      <c r="DE102" s="226">
        <f t="shared" si="647"/>
        <v>0</v>
      </c>
      <c r="DF102" s="226">
        <f t="shared" si="647"/>
        <v>0</v>
      </c>
      <c r="DG102" s="226">
        <f t="shared" si="647"/>
        <v>0</v>
      </c>
      <c r="DH102" s="226">
        <f t="shared" si="647"/>
        <v>0</v>
      </c>
      <c r="DI102" s="226">
        <f t="shared" si="647"/>
        <v>0</v>
      </c>
      <c r="DJ102" s="226">
        <f t="shared" ref="DJ102:EO102" si="648">IF(DJ90=0,0,$E102*(1+$D$91)^(IT95-1))</f>
        <v>0</v>
      </c>
      <c r="DK102" s="226">
        <f t="shared" si="648"/>
        <v>0</v>
      </c>
      <c r="DL102" s="226">
        <f t="shared" si="648"/>
        <v>0</v>
      </c>
      <c r="DM102" s="226">
        <f t="shared" si="648"/>
        <v>0</v>
      </c>
      <c r="DN102" s="226">
        <f t="shared" si="648"/>
        <v>0</v>
      </c>
      <c r="DO102" s="226">
        <f t="shared" si="648"/>
        <v>0</v>
      </c>
      <c r="DP102" s="226">
        <f t="shared" si="648"/>
        <v>0</v>
      </c>
      <c r="DQ102" s="226">
        <f t="shared" si="648"/>
        <v>0</v>
      </c>
      <c r="DR102" s="226">
        <f t="shared" si="648"/>
        <v>0</v>
      </c>
      <c r="DS102" s="226">
        <f t="shared" si="648"/>
        <v>0</v>
      </c>
      <c r="DT102" s="226">
        <f t="shared" si="648"/>
        <v>0</v>
      </c>
      <c r="DU102" s="226">
        <f t="shared" si="648"/>
        <v>0</v>
      </c>
      <c r="DV102" s="226">
        <f t="shared" si="648"/>
        <v>0</v>
      </c>
      <c r="DW102" s="226">
        <f t="shared" si="648"/>
        <v>0</v>
      </c>
      <c r="DX102" s="226">
        <f t="shared" si="648"/>
        <v>0</v>
      </c>
      <c r="DY102" s="226">
        <f t="shared" si="648"/>
        <v>0</v>
      </c>
      <c r="DZ102" s="226">
        <f t="shared" si="648"/>
        <v>0</v>
      </c>
      <c r="EA102" s="226">
        <f t="shared" si="648"/>
        <v>0</v>
      </c>
      <c r="EB102" s="226">
        <f t="shared" si="648"/>
        <v>0</v>
      </c>
      <c r="EC102" s="226">
        <f t="shared" si="648"/>
        <v>0</v>
      </c>
      <c r="ED102" s="226">
        <f t="shared" si="648"/>
        <v>0</v>
      </c>
      <c r="EE102" s="226">
        <f t="shared" si="648"/>
        <v>0</v>
      </c>
      <c r="EF102" s="226">
        <f t="shared" si="648"/>
        <v>0</v>
      </c>
      <c r="EG102" s="226">
        <f t="shared" si="648"/>
        <v>0</v>
      </c>
      <c r="EH102" s="226">
        <f t="shared" si="648"/>
        <v>0</v>
      </c>
      <c r="EI102" s="226">
        <f t="shared" si="648"/>
        <v>0</v>
      </c>
      <c r="EJ102" s="226">
        <f t="shared" si="648"/>
        <v>0</v>
      </c>
      <c r="EK102" s="226">
        <f t="shared" si="648"/>
        <v>0</v>
      </c>
      <c r="EL102" s="226">
        <f t="shared" si="648"/>
        <v>0</v>
      </c>
      <c r="EM102" s="226">
        <f t="shared" si="648"/>
        <v>0</v>
      </c>
      <c r="EN102" s="226">
        <f t="shared" si="648"/>
        <v>0</v>
      </c>
      <c r="EO102" s="226">
        <f t="shared" si="648"/>
        <v>0</v>
      </c>
      <c r="EP102" s="226">
        <f t="shared" ref="EP102:ES102" si="649">IF(EP90=0,0,$E102*(1+$D$91)^(JZ95-1))</f>
        <v>0</v>
      </c>
      <c r="EQ102" s="226">
        <f t="shared" si="649"/>
        <v>0</v>
      </c>
      <c r="ER102" s="226">
        <f t="shared" si="649"/>
        <v>0</v>
      </c>
      <c r="ES102" s="226">
        <f t="shared" si="649"/>
        <v>0</v>
      </c>
      <c r="EU102" s="153"/>
      <c r="EV102" s="153"/>
    </row>
    <row r="103" spans="1:289" x14ac:dyDescent="0.25">
      <c r="B103" s="180" t="s">
        <v>166</v>
      </c>
      <c r="C103" s="181"/>
      <c r="D103" s="181"/>
      <c r="E103" s="181"/>
      <c r="F103" s="181"/>
      <c r="G103" s="324">
        <f>SUM(G99:G102)</f>
        <v>1.8654884634266076</v>
      </c>
      <c r="H103" s="218">
        <f>SUM(H99:H102)</f>
        <v>1900</v>
      </c>
      <c r="I103" s="335">
        <f>SUM(I99:I102)</f>
        <v>364800</v>
      </c>
      <c r="P103" s="152" t="s">
        <v>451</v>
      </c>
      <c r="R103" s="220">
        <f ca="1">SUM(R99:R102)</f>
        <v>0</v>
      </c>
      <c r="S103" s="220">
        <f t="shared" ref="S103:CD103" ca="1" si="650">SUM(S99:S102)</f>
        <v>0</v>
      </c>
      <c r="T103" s="220">
        <f t="shared" ca="1" si="650"/>
        <v>0</v>
      </c>
      <c r="U103" s="220">
        <f t="shared" ca="1" si="650"/>
        <v>0</v>
      </c>
      <c r="V103" s="220">
        <f t="shared" ca="1" si="650"/>
        <v>0</v>
      </c>
      <c r="W103" s="220">
        <f t="shared" ca="1" si="650"/>
        <v>0</v>
      </c>
      <c r="X103" s="220">
        <f t="shared" ca="1" si="650"/>
        <v>0</v>
      </c>
      <c r="Y103" s="220">
        <f t="shared" ca="1" si="650"/>
        <v>0</v>
      </c>
      <c r="Z103" s="220">
        <f t="shared" ca="1" si="650"/>
        <v>0</v>
      </c>
      <c r="AA103" s="220">
        <f t="shared" ca="1" si="650"/>
        <v>0</v>
      </c>
      <c r="AB103" s="220">
        <f t="shared" ca="1" si="650"/>
        <v>0</v>
      </c>
      <c r="AC103" s="220">
        <f t="shared" ca="1" si="650"/>
        <v>7600</v>
      </c>
      <c r="AD103" s="220">
        <f t="shared" ca="1" si="650"/>
        <v>19000</v>
      </c>
      <c r="AE103" s="220">
        <f t="shared" ca="1" si="650"/>
        <v>30400</v>
      </c>
      <c r="AF103" s="220">
        <f t="shared" ca="1" si="650"/>
        <v>30400</v>
      </c>
      <c r="AG103" s="220">
        <f t="shared" ca="1" si="650"/>
        <v>30400</v>
      </c>
      <c r="AH103" s="220">
        <f t="shared" ca="1" si="650"/>
        <v>30400</v>
      </c>
      <c r="AI103" s="220">
        <f t="shared" ca="1" si="650"/>
        <v>30400</v>
      </c>
      <c r="AJ103" s="220">
        <f t="shared" ca="1" si="650"/>
        <v>30400</v>
      </c>
      <c r="AK103" s="220">
        <f t="shared" ca="1" si="650"/>
        <v>30400</v>
      </c>
      <c r="AL103" s="220">
        <f t="shared" ca="1" si="650"/>
        <v>30400</v>
      </c>
      <c r="AM103" s="220">
        <f t="shared" ca="1" si="650"/>
        <v>30400</v>
      </c>
      <c r="AN103" s="220">
        <f t="shared" ca="1" si="650"/>
        <v>30400</v>
      </c>
      <c r="AO103" s="220">
        <f t="shared" ca="1" si="650"/>
        <v>30628</v>
      </c>
      <c r="AP103" s="220">
        <f t="shared" ca="1" si="650"/>
        <v>30970</v>
      </c>
      <c r="AQ103" s="220">
        <f t="shared" ca="1" si="650"/>
        <v>31312</v>
      </c>
      <c r="AR103" s="220">
        <f t="shared" ca="1" si="650"/>
        <v>31312</v>
      </c>
      <c r="AS103" s="220">
        <f t="shared" ca="1" si="650"/>
        <v>31312</v>
      </c>
      <c r="AT103" s="220">
        <f t="shared" ca="1" si="650"/>
        <v>31312</v>
      </c>
      <c r="AU103" s="220">
        <f t="shared" ca="1" si="650"/>
        <v>31312</v>
      </c>
      <c r="AV103" s="220">
        <f t="shared" ca="1" si="650"/>
        <v>31312</v>
      </c>
      <c r="AW103" s="220">
        <f t="shared" ca="1" si="650"/>
        <v>31312</v>
      </c>
      <c r="AX103" s="220">
        <f t="shared" ca="1" si="650"/>
        <v>31312</v>
      </c>
      <c r="AY103" s="220">
        <f t="shared" ca="1" si="650"/>
        <v>31312</v>
      </c>
      <c r="AZ103" s="220">
        <f t="shared" ca="1" si="650"/>
        <v>31312</v>
      </c>
      <c r="BA103" s="220">
        <f t="shared" ca="1" si="650"/>
        <v>31546.84</v>
      </c>
      <c r="BB103" s="220">
        <f t="shared" ca="1" si="650"/>
        <v>31899.1</v>
      </c>
      <c r="BC103" s="220">
        <f t="shared" ca="1" si="650"/>
        <v>32251.360000000001</v>
      </c>
      <c r="BD103" s="220">
        <f t="shared" ca="1" si="650"/>
        <v>32251.360000000001</v>
      </c>
      <c r="BE103" s="220">
        <f t="shared" ca="1" si="650"/>
        <v>32251.360000000001</v>
      </c>
      <c r="BF103" s="220">
        <f t="shared" ca="1" si="650"/>
        <v>32251.360000000001</v>
      </c>
      <c r="BG103" s="220">
        <f t="shared" ca="1" si="650"/>
        <v>32251.360000000001</v>
      </c>
      <c r="BH103" s="220">
        <f t="shared" ca="1" si="650"/>
        <v>32251.360000000001</v>
      </c>
      <c r="BI103" s="220">
        <f t="shared" ca="1" si="650"/>
        <v>32251.360000000001</v>
      </c>
      <c r="BJ103" s="220">
        <f t="shared" ca="1" si="650"/>
        <v>32251.360000000001</v>
      </c>
      <c r="BK103" s="220">
        <f t="shared" ca="1" si="650"/>
        <v>32251.360000000001</v>
      </c>
      <c r="BL103" s="220">
        <f t="shared" ca="1" si="650"/>
        <v>32251.360000000001</v>
      </c>
      <c r="BM103" s="220">
        <f t="shared" ca="1" si="650"/>
        <v>32493.245200000005</v>
      </c>
      <c r="BN103" s="220">
        <f t="shared" ca="1" si="650"/>
        <v>32856.073000000004</v>
      </c>
      <c r="BO103" s="220">
        <f t="shared" ca="1" si="650"/>
        <v>33218.900800000003</v>
      </c>
      <c r="BP103" s="220">
        <f t="shared" ca="1" si="650"/>
        <v>33218.900800000003</v>
      </c>
      <c r="BQ103" s="220">
        <f t="shared" ca="1" si="650"/>
        <v>33218.900800000003</v>
      </c>
      <c r="BR103" s="220">
        <f t="shared" ca="1" si="650"/>
        <v>33218.900800000003</v>
      </c>
      <c r="BS103" s="220">
        <f t="shared" ca="1" si="650"/>
        <v>33218.900800000003</v>
      </c>
      <c r="BT103" s="220">
        <f t="shared" ca="1" si="650"/>
        <v>33218.900800000003</v>
      </c>
      <c r="BU103" s="220">
        <f t="shared" ca="1" si="650"/>
        <v>33218.900800000003</v>
      </c>
      <c r="BV103" s="220">
        <f t="shared" ca="1" si="650"/>
        <v>33218.900800000003</v>
      </c>
      <c r="BW103" s="220">
        <f t="shared" ca="1" si="650"/>
        <v>33218.900800000003</v>
      </c>
      <c r="BX103" s="220">
        <f t="shared" ca="1" si="650"/>
        <v>33218.900800000003</v>
      </c>
      <c r="BY103" s="220">
        <f t="shared" ca="1" si="650"/>
        <v>33468.042555999993</v>
      </c>
      <c r="BZ103" s="220">
        <f t="shared" ca="1" si="650"/>
        <v>33841.755189999996</v>
      </c>
      <c r="CA103" s="220">
        <f t="shared" ca="1" si="650"/>
        <v>34215.467823999999</v>
      </c>
      <c r="CB103" s="220">
        <f t="shared" ca="1" si="650"/>
        <v>34215.467823999999</v>
      </c>
      <c r="CC103" s="220">
        <f t="shared" ca="1" si="650"/>
        <v>34215.467823999999</v>
      </c>
      <c r="CD103" s="220">
        <f t="shared" ca="1" si="650"/>
        <v>34215.467823999999</v>
      </c>
      <c r="CE103" s="220">
        <f t="shared" ref="CE103:EP103" ca="1" si="651">SUM(CE99:CE102)</f>
        <v>34215.467823999999</v>
      </c>
      <c r="CF103" s="220">
        <f t="shared" ca="1" si="651"/>
        <v>34215.467823999999</v>
      </c>
      <c r="CG103" s="220">
        <f t="shared" ca="1" si="651"/>
        <v>34215.467823999999</v>
      </c>
      <c r="CH103" s="220">
        <f t="shared" ca="1" si="651"/>
        <v>34215.467823999999</v>
      </c>
      <c r="CI103" s="220">
        <f t="shared" ca="1" si="651"/>
        <v>34215.467823999999</v>
      </c>
      <c r="CJ103" s="220">
        <f t="shared" ca="1" si="651"/>
        <v>34215.467823999999</v>
      </c>
      <c r="CK103" s="220">
        <f t="shared" ca="1" si="651"/>
        <v>34472.08383268</v>
      </c>
      <c r="CL103" s="220">
        <f t="shared" ca="1" si="651"/>
        <v>34857.007845699998</v>
      </c>
      <c r="CM103" s="220">
        <f t="shared" ca="1" si="651"/>
        <v>35241.931858719996</v>
      </c>
      <c r="CN103" s="220">
        <f t="shared" ca="1" si="651"/>
        <v>35241.931858719996</v>
      </c>
      <c r="CO103" s="220">
        <f t="shared" ca="1" si="651"/>
        <v>35241.931858719996</v>
      </c>
      <c r="CP103" s="220">
        <f t="shared" ca="1" si="651"/>
        <v>35241.931858719996</v>
      </c>
      <c r="CQ103" s="220">
        <f t="shared" ca="1" si="651"/>
        <v>35241.931858719996</v>
      </c>
      <c r="CR103" s="220">
        <f t="shared" ca="1" si="651"/>
        <v>35241.931858719996</v>
      </c>
      <c r="CS103" s="220">
        <f t="shared" ca="1" si="651"/>
        <v>35241.931858719996</v>
      </c>
      <c r="CT103" s="220">
        <f t="shared" ca="1" si="651"/>
        <v>35241.931858719996</v>
      </c>
      <c r="CU103" s="220">
        <f t="shared" ca="1" si="651"/>
        <v>35241.931858719996</v>
      </c>
      <c r="CV103" s="220">
        <f t="shared" ca="1" si="651"/>
        <v>35241.931858719996</v>
      </c>
      <c r="CW103" s="220">
        <f t="shared" ca="1" si="651"/>
        <v>35506.246347660395</v>
      </c>
      <c r="CX103" s="220">
        <f t="shared" ca="1" si="651"/>
        <v>35902.718081070998</v>
      </c>
      <c r="CY103" s="220">
        <f t="shared" ca="1" si="651"/>
        <v>36299.1898144816</v>
      </c>
      <c r="CZ103" s="220">
        <f t="shared" ca="1" si="651"/>
        <v>36299.1898144816</v>
      </c>
      <c r="DA103" s="220">
        <f t="shared" ca="1" si="651"/>
        <v>36299.1898144816</v>
      </c>
      <c r="DB103" s="220">
        <f t="shared" ca="1" si="651"/>
        <v>36299.1898144816</v>
      </c>
      <c r="DC103" s="220">
        <f t="shared" ca="1" si="651"/>
        <v>36299.1898144816</v>
      </c>
      <c r="DD103" s="220">
        <f t="shared" ca="1" si="651"/>
        <v>36299.1898144816</v>
      </c>
      <c r="DE103" s="220">
        <f t="shared" ca="1" si="651"/>
        <v>36299.1898144816</v>
      </c>
      <c r="DF103" s="220">
        <f t="shared" ca="1" si="651"/>
        <v>36299.1898144816</v>
      </c>
      <c r="DG103" s="220">
        <f t="shared" ca="1" si="651"/>
        <v>36299.1898144816</v>
      </c>
      <c r="DH103" s="220">
        <f t="shared" ca="1" si="651"/>
        <v>36299.1898144816</v>
      </c>
      <c r="DI103" s="220">
        <f t="shared" ca="1" si="651"/>
        <v>36571.433738090214</v>
      </c>
      <c r="DJ103" s="220">
        <f t="shared" ca="1" si="651"/>
        <v>36979.799623503131</v>
      </c>
      <c r="DK103" s="220">
        <f t="shared" ca="1" si="651"/>
        <v>37388.165508916049</v>
      </c>
      <c r="DL103" s="220">
        <f t="shared" ca="1" si="651"/>
        <v>37388.165508916049</v>
      </c>
      <c r="DM103" s="220">
        <f t="shared" ca="1" si="651"/>
        <v>37388.165508916049</v>
      </c>
      <c r="DN103" s="220">
        <f t="shared" ca="1" si="651"/>
        <v>37388.165508916049</v>
      </c>
      <c r="DO103" s="220">
        <f t="shared" ca="1" si="651"/>
        <v>37388.165508916049</v>
      </c>
      <c r="DP103" s="220">
        <f t="shared" ca="1" si="651"/>
        <v>37388.165508916049</v>
      </c>
      <c r="DQ103" s="220">
        <f t="shared" ca="1" si="651"/>
        <v>37388.165508916049</v>
      </c>
      <c r="DR103" s="220">
        <f t="shared" ca="1" si="651"/>
        <v>37388.165508916049</v>
      </c>
      <c r="DS103" s="220">
        <f t="shared" ca="1" si="651"/>
        <v>37388.165508916049</v>
      </c>
      <c r="DT103" s="220">
        <f t="shared" ca="1" si="651"/>
        <v>37388.165508916049</v>
      </c>
      <c r="DU103" s="220">
        <f t="shared" ca="1" si="651"/>
        <v>37668.576750232925</v>
      </c>
      <c r="DV103" s="220">
        <f t="shared" ca="1" si="651"/>
        <v>38089.193612208219</v>
      </c>
      <c r="DW103" s="220">
        <f t="shared" ca="1" si="651"/>
        <v>38509.810474183527</v>
      </c>
      <c r="DX103" s="220">
        <f t="shared" ca="1" si="651"/>
        <v>38509.810474183527</v>
      </c>
      <c r="DY103" s="220">
        <f t="shared" ca="1" si="651"/>
        <v>38509.810474183527</v>
      </c>
      <c r="DZ103" s="220">
        <f t="shared" ca="1" si="651"/>
        <v>38509.810474183527</v>
      </c>
      <c r="EA103" s="220">
        <f t="shared" ca="1" si="651"/>
        <v>38509.810474183527</v>
      </c>
      <c r="EB103" s="220">
        <f t="shared" ca="1" si="651"/>
        <v>38509.810474183527</v>
      </c>
      <c r="EC103" s="220">
        <f t="shared" ca="1" si="651"/>
        <v>38509.810474183527</v>
      </c>
      <c r="ED103" s="220">
        <f t="shared" ca="1" si="651"/>
        <v>38509.810474183527</v>
      </c>
      <c r="EE103" s="220">
        <f t="shared" ca="1" si="651"/>
        <v>38509.810474183527</v>
      </c>
      <c r="EF103" s="220">
        <f t="shared" ca="1" si="651"/>
        <v>38509.810474183527</v>
      </c>
      <c r="EG103" s="220">
        <f t="shared" ca="1" si="651"/>
        <v>38798.634052739893</v>
      </c>
      <c r="EH103" s="220">
        <f t="shared" ca="1" si="651"/>
        <v>39231.869420574469</v>
      </c>
      <c r="EI103" s="220">
        <f t="shared" ca="1" si="651"/>
        <v>39665.104788409029</v>
      </c>
      <c r="EJ103" s="220">
        <f t="shared" ca="1" si="651"/>
        <v>39665.104788409029</v>
      </c>
      <c r="EK103" s="220">
        <f t="shared" ca="1" si="651"/>
        <v>39665.104788409029</v>
      </c>
      <c r="EL103" s="220">
        <f t="shared" ca="1" si="651"/>
        <v>39665.104788409029</v>
      </c>
      <c r="EM103" s="220">
        <f t="shared" ca="1" si="651"/>
        <v>39665.104788409029</v>
      </c>
      <c r="EN103" s="220">
        <f t="shared" ca="1" si="651"/>
        <v>39665.104788409029</v>
      </c>
      <c r="EO103" s="220">
        <f t="shared" ca="1" si="651"/>
        <v>39665.104788409029</v>
      </c>
      <c r="EP103" s="220">
        <f t="shared" ca="1" si="651"/>
        <v>39665.104788409029</v>
      </c>
      <c r="EQ103" s="220">
        <f ca="1">SUM(EQ99:EQ102)</f>
        <v>39665.104788409029</v>
      </c>
      <c r="ER103" s="220">
        <f ca="1">SUM(ER99:ER102)</f>
        <v>39665.104788409029</v>
      </c>
      <c r="ES103" s="220">
        <f ca="1">SUM(ES99:ES102)</f>
        <v>39962.593074322096</v>
      </c>
      <c r="EU103" s="153"/>
      <c r="EV103" s="153"/>
    </row>
    <row r="104" spans="1:289" ht="16.5" x14ac:dyDescent="0.35">
      <c r="B104" s="343" t="s">
        <v>113</v>
      </c>
      <c r="C104" s="210"/>
      <c r="D104" s="210"/>
      <c r="E104" s="210" t="s">
        <v>139</v>
      </c>
      <c r="F104" s="210" t="s">
        <v>138</v>
      </c>
      <c r="G104" s="344" t="str">
        <f>"/"&amp;Unit_Type&amp;"/MO"</f>
        <v>/SF/MO</v>
      </c>
      <c r="H104" s="211" t="s">
        <v>424</v>
      </c>
      <c r="I104" s="210" t="s">
        <v>119</v>
      </c>
      <c r="EU104" s="153"/>
      <c r="EV104" s="153"/>
    </row>
    <row r="105" spans="1:289" x14ac:dyDescent="0.25">
      <c r="B105" s="214" t="s">
        <v>112</v>
      </c>
      <c r="C105" s="310">
        <v>0.03</v>
      </c>
      <c r="D105" s="345" t="s">
        <v>763</v>
      </c>
      <c r="E105" s="346">
        <v>0</v>
      </c>
      <c r="F105" s="272">
        <f>I105/$I$103</f>
        <v>0</v>
      </c>
      <c r="G105" s="347">
        <f>I105/(Units_SF_M2)/12</f>
        <v>0</v>
      </c>
      <c r="H105" s="218">
        <f>I105/Units/12</f>
        <v>0</v>
      </c>
      <c r="I105" s="219">
        <v>0</v>
      </c>
      <c r="K105" s="152" t="s">
        <v>876</v>
      </c>
      <c r="R105" s="220">
        <f t="shared" ref="R105:AW105" si="652">($I105/12*R$90)*(1+$C$105)^(FB$93-1)</f>
        <v>0</v>
      </c>
      <c r="S105" s="220">
        <f t="shared" si="652"/>
        <v>0</v>
      </c>
      <c r="T105" s="220">
        <f t="shared" si="652"/>
        <v>0</v>
      </c>
      <c r="U105" s="220">
        <f t="shared" si="652"/>
        <v>0</v>
      </c>
      <c r="V105" s="220">
        <f t="shared" si="652"/>
        <v>0</v>
      </c>
      <c r="W105" s="220">
        <f t="shared" si="652"/>
        <v>0</v>
      </c>
      <c r="X105" s="220">
        <f t="shared" si="652"/>
        <v>0</v>
      </c>
      <c r="Y105" s="220">
        <f t="shared" si="652"/>
        <v>0</v>
      </c>
      <c r="Z105" s="220">
        <f t="shared" si="652"/>
        <v>0</v>
      </c>
      <c r="AA105" s="220">
        <f t="shared" si="652"/>
        <v>0</v>
      </c>
      <c r="AB105" s="220">
        <f t="shared" si="652"/>
        <v>0</v>
      </c>
      <c r="AC105" s="220">
        <f t="shared" si="652"/>
        <v>0</v>
      </c>
      <c r="AD105" s="220">
        <f t="shared" si="652"/>
        <v>0</v>
      </c>
      <c r="AE105" s="220">
        <f t="shared" si="652"/>
        <v>0</v>
      </c>
      <c r="AF105" s="220">
        <f t="shared" si="652"/>
        <v>0</v>
      </c>
      <c r="AG105" s="220">
        <f t="shared" si="652"/>
        <v>0</v>
      </c>
      <c r="AH105" s="220">
        <f t="shared" si="652"/>
        <v>0</v>
      </c>
      <c r="AI105" s="220">
        <f t="shared" si="652"/>
        <v>0</v>
      </c>
      <c r="AJ105" s="220">
        <f t="shared" si="652"/>
        <v>0</v>
      </c>
      <c r="AK105" s="220">
        <f t="shared" si="652"/>
        <v>0</v>
      </c>
      <c r="AL105" s="220">
        <f t="shared" si="652"/>
        <v>0</v>
      </c>
      <c r="AM105" s="220">
        <f t="shared" si="652"/>
        <v>0</v>
      </c>
      <c r="AN105" s="220">
        <f t="shared" si="652"/>
        <v>0</v>
      </c>
      <c r="AO105" s="220">
        <f t="shared" si="652"/>
        <v>0</v>
      </c>
      <c r="AP105" s="220">
        <f t="shared" si="652"/>
        <v>0</v>
      </c>
      <c r="AQ105" s="220">
        <f t="shared" si="652"/>
        <v>0</v>
      </c>
      <c r="AR105" s="220">
        <f t="shared" si="652"/>
        <v>0</v>
      </c>
      <c r="AS105" s="220">
        <f t="shared" si="652"/>
        <v>0</v>
      </c>
      <c r="AT105" s="220">
        <f t="shared" si="652"/>
        <v>0</v>
      </c>
      <c r="AU105" s="220">
        <f t="shared" si="652"/>
        <v>0</v>
      </c>
      <c r="AV105" s="220">
        <f t="shared" si="652"/>
        <v>0</v>
      </c>
      <c r="AW105" s="220">
        <f t="shared" si="652"/>
        <v>0</v>
      </c>
      <c r="AX105" s="220">
        <f t="shared" ref="AX105:CC105" si="653">($I105/12*AX$90)*(1+$C$105)^(GH$93-1)</f>
        <v>0</v>
      </c>
      <c r="AY105" s="220">
        <f t="shared" si="653"/>
        <v>0</v>
      </c>
      <c r="AZ105" s="220">
        <f t="shared" si="653"/>
        <v>0</v>
      </c>
      <c r="BA105" s="220">
        <f t="shared" si="653"/>
        <v>0</v>
      </c>
      <c r="BB105" s="220">
        <f t="shared" si="653"/>
        <v>0</v>
      </c>
      <c r="BC105" s="220">
        <f t="shared" si="653"/>
        <v>0</v>
      </c>
      <c r="BD105" s="220">
        <f t="shared" si="653"/>
        <v>0</v>
      </c>
      <c r="BE105" s="220">
        <f t="shared" si="653"/>
        <v>0</v>
      </c>
      <c r="BF105" s="220">
        <f t="shared" si="653"/>
        <v>0</v>
      </c>
      <c r="BG105" s="220">
        <f t="shared" si="653"/>
        <v>0</v>
      </c>
      <c r="BH105" s="220">
        <f t="shared" si="653"/>
        <v>0</v>
      </c>
      <c r="BI105" s="220">
        <f t="shared" si="653"/>
        <v>0</v>
      </c>
      <c r="BJ105" s="220">
        <f t="shared" si="653"/>
        <v>0</v>
      </c>
      <c r="BK105" s="220">
        <f t="shared" si="653"/>
        <v>0</v>
      </c>
      <c r="BL105" s="220">
        <f t="shared" si="653"/>
        <v>0</v>
      </c>
      <c r="BM105" s="220">
        <f t="shared" si="653"/>
        <v>0</v>
      </c>
      <c r="BN105" s="220">
        <f t="shared" si="653"/>
        <v>0</v>
      </c>
      <c r="BO105" s="220">
        <f t="shared" si="653"/>
        <v>0</v>
      </c>
      <c r="BP105" s="220">
        <f t="shared" si="653"/>
        <v>0</v>
      </c>
      <c r="BQ105" s="220">
        <f t="shared" si="653"/>
        <v>0</v>
      </c>
      <c r="BR105" s="220">
        <f t="shared" si="653"/>
        <v>0</v>
      </c>
      <c r="BS105" s="220">
        <f t="shared" si="653"/>
        <v>0</v>
      </c>
      <c r="BT105" s="220">
        <f t="shared" si="653"/>
        <v>0</v>
      </c>
      <c r="BU105" s="220">
        <f t="shared" si="653"/>
        <v>0</v>
      </c>
      <c r="BV105" s="220">
        <f t="shared" si="653"/>
        <v>0</v>
      </c>
      <c r="BW105" s="220">
        <f t="shared" si="653"/>
        <v>0</v>
      </c>
      <c r="BX105" s="220">
        <f t="shared" si="653"/>
        <v>0</v>
      </c>
      <c r="BY105" s="220">
        <f t="shared" si="653"/>
        <v>0</v>
      </c>
      <c r="BZ105" s="220">
        <f t="shared" si="653"/>
        <v>0</v>
      </c>
      <c r="CA105" s="220">
        <f t="shared" si="653"/>
        <v>0</v>
      </c>
      <c r="CB105" s="220">
        <f t="shared" si="653"/>
        <v>0</v>
      </c>
      <c r="CC105" s="220">
        <f t="shared" si="653"/>
        <v>0</v>
      </c>
      <c r="CD105" s="220">
        <f t="shared" ref="CD105:DI105" si="654">($I105/12*CD$90)*(1+$C$105)^(HN$93-1)</f>
        <v>0</v>
      </c>
      <c r="CE105" s="220">
        <f t="shared" si="654"/>
        <v>0</v>
      </c>
      <c r="CF105" s="220">
        <f t="shared" si="654"/>
        <v>0</v>
      </c>
      <c r="CG105" s="220">
        <f t="shared" si="654"/>
        <v>0</v>
      </c>
      <c r="CH105" s="220">
        <f t="shared" si="654"/>
        <v>0</v>
      </c>
      <c r="CI105" s="220">
        <f t="shared" si="654"/>
        <v>0</v>
      </c>
      <c r="CJ105" s="220">
        <f t="shared" si="654"/>
        <v>0</v>
      </c>
      <c r="CK105" s="220">
        <f t="shared" si="654"/>
        <v>0</v>
      </c>
      <c r="CL105" s="220">
        <f t="shared" si="654"/>
        <v>0</v>
      </c>
      <c r="CM105" s="220">
        <f t="shared" si="654"/>
        <v>0</v>
      </c>
      <c r="CN105" s="220">
        <f t="shared" si="654"/>
        <v>0</v>
      </c>
      <c r="CO105" s="220">
        <f t="shared" si="654"/>
        <v>0</v>
      </c>
      <c r="CP105" s="220">
        <f t="shared" si="654"/>
        <v>0</v>
      </c>
      <c r="CQ105" s="220">
        <f t="shared" si="654"/>
        <v>0</v>
      </c>
      <c r="CR105" s="220">
        <f t="shared" si="654"/>
        <v>0</v>
      </c>
      <c r="CS105" s="220">
        <f t="shared" si="654"/>
        <v>0</v>
      </c>
      <c r="CT105" s="220">
        <f t="shared" si="654"/>
        <v>0</v>
      </c>
      <c r="CU105" s="220">
        <f t="shared" si="654"/>
        <v>0</v>
      </c>
      <c r="CV105" s="220">
        <f t="shared" si="654"/>
        <v>0</v>
      </c>
      <c r="CW105" s="220">
        <f t="shared" si="654"/>
        <v>0</v>
      </c>
      <c r="CX105" s="220">
        <f t="shared" si="654"/>
        <v>0</v>
      </c>
      <c r="CY105" s="220">
        <f t="shared" si="654"/>
        <v>0</v>
      </c>
      <c r="CZ105" s="220">
        <f t="shared" si="654"/>
        <v>0</v>
      </c>
      <c r="DA105" s="220">
        <f t="shared" si="654"/>
        <v>0</v>
      </c>
      <c r="DB105" s="220">
        <f t="shared" si="654"/>
        <v>0</v>
      </c>
      <c r="DC105" s="220">
        <f t="shared" si="654"/>
        <v>0</v>
      </c>
      <c r="DD105" s="220">
        <f t="shared" si="654"/>
        <v>0</v>
      </c>
      <c r="DE105" s="220">
        <f t="shared" si="654"/>
        <v>0</v>
      </c>
      <c r="DF105" s="220">
        <f t="shared" si="654"/>
        <v>0</v>
      </c>
      <c r="DG105" s="220">
        <f t="shared" si="654"/>
        <v>0</v>
      </c>
      <c r="DH105" s="220">
        <f t="shared" si="654"/>
        <v>0</v>
      </c>
      <c r="DI105" s="220">
        <f t="shared" si="654"/>
        <v>0</v>
      </c>
      <c r="DJ105" s="220">
        <f t="shared" ref="DJ105:EO105" si="655">($I105/12*DJ$90)*(1+$C$105)^(IT$93-1)</f>
        <v>0</v>
      </c>
      <c r="DK105" s="220">
        <f t="shared" si="655"/>
        <v>0</v>
      </c>
      <c r="DL105" s="220">
        <f t="shared" si="655"/>
        <v>0</v>
      </c>
      <c r="DM105" s="220">
        <f t="shared" si="655"/>
        <v>0</v>
      </c>
      <c r="DN105" s="220">
        <f t="shared" si="655"/>
        <v>0</v>
      </c>
      <c r="DO105" s="220">
        <f t="shared" si="655"/>
        <v>0</v>
      </c>
      <c r="DP105" s="220">
        <f t="shared" si="655"/>
        <v>0</v>
      </c>
      <c r="DQ105" s="220">
        <f t="shared" si="655"/>
        <v>0</v>
      </c>
      <c r="DR105" s="220">
        <f t="shared" si="655"/>
        <v>0</v>
      </c>
      <c r="DS105" s="220">
        <f t="shared" si="655"/>
        <v>0</v>
      </c>
      <c r="DT105" s="220">
        <f t="shared" si="655"/>
        <v>0</v>
      </c>
      <c r="DU105" s="220">
        <f t="shared" si="655"/>
        <v>0</v>
      </c>
      <c r="DV105" s="220">
        <f t="shared" si="655"/>
        <v>0</v>
      </c>
      <c r="DW105" s="220">
        <f t="shared" si="655"/>
        <v>0</v>
      </c>
      <c r="DX105" s="220">
        <f t="shared" si="655"/>
        <v>0</v>
      </c>
      <c r="DY105" s="220">
        <f t="shared" si="655"/>
        <v>0</v>
      </c>
      <c r="DZ105" s="220">
        <f t="shared" si="655"/>
        <v>0</v>
      </c>
      <c r="EA105" s="220">
        <f t="shared" si="655"/>
        <v>0</v>
      </c>
      <c r="EB105" s="220">
        <f t="shared" si="655"/>
        <v>0</v>
      </c>
      <c r="EC105" s="220">
        <f t="shared" si="655"/>
        <v>0</v>
      </c>
      <c r="ED105" s="220">
        <f t="shared" si="655"/>
        <v>0</v>
      </c>
      <c r="EE105" s="220">
        <f t="shared" si="655"/>
        <v>0</v>
      </c>
      <c r="EF105" s="220">
        <f t="shared" si="655"/>
        <v>0</v>
      </c>
      <c r="EG105" s="220">
        <f t="shared" si="655"/>
        <v>0</v>
      </c>
      <c r="EH105" s="220">
        <f t="shared" si="655"/>
        <v>0</v>
      </c>
      <c r="EI105" s="220">
        <f t="shared" si="655"/>
        <v>0</v>
      </c>
      <c r="EJ105" s="220">
        <f t="shared" si="655"/>
        <v>0</v>
      </c>
      <c r="EK105" s="220">
        <f t="shared" si="655"/>
        <v>0</v>
      </c>
      <c r="EL105" s="220">
        <f t="shared" si="655"/>
        <v>0</v>
      </c>
      <c r="EM105" s="220">
        <f t="shared" si="655"/>
        <v>0</v>
      </c>
      <c r="EN105" s="220">
        <f t="shared" si="655"/>
        <v>0</v>
      </c>
      <c r="EO105" s="220">
        <f t="shared" si="655"/>
        <v>0</v>
      </c>
      <c r="EP105" s="220">
        <f t="shared" ref="EP105:ES105" si="656">($I105/12*EP$90)*(1+$C$105)^(JZ$93-1)</f>
        <v>0</v>
      </c>
      <c r="EQ105" s="220">
        <f t="shared" si="656"/>
        <v>0</v>
      </c>
      <c r="ER105" s="220">
        <f t="shared" si="656"/>
        <v>0</v>
      </c>
      <c r="ES105" s="220">
        <f t="shared" si="656"/>
        <v>0</v>
      </c>
      <c r="EU105" s="153"/>
      <c r="EV105" s="153"/>
    </row>
    <row r="106" spans="1:289" x14ac:dyDescent="0.25">
      <c r="B106" s="214" t="s">
        <v>115</v>
      </c>
      <c r="C106" s="310">
        <f>$C$105</f>
        <v>0.03</v>
      </c>
      <c r="D106" s="345" t="s">
        <v>763</v>
      </c>
      <c r="E106" s="346">
        <v>0</v>
      </c>
      <c r="F106" s="272">
        <f>I106/$I$103</f>
        <v>0</v>
      </c>
      <c r="G106" s="347">
        <f>I106/(Units_SF_M2)/12</f>
        <v>0</v>
      </c>
      <c r="H106" s="218">
        <f>I106/Units/12</f>
        <v>0</v>
      </c>
      <c r="I106" s="219">
        <v>0</v>
      </c>
      <c r="K106" s="152" t="s">
        <v>860</v>
      </c>
      <c r="R106" s="220">
        <f t="shared" ref="R106:AW106" si="657">($I106/12*R$90)*(1+$C$106)^(FB$93-1)</f>
        <v>0</v>
      </c>
      <c r="S106" s="220">
        <f t="shared" si="657"/>
        <v>0</v>
      </c>
      <c r="T106" s="220">
        <f t="shared" si="657"/>
        <v>0</v>
      </c>
      <c r="U106" s="220">
        <f t="shared" si="657"/>
        <v>0</v>
      </c>
      <c r="V106" s="220">
        <f t="shared" si="657"/>
        <v>0</v>
      </c>
      <c r="W106" s="220">
        <f t="shared" si="657"/>
        <v>0</v>
      </c>
      <c r="X106" s="220">
        <f t="shared" si="657"/>
        <v>0</v>
      </c>
      <c r="Y106" s="220">
        <f t="shared" si="657"/>
        <v>0</v>
      </c>
      <c r="Z106" s="220">
        <f t="shared" si="657"/>
        <v>0</v>
      </c>
      <c r="AA106" s="220">
        <f t="shared" si="657"/>
        <v>0</v>
      </c>
      <c r="AB106" s="220">
        <f t="shared" si="657"/>
        <v>0</v>
      </c>
      <c r="AC106" s="220">
        <f t="shared" si="657"/>
        <v>0</v>
      </c>
      <c r="AD106" s="220">
        <f t="shared" si="657"/>
        <v>0</v>
      </c>
      <c r="AE106" s="220">
        <f t="shared" si="657"/>
        <v>0</v>
      </c>
      <c r="AF106" s="220">
        <f t="shared" si="657"/>
        <v>0</v>
      </c>
      <c r="AG106" s="220">
        <f t="shared" si="657"/>
        <v>0</v>
      </c>
      <c r="AH106" s="220">
        <f t="shared" si="657"/>
        <v>0</v>
      </c>
      <c r="AI106" s="220">
        <f t="shared" si="657"/>
        <v>0</v>
      </c>
      <c r="AJ106" s="220">
        <f t="shared" si="657"/>
        <v>0</v>
      </c>
      <c r="AK106" s="220">
        <f t="shared" si="657"/>
        <v>0</v>
      </c>
      <c r="AL106" s="220">
        <f t="shared" si="657"/>
        <v>0</v>
      </c>
      <c r="AM106" s="220">
        <f t="shared" si="657"/>
        <v>0</v>
      </c>
      <c r="AN106" s="220">
        <f t="shared" si="657"/>
        <v>0</v>
      </c>
      <c r="AO106" s="220">
        <f t="shared" si="657"/>
        <v>0</v>
      </c>
      <c r="AP106" s="220">
        <f t="shared" si="657"/>
        <v>0</v>
      </c>
      <c r="AQ106" s="220">
        <f t="shared" si="657"/>
        <v>0</v>
      </c>
      <c r="AR106" s="220">
        <f t="shared" si="657"/>
        <v>0</v>
      </c>
      <c r="AS106" s="220">
        <f t="shared" si="657"/>
        <v>0</v>
      </c>
      <c r="AT106" s="220">
        <f t="shared" si="657"/>
        <v>0</v>
      </c>
      <c r="AU106" s="220">
        <f t="shared" si="657"/>
        <v>0</v>
      </c>
      <c r="AV106" s="220">
        <f t="shared" si="657"/>
        <v>0</v>
      </c>
      <c r="AW106" s="220">
        <f t="shared" si="657"/>
        <v>0</v>
      </c>
      <c r="AX106" s="220">
        <f t="shared" ref="AX106:CC106" si="658">($I106/12*AX$90)*(1+$C$106)^(GH$93-1)</f>
        <v>0</v>
      </c>
      <c r="AY106" s="220">
        <f t="shared" si="658"/>
        <v>0</v>
      </c>
      <c r="AZ106" s="220">
        <f t="shared" si="658"/>
        <v>0</v>
      </c>
      <c r="BA106" s="220">
        <f t="shared" si="658"/>
        <v>0</v>
      </c>
      <c r="BB106" s="220">
        <f t="shared" si="658"/>
        <v>0</v>
      </c>
      <c r="BC106" s="220">
        <f t="shared" si="658"/>
        <v>0</v>
      </c>
      <c r="BD106" s="220">
        <f t="shared" si="658"/>
        <v>0</v>
      </c>
      <c r="BE106" s="220">
        <f t="shared" si="658"/>
        <v>0</v>
      </c>
      <c r="BF106" s="220">
        <f t="shared" si="658"/>
        <v>0</v>
      </c>
      <c r="BG106" s="220">
        <f t="shared" si="658"/>
        <v>0</v>
      </c>
      <c r="BH106" s="220">
        <f t="shared" si="658"/>
        <v>0</v>
      </c>
      <c r="BI106" s="220">
        <f t="shared" si="658"/>
        <v>0</v>
      </c>
      <c r="BJ106" s="220">
        <f t="shared" si="658"/>
        <v>0</v>
      </c>
      <c r="BK106" s="220">
        <f t="shared" si="658"/>
        <v>0</v>
      </c>
      <c r="BL106" s="220">
        <f t="shared" si="658"/>
        <v>0</v>
      </c>
      <c r="BM106" s="220">
        <f t="shared" si="658"/>
        <v>0</v>
      </c>
      <c r="BN106" s="220">
        <f t="shared" si="658"/>
        <v>0</v>
      </c>
      <c r="BO106" s="220">
        <f t="shared" si="658"/>
        <v>0</v>
      </c>
      <c r="BP106" s="220">
        <f t="shared" si="658"/>
        <v>0</v>
      </c>
      <c r="BQ106" s="220">
        <f t="shared" si="658"/>
        <v>0</v>
      </c>
      <c r="BR106" s="220">
        <f t="shared" si="658"/>
        <v>0</v>
      </c>
      <c r="BS106" s="220">
        <f t="shared" si="658"/>
        <v>0</v>
      </c>
      <c r="BT106" s="220">
        <f t="shared" si="658"/>
        <v>0</v>
      </c>
      <c r="BU106" s="220">
        <f t="shared" si="658"/>
        <v>0</v>
      </c>
      <c r="BV106" s="220">
        <f t="shared" si="658"/>
        <v>0</v>
      </c>
      <c r="BW106" s="220">
        <f t="shared" si="658"/>
        <v>0</v>
      </c>
      <c r="BX106" s="220">
        <f t="shared" si="658"/>
        <v>0</v>
      </c>
      <c r="BY106" s="220">
        <f t="shared" si="658"/>
        <v>0</v>
      </c>
      <c r="BZ106" s="220">
        <f t="shared" si="658"/>
        <v>0</v>
      </c>
      <c r="CA106" s="220">
        <f t="shared" si="658"/>
        <v>0</v>
      </c>
      <c r="CB106" s="220">
        <f t="shared" si="658"/>
        <v>0</v>
      </c>
      <c r="CC106" s="220">
        <f t="shared" si="658"/>
        <v>0</v>
      </c>
      <c r="CD106" s="220">
        <f t="shared" ref="CD106:DI106" si="659">($I106/12*CD$90)*(1+$C$106)^(HN$93-1)</f>
        <v>0</v>
      </c>
      <c r="CE106" s="220">
        <f t="shared" si="659"/>
        <v>0</v>
      </c>
      <c r="CF106" s="220">
        <f t="shared" si="659"/>
        <v>0</v>
      </c>
      <c r="CG106" s="220">
        <f t="shared" si="659"/>
        <v>0</v>
      </c>
      <c r="CH106" s="220">
        <f t="shared" si="659"/>
        <v>0</v>
      </c>
      <c r="CI106" s="220">
        <f t="shared" si="659"/>
        <v>0</v>
      </c>
      <c r="CJ106" s="220">
        <f t="shared" si="659"/>
        <v>0</v>
      </c>
      <c r="CK106" s="220">
        <f t="shared" si="659"/>
        <v>0</v>
      </c>
      <c r="CL106" s="220">
        <f t="shared" si="659"/>
        <v>0</v>
      </c>
      <c r="CM106" s="220">
        <f t="shared" si="659"/>
        <v>0</v>
      </c>
      <c r="CN106" s="220">
        <f t="shared" si="659"/>
        <v>0</v>
      </c>
      <c r="CO106" s="220">
        <f t="shared" si="659"/>
        <v>0</v>
      </c>
      <c r="CP106" s="220">
        <f t="shared" si="659"/>
        <v>0</v>
      </c>
      <c r="CQ106" s="220">
        <f t="shared" si="659"/>
        <v>0</v>
      </c>
      <c r="CR106" s="220">
        <f t="shared" si="659"/>
        <v>0</v>
      </c>
      <c r="CS106" s="220">
        <f t="shared" si="659"/>
        <v>0</v>
      </c>
      <c r="CT106" s="220">
        <f t="shared" si="659"/>
        <v>0</v>
      </c>
      <c r="CU106" s="220">
        <f t="shared" si="659"/>
        <v>0</v>
      </c>
      <c r="CV106" s="220">
        <f t="shared" si="659"/>
        <v>0</v>
      </c>
      <c r="CW106" s="220">
        <f t="shared" si="659"/>
        <v>0</v>
      </c>
      <c r="CX106" s="220">
        <f t="shared" si="659"/>
        <v>0</v>
      </c>
      <c r="CY106" s="220">
        <f t="shared" si="659"/>
        <v>0</v>
      </c>
      <c r="CZ106" s="220">
        <f t="shared" si="659"/>
        <v>0</v>
      </c>
      <c r="DA106" s="220">
        <f t="shared" si="659"/>
        <v>0</v>
      </c>
      <c r="DB106" s="220">
        <f t="shared" si="659"/>
        <v>0</v>
      </c>
      <c r="DC106" s="220">
        <f t="shared" si="659"/>
        <v>0</v>
      </c>
      <c r="DD106" s="220">
        <f t="shared" si="659"/>
        <v>0</v>
      </c>
      <c r="DE106" s="220">
        <f t="shared" si="659"/>
        <v>0</v>
      </c>
      <c r="DF106" s="220">
        <f t="shared" si="659"/>
        <v>0</v>
      </c>
      <c r="DG106" s="220">
        <f t="shared" si="659"/>
        <v>0</v>
      </c>
      <c r="DH106" s="220">
        <f t="shared" si="659"/>
        <v>0</v>
      </c>
      <c r="DI106" s="220">
        <f t="shared" si="659"/>
        <v>0</v>
      </c>
      <c r="DJ106" s="220">
        <f t="shared" ref="DJ106:EO106" si="660">($I106/12*DJ$90)*(1+$C$106)^(IT$93-1)</f>
        <v>0</v>
      </c>
      <c r="DK106" s="220">
        <f t="shared" si="660"/>
        <v>0</v>
      </c>
      <c r="DL106" s="220">
        <f t="shared" si="660"/>
        <v>0</v>
      </c>
      <c r="DM106" s="220">
        <f t="shared" si="660"/>
        <v>0</v>
      </c>
      <c r="DN106" s="220">
        <f t="shared" si="660"/>
        <v>0</v>
      </c>
      <c r="DO106" s="220">
        <f t="shared" si="660"/>
        <v>0</v>
      </c>
      <c r="DP106" s="220">
        <f t="shared" si="660"/>
        <v>0</v>
      </c>
      <c r="DQ106" s="220">
        <f t="shared" si="660"/>
        <v>0</v>
      </c>
      <c r="DR106" s="220">
        <f t="shared" si="660"/>
        <v>0</v>
      </c>
      <c r="DS106" s="220">
        <f t="shared" si="660"/>
        <v>0</v>
      </c>
      <c r="DT106" s="220">
        <f t="shared" si="660"/>
        <v>0</v>
      </c>
      <c r="DU106" s="220">
        <f t="shared" si="660"/>
        <v>0</v>
      </c>
      <c r="DV106" s="220">
        <f t="shared" si="660"/>
        <v>0</v>
      </c>
      <c r="DW106" s="220">
        <f t="shared" si="660"/>
        <v>0</v>
      </c>
      <c r="DX106" s="220">
        <f t="shared" si="660"/>
        <v>0</v>
      </c>
      <c r="DY106" s="220">
        <f t="shared" si="660"/>
        <v>0</v>
      </c>
      <c r="DZ106" s="220">
        <f t="shared" si="660"/>
        <v>0</v>
      </c>
      <c r="EA106" s="220">
        <f t="shared" si="660"/>
        <v>0</v>
      </c>
      <c r="EB106" s="220">
        <f t="shared" si="660"/>
        <v>0</v>
      </c>
      <c r="EC106" s="220">
        <f t="shared" si="660"/>
        <v>0</v>
      </c>
      <c r="ED106" s="220">
        <f t="shared" si="660"/>
        <v>0</v>
      </c>
      <c r="EE106" s="220">
        <f t="shared" si="660"/>
        <v>0</v>
      </c>
      <c r="EF106" s="220">
        <f t="shared" si="660"/>
        <v>0</v>
      </c>
      <c r="EG106" s="220">
        <f t="shared" si="660"/>
        <v>0</v>
      </c>
      <c r="EH106" s="220">
        <f t="shared" si="660"/>
        <v>0</v>
      </c>
      <c r="EI106" s="220">
        <f t="shared" si="660"/>
        <v>0</v>
      </c>
      <c r="EJ106" s="220">
        <f t="shared" si="660"/>
        <v>0</v>
      </c>
      <c r="EK106" s="220">
        <f t="shared" si="660"/>
        <v>0</v>
      </c>
      <c r="EL106" s="220">
        <f t="shared" si="660"/>
        <v>0</v>
      </c>
      <c r="EM106" s="220">
        <f t="shared" si="660"/>
        <v>0</v>
      </c>
      <c r="EN106" s="220">
        <f t="shared" si="660"/>
        <v>0</v>
      </c>
      <c r="EO106" s="220">
        <f t="shared" si="660"/>
        <v>0</v>
      </c>
      <c r="EP106" s="220">
        <f t="shared" ref="EP106:ES106" si="661">($I106/12*EP$90)*(1+$C$106)^(JZ$93-1)</f>
        <v>0</v>
      </c>
      <c r="EQ106" s="220">
        <f t="shared" si="661"/>
        <v>0</v>
      </c>
      <c r="ER106" s="220">
        <f t="shared" si="661"/>
        <v>0</v>
      </c>
      <c r="ES106" s="220">
        <f t="shared" si="661"/>
        <v>0</v>
      </c>
      <c r="EU106" s="153"/>
      <c r="EV106" s="153"/>
    </row>
    <row r="107" spans="1:289" ht="16.5" x14ac:dyDescent="0.35">
      <c r="B107" s="214" t="s">
        <v>455</v>
      </c>
      <c r="C107" s="310">
        <f t="shared" ref="C107" si="662">$C$105</f>
        <v>0.03</v>
      </c>
      <c r="D107" s="345" t="s">
        <v>763</v>
      </c>
      <c r="E107" s="348">
        <v>0</v>
      </c>
      <c r="F107" s="349">
        <f>I107/$I$103</f>
        <v>0</v>
      </c>
      <c r="G107" s="350">
        <f>I107/(Units_SF_M2)/12</f>
        <v>0</v>
      </c>
      <c r="H107" s="224">
        <f>I107/Units/12</f>
        <v>0</v>
      </c>
      <c r="I107" s="233">
        <v>0</v>
      </c>
      <c r="R107" s="226">
        <f t="shared" ref="R107:AW107" si="663">($I107/12*R$90)*(1+$C$107)^(FB$93-1)</f>
        <v>0</v>
      </c>
      <c r="S107" s="226">
        <f t="shared" si="663"/>
        <v>0</v>
      </c>
      <c r="T107" s="226">
        <f t="shared" si="663"/>
        <v>0</v>
      </c>
      <c r="U107" s="226">
        <f t="shared" si="663"/>
        <v>0</v>
      </c>
      <c r="V107" s="226">
        <f t="shared" si="663"/>
        <v>0</v>
      </c>
      <c r="W107" s="226">
        <f t="shared" si="663"/>
        <v>0</v>
      </c>
      <c r="X107" s="226">
        <f t="shared" si="663"/>
        <v>0</v>
      </c>
      <c r="Y107" s="226">
        <f t="shared" si="663"/>
        <v>0</v>
      </c>
      <c r="Z107" s="226">
        <f t="shared" si="663"/>
        <v>0</v>
      </c>
      <c r="AA107" s="226">
        <f t="shared" si="663"/>
        <v>0</v>
      </c>
      <c r="AB107" s="226">
        <f t="shared" si="663"/>
        <v>0</v>
      </c>
      <c r="AC107" s="226">
        <f t="shared" si="663"/>
        <v>0</v>
      </c>
      <c r="AD107" s="226">
        <f t="shared" si="663"/>
        <v>0</v>
      </c>
      <c r="AE107" s="226">
        <f t="shared" si="663"/>
        <v>0</v>
      </c>
      <c r="AF107" s="226">
        <f t="shared" si="663"/>
        <v>0</v>
      </c>
      <c r="AG107" s="226">
        <f t="shared" si="663"/>
        <v>0</v>
      </c>
      <c r="AH107" s="226">
        <f t="shared" si="663"/>
        <v>0</v>
      </c>
      <c r="AI107" s="226">
        <f t="shared" si="663"/>
        <v>0</v>
      </c>
      <c r="AJ107" s="226">
        <f t="shared" si="663"/>
        <v>0</v>
      </c>
      <c r="AK107" s="226">
        <f t="shared" si="663"/>
        <v>0</v>
      </c>
      <c r="AL107" s="226">
        <f t="shared" si="663"/>
        <v>0</v>
      </c>
      <c r="AM107" s="226">
        <f t="shared" si="663"/>
        <v>0</v>
      </c>
      <c r="AN107" s="226">
        <f t="shared" si="663"/>
        <v>0</v>
      </c>
      <c r="AO107" s="226">
        <f t="shared" si="663"/>
        <v>0</v>
      </c>
      <c r="AP107" s="226">
        <f t="shared" si="663"/>
        <v>0</v>
      </c>
      <c r="AQ107" s="226">
        <f t="shared" si="663"/>
        <v>0</v>
      </c>
      <c r="AR107" s="226">
        <f t="shared" si="663"/>
        <v>0</v>
      </c>
      <c r="AS107" s="226">
        <f t="shared" si="663"/>
        <v>0</v>
      </c>
      <c r="AT107" s="226">
        <f t="shared" si="663"/>
        <v>0</v>
      </c>
      <c r="AU107" s="226">
        <f t="shared" si="663"/>
        <v>0</v>
      </c>
      <c r="AV107" s="226">
        <f t="shared" si="663"/>
        <v>0</v>
      </c>
      <c r="AW107" s="226">
        <f t="shared" si="663"/>
        <v>0</v>
      </c>
      <c r="AX107" s="226">
        <f t="shared" ref="AX107:CC107" si="664">($I107/12*AX$90)*(1+$C$107)^(GH$93-1)</f>
        <v>0</v>
      </c>
      <c r="AY107" s="226">
        <f t="shared" si="664"/>
        <v>0</v>
      </c>
      <c r="AZ107" s="226">
        <f t="shared" si="664"/>
        <v>0</v>
      </c>
      <c r="BA107" s="226">
        <f t="shared" si="664"/>
        <v>0</v>
      </c>
      <c r="BB107" s="226">
        <f t="shared" si="664"/>
        <v>0</v>
      </c>
      <c r="BC107" s="226">
        <f t="shared" si="664"/>
        <v>0</v>
      </c>
      <c r="BD107" s="226">
        <f t="shared" si="664"/>
        <v>0</v>
      </c>
      <c r="BE107" s="226">
        <f t="shared" si="664"/>
        <v>0</v>
      </c>
      <c r="BF107" s="226">
        <f t="shared" si="664"/>
        <v>0</v>
      </c>
      <c r="BG107" s="226">
        <f t="shared" si="664"/>
        <v>0</v>
      </c>
      <c r="BH107" s="226">
        <f t="shared" si="664"/>
        <v>0</v>
      </c>
      <c r="BI107" s="226">
        <f t="shared" si="664"/>
        <v>0</v>
      </c>
      <c r="BJ107" s="226">
        <f t="shared" si="664"/>
        <v>0</v>
      </c>
      <c r="BK107" s="226">
        <f t="shared" si="664"/>
        <v>0</v>
      </c>
      <c r="BL107" s="226">
        <f t="shared" si="664"/>
        <v>0</v>
      </c>
      <c r="BM107" s="226">
        <f t="shared" si="664"/>
        <v>0</v>
      </c>
      <c r="BN107" s="226">
        <f t="shared" si="664"/>
        <v>0</v>
      </c>
      <c r="BO107" s="226">
        <f t="shared" si="664"/>
        <v>0</v>
      </c>
      <c r="BP107" s="226">
        <f t="shared" si="664"/>
        <v>0</v>
      </c>
      <c r="BQ107" s="226">
        <f t="shared" si="664"/>
        <v>0</v>
      </c>
      <c r="BR107" s="226">
        <f t="shared" si="664"/>
        <v>0</v>
      </c>
      <c r="BS107" s="226">
        <f t="shared" si="664"/>
        <v>0</v>
      </c>
      <c r="BT107" s="226">
        <f t="shared" si="664"/>
        <v>0</v>
      </c>
      <c r="BU107" s="226">
        <f t="shared" si="664"/>
        <v>0</v>
      </c>
      <c r="BV107" s="226">
        <f t="shared" si="664"/>
        <v>0</v>
      </c>
      <c r="BW107" s="226">
        <f t="shared" si="664"/>
        <v>0</v>
      </c>
      <c r="BX107" s="226">
        <f t="shared" si="664"/>
        <v>0</v>
      </c>
      <c r="BY107" s="226">
        <f t="shared" si="664"/>
        <v>0</v>
      </c>
      <c r="BZ107" s="226">
        <f t="shared" si="664"/>
        <v>0</v>
      </c>
      <c r="CA107" s="226">
        <f t="shared" si="664"/>
        <v>0</v>
      </c>
      <c r="CB107" s="226">
        <f t="shared" si="664"/>
        <v>0</v>
      </c>
      <c r="CC107" s="226">
        <f t="shared" si="664"/>
        <v>0</v>
      </c>
      <c r="CD107" s="226">
        <f t="shared" ref="CD107:DI107" si="665">($I107/12*CD$90)*(1+$C$107)^(HN$93-1)</f>
        <v>0</v>
      </c>
      <c r="CE107" s="226">
        <f t="shared" si="665"/>
        <v>0</v>
      </c>
      <c r="CF107" s="226">
        <f t="shared" si="665"/>
        <v>0</v>
      </c>
      <c r="CG107" s="226">
        <f t="shared" si="665"/>
        <v>0</v>
      </c>
      <c r="CH107" s="226">
        <f t="shared" si="665"/>
        <v>0</v>
      </c>
      <c r="CI107" s="226">
        <f t="shared" si="665"/>
        <v>0</v>
      </c>
      <c r="CJ107" s="226">
        <f t="shared" si="665"/>
        <v>0</v>
      </c>
      <c r="CK107" s="226">
        <f t="shared" si="665"/>
        <v>0</v>
      </c>
      <c r="CL107" s="226">
        <f t="shared" si="665"/>
        <v>0</v>
      </c>
      <c r="CM107" s="226">
        <f t="shared" si="665"/>
        <v>0</v>
      </c>
      <c r="CN107" s="226">
        <f t="shared" si="665"/>
        <v>0</v>
      </c>
      <c r="CO107" s="226">
        <f t="shared" si="665"/>
        <v>0</v>
      </c>
      <c r="CP107" s="226">
        <f t="shared" si="665"/>
        <v>0</v>
      </c>
      <c r="CQ107" s="226">
        <f t="shared" si="665"/>
        <v>0</v>
      </c>
      <c r="CR107" s="226">
        <f t="shared" si="665"/>
        <v>0</v>
      </c>
      <c r="CS107" s="226">
        <f t="shared" si="665"/>
        <v>0</v>
      </c>
      <c r="CT107" s="226">
        <f t="shared" si="665"/>
        <v>0</v>
      </c>
      <c r="CU107" s="226">
        <f t="shared" si="665"/>
        <v>0</v>
      </c>
      <c r="CV107" s="226">
        <f t="shared" si="665"/>
        <v>0</v>
      </c>
      <c r="CW107" s="226">
        <f t="shared" si="665"/>
        <v>0</v>
      </c>
      <c r="CX107" s="226">
        <f t="shared" si="665"/>
        <v>0</v>
      </c>
      <c r="CY107" s="226">
        <f t="shared" si="665"/>
        <v>0</v>
      </c>
      <c r="CZ107" s="226">
        <f t="shared" si="665"/>
        <v>0</v>
      </c>
      <c r="DA107" s="226">
        <f t="shared" si="665"/>
        <v>0</v>
      </c>
      <c r="DB107" s="226">
        <f t="shared" si="665"/>
        <v>0</v>
      </c>
      <c r="DC107" s="226">
        <f t="shared" si="665"/>
        <v>0</v>
      </c>
      <c r="DD107" s="226">
        <f t="shared" si="665"/>
        <v>0</v>
      </c>
      <c r="DE107" s="226">
        <f t="shared" si="665"/>
        <v>0</v>
      </c>
      <c r="DF107" s="226">
        <f t="shared" si="665"/>
        <v>0</v>
      </c>
      <c r="DG107" s="226">
        <f t="shared" si="665"/>
        <v>0</v>
      </c>
      <c r="DH107" s="226">
        <f t="shared" si="665"/>
        <v>0</v>
      </c>
      <c r="DI107" s="226">
        <f t="shared" si="665"/>
        <v>0</v>
      </c>
      <c r="DJ107" s="226">
        <f t="shared" ref="DJ107:EO107" si="666">($I107/12*DJ$90)*(1+$C$107)^(IT$93-1)</f>
        <v>0</v>
      </c>
      <c r="DK107" s="226">
        <f t="shared" si="666"/>
        <v>0</v>
      </c>
      <c r="DL107" s="226">
        <f t="shared" si="666"/>
        <v>0</v>
      </c>
      <c r="DM107" s="226">
        <f t="shared" si="666"/>
        <v>0</v>
      </c>
      <c r="DN107" s="226">
        <f t="shared" si="666"/>
        <v>0</v>
      </c>
      <c r="DO107" s="226">
        <f t="shared" si="666"/>
        <v>0</v>
      </c>
      <c r="DP107" s="226">
        <f t="shared" si="666"/>
        <v>0</v>
      </c>
      <c r="DQ107" s="226">
        <f t="shared" si="666"/>
        <v>0</v>
      </c>
      <c r="DR107" s="226">
        <f t="shared" si="666"/>
        <v>0</v>
      </c>
      <c r="DS107" s="226">
        <f t="shared" si="666"/>
        <v>0</v>
      </c>
      <c r="DT107" s="226">
        <f t="shared" si="666"/>
        <v>0</v>
      </c>
      <c r="DU107" s="226">
        <f t="shared" si="666"/>
        <v>0</v>
      </c>
      <c r="DV107" s="226">
        <f t="shared" si="666"/>
        <v>0</v>
      </c>
      <c r="DW107" s="226">
        <f t="shared" si="666"/>
        <v>0</v>
      </c>
      <c r="DX107" s="226">
        <f t="shared" si="666"/>
        <v>0</v>
      </c>
      <c r="DY107" s="226">
        <f t="shared" si="666"/>
        <v>0</v>
      </c>
      <c r="DZ107" s="226">
        <f t="shared" si="666"/>
        <v>0</v>
      </c>
      <c r="EA107" s="226">
        <f t="shared" si="666"/>
        <v>0</v>
      </c>
      <c r="EB107" s="226">
        <f t="shared" si="666"/>
        <v>0</v>
      </c>
      <c r="EC107" s="226">
        <f t="shared" si="666"/>
        <v>0</v>
      </c>
      <c r="ED107" s="226">
        <f t="shared" si="666"/>
        <v>0</v>
      </c>
      <c r="EE107" s="226">
        <f t="shared" si="666"/>
        <v>0</v>
      </c>
      <c r="EF107" s="226">
        <f t="shared" si="666"/>
        <v>0</v>
      </c>
      <c r="EG107" s="226">
        <f t="shared" si="666"/>
        <v>0</v>
      </c>
      <c r="EH107" s="226">
        <f t="shared" si="666"/>
        <v>0</v>
      </c>
      <c r="EI107" s="226">
        <f t="shared" si="666"/>
        <v>0</v>
      </c>
      <c r="EJ107" s="226">
        <f t="shared" si="666"/>
        <v>0</v>
      </c>
      <c r="EK107" s="226">
        <f t="shared" si="666"/>
        <v>0</v>
      </c>
      <c r="EL107" s="226">
        <f t="shared" si="666"/>
        <v>0</v>
      </c>
      <c r="EM107" s="226">
        <f t="shared" si="666"/>
        <v>0</v>
      </c>
      <c r="EN107" s="226">
        <f t="shared" si="666"/>
        <v>0</v>
      </c>
      <c r="EO107" s="226">
        <f t="shared" si="666"/>
        <v>0</v>
      </c>
      <c r="EP107" s="226">
        <f t="shared" ref="EP107:ES107" si="667">($I107/12*EP$90)*(1+$C$107)^(JZ$93-1)</f>
        <v>0</v>
      </c>
      <c r="EQ107" s="226">
        <f t="shared" si="667"/>
        <v>0</v>
      </c>
      <c r="ER107" s="226">
        <f t="shared" si="667"/>
        <v>0</v>
      </c>
      <c r="ES107" s="226">
        <f t="shared" si="667"/>
        <v>0</v>
      </c>
      <c r="EU107" s="153"/>
      <c r="EV107" s="153"/>
    </row>
    <row r="108" spans="1:289" x14ac:dyDescent="0.25">
      <c r="B108" s="227" t="s">
        <v>116</v>
      </c>
      <c r="C108" s="268" t="e">
        <f>SUMPRODUCT(I105:I107,C105:C107)/I108</f>
        <v>#DIV/0!</v>
      </c>
      <c r="D108" s="196"/>
      <c r="E108" s="196"/>
      <c r="F108" s="272">
        <f>I108/$I$103</f>
        <v>0</v>
      </c>
      <c r="G108" s="347">
        <f>SUM(G105:G107)</f>
        <v>0</v>
      </c>
      <c r="H108" s="218">
        <f>SUM(H105:H107)</f>
        <v>0</v>
      </c>
      <c r="I108" s="218">
        <f>SUM(I105:I107)</f>
        <v>0</v>
      </c>
      <c r="P108" s="152" t="s">
        <v>115</v>
      </c>
      <c r="R108" s="220">
        <f t="shared" ref="R108:AW108" si="668">SUM(R105:R107)</f>
        <v>0</v>
      </c>
      <c r="S108" s="220">
        <f t="shared" si="668"/>
        <v>0</v>
      </c>
      <c r="T108" s="220">
        <f t="shared" si="668"/>
        <v>0</v>
      </c>
      <c r="U108" s="220">
        <f t="shared" si="668"/>
        <v>0</v>
      </c>
      <c r="V108" s="220">
        <f t="shared" si="668"/>
        <v>0</v>
      </c>
      <c r="W108" s="220">
        <f t="shared" si="668"/>
        <v>0</v>
      </c>
      <c r="X108" s="220">
        <f t="shared" si="668"/>
        <v>0</v>
      </c>
      <c r="Y108" s="220">
        <f t="shared" si="668"/>
        <v>0</v>
      </c>
      <c r="Z108" s="220">
        <f t="shared" si="668"/>
        <v>0</v>
      </c>
      <c r="AA108" s="220">
        <f t="shared" si="668"/>
        <v>0</v>
      </c>
      <c r="AB108" s="220">
        <f t="shared" si="668"/>
        <v>0</v>
      </c>
      <c r="AC108" s="220">
        <f t="shared" si="668"/>
        <v>0</v>
      </c>
      <c r="AD108" s="220">
        <f t="shared" si="668"/>
        <v>0</v>
      </c>
      <c r="AE108" s="220">
        <f t="shared" si="668"/>
        <v>0</v>
      </c>
      <c r="AF108" s="220">
        <f t="shared" si="668"/>
        <v>0</v>
      </c>
      <c r="AG108" s="220">
        <f t="shared" si="668"/>
        <v>0</v>
      </c>
      <c r="AH108" s="220">
        <f t="shared" si="668"/>
        <v>0</v>
      </c>
      <c r="AI108" s="220">
        <f t="shared" si="668"/>
        <v>0</v>
      </c>
      <c r="AJ108" s="220">
        <f t="shared" si="668"/>
        <v>0</v>
      </c>
      <c r="AK108" s="220">
        <f t="shared" si="668"/>
        <v>0</v>
      </c>
      <c r="AL108" s="220">
        <f t="shared" si="668"/>
        <v>0</v>
      </c>
      <c r="AM108" s="220">
        <f t="shared" si="668"/>
        <v>0</v>
      </c>
      <c r="AN108" s="220">
        <f t="shared" si="668"/>
        <v>0</v>
      </c>
      <c r="AO108" s="220">
        <f t="shared" si="668"/>
        <v>0</v>
      </c>
      <c r="AP108" s="220">
        <f t="shared" si="668"/>
        <v>0</v>
      </c>
      <c r="AQ108" s="220">
        <f t="shared" si="668"/>
        <v>0</v>
      </c>
      <c r="AR108" s="220">
        <f t="shared" si="668"/>
        <v>0</v>
      </c>
      <c r="AS108" s="220">
        <f t="shared" si="668"/>
        <v>0</v>
      </c>
      <c r="AT108" s="220">
        <f t="shared" si="668"/>
        <v>0</v>
      </c>
      <c r="AU108" s="220">
        <f t="shared" si="668"/>
        <v>0</v>
      </c>
      <c r="AV108" s="220">
        <f t="shared" si="668"/>
        <v>0</v>
      </c>
      <c r="AW108" s="220">
        <f t="shared" si="668"/>
        <v>0</v>
      </c>
      <c r="AX108" s="220">
        <f t="shared" ref="AX108:CC108" si="669">SUM(AX105:AX107)</f>
        <v>0</v>
      </c>
      <c r="AY108" s="220">
        <f t="shared" si="669"/>
        <v>0</v>
      </c>
      <c r="AZ108" s="220">
        <f t="shared" si="669"/>
        <v>0</v>
      </c>
      <c r="BA108" s="220">
        <f t="shared" si="669"/>
        <v>0</v>
      </c>
      <c r="BB108" s="220">
        <f t="shared" si="669"/>
        <v>0</v>
      </c>
      <c r="BC108" s="220">
        <f t="shared" si="669"/>
        <v>0</v>
      </c>
      <c r="BD108" s="220">
        <f t="shared" si="669"/>
        <v>0</v>
      </c>
      <c r="BE108" s="220">
        <f t="shared" si="669"/>
        <v>0</v>
      </c>
      <c r="BF108" s="220">
        <f t="shared" si="669"/>
        <v>0</v>
      </c>
      <c r="BG108" s="220">
        <f t="shared" si="669"/>
        <v>0</v>
      </c>
      <c r="BH108" s="220">
        <f t="shared" si="669"/>
        <v>0</v>
      </c>
      <c r="BI108" s="220">
        <f t="shared" si="669"/>
        <v>0</v>
      </c>
      <c r="BJ108" s="220">
        <f t="shared" si="669"/>
        <v>0</v>
      </c>
      <c r="BK108" s="220">
        <f t="shared" si="669"/>
        <v>0</v>
      </c>
      <c r="BL108" s="220">
        <f t="shared" si="669"/>
        <v>0</v>
      </c>
      <c r="BM108" s="220">
        <f t="shared" si="669"/>
        <v>0</v>
      </c>
      <c r="BN108" s="220">
        <f t="shared" si="669"/>
        <v>0</v>
      </c>
      <c r="BO108" s="220">
        <f t="shared" si="669"/>
        <v>0</v>
      </c>
      <c r="BP108" s="220">
        <f t="shared" si="669"/>
        <v>0</v>
      </c>
      <c r="BQ108" s="220">
        <f t="shared" si="669"/>
        <v>0</v>
      </c>
      <c r="BR108" s="220">
        <f t="shared" si="669"/>
        <v>0</v>
      </c>
      <c r="BS108" s="220">
        <f t="shared" si="669"/>
        <v>0</v>
      </c>
      <c r="BT108" s="220">
        <f t="shared" si="669"/>
        <v>0</v>
      </c>
      <c r="BU108" s="220">
        <f t="shared" si="669"/>
        <v>0</v>
      </c>
      <c r="BV108" s="220">
        <f t="shared" si="669"/>
        <v>0</v>
      </c>
      <c r="BW108" s="220">
        <f t="shared" si="669"/>
        <v>0</v>
      </c>
      <c r="BX108" s="220">
        <f t="shared" si="669"/>
        <v>0</v>
      </c>
      <c r="BY108" s="220">
        <f t="shared" si="669"/>
        <v>0</v>
      </c>
      <c r="BZ108" s="220">
        <f t="shared" si="669"/>
        <v>0</v>
      </c>
      <c r="CA108" s="220">
        <f t="shared" si="669"/>
        <v>0</v>
      </c>
      <c r="CB108" s="220">
        <f t="shared" si="669"/>
        <v>0</v>
      </c>
      <c r="CC108" s="220">
        <f t="shared" si="669"/>
        <v>0</v>
      </c>
      <c r="CD108" s="220">
        <f t="shared" ref="CD108:DI108" si="670">SUM(CD105:CD107)</f>
        <v>0</v>
      </c>
      <c r="CE108" s="220">
        <f t="shared" si="670"/>
        <v>0</v>
      </c>
      <c r="CF108" s="220">
        <f t="shared" si="670"/>
        <v>0</v>
      </c>
      <c r="CG108" s="220">
        <f t="shared" si="670"/>
        <v>0</v>
      </c>
      <c r="CH108" s="220">
        <f t="shared" si="670"/>
        <v>0</v>
      </c>
      <c r="CI108" s="220">
        <f t="shared" si="670"/>
        <v>0</v>
      </c>
      <c r="CJ108" s="220">
        <f t="shared" si="670"/>
        <v>0</v>
      </c>
      <c r="CK108" s="220">
        <f t="shared" si="670"/>
        <v>0</v>
      </c>
      <c r="CL108" s="220">
        <f t="shared" si="670"/>
        <v>0</v>
      </c>
      <c r="CM108" s="220">
        <f t="shared" si="670"/>
        <v>0</v>
      </c>
      <c r="CN108" s="220">
        <f t="shared" si="670"/>
        <v>0</v>
      </c>
      <c r="CO108" s="220">
        <f t="shared" si="670"/>
        <v>0</v>
      </c>
      <c r="CP108" s="220">
        <f t="shared" si="670"/>
        <v>0</v>
      </c>
      <c r="CQ108" s="220">
        <f t="shared" si="670"/>
        <v>0</v>
      </c>
      <c r="CR108" s="220">
        <f t="shared" si="670"/>
        <v>0</v>
      </c>
      <c r="CS108" s="220">
        <f t="shared" si="670"/>
        <v>0</v>
      </c>
      <c r="CT108" s="220">
        <f t="shared" si="670"/>
        <v>0</v>
      </c>
      <c r="CU108" s="220">
        <f t="shared" si="670"/>
        <v>0</v>
      </c>
      <c r="CV108" s="220">
        <f t="shared" si="670"/>
        <v>0</v>
      </c>
      <c r="CW108" s="220">
        <f t="shared" si="670"/>
        <v>0</v>
      </c>
      <c r="CX108" s="220">
        <f t="shared" si="670"/>
        <v>0</v>
      </c>
      <c r="CY108" s="220">
        <f t="shared" si="670"/>
        <v>0</v>
      </c>
      <c r="CZ108" s="220">
        <f t="shared" si="670"/>
        <v>0</v>
      </c>
      <c r="DA108" s="220">
        <f t="shared" si="670"/>
        <v>0</v>
      </c>
      <c r="DB108" s="220">
        <f t="shared" si="670"/>
        <v>0</v>
      </c>
      <c r="DC108" s="220">
        <f t="shared" si="670"/>
        <v>0</v>
      </c>
      <c r="DD108" s="220">
        <f t="shared" si="670"/>
        <v>0</v>
      </c>
      <c r="DE108" s="220">
        <f t="shared" si="670"/>
        <v>0</v>
      </c>
      <c r="DF108" s="220">
        <f t="shared" si="670"/>
        <v>0</v>
      </c>
      <c r="DG108" s="220">
        <f t="shared" si="670"/>
        <v>0</v>
      </c>
      <c r="DH108" s="220">
        <f t="shared" si="670"/>
        <v>0</v>
      </c>
      <c r="DI108" s="220">
        <f t="shared" si="670"/>
        <v>0</v>
      </c>
      <c r="DJ108" s="220">
        <f t="shared" ref="DJ108:EO108" si="671">SUM(DJ105:DJ107)</f>
        <v>0</v>
      </c>
      <c r="DK108" s="220">
        <f t="shared" si="671"/>
        <v>0</v>
      </c>
      <c r="DL108" s="220">
        <f t="shared" si="671"/>
        <v>0</v>
      </c>
      <c r="DM108" s="220">
        <f t="shared" si="671"/>
        <v>0</v>
      </c>
      <c r="DN108" s="220">
        <f t="shared" si="671"/>
        <v>0</v>
      </c>
      <c r="DO108" s="220">
        <f t="shared" si="671"/>
        <v>0</v>
      </c>
      <c r="DP108" s="220">
        <f t="shared" si="671"/>
        <v>0</v>
      </c>
      <c r="DQ108" s="220">
        <f t="shared" si="671"/>
        <v>0</v>
      </c>
      <c r="DR108" s="220">
        <f t="shared" si="671"/>
        <v>0</v>
      </c>
      <c r="DS108" s="220">
        <f t="shared" si="671"/>
        <v>0</v>
      </c>
      <c r="DT108" s="220">
        <f t="shared" si="671"/>
        <v>0</v>
      </c>
      <c r="DU108" s="220">
        <f t="shared" si="671"/>
        <v>0</v>
      </c>
      <c r="DV108" s="220">
        <f t="shared" si="671"/>
        <v>0</v>
      </c>
      <c r="DW108" s="220">
        <f t="shared" si="671"/>
        <v>0</v>
      </c>
      <c r="DX108" s="220">
        <f t="shared" si="671"/>
        <v>0</v>
      </c>
      <c r="DY108" s="220">
        <f t="shared" si="671"/>
        <v>0</v>
      </c>
      <c r="DZ108" s="220">
        <f t="shared" si="671"/>
        <v>0</v>
      </c>
      <c r="EA108" s="220">
        <f t="shared" si="671"/>
        <v>0</v>
      </c>
      <c r="EB108" s="220">
        <f t="shared" si="671"/>
        <v>0</v>
      </c>
      <c r="EC108" s="220">
        <f t="shared" si="671"/>
        <v>0</v>
      </c>
      <c r="ED108" s="220">
        <f t="shared" si="671"/>
        <v>0</v>
      </c>
      <c r="EE108" s="220">
        <f t="shared" si="671"/>
        <v>0</v>
      </c>
      <c r="EF108" s="220">
        <f t="shared" si="671"/>
        <v>0</v>
      </c>
      <c r="EG108" s="220">
        <f t="shared" si="671"/>
        <v>0</v>
      </c>
      <c r="EH108" s="220">
        <f t="shared" si="671"/>
        <v>0</v>
      </c>
      <c r="EI108" s="220">
        <f t="shared" si="671"/>
        <v>0</v>
      </c>
      <c r="EJ108" s="220">
        <f t="shared" si="671"/>
        <v>0</v>
      </c>
      <c r="EK108" s="220">
        <f t="shared" si="671"/>
        <v>0</v>
      </c>
      <c r="EL108" s="220">
        <f t="shared" si="671"/>
        <v>0</v>
      </c>
      <c r="EM108" s="220">
        <f t="shared" si="671"/>
        <v>0</v>
      </c>
      <c r="EN108" s="220">
        <f t="shared" si="671"/>
        <v>0</v>
      </c>
      <c r="EO108" s="220">
        <f t="shared" si="671"/>
        <v>0</v>
      </c>
      <c r="EP108" s="220">
        <f t="shared" ref="EP108:ES108" si="672">SUM(EP105:EP107)</f>
        <v>0</v>
      </c>
      <c r="EQ108" s="220">
        <f t="shared" si="672"/>
        <v>0</v>
      </c>
      <c r="ER108" s="220">
        <f t="shared" si="672"/>
        <v>0</v>
      </c>
      <c r="ES108" s="220">
        <f t="shared" si="672"/>
        <v>0</v>
      </c>
      <c r="EU108" s="153" t="s">
        <v>760</v>
      </c>
      <c r="EV108" s="153">
        <f>COUNTA(B105:B107)</f>
        <v>3</v>
      </c>
    </row>
    <row r="109" spans="1:289" x14ac:dyDescent="0.25">
      <c r="B109" s="170" t="s">
        <v>288</v>
      </c>
      <c r="C109" s="171" t="s">
        <v>289</v>
      </c>
      <c r="D109" s="196"/>
      <c r="E109" s="196"/>
      <c r="F109" s="196"/>
      <c r="G109" s="217"/>
      <c r="H109" s="218"/>
      <c r="I109" s="218"/>
      <c r="R109" s="220"/>
      <c r="S109" s="220"/>
      <c r="T109" s="220"/>
      <c r="U109" s="220"/>
      <c r="V109" s="220"/>
      <c r="W109" s="220"/>
      <c r="X109" s="220"/>
      <c r="Y109" s="220"/>
      <c r="Z109" s="220"/>
      <c r="AA109" s="220"/>
      <c r="AB109" s="220"/>
      <c r="AC109" s="220"/>
      <c r="AD109" s="220"/>
      <c r="AE109" s="220"/>
      <c r="AF109" s="220"/>
      <c r="AG109" s="220"/>
      <c r="AH109" s="220"/>
      <c r="AI109" s="220"/>
      <c r="AJ109" s="220"/>
      <c r="AK109" s="220"/>
      <c r="AL109" s="220"/>
      <c r="AM109" s="220"/>
      <c r="AN109" s="220"/>
      <c r="AO109" s="220"/>
      <c r="AP109" s="220"/>
      <c r="AQ109" s="220"/>
      <c r="AR109" s="220"/>
      <c r="AS109" s="220"/>
      <c r="AT109" s="220"/>
      <c r="AU109" s="220"/>
      <c r="AV109" s="220"/>
      <c r="AW109" s="220"/>
      <c r="AX109" s="220"/>
      <c r="AY109" s="220"/>
      <c r="AZ109" s="220"/>
      <c r="BA109" s="220"/>
      <c r="BB109" s="220"/>
      <c r="BC109" s="220"/>
      <c r="BD109" s="220"/>
      <c r="BE109" s="220"/>
      <c r="BF109" s="220"/>
      <c r="BG109" s="220"/>
      <c r="BH109" s="220"/>
      <c r="BI109" s="220"/>
      <c r="BJ109" s="220"/>
      <c r="BK109" s="220"/>
      <c r="BL109" s="220"/>
      <c r="BM109" s="220"/>
      <c r="BN109" s="220"/>
      <c r="BO109" s="220"/>
      <c r="BP109" s="220"/>
      <c r="BQ109" s="220"/>
      <c r="BR109" s="220"/>
      <c r="BS109" s="220"/>
      <c r="BT109" s="220"/>
      <c r="BU109" s="220"/>
      <c r="BV109" s="220"/>
      <c r="BW109" s="220"/>
      <c r="BX109" s="220"/>
      <c r="BY109" s="220"/>
      <c r="BZ109" s="220"/>
      <c r="CA109" s="220"/>
      <c r="CB109" s="220"/>
      <c r="CC109" s="220"/>
      <c r="CD109" s="220"/>
      <c r="CE109" s="220"/>
      <c r="CF109" s="220"/>
      <c r="CG109" s="220"/>
      <c r="CH109" s="220"/>
      <c r="CI109" s="220"/>
      <c r="CJ109" s="220"/>
      <c r="CK109" s="220"/>
      <c r="CL109" s="220"/>
      <c r="CM109" s="220"/>
      <c r="CN109" s="220"/>
      <c r="CO109" s="220"/>
      <c r="CP109" s="220"/>
      <c r="CQ109" s="220"/>
      <c r="CR109" s="220"/>
      <c r="CS109" s="220"/>
      <c r="CT109" s="220"/>
      <c r="CU109" s="220"/>
      <c r="CV109" s="220"/>
      <c r="CW109" s="220"/>
      <c r="CX109" s="220"/>
      <c r="CY109" s="220"/>
      <c r="CZ109" s="220"/>
      <c r="DA109" s="220"/>
      <c r="DB109" s="220"/>
      <c r="DC109" s="220"/>
      <c r="DD109" s="220"/>
      <c r="DE109" s="220"/>
      <c r="DF109" s="220"/>
      <c r="DG109" s="220"/>
      <c r="DH109" s="220"/>
      <c r="DI109" s="220"/>
      <c r="DJ109" s="220"/>
      <c r="DK109" s="220"/>
      <c r="DL109" s="220"/>
      <c r="DM109" s="220"/>
      <c r="DN109" s="220"/>
      <c r="DO109" s="220"/>
      <c r="DP109" s="220"/>
      <c r="DQ109" s="220"/>
      <c r="DR109" s="220"/>
      <c r="DS109" s="220"/>
      <c r="DT109" s="220"/>
      <c r="DU109" s="220"/>
      <c r="DV109" s="220"/>
      <c r="DW109" s="220"/>
      <c r="DX109" s="220"/>
      <c r="DY109" s="220"/>
      <c r="DZ109" s="220"/>
      <c r="EA109" s="220"/>
      <c r="EB109" s="220"/>
      <c r="EC109" s="220"/>
      <c r="ED109" s="220"/>
      <c r="EE109" s="220"/>
      <c r="EF109" s="220"/>
      <c r="EG109" s="220"/>
      <c r="EH109" s="220"/>
      <c r="EI109" s="220"/>
      <c r="EJ109" s="220"/>
      <c r="EK109" s="220"/>
      <c r="EL109" s="220"/>
      <c r="EM109" s="220"/>
      <c r="EN109" s="220"/>
      <c r="EO109" s="220"/>
      <c r="EP109" s="220"/>
      <c r="EQ109" s="220"/>
      <c r="ER109" s="220"/>
      <c r="ES109" s="220"/>
      <c r="EU109" s="153"/>
      <c r="EV109" s="153"/>
    </row>
    <row r="110" spans="1:289" ht="0.6" customHeight="1" x14ac:dyDescent="0.25">
      <c r="A110" s="150">
        <v>0</v>
      </c>
      <c r="B110" s="234" t="s">
        <v>291</v>
      </c>
      <c r="C110" s="196"/>
      <c r="D110" s="196"/>
      <c r="E110" s="351">
        <f>IF(Retail_Income_Include?=1,I110/Units_Retail,0)</f>
        <v>0</v>
      </c>
      <c r="F110" s="352" t="str">
        <f>'Retail Income'!H28</f>
        <v>/SF/YR</v>
      </c>
      <c r="G110" s="347">
        <f>I110/(Units_SF_M2)/12</f>
        <v>0</v>
      </c>
      <c r="H110" s="218">
        <f>I110/Units/12</f>
        <v>0</v>
      </c>
      <c r="I110" s="353">
        <f>(Retail_Income_Include?=1)*'Retail Income'!I35</f>
        <v>0</v>
      </c>
      <c r="R110" s="220">
        <f>(Retail_Income_Include?=1)*'Retail Income'!L35</f>
        <v>0</v>
      </c>
      <c r="S110" s="220">
        <f>(Retail_Income_Include?=1)*'Retail Income'!M35</f>
        <v>0</v>
      </c>
      <c r="T110" s="220">
        <f>(Retail_Income_Include?=1)*'Retail Income'!N35</f>
        <v>0</v>
      </c>
      <c r="U110" s="220">
        <f>(Retail_Income_Include?=1)*'Retail Income'!O35</f>
        <v>0</v>
      </c>
      <c r="V110" s="220">
        <f>(Retail_Income_Include?=1)*'Retail Income'!P35</f>
        <v>0</v>
      </c>
      <c r="W110" s="220">
        <f>(Retail_Income_Include?=1)*'Retail Income'!Q35</f>
        <v>0</v>
      </c>
      <c r="X110" s="220">
        <f>(Retail_Income_Include?=1)*'Retail Income'!R35</f>
        <v>0</v>
      </c>
      <c r="Y110" s="220">
        <f>(Retail_Income_Include?=1)*'Retail Income'!S35</f>
        <v>0</v>
      </c>
      <c r="Z110" s="220">
        <f>(Retail_Income_Include?=1)*'Retail Income'!T35</f>
        <v>0</v>
      </c>
      <c r="AA110" s="220">
        <f>(Retail_Income_Include?=1)*'Retail Income'!U35</f>
        <v>0</v>
      </c>
      <c r="AB110" s="220">
        <f>(Retail_Income_Include?=1)*'Retail Income'!V35</f>
        <v>0</v>
      </c>
      <c r="AC110" s="220">
        <f>(Retail_Income_Include?=1)*'Retail Income'!W35</f>
        <v>0</v>
      </c>
      <c r="AD110" s="220">
        <f>(Retail_Income_Include?=1)*'Retail Income'!X35</f>
        <v>0</v>
      </c>
      <c r="AE110" s="220">
        <f>(Retail_Income_Include?=1)*'Retail Income'!Y35</f>
        <v>0</v>
      </c>
      <c r="AF110" s="220">
        <f>(Retail_Income_Include?=1)*'Retail Income'!Z35</f>
        <v>0</v>
      </c>
      <c r="AG110" s="220">
        <f>(Retail_Income_Include?=1)*'Retail Income'!AA35</f>
        <v>0</v>
      </c>
      <c r="AH110" s="220">
        <f>(Retail_Income_Include?=1)*'Retail Income'!AB35</f>
        <v>0</v>
      </c>
      <c r="AI110" s="220">
        <f>(Retail_Income_Include?=1)*'Retail Income'!AC35</f>
        <v>0</v>
      </c>
      <c r="AJ110" s="220">
        <f>(Retail_Income_Include?=1)*'Retail Income'!AD35</f>
        <v>0</v>
      </c>
      <c r="AK110" s="220">
        <f>(Retail_Income_Include?=1)*'Retail Income'!AE35</f>
        <v>0</v>
      </c>
      <c r="AL110" s="220">
        <f>(Retail_Income_Include?=1)*'Retail Income'!AF35</f>
        <v>0</v>
      </c>
      <c r="AM110" s="220">
        <f>(Retail_Income_Include?=1)*'Retail Income'!AG35</f>
        <v>0</v>
      </c>
      <c r="AN110" s="220">
        <f>(Retail_Income_Include?=1)*'Retail Income'!AH35</f>
        <v>0</v>
      </c>
      <c r="AO110" s="220">
        <f>(Retail_Income_Include?=1)*'Retail Income'!AI35</f>
        <v>0</v>
      </c>
      <c r="AP110" s="220">
        <f>(Retail_Income_Include?=1)*'Retail Income'!AJ35</f>
        <v>0</v>
      </c>
      <c r="AQ110" s="220">
        <f>(Retail_Income_Include?=1)*'Retail Income'!AK35</f>
        <v>0</v>
      </c>
      <c r="AR110" s="220">
        <f>(Retail_Income_Include?=1)*'Retail Income'!AL35</f>
        <v>0</v>
      </c>
      <c r="AS110" s="220">
        <f>(Retail_Income_Include?=1)*'Retail Income'!AM35</f>
        <v>0</v>
      </c>
      <c r="AT110" s="220">
        <f>(Retail_Income_Include?=1)*'Retail Income'!AN35</f>
        <v>0</v>
      </c>
      <c r="AU110" s="220">
        <f>(Retail_Income_Include?=1)*'Retail Income'!AO35</f>
        <v>0</v>
      </c>
      <c r="AV110" s="220">
        <f>(Retail_Income_Include?=1)*'Retail Income'!AP35</f>
        <v>0</v>
      </c>
      <c r="AW110" s="220">
        <f>(Retail_Income_Include?=1)*'Retail Income'!AQ35</f>
        <v>0</v>
      </c>
      <c r="AX110" s="220">
        <f>(Retail_Income_Include?=1)*'Retail Income'!AR35</f>
        <v>0</v>
      </c>
      <c r="AY110" s="220">
        <f>(Retail_Income_Include?=1)*'Retail Income'!AS35</f>
        <v>0</v>
      </c>
      <c r="AZ110" s="220">
        <f>(Retail_Income_Include?=1)*'Retail Income'!AT35</f>
        <v>0</v>
      </c>
      <c r="BA110" s="220">
        <f>(Retail_Income_Include?=1)*'Retail Income'!AU35</f>
        <v>0</v>
      </c>
      <c r="BB110" s="220">
        <f>(Retail_Income_Include?=1)*'Retail Income'!AV35</f>
        <v>0</v>
      </c>
      <c r="BC110" s="220">
        <f>(Retail_Income_Include?=1)*'Retail Income'!AW35</f>
        <v>0</v>
      </c>
      <c r="BD110" s="220">
        <f>(Retail_Income_Include?=1)*'Retail Income'!AX35</f>
        <v>0</v>
      </c>
      <c r="BE110" s="220">
        <f>(Retail_Income_Include?=1)*'Retail Income'!AY35</f>
        <v>0</v>
      </c>
      <c r="BF110" s="220">
        <f>(Retail_Income_Include?=1)*'Retail Income'!AZ35</f>
        <v>0</v>
      </c>
      <c r="BG110" s="220">
        <f>(Retail_Income_Include?=1)*'Retail Income'!BA35</f>
        <v>0</v>
      </c>
      <c r="BH110" s="220">
        <f>(Retail_Income_Include?=1)*'Retail Income'!BB35</f>
        <v>0</v>
      </c>
      <c r="BI110" s="220">
        <f>(Retail_Income_Include?=1)*'Retail Income'!BC35</f>
        <v>0</v>
      </c>
      <c r="BJ110" s="220">
        <f>(Retail_Income_Include?=1)*'Retail Income'!BD35</f>
        <v>0</v>
      </c>
      <c r="BK110" s="220">
        <f>(Retail_Income_Include?=1)*'Retail Income'!BE35</f>
        <v>0</v>
      </c>
      <c r="BL110" s="220">
        <f>(Retail_Income_Include?=1)*'Retail Income'!BF35</f>
        <v>0</v>
      </c>
      <c r="BM110" s="220">
        <f>(Retail_Income_Include?=1)*'Retail Income'!BG35</f>
        <v>0</v>
      </c>
      <c r="BN110" s="220">
        <f>(Retail_Income_Include?=1)*'Retail Income'!BH35</f>
        <v>0</v>
      </c>
      <c r="BO110" s="220">
        <f>(Retail_Income_Include?=1)*'Retail Income'!BI35</f>
        <v>0</v>
      </c>
      <c r="BP110" s="220">
        <f>(Retail_Income_Include?=1)*'Retail Income'!BJ35</f>
        <v>0</v>
      </c>
      <c r="BQ110" s="220">
        <f>(Retail_Income_Include?=1)*'Retail Income'!BK35</f>
        <v>0</v>
      </c>
      <c r="BR110" s="220">
        <f>(Retail_Income_Include?=1)*'Retail Income'!BL35</f>
        <v>0</v>
      </c>
      <c r="BS110" s="220">
        <f>(Retail_Income_Include?=1)*'Retail Income'!BM35</f>
        <v>0</v>
      </c>
      <c r="BT110" s="220">
        <f>(Retail_Income_Include?=1)*'Retail Income'!BN35</f>
        <v>0</v>
      </c>
      <c r="BU110" s="220">
        <f>(Retail_Income_Include?=1)*'Retail Income'!BO35</f>
        <v>0</v>
      </c>
      <c r="BV110" s="220">
        <f>(Retail_Income_Include?=1)*'Retail Income'!BP35</f>
        <v>0</v>
      </c>
      <c r="BW110" s="220">
        <f>(Retail_Income_Include?=1)*'Retail Income'!BQ35</f>
        <v>0</v>
      </c>
      <c r="BX110" s="220">
        <f>(Retail_Income_Include?=1)*'Retail Income'!BR35</f>
        <v>0</v>
      </c>
      <c r="BY110" s="220">
        <f>(Retail_Income_Include?=1)*'Retail Income'!BS35</f>
        <v>0</v>
      </c>
      <c r="BZ110" s="220">
        <f>(Retail_Income_Include?=1)*'Retail Income'!BT35</f>
        <v>0</v>
      </c>
      <c r="CA110" s="220">
        <f>(Retail_Income_Include?=1)*'Retail Income'!BU35</f>
        <v>0</v>
      </c>
      <c r="CB110" s="220">
        <f>(Retail_Income_Include?=1)*'Retail Income'!BV35</f>
        <v>0</v>
      </c>
      <c r="CC110" s="220">
        <f>(Retail_Income_Include?=1)*'Retail Income'!BW35</f>
        <v>0</v>
      </c>
      <c r="CD110" s="220">
        <f>(Retail_Income_Include?=1)*'Retail Income'!BX35</f>
        <v>0</v>
      </c>
      <c r="CE110" s="220">
        <f>(Retail_Income_Include?=1)*'Retail Income'!BY35</f>
        <v>0</v>
      </c>
      <c r="CF110" s="220">
        <f>(Retail_Income_Include?=1)*'Retail Income'!BZ35</f>
        <v>0</v>
      </c>
      <c r="CG110" s="220">
        <f>(Retail_Income_Include?=1)*'Retail Income'!CA35</f>
        <v>0</v>
      </c>
      <c r="CH110" s="220">
        <f>(Retail_Income_Include?=1)*'Retail Income'!CB35</f>
        <v>0</v>
      </c>
      <c r="CI110" s="220">
        <f>(Retail_Income_Include?=1)*'Retail Income'!CC35</f>
        <v>0</v>
      </c>
      <c r="CJ110" s="220">
        <f>(Retail_Income_Include?=1)*'Retail Income'!CD35</f>
        <v>0</v>
      </c>
      <c r="CK110" s="220">
        <f>(Retail_Income_Include?=1)*'Retail Income'!CE35</f>
        <v>0</v>
      </c>
      <c r="CL110" s="220">
        <f>(Retail_Income_Include?=1)*'Retail Income'!CF35</f>
        <v>0</v>
      </c>
      <c r="CM110" s="220">
        <f>(Retail_Income_Include?=1)*'Retail Income'!CG35</f>
        <v>0</v>
      </c>
      <c r="CN110" s="220">
        <f>(Retail_Income_Include?=1)*'Retail Income'!CH35</f>
        <v>0</v>
      </c>
      <c r="CO110" s="220">
        <f>(Retail_Income_Include?=1)*'Retail Income'!CI35</f>
        <v>0</v>
      </c>
      <c r="CP110" s="220">
        <f>(Retail_Income_Include?=1)*'Retail Income'!CJ35</f>
        <v>0</v>
      </c>
      <c r="CQ110" s="220">
        <f>(Retail_Income_Include?=1)*'Retail Income'!CK35</f>
        <v>0</v>
      </c>
      <c r="CR110" s="220">
        <f>(Retail_Income_Include?=1)*'Retail Income'!CL35</f>
        <v>0</v>
      </c>
      <c r="CS110" s="220">
        <f>(Retail_Income_Include?=1)*'Retail Income'!CM35</f>
        <v>0</v>
      </c>
      <c r="CT110" s="220">
        <f>(Retail_Income_Include?=1)*'Retail Income'!CN35</f>
        <v>0</v>
      </c>
      <c r="CU110" s="220">
        <f>(Retail_Income_Include?=1)*'Retail Income'!CO35</f>
        <v>0</v>
      </c>
      <c r="CV110" s="220">
        <f>(Retail_Income_Include?=1)*'Retail Income'!CP35</f>
        <v>0</v>
      </c>
      <c r="CW110" s="220">
        <f>(Retail_Income_Include?=1)*'Retail Income'!CQ35</f>
        <v>0</v>
      </c>
      <c r="CX110" s="220">
        <f>(Retail_Income_Include?=1)*'Retail Income'!CR35</f>
        <v>0</v>
      </c>
      <c r="CY110" s="220">
        <f>(Retail_Income_Include?=1)*'Retail Income'!CS35</f>
        <v>0</v>
      </c>
      <c r="CZ110" s="220">
        <f>(Retail_Income_Include?=1)*'Retail Income'!CT35</f>
        <v>0</v>
      </c>
      <c r="DA110" s="220">
        <f>(Retail_Income_Include?=1)*'Retail Income'!CU35</f>
        <v>0</v>
      </c>
      <c r="DB110" s="220">
        <f>(Retail_Income_Include?=1)*'Retail Income'!CV35</f>
        <v>0</v>
      </c>
      <c r="DC110" s="220">
        <f>(Retail_Income_Include?=1)*'Retail Income'!CW35</f>
        <v>0</v>
      </c>
      <c r="DD110" s="220">
        <f>(Retail_Income_Include?=1)*'Retail Income'!CX35</f>
        <v>0</v>
      </c>
      <c r="DE110" s="220">
        <f>(Retail_Income_Include?=1)*'Retail Income'!CY35</f>
        <v>0</v>
      </c>
      <c r="DF110" s="220">
        <f>(Retail_Income_Include?=1)*'Retail Income'!CZ35</f>
        <v>0</v>
      </c>
      <c r="DG110" s="220">
        <f>(Retail_Income_Include?=1)*'Retail Income'!DA35</f>
        <v>0</v>
      </c>
      <c r="DH110" s="220">
        <f>(Retail_Income_Include?=1)*'Retail Income'!DB35</f>
        <v>0</v>
      </c>
      <c r="DI110" s="220">
        <f>(Retail_Income_Include?=1)*'Retail Income'!DC35</f>
        <v>0</v>
      </c>
      <c r="DJ110" s="220">
        <f>(Retail_Income_Include?=1)*'Retail Income'!DD35</f>
        <v>0</v>
      </c>
      <c r="DK110" s="220">
        <f>(Retail_Income_Include?=1)*'Retail Income'!DE35</f>
        <v>0</v>
      </c>
      <c r="DL110" s="220">
        <f>(Retail_Income_Include?=1)*'Retail Income'!DF35</f>
        <v>0</v>
      </c>
      <c r="DM110" s="220">
        <f>(Retail_Income_Include?=1)*'Retail Income'!DG35</f>
        <v>0</v>
      </c>
      <c r="DN110" s="220">
        <f>(Retail_Income_Include?=1)*'Retail Income'!DH35</f>
        <v>0</v>
      </c>
      <c r="DO110" s="220">
        <f>(Retail_Income_Include?=1)*'Retail Income'!DI35</f>
        <v>0</v>
      </c>
      <c r="DP110" s="220">
        <f>(Retail_Income_Include?=1)*'Retail Income'!DJ35</f>
        <v>0</v>
      </c>
      <c r="DQ110" s="220">
        <f>(Retail_Income_Include?=1)*'Retail Income'!DK35</f>
        <v>0</v>
      </c>
      <c r="DR110" s="220">
        <f>(Retail_Income_Include?=1)*'Retail Income'!DL35</f>
        <v>0</v>
      </c>
      <c r="DS110" s="220">
        <f>(Retail_Income_Include?=1)*'Retail Income'!DM35</f>
        <v>0</v>
      </c>
      <c r="DT110" s="220">
        <f>(Retail_Income_Include?=1)*'Retail Income'!DN35</f>
        <v>0</v>
      </c>
      <c r="DU110" s="220">
        <f>(Retail_Income_Include?=1)*'Retail Income'!DO35</f>
        <v>0</v>
      </c>
      <c r="DV110" s="220">
        <f>(Retail_Income_Include?=1)*'Retail Income'!DP35</f>
        <v>0</v>
      </c>
      <c r="DW110" s="220">
        <f>(Retail_Income_Include?=1)*'Retail Income'!DQ35</f>
        <v>0</v>
      </c>
      <c r="DX110" s="220">
        <f>(Retail_Income_Include?=1)*'Retail Income'!DR35</f>
        <v>0</v>
      </c>
      <c r="DY110" s="220">
        <f>(Retail_Income_Include?=1)*'Retail Income'!DS35</f>
        <v>0</v>
      </c>
      <c r="DZ110" s="220">
        <f>(Retail_Income_Include?=1)*'Retail Income'!DT35</f>
        <v>0</v>
      </c>
      <c r="EA110" s="220">
        <f>(Retail_Income_Include?=1)*'Retail Income'!DU35</f>
        <v>0</v>
      </c>
      <c r="EB110" s="220">
        <f>(Retail_Income_Include?=1)*'Retail Income'!DV35</f>
        <v>0</v>
      </c>
      <c r="EC110" s="220">
        <f>(Retail_Income_Include?=1)*'Retail Income'!DW35</f>
        <v>0</v>
      </c>
      <c r="ED110" s="220">
        <f>(Retail_Income_Include?=1)*'Retail Income'!DX35</f>
        <v>0</v>
      </c>
      <c r="EE110" s="220">
        <f>(Retail_Income_Include?=1)*'Retail Income'!DY35</f>
        <v>0</v>
      </c>
      <c r="EF110" s="220">
        <f>(Retail_Income_Include?=1)*'Retail Income'!DZ35</f>
        <v>0</v>
      </c>
      <c r="EG110" s="220">
        <f>(Retail_Income_Include?=1)*'Retail Income'!EA35</f>
        <v>0</v>
      </c>
      <c r="EH110" s="220">
        <f>(Retail_Income_Include?=1)*'Retail Income'!EB35</f>
        <v>0</v>
      </c>
      <c r="EI110" s="220">
        <f>(Retail_Income_Include?=1)*'Retail Income'!EC35</f>
        <v>0</v>
      </c>
      <c r="EJ110" s="220">
        <f>(Retail_Income_Include?=1)*'Retail Income'!ED35</f>
        <v>0</v>
      </c>
      <c r="EK110" s="220">
        <f>(Retail_Income_Include?=1)*'Retail Income'!EE35</f>
        <v>0</v>
      </c>
      <c r="EL110" s="220">
        <f>(Retail_Income_Include?=1)*'Retail Income'!EF35</f>
        <v>0</v>
      </c>
      <c r="EM110" s="220">
        <f>(Retail_Income_Include?=1)*'Retail Income'!EG35</f>
        <v>0</v>
      </c>
      <c r="EN110" s="220">
        <f>(Retail_Income_Include?=1)*'Retail Income'!EH35</f>
        <v>0</v>
      </c>
      <c r="EO110" s="220">
        <f>(Retail_Income_Include?=1)*'Retail Income'!EI35</f>
        <v>0</v>
      </c>
      <c r="EP110" s="220">
        <f>(Retail_Income_Include?=1)*'Retail Income'!EJ35</f>
        <v>0</v>
      </c>
      <c r="EQ110" s="220">
        <f>(Retail_Income_Include?=1)*'Retail Income'!EK35</f>
        <v>0</v>
      </c>
      <c r="ER110" s="220">
        <f>(Retail_Income_Include?=1)*'Retail Income'!EL35</f>
        <v>0</v>
      </c>
      <c r="ES110" s="220">
        <f>(Retail_Income_Include?=1)*'Retail Income'!EM35</f>
        <v>0</v>
      </c>
      <c r="EU110" s="153"/>
      <c r="EV110" s="153"/>
    </row>
    <row r="111" spans="1:289" x14ac:dyDescent="0.25">
      <c r="B111" s="354" t="s">
        <v>123</v>
      </c>
      <c r="C111" s="196"/>
      <c r="D111" s="286"/>
      <c r="E111" s="355" t="s">
        <v>758</v>
      </c>
      <c r="F111" s="196"/>
      <c r="G111" s="347">
        <f>G110+G108+G103</f>
        <v>1.8654884634266076</v>
      </c>
      <c r="H111" s="356">
        <f>I111/Units/12</f>
        <v>1900</v>
      </c>
      <c r="I111" s="218">
        <f>+I108+I103+I110</f>
        <v>364800</v>
      </c>
      <c r="P111" s="152" t="s">
        <v>450</v>
      </c>
      <c r="R111" s="220">
        <f t="shared" ref="R111:AW111" ca="1" si="673">+R108+R103+R110</f>
        <v>0</v>
      </c>
      <c r="S111" s="220">
        <f t="shared" ca="1" si="673"/>
        <v>0</v>
      </c>
      <c r="T111" s="220">
        <f t="shared" ca="1" si="673"/>
        <v>0</v>
      </c>
      <c r="U111" s="220">
        <f t="shared" ca="1" si="673"/>
        <v>0</v>
      </c>
      <c r="V111" s="220">
        <f t="shared" ca="1" si="673"/>
        <v>0</v>
      </c>
      <c r="W111" s="220">
        <f t="shared" ca="1" si="673"/>
        <v>0</v>
      </c>
      <c r="X111" s="220">
        <f t="shared" ca="1" si="673"/>
        <v>0</v>
      </c>
      <c r="Y111" s="220">
        <f t="shared" ca="1" si="673"/>
        <v>0</v>
      </c>
      <c r="Z111" s="220">
        <f t="shared" ca="1" si="673"/>
        <v>0</v>
      </c>
      <c r="AA111" s="220">
        <f t="shared" ca="1" si="673"/>
        <v>0</v>
      </c>
      <c r="AB111" s="220">
        <f t="shared" ca="1" si="673"/>
        <v>0</v>
      </c>
      <c r="AC111" s="220">
        <f t="shared" ca="1" si="673"/>
        <v>7600</v>
      </c>
      <c r="AD111" s="220">
        <f t="shared" ca="1" si="673"/>
        <v>19000</v>
      </c>
      <c r="AE111" s="220">
        <f t="shared" ca="1" si="673"/>
        <v>30400</v>
      </c>
      <c r="AF111" s="220">
        <f t="shared" ca="1" si="673"/>
        <v>30400</v>
      </c>
      <c r="AG111" s="220">
        <f t="shared" ca="1" si="673"/>
        <v>30400</v>
      </c>
      <c r="AH111" s="220">
        <f t="shared" ca="1" si="673"/>
        <v>30400</v>
      </c>
      <c r="AI111" s="220">
        <f t="shared" ca="1" si="673"/>
        <v>30400</v>
      </c>
      <c r="AJ111" s="220">
        <f t="shared" ca="1" si="673"/>
        <v>30400</v>
      </c>
      <c r="AK111" s="220">
        <f t="shared" ca="1" si="673"/>
        <v>30400</v>
      </c>
      <c r="AL111" s="220">
        <f t="shared" ca="1" si="673"/>
        <v>30400</v>
      </c>
      <c r="AM111" s="220">
        <f t="shared" ca="1" si="673"/>
        <v>30400</v>
      </c>
      <c r="AN111" s="220">
        <f t="shared" ca="1" si="673"/>
        <v>30400</v>
      </c>
      <c r="AO111" s="220">
        <f t="shared" ca="1" si="673"/>
        <v>30628</v>
      </c>
      <c r="AP111" s="220">
        <f t="shared" ca="1" si="673"/>
        <v>30970</v>
      </c>
      <c r="AQ111" s="220">
        <f t="shared" ca="1" si="673"/>
        <v>31312</v>
      </c>
      <c r="AR111" s="220">
        <f t="shared" ca="1" si="673"/>
        <v>31312</v>
      </c>
      <c r="AS111" s="220">
        <f t="shared" ca="1" si="673"/>
        <v>31312</v>
      </c>
      <c r="AT111" s="220">
        <f t="shared" ca="1" si="673"/>
        <v>31312</v>
      </c>
      <c r="AU111" s="220">
        <f t="shared" ca="1" si="673"/>
        <v>31312</v>
      </c>
      <c r="AV111" s="220">
        <f t="shared" ca="1" si="673"/>
        <v>31312</v>
      </c>
      <c r="AW111" s="220">
        <f t="shared" ca="1" si="673"/>
        <v>31312</v>
      </c>
      <c r="AX111" s="220">
        <f t="shared" ref="AX111:CC111" ca="1" si="674">+AX108+AX103+AX110</f>
        <v>31312</v>
      </c>
      <c r="AY111" s="220">
        <f t="shared" ca="1" si="674"/>
        <v>31312</v>
      </c>
      <c r="AZ111" s="220">
        <f t="shared" ca="1" si="674"/>
        <v>31312</v>
      </c>
      <c r="BA111" s="220">
        <f t="shared" ca="1" si="674"/>
        <v>31546.84</v>
      </c>
      <c r="BB111" s="220">
        <f t="shared" ca="1" si="674"/>
        <v>31899.1</v>
      </c>
      <c r="BC111" s="220">
        <f t="shared" ca="1" si="674"/>
        <v>32251.360000000001</v>
      </c>
      <c r="BD111" s="220">
        <f t="shared" ca="1" si="674"/>
        <v>32251.360000000001</v>
      </c>
      <c r="BE111" s="220">
        <f t="shared" ca="1" si="674"/>
        <v>32251.360000000001</v>
      </c>
      <c r="BF111" s="220">
        <f t="shared" ca="1" si="674"/>
        <v>32251.360000000001</v>
      </c>
      <c r="BG111" s="220">
        <f t="shared" ca="1" si="674"/>
        <v>32251.360000000001</v>
      </c>
      <c r="BH111" s="220">
        <f t="shared" ca="1" si="674"/>
        <v>32251.360000000001</v>
      </c>
      <c r="BI111" s="220">
        <f t="shared" ca="1" si="674"/>
        <v>32251.360000000001</v>
      </c>
      <c r="BJ111" s="220">
        <f t="shared" ca="1" si="674"/>
        <v>32251.360000000001</v>
      </c>
      <c r="BK111" s="220">
        <f t="shared" ca="1" si="674"/>
        <v>32251.360000000001</v>
      </c>
      <c r="BL111" s="220">
        <f t="shared" ca="1" si="674"/>
        <v>32251.360000000001</v>
      </c>
      <c r="BM111" s="220">
        <f t="shared" ca="1" si="674"/>
        <v>32493.245200000005</v>
      </c>
      <c r="BN111" s="220">
        <f t="shared" ca="1" si="674"/>
        <v>32856.073000000004</v>
      </c>
      <c r="BO111" s="220">
        <f t="shared" ca="1" si="674"/>
        <v>33218.900800000003</v>
      </c>
      <c r="BP111" s="220">
        <f t="shared" ca="1" si="674"/>
        <v>33218.900800000003</v>
      </c>
      <c r="BQ111" s="220">
        <f t="shared" ca="1" si="674"/>
        <v>33218.900800000003</v>
      </c>
      <c r="BR111" s="220">
        <f t="shared" ca="1" si="674"/>
        <v>33218.900800000003</v>
      </c>
      <c r="BS111" s="220">
        <f t="shared" ca="1" si="674"/>
        <v>33218.900800000003</v>
      </c>
      <c r="BT111" s="220">
        <f t="shared" ca="1" si="674"/>
        <v>33218.900800000003</v>
      </c>
      <c r="BU111" s="220">
        <f t="shared" ca="1" si="674"/>
        <v>33218.900800000003</v>
      </c>
      <c r="BV111" s="220">
        <f t="shared" ca="1" si="674"/>
        <v>33218.900800000003</v>
      </c>
      <c r="BW111" s="220">
        <f t="shared" ca="1" si="674"/>
        <v>33218.900800000003</v>
      </c>
      <c r="BX111" s="220">
        <f t="shared" ca="1" si="674"/>
        <v>33218.900800000003</v>
      </c>
      <c r="BY111" s="220">
        <f t="shared" ca="1" si="674"/>
        <v>33468.042555999993</v>
      </c>
      <c r="BZ111" s="220">
        <f t="shared" ca="1" si="674"/>
        <v>33841.755189999996</v>
      </c>
      <c r="CA111" s="220">
        <f t="shared" ca="1" si="674"/>
        <v>34215.467823999999</v>
      </c>
      <c r="CB111" s="220">
        <f t="shared" ca="1" si="674"/>
        <v>34215.467823999999</v>
      </c>
      <c r="CC111" s="220">
        <f t="shared" ca="1" si="674"/>
        <v>34215.467823999999</v>
      </c>
      <c r="CD111" s="220">
        <f t="shared" ref="CD111:DI111" ca="1" si="675">+CD108+CD103+CD110</f>
        <v>34215.467823999999</v>
      </c>
      <c r="CE111" s="220">
        <f t="shared" ca="1" si="675"/>
        <v>34215.467823999999</v>
      </c>
      <c r="CF111" s="220">
        <f t="shared" ca="1" si="675"/>
        <v>34215.467823999999</v>
      </c>
      <c r="CG111" s="220">
        <f t="shared" ca="1" si="675"/>
        <v>34215.467823999999</v>
      </c>
      <c r="CH111" s="220">
        <f t="shared" ca="1" si="675"/>
        <v>34215.467823999999</v>
      </c>
      <c r="CI111" s="220">
        <f t="shared" ca="1" si="675"/>
        <v>34215.467823999999</v>
      </c>
      <c r="CJ111" s="220">
        <f t="shared" ca="1" si="675"/>
        <v>34215.467823999999</v>
      </c>
      <c r="CK111" s="220">
        <f t="shared" ca="1" si="675"/>
        <v>34472.08383268</v>
      </c>
      <c r="CL111" s="220">
        <f t="shared" ca="1" si="675"/>
        <v>34857.007845699998</v>
      </c>
      <c r="CM111" s="220">
        <f t="shared" ca="1" si="675"/>
        <v>35241.931858719996</v>
      </c>
      <c r="CN111" s="220">
        <f t="shared" ca="1" si="675"/>
        <v>35241.931858719996</v>
      </c>
      <c r="CO111" s="220">
        <f t="shared" ca="1" si="675"/>
        <v>35241.931858719996</v>
      </c>
      <c r="CP111" s="220">
        <f t="shared" ca="1" si="675"/>
        <v>35241.931858719996</v>
      </c>
      <c r="CQ111" s="220">
        <f t="shared" ca="1" si="675"/>
        <v>35241.931858719996</v>
      </c>
      <c r="CR111" s="220">
        <f t="shared" ca="1" si="675"/>
        <v>35241.931858719996</v>
      </c>
      <c r="CS111" s="220">
        <f t="shared" ca="1" si="675"/>
        <v>35241.931858719996</v>
      </c>
      <c r="CT111" s="220">
        <f t="shared" ca="1" si="675"/>
        <v>35241.931858719996</v>
      </c>
      <c r="CU111" s="220">
        <f t="shared" ca="1" si="675"/>
        <v>35241.931858719996</v>
      </c>
      <c r="CV111" s="220">
        <f t="shared" ca="1" si="675"/>
        <v>35241.931858719996</v>
      </c>
      <c r="CW111" s="220">
        <f t="shared" ca="1" si="675"/>
        <v>35506.246347660395</v>
      </c>
      <c r="CX111" s="220">
        <f t="shared" ca="1" si="675"/>
        <v>35902.718081070998</v>
      </c>
      <c r="CY111" s="220">
        <f t="shared" ca="1" si="675"/>
        <v>36299.1898144816</v>
      </c>
      <c r="CZ111" s="220">
        <f t="shared" ca="1" si="675"/>
        <v>36299.1898144816</v>
      </c>
      <c r="DA111" s="220">
        <f t="shared" ca="1" si="675"/>
        <v>36299.1898144816</v>
      </c>
      <c r="DB111" s="220">
        <f t="shared" ca="1" si="675"/>
        <v>36299.1898144816</v>
      </c>
      <c r="DC111" s="220">
        <f t="shared" ca="1" si="675"/>
        <v>36299.1898144816</v>
      </c>
      <c r="DD111" s="220">
        <f t="shared" ca="1" si="675"/>
        <v>36299.1898144816</v>
      </c>
      <c r="DE111" s="220">
        <f t="shared" ca="1" si="675"/>
        <v>36299.1898144816</v>
      </c>
      <c r="DF111" s="220">
        <f t="shared" ca="1" si="675"/>
        <v>36299.1898144816</v>
      </c>
      <c r="DG111" s="220">
        <f t="shared" ca="1" si="675"/>
        <v>36299.1898144816</v>
      </c>
      <c r="DH111" s="220">
        <f t="shared" ca="1" si="675"/>
        <v>36299.1898144816</v>
      </c>
      <c r="DI111" s="220">
        <f t="shared" ca="1" si="675"/>
        <v>36571.433738090214</v>
      </c>
      <c r="DJ111" s="220">
        <f t="shared" ref="DJ111:EO111" ca="1" si="676">+DJ108+DJ103+DJ110</f>
        <v>36979.799623503131</v>
      </c>
      <c r="DK111" s="220">
        <f t="shared" ca="1" si="676"/>
        <v>37388.165508916049</v>
      </c>
      <c r="DL111" s="220">
        <f t="shared" ca="1" si="676"/>
        <v>37388.165508916049</v>
      </c>
      <c r="DM111" s="220">
        <f t="shared" ca="1" si="676"/>
        <v>37388.165508916049</v>
      </c>
      <c r="DN111" s="220">
        <f t="shared" ca="1" si="676"/>
        <v>37388.165508916049</v>
      </c>
      <c r="DO111" s="220">
        <f t="shared" ca="1" si="676"/>
        <v>37388.165508916049</v>
      </c>
      <c r="DP111" s="220">
        <f t="shared" ca="1" si="676"/>
        <v>37388.165508916049</v>
      </c>
      <c r="DQ111" s="220">
        <f t="shared" ca="1" si="676"/>
        <v>37388.165508916049</v>
      </c>
      <c r="DR111" s="220">
        <f t="shared" ca="1" si="676"/>
        <v>37388.165508916049</v>
      </c>
      <c r="DS111" s="220">
        <f t="shared" ca="1" si="676"/>
        <v>37388.165508916049</v>
      </c>
      <c r="DT111" s="220">
        <f t="shared" ca="1" si="676"/>
        <v>37388.165508916049</v>
      </c>
      <c r="DU111" s="220">
        <f t="shared" ca="1" si="676"/>
        <v>37668.576750232925</v>
      </c>
      <c r="DV111" s="220">
        <f t="shared" ca="1" si="676"/>
        <v>38089.193612208219</v>
      </c>
      <c r="DW111" s="220">
        <f t="shared" ca="1" si="676"/>
        <v>38509.810474183527</v>
      </c>
      <c r="DX111" s="220">
        <f t="shared" ca="1" si="676"/>
        <v>38509.810474183527</v>
      </c>
      <c r="DY111" s="220">
        <f t="shared" ca="1" si="676"/>
        <v>38509.810474183527</v>
      </c>
      <c r="DZ111" s="220">
        <f t="shared" ca="1" si="676"/>
        <v>38509.810474183527</v>
      </c>
      <c r="EA111" s="220">
        <f t="shared" ca="1" si="676"/>
        <v>38509.810474183527</v>
      </c>
      <c r="EB111" s="220">
        <f t="shared" ca="1" si="676"/>
        <v>38509.810474183527</v>
      </c>
      <c r="EC111" s="220">
        <f t="shared" ca="1" si="676"/>
        <v>38509.810474183527</v>
      </c>
      <c r="ED111" s="220">
        <f t="shared" ca="1" si="676"/>
        <v>38509.810474183527</v>
      </c>
      <c r="EE111" s="220">
        <f t="shared" ca="1" si="676"/>
        <v>38509.810474183527</v>
      </c>
      <c r="EF111" s="220">
        <f t="shared" ca="1" si="676"/>
        <v>38509.810474183527</v>
      </c>
      <c r="EG111" s="220">
        <f t="shared" ca="1" si="676"/>
        <v>38798.634052739893</v>
      </c>
      <c r="EH111" s="220">
        <f t="shared" ca="1" si="676"/>
        <v>39231.869420574469</v>
      </c>
      <c r="EI111" s="220">
        <f t="shared" ca="1" si="676"/>
        <v>39665.104788409029</v>
      </c>
      <c r="EJ111" s="220">
        <f t="shared" ca="1" si="676"/>
        <v>39665.104788409029</v>
      </c>
      <c r="EK111" s="220">
        <f t="shared" ca="1" si="676"/>
        <v>39665.104788409029</v>
      </c>
      <c r="EL111" s="220">
        <f t="shared" ca="1" si="676"/>
        <v>39665.104788409029</v>
      </c>
      <c r="EM111" s="220">
        <f t="shared" ca="1" si="676"/>
        <v>39665.104788409029</v>
      </c>
      <c r="EN111" s="220">
        <f t="shared" ca="1" si="676"/>
        <v>39665.104788409029</v>
      </c>
      <c r="EO111" s="220">
        <f t="shared" ca="1" si="676"/>
        <v>39665.104788409029</v>
      </c>
      <c r="EP111" s="220">
        <f t="shared" ref="EP111:ES111" ca="1" si="677">+EP108+EP103+EP110</f>
        <v>39665.104788409029</v>
      </c>
      <c r="EQ111" s="220">
        <f t="shared" ca="1" si="677"/>
        <v>39665.104788409029</v>
      </c>
      <c r="ER111" s="220">
        <f t="shared" ca="1" si="677"/>
        <v>39665.104788409029</v>
      </c>
      <c r="ES111" s="220">
        <f t="shared" ca="1" si="677"/>
        <v>39962.593074322096</v>
      </c>
      <c r="EU111" s="153"/>
      <c r="EV111" s="153"/>
    </row>
    <row r="112" spans="1:289" x14ac:dyDescent="0.25">
      <c r="B112" s="336" t="str">
        <f>IF(Retail_Income_Include?=1,"- General Vacancy (Excluding Retail Income)","- General Vacancy ")</f>
        <v xml:space="preserve">- General Vacancy </v>
      </c>
      <c r="C112" s="196"/>
      <c r="D112" s="286"/>
      <c r="E112" s="286" t="s">
        <v>759</v>
      </c>
      <c r="F112" s="286">
        <v>0.05</v>
      </c>
      <c r="G112" s="347">
        <f>I112/(Units_SF_M2)/12</f>
        <v>-9.327442317133039E-2</v>
      </c>
      <c r="H112" s="218">
        <f>I112/Units/12</f>
        <v>-95</v>
      </c>
      <c r="I112" s="218">
        <f>($E112="Total Potential Income")*-$F112*I$111+($E112="Total Rental Income")*-$F112*I$103+($E112="Gross Rent")*-$F112*I$99</f>
        <v>-18240</v>
      </c>
      <c r="R112" s="220">
        <f t="shared" ref="R112:AA113" ca="1" si="678">($E112="Total Potential Income")*-$F112*R$111+($E112="Total Rental Income")*-$F112*R$103+($E112="Gross Rent")*-$F112*R$99</f>
        <v>0</v>
      </c>
      <c r="S112" s="220">
        <f t="shared" ca="1" si="678"/>
        <v>0</v>
      </c>
      <c r="T112" s="220">
        <f t="shared" ca="1" si="678"/>
        <v>0</v>
      </c>
      <c r="U112" s="220">
        <f t="shared" ca="1" si="678"/>
        <v>0</v>
      </c>
      <c r="V112" s="220">
        <f t="shared" ca="1" si="678"/>
        <v>0</v>
      </c>
      <c r="W112" s="220">
        <f t="shared" ca="1" si="678"/>
        <v>0</v>
      </c>
      <c r="X112" s="220">
        <f t="shared" ca="1" si="678"/>
        <v>0</v>
      </c>
      <c r="Y112" s="220">
        <f t="shared" ca="1" si="678"/>
        <v>0</v>
      </c>
      <c r="Z112" s="220">
        <f t="shared" ca="1" si="678"/>
        <v>0</v>
      </c>
      <c r="AA112" s="220">
        <f t="shared" ca="1" si="678"/>
        <v>0</v>
      </c>
      <c r="AB112" s="220">
        <f t="shared" ref="AB112:AK113" ca="1" si="679">($E112="Total Potential Income")*-$F112*AB$111+($E112="Total Rental Income")*-$F112*AB$103+($E112="Gross Rent")*-$F112*AB$99</f>
        <v>0</v>
      </c>
      <c r="AC112" s="220">
        <f t="shared" ca="1" si="679"/>
        <v>-380</v>
      </c>
      <c r="AD112" s="220">
        <f t="shared" ca="1" si="679"/>
        <v>-950</v>
      </c>
      <c r="AE112" s="220">
        <f t="shared" ca="1" si="679"/>
        <v>-1520</v>
      </c>
      <c r="AF112" s="220">
        <f t="shared" ca="1" si="679"/>
        <v>-1520</v>
      </c>
      <c r="AG112" s="220">
        <f t="shared" ca="1" si="679"/>
        <v>-1520</v>
      </c>
      <c r="AH112" s="220">
        <f t="shared" ca="1" si="679"/>
        <v>-1520</v>
      </c>
      <c r="AI112" s="220">
        <f t="shared" ca="1" si="679"/>
        <v>-1520</v>
      </c>
      <c r="AJ112" s="220">
        <f t="shared" ca="1" si="679"/>
        <v>-1520</v>
      </c>
      <c r="AK112" s="220">
        <f t="shared" ca="1" si="679"/>
        <v>-1520</v>
      </c>
      <c r="AL112" s="220">
        <f t="shared" ref="AL112:AU113" ca="1" si="680">($E112="Total Potential Income")*-$F112*AL$111+($E112="Total Rental Income")*-$F112*AL$103+($E112="Gross Rent")*-$F112*AL$99</f>
        <v>-1520</v>
      </c>
      <c r="AM112" s="220">
        <f t="shared" ca="1" si="680"/>
        <v>-1520</v>
      </c>
      <c r="AN112" s="220">
        <f t="shared" ca="1" si="680"/>
        <v>-1520</v>
      </c>
      <c r="AO112" s="220">
        <f t="shared" ca="1" si="680"/>
        <v>-1531.4</v>
      </c>
      <c r="AP112" s="220">
        <f t="shared" ca="1" si="680"/>
        <v>-1548.5</v>
      </c>
      <c r="AQ112" s="220">
        <f t="shared" ca="1" si="680"/>
        <v>-1565.6000000000001</v>
      </c>
      <c r="AR112" s="220">
        <f t="shared" ca="1" si="680"/>
        <v>-1565.6000000000001</v>
      </c>
      <c r="AS112" s="220">
        <f t="shared" ca="1" si="680"/>
        <v>-1565.6000000000001</v>
      </c>
      <c r="AT112" s="220">
        <f t="shared" ca="1" si="680"/>
        <v>-1565.6000000000001</v>
      </c>
      <c r="AU112" s="220">
        <f t="shared" ca="1" si="680"/>
        <v>-1565.6000000000001</v>
      </c>
      <c r="AV112" s="220">
        <f t="shared" ref="AV112:BE113" ca="1" si="681">($E112="Total Potential Income")*-$F112*AV$111+($E112="Total Rental Income")*-$F112*AV$103+($E112="Gross Rent")*-$F112*AV$99</f>
        <v>-1565.6000000000001</v>
      </c>
      <c r="AW112" s="220">
        <f t="shared" ca="1" si="681"/>
        <v>-1565.6000000000001</v>
      </c>
      <c r="AX112" s="220">
        <f t="shared" ca="1" si="681"/>
        <v>-1565.6000000000001</v>
      </c>
      <c r="AY112" s="220">
        <f t="shared" ca="1" si="681"/>
        <v>-1565.6000000000001</v>
      </c>
      <c r="AZ112" s="220">
        <f t="shared" ca="1" si="681"/>
        <v>-1565.6000000000001</v>
      </c>
      <c r="BA112" s="220">
        <f t="shared" ca="1" si="681"/>
        <v>-1577.3420000000001</v>
      </c>
      <c r="BB112" s="220">
        <f t="shared" ca="1" si="681"/>
        <v>-1594.9549999999999</v>
      </c>
      <c r="BC112" s="220">
        <f t="shared" ca="1" si="681"/>
        <v>-1612.5680000000002</v>
      </c>
      <c r="BD112" s="220">
        <f t="shared" ca="1" si="681"/>
        <v>-1612.5680000000002</v>
      </c>
      <c r="BE112" s="220">
        <f t="shared" ca="1" si="681"/>
        <v>-1612.5680000000002</v>
      </c>
      <c r="BF112" s="220">
        <f t="shared" ref="BF112:BO113" ca="1" si="682">($E112="Total Potential Income")*-$F112*BF$111+($E112="Total Rental Income")*-$F112*BF$103+($E112="Gross Rent")*-$F112*BF$99</f>
        <v>-1612.5680000000002</v>
      </c>
      <c r="BG112" s="220">
        <f t="shared" ca="1" si="682"/>
        <v>-1612.5680000000002</v>
      </c>
      <c r="BH112" s="220">
        <f t="shared" ca="1" si="682"/>
        <v>-1612.5680000000002</v>
      </c>
      <c r="BI112" s="220">
        <f t="shared" ca="1" si="682"/>
        <v>-1612.5680000000002</v>
      </c>
      <c r="BJ112" s="220">
        <f t="shared" ca="1" si="682"/>
        <v>-1612.5680000000002</v>
      </c>
      <c r="BK112" s="220">
        <f t="shared" ca="1" si="682"/>
        <v>-1612.5680000000002</v>
      </c>
      <c r="BL112" s="220">
        <f t="shared" ca="1" si="682"/>
        <v>-1612.5680000000002</v>
      </c>
      <c r="BM112" s="220">
        <f t="shared" ca="1" si="682"/>
        <v>-1624.6622600000003</v>
      </c>
      <c r="BN112" s="220">
        <f t="shared" ca="1" si="682"/>
        <v>-1642.8036500000003</v>
      </c>
      <c r="BO112" s="220">
        <f t="shared" ca="1" si="682"/>
        <v>-1660.9450400000003</v>
      </c>
      <c r="BP112" s="220">
        <f t="shared" ref="BP112:BY113" ca="1" si="683">($E112="Total Potential Income")*-$F112*BP$111+($E112="Total Rental Income")*-$F112*BP$103+($E112="Gross Rent")*-$F112*BP$99</f>
        <v>-1660.9450400000003</v>
      </c>
      <c r="BQ112" s="220">
        <f t="shared" ca="1" si="683"/>
        <v>-1660.9450400000003</v>
      </c>
      <c r="BR112" s="220">
        <f t="shared" ca="1" si="683"/>
        <v>-1660.9450400000003</v>
      </c>
      <c r="BS112" s="220">
        <f t="shared" ca="1" si="683"/>
        <v>-1660.9450400000003</v>
      </c>
      <c r="BT112" s="220">
        <f t="shared" ca="1" si="683"/>
        <v>-1660.9450400000003</v>
      </c>
      <c r="BU112" s="220">
        <f t="shared" ca="1" si="683"/>
        <v>-1660.9450400000003</v>
      </c>
      <c r="BV112" s="220">
        <f t="shared" ca="1" si="683"/>
        <v>-1660.9450400000003</v>
      </c>
      <c r="BW112" s="220">
        <f t="shared" ca="1" si="683"/>
        <v>-1660.9450400000003</v>
      </c>
      <c r="BX112" s="220">
        <f t="shared" ca="1" si="683"/>
        <v>-1660.9450400000003</v>
      </c>
      <c r="BY112" s="220">
        <f t="shared" ca="1" si="683"/>
        <v>-1673.4021277999998</v>
      </c>
      <c r="BZ112" s="220">
        <f t="shared" ref="BZ112:CI113" ca="1" si="684">($E112="Total Potential Income")*-$F112*BZ$111+($E112="Total Rental Income")*-$F112*BZ$103+($E112="Gross Rent")*-$F112*BZ$99</f>
        <v>-1692.0877594999999</v>
      </c>
      <c r="CA112" s="220">
        <f t="shared" ca="1" si="684"/>
        <v>-1710.7733912000001</v>
      </c>
      <c r="CB112" s="220">
        <f t="shared" ca="1" si="684"/>
        <v>-1710.7733912000001</v>
      </c>
      <c r="CC112" s="220">
        <f t="shared" ca="1" si="684"/>
        <v>-1710.7733912000001</v>
      </c>
      <c r="CD112" s="220">
        <f t="shared" ca="1" si="684"/>
        <v>-1710.7733912000001</v>
      </c>
      <c r="CE112" s="220">
        <f t="shared" ca="1" si="684"/>
        <v>-1710.7733912000001</v>
      </c>
      <c r="CF112" s="220">
        <f t="shared" ca="1" si="684"/>
        <v>-1710.7733912000001</v>
      </c>
      <c r="CG112" s="220">
        <f t="shared" ca="1" si="684"/>
        <v>-1710.7733912000001</v>
      </c>
      <c r="CH112" s="220">
        <f t="shared" ca="1" si="684"/>
        <v>-1710.7733912000001</v>
      </c>
      <c r="CI112" s="220">
        <f t="shared" ca="1" si="684"/>
        <v>-1710.7733912000001</v>
      </c>
      <c r="CJ112" s="220">
        <f t="shared" ref="CJ112:CS113" ca="1" si="685">($E112="Total Potential Income")*-$F112*CJ$111+($E112="Total Rental Income")*-$F112*CJ$103+($E112="Gross Rent")*-$F112*CJ$99</f>
        <v>-1710.7733912000001</v>
      </c>
      <c r="CK112" s="220">
        <f t="shared" ca="1" si="685"/>
        <v>-1723.604191634</v>
      </c>
      <c r="CL112" s="220">
        <f t="shared" ca="1" si="685"/>
        <v>-1742.850392285</v>
      </c>
      <c r="CM112" s="220">
        <f t="shared" ca="1" si="685"/>
        <v>-1762.096592936</v>
      </c>
      <c r="CN112" s="220">
        <f t="shared" ca="1" si="685"/>
        <v>-1762.096592936</v>
      </c>
      <c r="CO112" s="220">
        <f t="shared" ca="1" si="685"/>
        <v>-1762.096592936</v>
      </c>
      <c r="CP112" s="220">
        <f t="shared" ca="1" si="685"/>
        <v>-1762.096592936</v>
      </c>
      <c r="CQ112" s="220">
        <f t="shared" ca="1" si="685"/>
        <v>-1762.096592936</v>
      </c>
      <c r="CR112" s="220">
        <f t="shared" ca="1" si="685"/>
        <v>-1762.096592936</v>
      </c>
      <c r="CS112" s="220">
        <f t="shared" ca="1" si="685"/>
        <v>-1762.096592936</v>
      </c>
      <c r="CT112" s="220">
        <f t="shared" ref="CT112:DC113" ca="1" si="686">($E112="Total Potential Income")*-$F112*CT$111+($E112="Total Rental Income")*-$F112*CT$103+($E112="Gross Rent")*-$F112*CT$99</f>
        <v>-1762.096592936</v>
      </c>
      <c r="CU112" s="220">
        <f t="shared" ca="1" si="686"/>
        <v>-1762.096592936</v>
      </c>
      <c r="CV112" s="220">
        <f t="shared" ca="1" si="686"/>
        <v>-1762.096592936</v>
      </c>
      <c r="CW112" s="220">
        <f t="shared" ca="1" si="686"/>
        <v>-1775.3123173830199</v>
      </c>
      <c r="CX112" s="220">
        <f t="shared" ca="1" si="686"/>
        <v>-1795.1359040535499</v>
      </c>
      <c r="CY112" s="220">
        <f t="shared" ca="1" si="686"/>
        <v>-1814.9594907240801</v>
      </c>
      <c r="CZ112" s="220">
        <f t="shared" ca="1" si="686"/>
        <v>-1814.9594907240801</v>
      </c>
      <c r="DA112" s="220">
        <f t="shared" ca="1" si="686"/>
        <v>-1814.9594907240801</v>
      </c>
      <c r="DB112" s="220">
        <f t="shared" ca="1" si="686"/>
        <v>-1814.9594907240801</v>
      </c>
      <c r="DC112" s="220">
        <f t="shared" ca="1" si="686"/>
        <v>-1814.9594907240801</v>
      </c>
      <c r="DD112" s="220">
        <f t="shared" ref="DD112:DM113" ca="1" si="687">($E112="Total Potential Income")*-$F112*DD$111+($E112="Total Rental Income")*-$F112*DD$103+($E112="Gross Rent")*-$F112*DD$99</f>
        <v>-1814.9594907240801</v>
      </c>
      <c r="DE112" s="220">
        <f t="shared" ca="1" si="687"/>
        <v>-1814.9594907240801</v>
      </c>
      <c r="DF112" s="220">
        <f t="shared" ca="1" si="687"/>
        <v>-1814.9594907240801</v>
      </c>
      <c r="DG112" s="220">
        <f t="shared" ca="1" si="687"/>
        <v>-1814.9594907240801</v>
      </c>
      <c r="DH112" s="220">
        <f t="shared" ca="1" si="687"/>
        <v>-1814.9594907240801</v>
      </c>
      <c r="DI112" s="220">
        <f t="shared" ca="1" si="687"/>
        <v>-1828.5716869045109</v>
      </c>
      <c r="DJ112" s="220">
        <f t="shared" ca="1" si="687"/>
        <v>-1848.9899811751566</v>
      </c>
      <c r="DK112" s="220">
        <f t="shared" ca="1" si="687"/>
        <v>-1869.4082754458025</v>
      </c>
      <c r="DL112" s="220">
        <f t="shared" ca="1" si="687"/>
        <v>-1869.4082754458025</v>
      </c>
      <c r="DM112" s="220">
        <f t="shared" ca="1" si="687"/>
        <v>-1869.4082754458025</v>
      </c>
      <c r="DN112" s="220">
        <f t="shared" ref="DN112:DW113" ca="1" si="688">($E112="Total Potential Income")*-$F112*DN$111+($E112="Total Rental Income")*-$F112*DN$103+($E112="Gross Rent")*-$F112*DN$99</f>
        <v>-1869.4082754458025</v>
      </c>
      <c r="DO112" s="220">
        <f t="shared" ca="1" si="688"/>
        <v>-1869.4082754458025</v>
      </c>
      <c r="DP112" s="220">
        <f t="shared" ca="1" si="688"/>
        <v>-1869.4082754458025</v>
      </c>
      <c r="DQ112" s="220">
        <f t="shared" ca="1" si="688"/>
        <v>-1869.4082754458025</v>
      </c>
      <c r="DR112" s="220">
        <f t="shared" ca="1" si="688"/>
        <v>-1869.4082754458025</v>
      </c>
      <c r="DS112" s="220">
        <f t="shared" ca="1" si="688"/>
        <v>-1869.4082754458025</v>
      </c>
      <c r="DT112" s="220">
        <f t="shared" ca="1" si="688"/>
        <v>-1869.4082754458025</v>
      </c>
      <c r="DU112" s="220">
        <f t="shared" ca="1" si="688"/>
        <v>-1883.4288375116464</v>
      </c>
      <c r="DV112" s="220">
        <f t="shared" ca="1" si="688"/>
        <v>-1904.4596806104109</v>
      </c>
      <c r="DW112" s="220">
        <f t="shared" ca="1" si="688"/>
        <v>-1925.4905237091764</v>
      </c>
      <c r="DX112" s="220">
        <f t="shared" ref="DX112:EG113" ca="1" si="689">($E112="Total Potential Income")*-$F112*DX$111+($E112="Total Rental Income")*-$F112*DX$103+($E112="Gross Rent")*-$F112*DX$99</f>
        <v>-1925.4905237091764</v>
      </c>
      <c r="DY112" s="220">
        <f t="shared" ca="1" si="689"/>
        <v>-1925.4905237091764</v>
      </c>
      <c r="DZ112" s="220">
        <f t="shared" ca="1" si="689"/>
        <v>-1925.4905237091764</v>
      </c>
      <c r="EA112" s="220">
        <f t="shared" ca="1" si="689"/>
        <v>-1925.4905237091764</v>
      </c>
      <c r="EB112" s="220">
        <f t="shared" ca="1" si="689"/>
        <v>-1925.4905237091764</v>
      </c>
      <c r="EC112" s="220">
        <f t="shared" ca="1" si="689"/>
        <v>-1925.4905237091764</v>
      </c>
      <c r="ED112" s="220">
        <f t="shared" ca="1" si="689"/>
        <v>-1925.4905237091764</v>
      </c>
      <c r="EE112" s="220">
        <f t="shared" ca="1" si="689"/>
        <v>-1925.4905237091764</v>
      </c>
      <c r="EF112" s="220">
        <f t="shared" ca="1" si="689"/>
        <v>-1925.4905237091764</v>
      </c>
      <c r="EG112" s="220">
        <f t="shared" ca="1" si="689"/>
        <v>-1939.9317026369947</v>
      </c>
      <c r="EH112" s="220">
        <f t="shared" ref="EH112:ES113" ca="1" si="690">($E112="Total Potential Income")*-$F112*EH$111+($E112="Total Rental Income")*-$F112*EH$103+($E112="Gross Rent")*-$F112*EH$99</f>
        <v>-1961.5934710287236</v>
      </c>
      <c r="EI112" s="220">
        <f t="shared" ca="1" si="690"/>
        <v>-1983.2552394204515</v>
      </c>
      <c r="EJ112" s="220">
        <f t="shared" ca="1" si="690"/>
        <v>-1983.2552394204515</v>
      </c>
      <c r="EK112" s="220">
        <f t="shared" ca="1" si="690"/>
        <v>-1983.2552394204515</v>
      </c>
      <c r="EL112" s="220">
        <f t="shared" ca="1" si="690"/>
        <v>-1983.2552394204515</v>
      </c>
      <c r="EM112" s="220">
        <f t="shared" ca="1" si="690"/>
        <v>-1983.2552394204515</v>
      </c>
      <c r="EN112" s="220">
        <f t="shared" ca="1" si="690"/>
        <v>-1983.2552394204515</v>
      </c>
      <c r="EO112" s="220">
        <f t="shared" ca="1" si="690"/>
        <v>-1983.2552394204515</v>
      </c>
      <c r="EP112" s="220">
        <f t="shared" ca="1" si="690"/>
        <v>-1983.2552394204515</v>
      </c>
      <c r="EQ112" s="220">
        <f t="shared" ca="1" si="690"/>
        <v>-1983.2552394204515</v>
      </c>
      <c r="ER112" s="220">
        <f t="shared" ca="1" si="690"/>
        <v>-1983.2552394204515</v>
      </c>
      <c r="ES112" s="220">
        <f t="shared" ca="1" si="690"/>
        <v>-1998.1296537161049</v>
      </c>
      <c r="EU112" s="153"/>
      <c r="EV112" s="153"/>
    </row>
    <row r="113" spans="1:289" ht="16.5" x14ac:dyDescent="0.35">
      <c r="B113" s="336" t="str">
        <f>IF(Retail_Income_Include?=1,"- Credit Loss (Excluding Retail Income)","- Credit Loss")</f>
        <v>- Credit Loss</v>
      </c>
      <c r="C113" s="196"/>
      <c r="D113" s="286"/>
      <c r="E113" s="235" t="str">
        <f>E112</f>
        <v>Total Potential Income</v>
      </c>
      <c r="F113" s="286">
        <v>0</v>
      </c>
      <c r="G113" s="350">
        <f>I113/(Units_SF_M2)/12</f>
        <v>0</v>
      </c>
      <c r="H113" s="341">
        <f>I113/Units/12</f>
        <v>0</v>
      </c>
      <c r="I113" s="341">
        <f>($E113="Total Potential Income")*-$F113*I$111+($E113="Total Rental Income")*-$F113*I$103+($E113="Gross Rent")*-$F113*I$99</f>
        <v>0</v>
      </c>
      <c r="R113" s="255">
        <f t="shared" ca="1" si="678"/>
        <v>0</v>
      </c>
      <c r="S113" s="255">
        <f t="shared" ca="1" si="678"/>
        <v>0</v>
      </c>
      <c r="T113" s="255">
        <f t="shared" ca="1" si="678"/>
        <v>0</v>
      </c>
      <c r="U113" s="255">
        <f t="shared" ca="1" si="678"/>
        <v>0</v>
      </c>
      <c r="V113" s="255">
        <f t="shared" ca="1" si="678"/>
        <v>0</v>
      </c>
      <c r="W113" s="255">
        <f t="shared" ca="1" si="678"/>
        <v>0</v>
      </c>
      <c r="X113" s="255">
        <f t="shared" ca="1" si="678"/>
        <v>0</v>
      </c>
      <c r="Y113" s="255">
        <f t="shared" ca="1" si="678"/>
        <v>0</v>
      </c>
      <c r="Z113" s="255">
        <f t="shared" ca="1" si="678"/>
        <v>0</v>
      </c>
      <c r="AA113" s="255">
        <f t="shared" ca="1" si="678"/>
        <v>0</v>
      </c>
      <c r="AB113" s="255">
        <f t="shared" ca="1" si="679"/>
        <v>0</v>
      </c>
      <c r="AC113" s="255">
        <f t="shared" ca="1" si="679"/>
        <v>0</v>
      </c>
      <c r="AD113" s="255">
        <f t="shared" ca="1" si="679"/>
        <v>0</v>
      </c>
      <c r="AE113" s="255">
        <f t="shared" ca="1" si="679"/>
        <v>0</v>
      </c>
      <c r="AF113" s="255">
        <f t="shared" ca="1" si="679"/>
        <v>0</v>
      </c>
      <c r="AG113" s="255">
        <f t="shared" ca="1" si="679"/>
        <v>0</v>
      </c>
      <c r="AH113" s="255">
        <f t="shared" ca="1" si="679"/>
        <v>0</v>
      </c>
      <c r="AI113" s="255">
        <f t="shared" ca="1" si="679"/>
        <v>0</v>
      </c>
      <c r="AJ113" s="255">
        <f t="shared" ca="1" si="679"/>
        <v>0</v>
      </c>
      <c r="AK113" s="255">
        <f t="shared" ca="1" si="679"/>
        <v>0</v>
      </c>
      <c r="AL113" s="255">
        <f t="shared" ca="1" si="680"/>
        <v>0</v>
      </c>
      <c r="AM113" s="255">
        <f t="shared" ca="1" si="680"/>
        <v>0</v>
      </c>
      <c r="AN113" s="255">
        <f t="shared" ca="1" si="680"/>
        <v>0</v>
      </c>
      <c r="AO113" s="255">
        <f t="shared" ca="1" si="680"/>
        <v>0</v>
      </c>
      <c r="AP113" s="255">
        <f t="shared" ca="1" si="680"/>
        <v>0</v>
      </c>
      <c r="AQ113" s="255">
        <f t="shared" ca="1" si="680"/>
        <v>0</v>
      </c>
      <c r="AR113" s="255">
        <f t="shared" ca="1" si="680"/>
        <v>0</v>
      </c>
      <c r="AS113" s="255">
        <f t="shared" ca="1" si="680"/>
        <v>0</v>
      </c>
      <c r="AT113" s="255">
        <f t="shared" ca="1" si="680"/>
        <v>0</v>
      </c>
      <c r="AU113" s="255">
        <f t="shared" ca="1" si="680"/>
        <v>0</v>
      </c>
      <c r="AV113" s="255">
        <f t="shared" ca="1" si="681"/>
        <v>0</v>
      </c>
      <c r="AW113" s="255">
        <f t="shared" ca="1" si="681"/>
        <v>0</v>
      </c>
      <c r="AX113" s="255">
        <f t="shared" ca="1" si="681"/>
        <v>0</v>
      </c>
      <c r="AY113" s="255">
        <f t="shared" ca="1" si="681"/>
        <v>0</v>
      </c>
      <c r="AZ113" s="255">
        <f t="shared" ca="1" si="681"/>
        <v>0</v>
      </c>
      <c r="BA113" s="255">
        <f t="shared" ca="1" si="681"/>
        <v>0</v>
      </c>
      <c r="BB113" s="255">
        <f t="shared" ca="1" si="681"/>
        <v>0</v>
      </c>
      <c r="BC113" s="255">
        <f t="shared" ca="1" si="681"/>
        <v>0</v>
      </c>
      <c r="BD113" s="255">
        <f t="shared" ca="1" si="681"/>
        <v>0</v>
      </c>
      <c r="BE113" s="255">
        <f t="shared" ca="1" si="681"/>
        <v>0</v>
      </c>
      <c r="BF113" s="255">
        <f t="shared" ca="1" si="682"/>
        <v>0</v>
      </c>
      <c r="BG113" s="255">
        <f t="shared" ca="1" si="682"/>
        <v>0</v>
      </c>
      <c r="BH113" s="255">
        <f t="shared" ca="1" si="682"/>
        <v>0</v>
      </c>
      <c r="BI113" s="255">
        <f t="shared" ca="1" si="682"/>
        <v>0</v>
      </c>
      <c r="BJ113" s="255">
        <f t="shared" ca="1" si="682"/>
        <v>0</v>
      </c>
      <c r="BK113" s="255">
        <f t="shared" ca="1" si="682"/>
        <v>0</v>
      </c>
      <c r="BL113" s="255">
        <f t="shared" ca="1" si="682"/>
        <v>0</v>
      </c>
      <c r="BM113" s="255">
        <f t="shared" ca="1" si="682"/>
        <v>0</v>
      </c>
      <c r="BN113" s="255">
        <f t="shared" ca="1" si="682"/>
        <v>0</v>
      </c>
      <c r="BO113" s="255">
        <f t="shared" ca="1" si="682"/>
        <v>0</v>
      </c>
      <c r="BP113" s="255">
        <f t="shared" ca="1" si="683"/>
        <v>0</v>
      </c>
      <c r="BQ113" s="255">
        <f t="shared" ca="1" si="683"/>
        <v>0</v>
      </c>
      <c r="BR113" s="255">
        <f t="shared" ca="1" si="683"/>
        <v>0</v>
      </c>
      <c r="BS113" s="255">
        <f t="shared" ca="1" si="683"/>
        <v>0</v>
      </c>
      <c r="BT113" s="255">
        <f t="shared" ca="1" si="683"/>
        <v>0</v>
      </c>
      <c r="BU113" s="255">
        <f t="shared" ca="1" si="683"/>
        <v>0</v>
      </c>
      <c r="BV113" s="255">
        <f t="shared" ca="1" si="683"/>
        <v>0</v>
      </c>
      <c r="BW113" s="255">
        <f t="shared" ca="1" si="683"/>
        <v>0</v>
      </c>
      <c r="BX113" s="255">
        <f t="shared" ca="1" si="683"/>
        <v>0</v>
      </c>
      <c r="BY113" s="255">
        <f t="shared" ca="1" si="683"/>
        <v>0</v>
      </c>
      <c r="BZ113" s="255">
        <f t="shared" ca="1" si="684"/>
        <v>0</v>
      </c>
      <c r="CA113" s="255">
        <f t="shared" ca="1" si="684"/>
        <v>0</v>
      </c>
      <c r="CB113" s="255">
        <f t="shared" ca="1" si="684"/>
        <v>0</v>
      </c>
      <c r="CC113" s="255">
        <f t="shared" ca="1" si="684"/>
        <v>0</v>
      </c>
      <c r="CD113" s="255">
        <f t="shared" ca="1" si="684"/>
        <v>0</v>
      </c>
      <c r="CE113" s="255">
        <f t="shared" ca="1" si="684"/>
        <v>0</v>
      </c>
      <c r="CF113" s="255">
        <f t="shared" ca="1" si="684"/>
        <v>0</v>
      </c>
      <c r="CG113" s="255">
        <f t="shared" ca="1" si="684"/>
        <v>0</v>
      </c>
      <c r="CH113" s="255">
        <f t="shared" ca="1" si="684"/>
        <v>0</v>
      </c>
      <c r="CI113" s="255">
        <f t="shared" ca="1" si="684"/>
        <v>0</v>
      </c>
      <c r="CJ113" s="255">
        <f t="shared" ca="1" si="685"/>
        <v>0</v>
      </c>
      <c r="CK113" s="255">
        <f t="shared" ca="1" si="685"/>
        <v>0</v>
      </c>
      <c r="CL113" s="255">
        <f t="shared" ca="1" si="685"/>
        <v>0</v>
      </c>
      <c r="CM113" s="255">
        <f t="shared" ca="1" si="685"/>
        <v>0</v>
      </c>
      <c r="CN113" s="255">
        <f t="shared" ca="1" si="685"/>
        <v>0</v>
      </c>
      <c r="CO113" s="255">
        <f t="shared" ca="1" si="685"/>
        <v>0</v>
      </c>
      <c r="CP113" s="255">
        <f t="shared" ca="1" si="685"/>
        <v>0</v>
      </c>
      <c r="CQ113" s="255">
        <f t="shared" ca="1" si="685"/>
        <v>0</v>
      </c>
      <c r="CR113" s="255">
        <f t="shared" ca="1" si="685"/>
        <v>0</v>
      </c>
      <c r="CS113" s="255">
        <f t="shared" ca="1" si="685"/>
        <v>0</v>
      </c>
      <c r="CT113" s="255">
        <f t="shared" ca="1" si="686"/>
        <v>0</v>
      </c>
      <c r="CU113" s="255">
        <f t="shared" ca="1" si="686"/>
        <v>0</v>
      </c>
      <c r="CV113" s="255">
        <f t="shared" ca="1" si="686"/>
        <v>0</v>
      </c>
      <c r="CW113" s="255">
        <f t="shared" ca="1" si="686"/>
        <v>0</v>
      </c>
      <c r="CX113" s="255">
        <f t="shared" ca="1" si="686"/>
        <v>0</v>
      </c>
      <c r="CY113" s="255">
        <f t="shared" ca="1" si="686"/>
        <v>0</v>
      </c>
      <c r="CZ113" s="255">
        <f t="shared" ca="1" si="686"/>
        <v>0</v>
      </c>
      <c r="DA113" s="255">
        <f t="shared" ca="1" si="686"/>
        <v>0</v>
      </c>
      <c r="DB113" s="255">
        <f t="shared" ca="1" si="686"/>
        <v>0</v>
      </c>
      <c r="DC113" s="255">
        <f t="shared" ca="1" si="686"/>
        <v>0</v>
      </c>
      <c r="DD113" s="255">
        <f t="shared" ca="1" si="687"/>
        <v>0</v>
      </c>
      <c r="DE113" s="255">
        <f t="shared" ca="1" si="687"/>
        <v>0</v>
      </c>
      <c r="DF113" s="255">
        <f t="shared" ca="1" si="687"/>
        <v>0</v>
      </c>
      <c r="DG113" s="255">
        <f t="shared" ca="1" si="687"/>
        <v>0</v>
      </c>
      <c r="DH113" s="255">
        <f t="shared" ca="1" si="687"/>
        <v>0</v>
      </c>
      <c r="DI113" s="255">
        <f t="shared" ca="1" si="687"/>
        <v>0</v>
      </c>
      <c r="DJ113" s="255">
        <f t="shared" ca="1" si="687"/>
        <v>0</v>
      </c>
      <c r="DK113" s="255">
        <f t="shared" ca="1" si="687"/>
        <v>0</v>
      </c>
      <c r="DL113" s="255">
        <f t="shared" ca="1" si="687"/>
        <v>0</v>
      </c>
      <c r="DM113" s="255">
        <f t="shared" ca="1" si="687"/>
        <v>0</v>
      </c>
      <c r="DN113" s="255">
        <f t="shared" ca="1" si="688"/>
        <v>0</v>
      </c>
      <c r="DO113" s="255">
        <f t="shared" ca="1" si="688"/>
        <v>0</v>
      </c>
      <c r="DP113" s="255">
        <f t="shared" ca="1" si="688"/>
        <v>0</v>
      </c>
      <c r="DQ113" s="255">
        <f t="shared" ca="1" si="688"/>
        <v>0</v>
      </c>
      <c r="DR113" s="255">
        <f t="shared" ca="1" si="688"/>
        <v>0</v>
      </c>
      <c r="DS113" s="255">
        <f t="shared" ca="1" si="688"/>
        <v>0</v>
      </c>
      <c r="DT113" s="255">
        <f t="shared" ca="1" si="688"/>
        <v>0</v>
      </c>
      <c r="DU113" s="255">
        <f t="shared" ca="1" si="688"/>
        <v>0</v>
      </c>
      <c r="DV113" s="255">
        <f t="shared" ca="1" si="688"/>
        <v>0</v>
      </c>
      <c r="DW113" s="255">
        <f t="shared" ca="1" si="688"/>
        <v>0</v>
      </c>
      <c r="DX113" s="255">
        <f t="shared" ca="1" si="689"/>
        <v>0</v>
      </c>
      <c r="DY113" s="255">
        <f t="shared" ca="1" si="689"/>
        <v>0</v>
      </c>
      <c r="DZ113" s="255">
        <f t="shared" ca="1" si="689"/>
        <v>0</v>
      </c>
      <c r="EA113" s="255">
        <f t="shared" ca="1" si="689"/>
        <v>0</v>
      </c>
      <c r="EB113" s="255">
        <f t="shared" ca="1" si="689"/>
        <v>0</v>
      </c>
      <c r="EC113" s="255">
        <f t="shared" ca="1" si="689"/>
        <v>0</v>
      </c>
      <c r="ED113" s="255">
        <f t="shared" ca="1" si="689"/>
        <v>0</v>
      </c>
      <c r="EE113" s="255">
        <f t="shared" ca="1" si="689"/>
        <v>0</v>
      </c>
      <c r="EF113" s="255">
        <f t="shared" ca="1" si="689"/>
        <v>0</v>
      </c>
      <c r="EG113" s="255">
        <f t="shared" ca="1" si="689"/>
        <v>0</v>
      </c>
      <c r="EH113" s="255">
        <f t="shared" ca="1" si="690"/>
        <v>0</v>
      </c>
      <c r="EI113" s="255">
        <f t="shared" ca="1" si="690"/>
        <v>0</v>
      </c>
      <c r="EJ113" s="255">
        <f t="shared" ca="1" si="690"/>
        <v>0</v>
      </c>
      <c r="EK113" s="255">
        <f t="shared" ca="1" si="690"/>
        <v>0</v>
      </c>
      <c r="EL113" s="255">
        <f t="shared" ca="1" si="690"/>
        <v>0</v>
      </c>
      <c r="EM113" s="255">
        <f t="shared" ca="1" si="690"/>
        <v>0</v>
      </c>
      <c r="EN113" s="255">
        <f t="shared" ca="1" si="690"/>
        <v>0</v>
      </c>
      <c r="EO113" s="255">
        <f t="shared" ca="1" si="690"/>
        <v>0</v>
      </c>
      <c r="EP113" s="255">
        <f t="shared" ca="1" si="690"/>
        <v>0</v>
      </c>
      <c r="EQ113" s="255">
        <f t="shared" ca="1" si="690"/>
        <v>0</v>
      </c>
      <c r="ER113" s="255">
        <f t="shared" ca="1" si="690"/>
        <v>0</v>
      </c>
      <c r="ES113" s="255">
        <f t="shared" ca="1" si="690"/>
        <v>0</v>
      </c>
      <c r="EU113" s="153"/>
      <c r="EV113" s="153"/>
    </row>
    <row r="114" spans="1:289" x14ac:dyDescent="0.25">
      <c r="B114" s="180" t="s">
        <v>136</v>
      </c>
      <c r="C114" s="196"/>
      <c r="D114" s="196"/>
      <c r="E114" s="196"/>
      <c r="F114" s="217"/>
      <c r="G114" s="347">
        <f>SUM(G111:G113)</f>
        <v>1.7722140402552773</v>
      </c>
      <c r="H114" s="218">
        <f>SUM(H111:H113)</f>
        <v>1805</v>
      </c>
      <c r="I114" s="218">
        <f>SUM(I111:I113)</f>
        <v>346560</v>
      </c>
      <c r="P114" s="152" t="s">
        <v>449</v>
      </c>
      <c r="R114" s="220">
        <f ca="1">SUM(R111:R113)</f>
        <v>0</v>
      </c>
      <c r="S114" s="220">
        <f t="shared" ref="S114:CD114" ca="1" si="691">SUM(S111:S113)</f>
        <v>0</v>
      </c>
      <c r="T114" s="220">
        <f t="shared" ca="1" si="691"/>
        <v>0</v>
      </c>
      <c r="U114" s="220">
        <f t="shared" ca="1" si="691"/>
        <v>0</v>
      </c>
      <c r="V114" s="220">
        <f t="shared" ca="1" si="691"/>
        <v>0</v>
      </c>
      <c r="W114" s="220">
        <f t="shared" ca="1" si="691"/>
        <v>0</v>
      </c>
      <c r="X114" s="220">
        <f t="shared" ca="1" si="691"/>
        <v>0</v>
      </c>
      <c r="Y114" s="220">
        <f t="shared" ca="1" si="691"/>
        <v>0</v>
      </c>
      <c r="Z114" s="220">
        <f t="shared" ca="1" si="691"/>
        <v>0</v>
      </c>
      <c r="AA114" s="220">
        <f t="shared" ca="1" si="691"/>
        <v>0</v>
      </c>
      <c r="AB114" s="220">
        <f t="shared" ca="1" si="691"/>
        <v>0</v>
      </c>
      <c r="AC114" s="220">
        <f t="shared" ca="1" si="691"/>
        <v>7220</v>
      </c>
      <c r="AD114" s="220">
        <f t="shared" ca="1" si="691"/>
        <v>18050</v>
      </c>
      <c r="AE114" s="220">
        <f t="shared" ca="1" si="691"/>
        <v>28880</v>
      </c>
      <c r="AF114" s="220">
        <f t="shared" ca="1" si="691"/>
        <v>28880</v>
      </c>
      <c r="AG114" s="220">
        <f t="shared" ca="1" si="691"/>
        <v>28880</v>
      </c>
      <c r="AH114" s="220">
        <f t="shared" ca="1" si="691"/>
        <v>28880</v>
      </c>
      <c r="AI114" s="220">
        <f t="shared" ca="1" si="691"/>
        <v>28880</v>
      </c>
      <c r="AJ114" s="220">
        <f t="shared" ca="1" si="691"/>
        <v>28880</v>
      </c>
      <c r="AK114" s="220">
        <f t="shared" ca="1" si="691"/>
        <v>28880</v>
      </c>
      <c r="AL114" s="220">
        <f t="shared" ca="1" si="691"/>
        <v>28880</v>
      </c>
      <c r="AM114" s="220">
        <f t="shared" ca="1" si="691"/>
        <v>28880</v>
      </c>
      <c r="AN114" s="220">
        <f t="shared" ca="1" si="691"/>
        <v>28880</v>
      </c>
      <c r="AO114" s="220">
        <f t="shared" ca="1" si="691"/>
        <v>29096.6</v>
      </c>
      <c r="AP114" s="220">
        <f t="shared" ca="1" si="691"/>
        <v>29421.5</v>
      </c>
      <c r="AQ114" s="220">
        <f t="shared" ca="1" si="691"/>
        <v>29746.400000000001</v>
      </c>
      <c r="AR114" s="220">
        <f t="shared" ca="1" si="691"/>
        <v>29746.400000000001</v>
      </c>
      <c r="AS114" s="220">
        <f t="shared" ca="1" si="691"/>
        <v>29746.400000000001</v>
      </c>
      <c r="AT114" s="220">
        <f t="shared" ca="1" si="691"/>
        <v>29746.400000000001</v>
      </c>
      <c r="AU114" s="220">
        <f t="shared" ca="1" si="691"/>
        <v>29746.400000000001</v>
      </c>
      <c r="AV114" s="220">
        <f t="shared" ca="1" si="691"/>
        <v>29746.400000000001</v>
      </c>
      <c r="AW114" s="220">
        <f t="shared" ca="1" si="691"/>
        <v>29746.400000000001</v>
      </c>
      <c r="AX114" s="220">
        <f t="shared" ca="1" si="691"/>
        <v>29746.400000000001</v>
      </c>
      <c r="AY114" s="220">
        <f t="shared" ca="1" si="691"/>
        <v>29746.400000000001</v>
      </c>
      <c r="AZ114" s="220">
        <f t="shared" ca="1" si="691"/>
        <v>29746.400000000001</v>
      </c>
      <c r="BA114" s="220">
        <f t="shared" ca="1" si="691"/>
        <v>29969.498</v>
      </c>
      <c r="BB114" s="220">
        <f t="shared" ca="1" si="691"/>
        <v>30304.144999999997</v>
      </c>
      <c r="BC114" s="220">
        <f t="shared" ca="1" si="691"/>
        <v>30638.792000000001</v>
      </c>
      <c r="BD114" s="220">
        <f t="shared" ca="1" si="691"/>
        <v>30638.792000000001</v>
      </c>
      <c r="BE114" s="220">
        <f t="shared" ca="1" si="691"/>
        <v>30638.792000000001</v>
      </c>
      <c r="BF114" s="220">
        <f t="shared" ca="1" si="691"/>
        <v>30638.792000000001</v>
      </c>
      <c r="BG114" s="220">
        <f t="shared" ca="1" si="691"/>
        <v>30638.792000000001</v>
      </c>
      <c r="BH114" s="220">
        <f t="shared" ca="1" si="691"/>
        <v>30638.792000000001</v>
      </c>
      <c r="BI114" s="220">
        <f t="shared" ca="1" si="691"/>
        <v>30638.792000000001</v>
      </c>
      <c r="BJ114" s="220">
        <f t="shared" ca="1" si="691"/>
        <v>30638.792000000001</v>
      </c>
      <c r="BK114" s="220">
        <f t="shared" ca="1" si="691"/>
        <v>30638.792000000001</v>
      </c>
      <c r="BL114" s="220">
        <f t="shared" ca="1" si="691"/>
        <v>30638.792000000001</v>
      </c>
      <c r="BM114" s="220">
        <f t="shared" ca="1" si="691"/>
        <v>30868.582940000004</v>
      </c>
      <c r="BN114" s="220">
        <f t="shared" ca="1" si="691"/>
        <v>31213.269350000002</v>
      </c>
      <c r="BO114" s="220">
        <f t="shared" ca="1" si="691"/>
        <v>31557.955760000004</v>
      </c>
      <c r="BP114" s="220">
        <f t="shared" ca="1" si="691"/>
        <v>31557.955760000004</v>
      </c>
      <c r="BQ114" s="220">
        <f t="shared" ca="1" si="691"/>
        <v>31557.955760000004</v>
      </c>
      <c r="BR114" s="220">
        <f t="shared" ca="1" si="691"/>
        <v>31557.955760000004</v>
      </c>
      <c r="BS114" s="220">
        <f t="shared" ca="1" si="691"/>
        <v>31557.955760000004</v>
      </c>
      <c r="BT114" s="220">
        <f t="shared" ca="1" si="691"/>
        <v>31557.955760000004</v>
      </c>
      <c r="BU114" s="220">
        <f t="shared" ca="1" si="691"/>
        <v>31557.955760000004</v>
      </c>
      <c r="BV114" s="220">
        <f t="shared" ca="1" si="691"/>
        <v>31557.955760000004</v>
      </c>
      <c r="BW114" s="220">
        <f t="shared" ca="1" si="691"/>
        <v>31557.955760000004</v>
      </c>
      <c r="BX114" s="220">
        <f t="shared" ca="1" si="691"/>
        <v>31557.955760000004</v>
      </c>
      <c r="BY114" s="220">
        <f t="shared" ca="1" si="691"/>
        <v>31794.640428199993</v>
      </c>
      <c r="BZ114" s="220">
        <f t="shared" ca="1" si="691"/>
        <v>32149.667430499998</v>
      </c>
      <c r="CA114" s="220">
        <f t="shared" ca="1" si="691"/>
        <v>32504.694432799999</v>
      </c>
      <c r="CB114" s="220">
        <f t="shared" ca="1" si="691"/>
        <v>32504.694432799999</v>
      </c>
      <c r="CC114" s="220">
        <f t="shared" ca="1" si="691"/>
        <v>32504.694432799999</v>
      </c>
      <c r="CD114" s="220">
        <f t="shared" ca="1" si="691"/>
        <v>32504.694432799999</v>
      </c>
      <c r="CE114" s="220">
        <f t="shared" ref="CE114:EP114" ca="1" si="692">SUM(CE111:CE113)</f>
        <v>32504.694432799999</v>
      </c>
      <c r="CF114" s="220">
        <f t="shared" ca="1" si="692"/>
        <v>32504.694432799999</v>
      </c>
      <c r="CG114" s="220">
        <f t="shared" ca="1" si="692"/>
        <v>32504.694432799999</v>
      </c>
      <c r="CH114" s="220">
        <f t="shared" ca="1" si="692"/>
        <v>32504.694432799999</v>
      </c>
      <c r="CI114" s="220">
        <f t="shared" ca="1" si="692"/>
        <v>32504.694432799999</v>
      </c>
      <c r="CJ114" s="220">
        <f t="shared" ca="1" si="692"/>
        <v>32504.694432799999</v>
      </c>
      <c r="CK114" s="220">
        <f t="shared" ca="1" si="692"/>
        <v>32748.479641046</v>
      </c>
      <c r="CL114" s="220">
        <f t="shared" ca="1" si="692"/>
        <v>33114.157453414999</v>
      </c>
      <c r="CM114" s="220">
        <f t="shared" ca="1" si="692"/>
        <v>33479.835265783993</v>
      </c>
      <c r="CN114" s="220">
        <f t="shared" ca="1" si="692"/>
        <v>33479.835265783993</v>
      </c>
      <c r="CO114" s="220">
        <f t="shared" ca="1" si="692"/>
        <v>33479.835265783993</v>
      </c>
      <c r="CP114" s="220">
        <f t="shared" ca="1" si="692"/>
        <v>33479.835265783993</v>
      </c>
      <c r="CQ114" s="220">
        <f t="shared" ca="1" si="692"/>
        <v>33479.835265783993</v>
      </c>
      <c r="CR114" s="220">
        <f t="shared" ca="1" si="692"/>
        <v>33479.835265783993</v>
      </c>
      <c r="CS114" s="220">
        <f t="shared" ca="1" si="692"/>
        <v>33479.835265783993</v>
      </c>
      <c r="CT114" s="220">
        <f t="shared" ca="1" si="692"/>
        <v>33479.835265783993</v>
      </c>
      <c r="CU114" s="220">
        <f t="shared" ca="1" si="692"/>
        <v>33479.835265783993</v>
      </c>
      <c r="CV114" s="220">
        <f t="shared" ca="1" si="692"/>
        <v>33479.835265783993</v>
      </c>
      <c r="CW114" s="220">
        <f t="shared" ca="1" si="692"/>
        <v>33730.934030277378</v>
      </c>
      <c r="CX114" s="220">
        <f t="shared" ca="1" si="692"/>
        <v>34107.582177017452</v>
      </c>
      <c r="CY114" s="220">
        <f t="shared" ca="1" si="692"/>
        <v>34484.230323757518</v>
      </c>
      <c r="CZ114" s="220">
        <f t="shared" ca="1" si="692"/>
        <v>34484.230323757518</v>
      </c>
      <c r="DA114" s="220">
        <f t="shared" ca="1" si="692"/>
        <v>34484.230323757518</v>
      </c>
      <c r="DB114" s="220">
        <f t="shared" ca="1" si="692"/>
        <v>34484.230323757518</v>
      </c>
      <c r="DC114" s="220">
        <f t="shared" ca="1" si="692"/>
        <v>34484.230323757518</v>
      </c>
      <c r="DD114" s="220">
        <f t="shared" ca="1" si="692"/>
        <v>34484.230323757518</v>
      </c>
      <c r="DE114" s="220">
        <f t="shared" ca="1" si="692"/>
        <v>34484.230323757518</v>
      </c>
      <c r="DF114" s="220">
        <f t="shared" ca="1" si="692"/>
        <v>34484.230323757518</v>
      </c>
      <c r="DG114" s="220">
        <f t="shared" ca="1" si="692"/>
        <v>34484.230323757518</v>
      </c>
      <c r="DH114" s="220">
        <f t="shared" ca="1" si="692"/>
        <v>34484.230323757518</v>
      </c>
      <c r="DI114" s="220">
        <f t="shared" ca="1" si="692"/>
        <v>34742.862051185701</v>
      </c>
      <c r="DJ114" s="220">
        <f t="shared" ca="1" si="692"/>
        <v>35130.809642327979</v>
      </c>
      <c r="DK114" s="220">
        <f t="shared" ca="1" si="692"/>
        <v>35518.757233470249</v>
      </c>
      <c r="DL114" s="220">
        <f t="shared" ca="1" si="692"/>
        <v>35518.757233470249</v>
      </c>
      <c r="DM114" s="220">
        <f t="shared" ca="1" si="692"/>
        <v>35518.757233470249</v>
      </c>
      <c r="DN114" s="220">
        <f t="shared" ca="1" si="692"/>
        <v>35518.757233470249</v>
      </c>
      <c r="DO114" s="220">
        <f t="shared" ca="1" si="692"/>
        <v>35518.757233470249</v>
      </c>
      <c r="DP114" s="220">
        <f t="shared" ca="1" si="692"/>
        <v>35518.757233470249</v>
      </c>
      <c r="DQ114" s="220">
        <f t="shared" ca="1" si="692"/>
        <v>35518.757233470249</v>
      </c>
      <c r="DR114" s="220">
        <f t="shared" ca="1" si="692"/>
        <v>35518.757233470249</v>
      </c>
      <c r="DS114" s="220">
        <f t="shared" ca="1" si="692"/>
        <v>35518.757233470249</v>
      </c>
      <c r="DT114" s="220">
        <f t="shared" ca="1" si="692"/>
        <v>35518.757233470249</v>
      </c>
      <c r="DU114" s="220">
        <f t="shared" ca="1" si="692"/>
        <v>35785.147912721281</v>
      </c>
      <c r="DV114" s="220">
        <f t="shared" ca="1" si="692"/>
        <v>36184.73393159781</v>
      </c>
      <c r="DW114" s="220">
        <f t="shared" ca="1" si="692"/>
        <v>36584.319950474353</v>
      </c>
      <c r="DX114" s="220">
        <f t="shared" ca="1" si="692"/>
        <v>36584.319950474353</v>
      </c>
      <c r="DY114" s="220">
        <f t="shared" ca="1" si="692"/>
        <v>36584.319950474353</v>
      </c>
      <c r="DZ114" s="220">
        <f t="shared" ca="1" si="692"/>
        <v>36584.319950474353</v>
      </c>
      <c r="EA114" s="220">
        <f t="shared" ca="1" si="692"/>
        <v>36584.319950474353</v>
      </c>
      <c r="EB114" s="220">
        <f t="shared" ca="1" si="692"/>
        <v>36584.319950474353</v>
      </c>
      <c r="EC114" s="220">
        <f t="shared" ca="1" si="692"/>
        <v>36584.319950474353</v>
      </c>
      <c r="ED114" s="220">
        <f t="shared" ca="1" si="692"/>
        <v>36584.319950474353</v>
      </c>
      <c r="EE114" s="220">
        <f t="shared" ca="1" si="692"/>
        <v>36584.319950474353</v>
      </c>
      <c r="EF114" s="220">
        <f t="shared" ca="1" si="692"/>
        <v>36584.319950474353</v>
      </c>
      <c r="EG114" s="220">
        <f t="shared" ca="1" si="692"/>
        <v>36858.702350102896</v>
      </c>
      <c r="EH114" s="220">
        <f t="shared" ca="1" si="692"/>
        <v>37270.275949545743</v>
      </c>
      <c r="EI114" s="220">
        <f t="shared" ca="1" si="692"/>
        <v>37681.849548988575</v>
      </c>
      <c r="EJ114" s="220">
        <f t="shared" ca="1" si="692"/>
        <v>37681.849548988575</v>
      </c>
      <c r="EK114" s="220">
        <f t="shared" ca="1" si="692"/>
        <v>37681.849548988575</v>
      </c>
      <c r="EL114" s="220">
        <f t="shared" ca="1" si="692"/>
        <v>37681.849548988575</v>
      </c>
      <c r="EM114" s="220">
        <f t="shared" ca="1" si="692"/>
        <v>37681.849548988575</v>
      </c>
      <c r="EN114" s="220">
        <f t="shared" ca="1" si="692"/>
        <v>37681.849548988575</v>
      </c>
      <c r="EO114" s="220">
        <f t="shared" ca="1" si="692"/>
        <v>37681.849548988575</v>
      </c>
      <c r="EP114" s="220">
        <f t="shared" ca="1" si="692"/>
        <v>37681.849548988575</v>
      </c>
      <c r="EQ114" s="220">
        <f t="shared" ref="EQ114:ES114" ca="1" si="693">SUM(EQ111:EQ113)</f>
        <v>37681.849548988575</v>
      </c>
      <c r="ER114" s="220">
        <f t="shared" ca="1" si="693"/>
        <v>37681.849548988575</v>
      </c>
      <c r="ES114" s="220">
        <f t="shared" ca="1" si="693"/>
        <v>37964.463420605993</v>
      </c>
      <c r="EU114" s="153"/>
      <c r="EV114" s="153"/>
    </row>
    <row r="115" spans="1:289" ht="4.9000000000000004" customHeight="1" x14ac:dyDescent="0.25">
      <c r="B115" s="180"/>
      <c r="C115" s="196"/>
      <c r="D115" s="196"/>
      <c r="E115" s="196"/>
      <c r="F115" s="196"/>
      <c r="G115" s="196"/>
      <c r="H115" s="196"/>
      <c r="I115" s="218"/>
      <c r="EU115" s="153"/>
      <c r="EV115" s="153"/>
      <c r="EW115" s="153"/>
      <c r="EX115" s="153"/>
      <c r="EY115" s="153"/>
      <c r="EZ115" s="154"/>
      <c r="FA115" s="153"/>
      <c r="FB115" s="153"/>
      <c r="FC115" s="153"/>
      <c r="FD115" s="153"/>
      <c r="FE115" s="153"/>
      <c r="FF115" s="153"/>
      <c r="FG115" s="153"/>
      <c r="FH115" s="153"/>
      <c r="FI115" s="153"/>
      <c r="FJ115" s="153"/>
      <c r="FK115" s="153"/>
      <c r="FL115" s="153"/>
      <c r="FM115" s="153"/>
      <c r="FN115" s="153"/>
      <c r="FO115" s="153"/>
      <c r="FP115" s="153"/>
      <c r="FQ115" s="153"/>
      <c r="FR115" s="153"/>
      <c r="FS115" s="153"/>
      <c r="FT115" s="153"/>
      <c r="FU115" s="153"/>
      <c r="FV115" s="153"/>
      <c r="FW115" s="153"/>
      <c r="FX115" s="153"/>
      <c r="FY115" s="153"/>
      <c r="FZ115" s="153"/>
      <c r="GA115" s="153"/>
      <c r="GB115" s="153"/>
      <c r="GC115" s="153"/>
      <c r="GD115" s="153"/>
      <c r="GE115" s="153"/>
      <c r="GF115" s="153"/>
      <c r="GG115" s="153"/>
      <c r="GH115" s="153"/>
      <c r="GI115" s="153"/>
      <c r="GJ115" s="153"/>
      <c r="GK115" s="153"/>
      <c r="GL115" s="153"/>
      <c r="GM115" s="153"/>
      <c r="GN115" s="153"/>
      <c r="GO115" s="153"/>
      <c r="GP115" s="153"/>
      <c r="GQ115" s="153"/>
      <c r="GR115" s="153"/>
      <c r="GS115" s="153"/>
      <c r="GT115" s="153"/>
      <c r="GU115" s="153"/>
      <c r="GV115" s="153"/>
      <c r="GW115" s="153"/>
      <c r="GX115" s="153"/>
      <c r="GY115" s="153"/>
      <c r="GZ115" s="153"/>
      <c r="HA115" s="153"/>
      <c r="HB115" s="153"/>
      <c r="HC115" s="153"/>
      <c r="HD115" s="153"/>
      <c r="HE115" s="153"/>
      <c r="HF115" s="153"/>
      <c r="HG115" s="153"/>
      <c r="HH115" s="153"/>
      <c r="HI115" s="153"/>
      <c r="HJ115" s="153"/>
      <c r="HK115" s="153"/>
      <c r="HL115" s="153"/>
      <c r="HM115" s="153"/>
      <c r="HN115" s="153"/>
      <c r="HO115" s="153"/>
      <c r="HP115" s="153"/>
      <c r="HQ115" s="153"/>
      <c r="HR115" s="153"/>
      <c r="HS115" s="153"/>
      <c r="HT115" s="153"/>
      <c r="HU115" s="153"/>
      <c r="HV115" s="153"/>
      <c r="HW115" s="153"/>
      <c r="HX115" s="153"/>
      <c r="HY115" s="153"/>
      <c r="HZ115" s="153"/>
      <c r="IA115" s="153"/>
      <c r="IB115" s="153"/>
      <c r="IC115" s="153"/>
      <c r="ID115" s="153"/>
      <c r="IE115" s="153"/>
      <c r="IF115" s="153"/>
      <c r="IG115" s="153"/>
      <c r="IH115" s="153"/>
      <c r="II115" s="153"/>
      <c r="IJ115" s="153"/>
      <c r="IK115" s="153"/>
      <c r="IL115" s="153"/>
      <c r="IM115" s="153"/>
      <c r="IN115" s="153"/>
      <c r="IO115" s="153"/>
      <c r="IP115" s="153"/>
      <c r="IQ115" s="153"/>
      <c r="IR115" s="153"/>
      <c r="IS115" s="153"/>
      <c r="IT115" s="153"/>
      <c r="IU115" s="153"/>
      <c r="IV115" s="153"/>
      <c r="IW115" s="153"/>
      <c r="IX115" s="153"/>
      <c r="IY115" s="153"/>
      <c r="IZ115" s="153"/>
      <c r="JA115" s="153"/>
      <c r="JB115" s="153"/>
      <c r="JC115" s="153"/>
      <c r="JD115" s="153"/>
      <c r="JE115" s="153"/>
      <c r="JF115" s="153"/>
      <c r="JG115" s="153"/>
      <c r="JH115" s="153"/>
      <c r="JI115" s="153"/>
      <c r="JJ115" s="153"/>
      <c r="JK115" s="153"/>
      <c r="JL115" s="153"/>
      <c r="JM115" s="153"/>
      <c r="JN115" s="153"/>
      <c r="JO115" s="153"/>
      <c r="JP115" s="153"/>
      <c r="JQ115" s="153"/>
      <c r="JR115" s="153"/>
      <c r="JS115" s="153"/>
      <c r="JT115" s="153"/>
      <c r="JU115" s="153"/>
      <c r="JV115" s="153"/>
      <c r="JW115" s="153"/>
      <c r="JX115" s="153"/>
      <c r="JY115" s="153"/>
      <c r="JZ115" s="153"/>
      <c r="KA115" s="153"/>
      <c r="KB115" s="153"/>
      <c r="KC115" s="153"/>
    </row>
    <row r="116" spans="1:289" x14ac:dyDescent="0.25">
      <c r="B116" s="369" t="s">
        <v>141</v>
      </c>
      <c r="C116" s="563"/>
      <c r="D116" s="563"/>
      <c r="E116" s="563"/>
      <c r="F116" s="563"/>
      <c r="G116" s="563"/>
      <c r="H116" s="563"/>
      <c r="I116" s="370" t="str">
        <f>IF(OpEx_Underwriting_Type=1,"BASIC EXPENSE UNDERWRITING","DETAILED EXPENSE UNDERWRITING")</f>
        <v>BASIC EXPENSE UNDERWRITING</v>
      </c>
      <c r="EU116" s="153"/>
      <c r="EV116" s="153"/>
      <c r="EW116" s="153"/>
      <c r="EX116" s="153"/>
      <c r="EY116" s="153"/>
      <c r="EZ116" s="154" t="s">
        <v>483</v>
      </c>
      <c r="FA116" s="162"/>
      <c r="FB116" s="316">
        <f>ROUNDUP(FB117/12,0)</f>
        <v>1</v>
      </c>
      <c r="FC116" s="316">
        <f t="shared" ref="FC116:HN116" si="694">ROUNDUP(FC117/12,0)</f>
        <v>1</v>
      </c>
      <c r="FD116" s="316">
        <f t="shared" si="694"/>
        <v>1</v>
      </c>
      <c r="FE116" s="316">
        <f t="shared" si="694"/>
        <v>1</v>
      </c>
      <c r="FF116" s="316">
        <f t="shared" si="694"/>
        <v>1</v>
      </c>
      <c r="FG116" s="316">
        <f t="shared" si="694"/>
        <v>1</v>
      </c>
      <c r="FH116" s="316">
        <f t="shared" si="694"/>
        <v>1</v>
      </c>
      <c r="FI116" s="316">
        <f t="shared" si="694"/>
        <v>1</v>
      </c>
      <c r="FJ116" s="316">
        <f t="shared" si="694"/>
        <v>1</v>
      </c>
      <c r="FK116" s="316">
        <f t="shared" si="694"/>
        <v>1</v>
      </c>
      <c r="FL116" s="316">
        <f t="shared" si="694"/>
        <v>1</v>
      </c>
      <c r="FM116" s="316">
        <f t="shared" si="694"/>
        <v>1</v>
      </c>
      <c r="FN116" s="316">
        <f t="shared" si="694"/>
        <v>1</v>
      </c>
      <c r="FO116" s="316">
        <f t="shared" si="694"/>
        <v>1</v>
      </c>
      <c r="FP116" s="316">
        <f t="shared" si="694"/>
        <v>1</v>
      </c>
      <c r="FQ116" s="316">
        <f t="shared" si="694"/>
        <v>1</v>
      </c>
      <c r="FR116" s="316">
        <f t="shared" si="694"/>
        <v>1</v>
      </c>
      <c r="FS116" s="316">
        <f t="shared" si="694"/>
        <v>1</v>
      </c>
      <c r="FT116" s="316">
        <f t="shared" si="694"/>
        <v>1</v>
      </c>
      <c r="FU116" s="316">
        <f t="shared" si="694"/>
        <v>1</v>
      </c>
      <c r="FV116" s="316">
        <f t="shared" si="694"/>
        <v>1</v>
      </c>
      <c r="FW116" s="316">
        <f t="shared" si="694"/>
        <v>1</v>
      </c>
      <c r="FX116" s="316">
        <f t="shared" si="694"/>
        <v>1</v>
      </c>
      <c r="FY116" s="316">
        <f t="shared" si="694"/>
        <v>2</v>
      </c>
      <c r="FZ116" s="316">
        <f t="shared" si="694"/>
        <v>2</v>
      </c>
      <c r="GA116" s="316">
        <f t="shared" si="694"/>
        <v>2</v>
      </c>
      <c r="GB116" s="316">
        <f t="shared" si="694"/>
        <v>2</v>
      </c>
      <c r="GC116" s="316">
        <f t="shared" si="694"/>
        <v>2</v>
      </c>
      <c r="GD116" s="316">
        <f t="shared" si="694"/>
        <v>2</v>
      </c>
      <c r="GE116" s="316">
        <f t="shared" si="694"/>
        <v>2</v>
      </c>
      <c r="GF116" s="316">
        <f t="shared" si="694"/>
        <v>2</v>
      </c>
      <c r="GG116" s="316">
        <f t="shared" si="694"/>
        <v>2</v>
      </c>
      <c r="GH116" s="316">
        <f t="shared" si="694"/>
        <v>2</v>
      </c>
      <c r="GI116" s="316">
        <f t="shared" si="694"/>
        <v>2</v>
      </c>
      <c r="GJ116" s="316">
        <f t="shared" si="694"/>
        <v>2</v>
      </c>
      <c r="GK116" s="316">
        <f t="shared" si="694"/>
        <v>3</v>
      </c>
      <c r="GL116" s="316">
        <f t="shared" si="694"/>
        <v>3</v>
      </c>
      <c r="GM116" s="316">
        <f t="shared" si="694"/>
        <v>3</v>
      </c>
      <c r="GN116" s="316">
        <f t="shared" si="694"/>
        <v>3</v>
      </c>
      <c r="GO116" s="316">
        <f t="shared" si="694"/>
        <v>3</v>
      </c>
      <c r="GP116" s="316">
        <f t="shared" si="694"/>
        <v>3</v>
      </c>
      <c r="GQ116" s="316">
        <f t="shared" si="694"/>
        <v>3</v>
      </c>
      <c r="GR116" s="316">
        <f t="shared" si="694"/>
        <v>3</v>
      </c>
      <c r="GS116" s="316">
        <f t="shared" si="694"/>
        <v>3</v>
      </c>
      <c r="GT116" s="316">
        <f t="shared" si="694"/>
        <v>3</v>
      </c>
      <c r="GU116" s="316">
        <f t="shared" si="694"/>
        <v>3</v>
      </c>
      <c r="GV116" s="316">
        <f t="shared" si="694"/>
        <v>3</v>
      </c>
      <c r="GW116" s="316">
        <f t="shared" si="694"/>
        <v>4</v>
      </c>
      <c r="GX116" s="316">
        <f t="shared" si="694"/>
        <v>4</v>
      </c>
      <c r="GY116" s="316">
        <f t="shared" si="694"/>
        <v>4</v>
      </c>
      <c r="GZ116" s="316">
        <f t="shared" si="694"/>
        <v>4</v>
      </c>
      <c r="HA116" s="316">
        <f t="shared" si="694"/>
        <v>4</v>
      </c>
      <c r="HB116" s="316">
        <f t="shared" si="694"/>
        <v>4</v>
      </c>
      <c r="HC116" s="316">
        <f t="shared" si="694"/>
        <v>4</v>
      </c>
      <c r="HD116" s="316">
        <f t="shared" si="694"/>
        <v>4</v>
      </c>
      <c r="HE116" s="316">
        <f t="shared" si="694"/>
        <v>4</v>
      </c>
      <c r="HF116" s="316">
        <f t="shared" si="694"/>
        <v>4</v>
      </c>
      <c r="HG116" s="316">
        <f t="shared" si="694"/>
        <v>4</v>
      </c>
      <c r="HH116" s="316">
        <f t="shared" si="694"/>
        <v>4</v>
      </c>
      <c r="HI116" s="316">
        <f t="shared" si="694"/>
        <v>5</v>
      </c>
      <c r="HJ116" s="316">
        <f t="shared" si="694"/>
        <v>5</v>
      </c>
      <c r="HK116" s="316">
        <f t="shared" si="694"/>
        <v>5</v>
      </c>
      <c r="HL116" s="316">
        <f t="shared" si="694"/>
        <v>5</v>
      </c>
      <c r="HM116" s="316">
        <f t="shared" si="694"/>
        <v>5</v>
      </c>
      <c r="HN116" s="316">
        <f t="shared" si="694"/>
        <v>5</v>
      </c>
      <c r="HO116" s="316">
        <f t="shared" ref="HO116:JZ116" si="695">ROUNDUP(HO117/12,0)</f>
        <v>5</v>
      </c>
      <c r="HP116" s="316">
        <f t="shared" si="695"/>
        <v>5</v>
      </c>
      <c r="HQ116" s="316">
        <f t="shared" si="695"/>
        <v>5</v>
      </c>
      <c r="HR116" s="316">
        <f t="shared" si="695"/>
        <v>5</v>
      </c>
      <c r="HS116" s="316">
        <f t="shared" si="695"/>
        <v>5</v>
      </c>
      <c r="HT116" s="316">
        <f t="shared" si="695"/>
        <v>5</v>
      </c>
      <c r="HU116" s="316">
        <f t="shared" si="695"/>
        <v>6</v>
      </c>
      <c r="HV116" s="316">
        <f t="shared" si="695"/>
        <v>6</v>
      </c>
      <c r="HW116" s="316">
        <f t="shared" si="695"/>
        <v>6</v>
      </c>
      <c r="HX116" s="316">
        <f t="shared" si="695"/>
        <v>6</v>
      </c>
      <c r="HY116" s="316">
        <f t="shared" si="695"/>
        <v>6</v>
      </c>
      <c r="HZ116" s="316">
        <f t="shared" si="695"/>
        <v>6</v>
      </c>
      <c r="IA116" s="316">
        <f t="shared" si="695"/>
        <v>6</v>
      </c>
      <c r="IB116" s="316">
        <f t="shared" si="695"/>
        <v>6</v>
      </c>
      <c r="IC116" s="316">
        <f t="shared" si="695"/>
        <v>6</v>
      </c>
      <c r="ID116" s="316">
        <f t="shared" si="695"/>
        <v>6</v>
      </c>
      <c r="IE116" s="316">
        <f t="shared" si="695"/>
        <v>6</v>
      </c>
      <c r="IF116" s="316">
        <f t="shared" si="695"/>
        <v>6</v>
      </c>
      <c r="IG116" s="316">
        <f t="shared" si="695"/>
        <v>7</v>
      </c>
      <c r="IH116" s="316">
        <f t="shared" si="695"/>
        <v>7</v>
      </c>
      <c r="II116" s="316">
        <f t="shared" si="695"/>
        <v>7</v>
      </c>
      <c r="IJ116" s="316">
        <f t="shared" si="695"/>
        <v>7</v>
      </c>
      <c r="IK116" s="316">
        <f t="shared" si="695"/>
        <v>7</v>
      </c>
      <c r="IL116" s="316">
        <f t="shared" si="695"/>
        <v>7</v>
      </c>
      <c r="IM116" s="316">
        <f t="shared" si="695"/>
        <v>7</v>
      </c>
      <c r="IN116" s="316">
        <f t="shared" si="695"/>
        <v>7</v>
      </c>
      <c r="IO116" s="316">
        <f t="shared" si="695"/>
        <v>7</v>
      </c>
      <c r="IP116" s="316">
        <f t="shared" si="695"/>
        <v>7</v>
      </c>
      <c r="IQ116" s="316">
        <f t="shared" si="695"/>
        <v>7</v>
      </c>
      <c r="IR116" s="316">
        <f t="shared" si="695"/>
        <v>7</v>
      </c>
      <c r="IS116" s="316">
        <f t="shared" si="695"/>
        <v>8</v>
      </c>
      <c r="IT116" s="316">
        <f t="shared" si="695"/>
        <v>8</v>
      </c>
      <c r="IU116" s="316">
        <f t="shared" si="695"/>
        <v>8</v>
      </c>
      <c r="IV116" s="316">
        <f t="shared" si="695"/>
        <v>8</v>
      </c>
      <c r="IW116" s="316">
        <f t="shared" si="695"/>
        <v>8</v>
      </c>
      <c r="IX116" s="316">
        <f t="shared" si="695"/>
        <v>8</v>
      </c>
      <c r="IY116" s="316">
        <f t="shared" si="695"/>
        <v>8</v>
      </c>
      <c r="IZ116" s="316">
        <f t="shared" si="695"/>
        <v>8</v>
      </c>
      <c r="JA116" s="316">
        <f t="shared" si="695"/>
        <v>8</v>
      </c>
      <c r="JB116" s="316">
        <f t="shared" si="695"/>
        <v>8</v>
      </c>
      <c r="JC116" s="316">
        <f t="shared" si="695"/>
        <v>8</v>
      </c>
      <c r="JD116" s="316">
        <f t="shared" si="695"/>
        <v>8</v>
      </c>
      <c r="JE116" s="316">
        <f t="shared" si="695"/>
        <v>9</v>
      </c>
      <c r="JF116" s="316">
        <f t="shared" si="695"/>
        <v>9</v>
      </c>
      <c r="JG116" s="316">
        <f t="shared" si="695"/>
        <v>9</v>
      </c>
      <c r="JH116" s="316">
        <f t="shared" si="695"/>
        <v>9</v>
      </c>
      <c r="JI116" s="316">
        <f t="shared" si="695"/>
        <v>9</v>
      </c>
      <c r="JJ116" s="316">
        <f t="shared" si="695"/>
        <v>9</v>
      </c>
      <c r="JK116" s="316">
        <f t="shared" si="695"/>
        <v>9</v>
      </c>
      <c r="JL116" s="316">
        <f t="shared" si="695"/>
        <v>9</v>
      </c>
      <c r="JM116" s="316">
        <f t="shared" si="695"/>
        <v>9</v>
      </c>
      <c r="JN116" s="316">
        <f t="shared" si="695"/>
        <v>9</v>
      </c>
      <c r="JO116" s="316">
        <f t="shared" si="695"/>
        <v>9</v>
      </c>
      <c r="JP116" s="316">
        <f t="shared" si="695"/>
        <v>9</v>
      </c>
      <c r="JQ116" s="316">
        <f t="shared" si="695"/>
        <v>10</v>
      </c>
      <c r="JR116" s="316">
        <f t="shared" si="695"/>
        <v>10</v>
      </c>
      <c r="JS116" s="316">
        <f t="shared" si="695"/>
        <v>10</v>
      </c>
      <c r="JT116" s="316">
        <f t="shared" si="695"/>
        <v>10</v>
      </c>
      <c r="JU116" s="316">
        <f t="shared" si="695"/>
        <v>10</v>
      </c>
      <c r="JV116" s="316">
        <f t="shared" si="695"/>
        <v>10</v>
      </c>
      <c r="JW116" s="316">
        <f t="shared" si="695"/>
        <v>10</v>
      </c>
      <c r="JX116" s="316">
        <f t="shared" si="695"/>
        <v>10</v>
      </c>
      <c r="JY116" s="316">
        <f t="shared" si="695"/>
        <v>10</v>
      </c>
      <c r="JZ116" s="316">
        <f t="shared" si="695"/>
        <v>10</v>
      </c>
      <c r="KA116" s="316">
        <f>ROUNDUP(KA117/12,0)</f>
        <v>10</v>
      </c>
      <c r="KB116" s="316">
        <f>ROUNDUP(KB117/12,0)</f>
        <v>10</v>
      </c>
      <c r="KC116" s="316">
        <f>ROUNDUP(KC117/12,0)</f>
        <v>11</v>
      </c>
    </row>
    <row r="117" spans="1:289" x14ac:dyDescent="0.25">
      <c r="B117" s="180" t="s">
        <v>776</v>
      </c>
      <c r="C117" s="196"/>
      <c r="D117" s="310"/>
      <c r="E117" s="311">
        <f>Timing_Growth_Begin_Income</f>
        <v>12</v>
      </c>
      <c r="F117" s="196"/>
      <c r="G117" s="181" t="s">
        <v>144</v>
      </c>
      <c r="H117" s="181"/>
      <c r="I117" s="249">
        <v>0.5</v>
      </c>
      <c r="EU117" s="153"/>
      <c r="EV117" s="153"/>
      <c r="EW117" s="153"/>
      <c r="EX117" s="153"/>
      <c r="EY117" s="153"/>
      <c r="EZ117" s="154" t="s">
        <v>481</v>
      </c>
      <c r="FA117" s="162"/>
      <c r="FB117" s="162">
        <f t="shared" ref="FB117:GG117" si="696">MAX(FB3-Timing_Growth_Begin_Expenses+1,1)</f>
        <v>1</v>
      </c>
      <c r="FC117" s="162">
        <f t="shared" si="696"/>
        <v>1</v>
      </c>
      <c r="FD117" s="162">
        <f t="shared" si="696"/>
        <v>1</v>
      </c>
      <c r="FE117" s="162">
        <f t="shared" si="696"/>
        <v>1</v>
      </c>
      <c r="FF117" s="162">
        <f t="shared" si="696"/>
        <v>1</v>
      </c>
      <c r="FG117" s="162">
        <f t="shared" si="696"/>
        <v>1</v>
      </c>
      <c r="FH117" s="162">
        <f t="shared" si="696"/>
        <v>1</v>
      </c>
      <c r="FI117" s="162">
        <f t="shared" si="696"/>
        <v>1</v>
      </c>
      <c r="FJ117" s="162">
        <f t="shared" si="696"/>
        <v>1</v>
      </c>
      <c r="FK117" s="162">
        <f t="shared" si="696"/>
        <v>1</v>
      </c>
      <c r="FL117" s="162">
        <f t="shared" si="696"/>
        <v>1</v>
      </c>
      <c r="FM117" s="162">
        <f t="shared" si="696"/>
        <v>1</v>
      </c>
      <c r="FN117" s="162">
        <f t="shared" si="696"/>
        <v>2</v>
      </c>
      <c r="FO117" s="162">
        <f t="shared" si="696"/>
        <v>3</v>
      </c>
      <c r="FP117" s="162">
        <f t="shared" si="696"/>
        <v>4</v>
      </c>
      <c r="FQ117" s="162">
        <f t="shared" si="696"/>
        <v>5</v>
      </c>
      <c r="FR117" s="162">
        <f t="shared" si="696"/>
        <v>6</v>
      </c>
      <c r="FS117" s="162">
        <f t="shared" si="696"/>
        <v>7</v>
      </c>
      <c r="FT117" s="162">
        <f t="shared" si="696"/>
        <v>8</v>
      </c>
      <c r="FU117" s="162">
        <f t="shared" si="696"/>
        <v>9</v>
      </c>
      <c r="FV117" s="162">
        <f t="shared" si="696"/>
        <v>10</v>
      </c>
      <c r="FW117" s="162">
        <f t="shared" si="696"/>
        <v>11</v>
      </c>
      <c r="FX117" s="162">
        <f t="shared" si="696"/>
        <v>12</v>
      </c>
      <c r="FY117" s="162">
        <f t="shared" si="696"/>
        <v>13</v>
      </c>
      <c r="FZ117" s="162">
        <f t="shared" si="696"/>
        <v>14</v>
      </c>
      <c r="GA117" s="162">
        <f t="shared" si="696"/>
        <v>15</v>
      </c>
      <c r="GB117" s="162">
        <f t="shared" si="696"/>
        <v>16</v>
      </c>
      <c r="GC117" s="162">
        <f t="shared" si="696"/>
        <v>17</v>
      </c>
      <c r="GD117" s="162">
        <f t="shared" si="696"/>
        <v>18</v>
      </c>
      <c r="GE117" s="162">
        <f t="shared" si="696"/>
        <v>19</v>
      </c>
      <c r="GF117" s="162">
        <f t="shared" si="696"/>
        <v>20</v>
      </c>
      <c r="GG117" s="162">
        <f t="shared" si="696"/>
        <v>21</v>
      </c>
      <c r="GH117" s="162">
        <f t="shared" ref="GH117:HM117" si="697">MAX(GH3-Timing_Growth_Begin_Expenses+1,1)</f>
        <v>22</v>
      </c>
      <c r="GI117" s="162">
        <f t="shared" si="697"/>
        <v>23</v>
      </c>
      <c r="GJ117" s="162">
        <f t="shared" si="697"/>
        <v>24</v>
      </c>
      <c r="GK117" s="162">
        <f t="shared" si="697"/>
        <v>25</v>
      </c>
      <c r="GL117" s="162">
        <f t="shared" si="697"/>
        <v>26</v>
      </c>
      <c r="GM117" s="162">
        <f t="shared" si="697"/>
        <v>27</v>
      </c>
      <c r="GN117" s="162">
        <f t="shared" si="697"/>
        <v>28</v>
      </c>
      <c r="GO117" s="162">
        <f t="shared" si="697"/>
        <v>29</v>
      </c>
      <c r="GP117" s="162">
        <f t="shared" si="697"/>
        <v>30</v>
      </c>
      <c r="GQ117" s="162">
        <f t="shared" si="697"/>
        <v>31</v>
      </c>
      <c r="GR117" s="162">
        <f t="shared" si="697"/>
        <v>32</v>
      </c>
      <c r="GS117" s="162">
        <f t="shared" si="697"/>
        <v>33</v>
      </c>
      <c r="GT117" s="162">
        <f t="shared" si="697"/>
        <v>34</v>
      </c>
      <c r="GU117" s="162">
        <f t="shared" si="697"/>
        <v>35</v>
      </c>
      <c r="GV117" s="162">
        <f t="shared" si="697"/>
        <v>36</v>
      </c>
      <c r="GW117" s="162">
        <f t="shared" si="697"/>
        <v>37</v>
      </c>
      <c r="GX117" s="162">
        <f t="shared" si="697"/>
        <v>38</v>
      </c>
      <c r="GY117" s="162">
        <f t="shared" si="697"/>
        <v>39</v>
      </c>
      <c r="GZ117" s="162">
        <f t="shared" si="697"/>
        <v>40</v>
      </c>
      <c r="HA117" s="162">
        <f t="shared" si="697"/>
        <v>41</v>
      </c>
      <c r="HB117" s="162">
        <f t="shared" si="697"/>
        <v>42</v>
      </c>
      <c r="HC117" s="162">
        <f t="shared" si="697"/>
        <v>43</v>
      </c>
      <c r="HD117" s="162">
        <f t="shared" si="697"/>
        <v>44</v>
      </c>
      <c r="HE117" s="162">
        <f t="shared" si="697"/>
        <v>45</v>
      </c>
      <c r="HF117" s="162">
        <f t="shared" si="697"/>
        <v>46</v>
      </c>
      <c r="HG117" s="162">
        <f t="shared" si="697"/>
        <v>47</v>
      </c>
      <c r="HH117" s="162">
        <f t="shared" si="697"/>
        <v>48</v>
      </c>
      <c r="HI117" s="162">
        <f t="shared" si="697"/>
        <v>49</v>
      </c>
      <c r="HJ117" s="162">
        <f t="shared" si="697"/>
        <v>50</v>
      </c>
      <c r="HK117" s="162">
        <f t="shared" si="697"/>
        <v>51</v>
      </c>
      <c r="HL117" s="162">
        <f t="shared" si="697"/>
        <v>52</v>
      </c>
      <c r="HM117" s="162">
        <f t="shared" si="697"/>
        <v>53</v>
      </c>
      <c r="HN117" s="162">
        <f t="shared" ref="HN117:IS117" si="698">MAX(HN3-Timing_Growth_Begin_Expenses+1,1)</f>
        <v>54</v>
      </c>
      <c r="HO117" s="162">
        <f t="shared" si="698"/>
        <v>55</v>
      </c>
      <c r="HP117" s="162">
        <f t="shared" si="698"/>
        <v>56</v>
      </c>
      <c r="HQ117" s="162">
        <f t="shared" si="698"/>
        <v>57</v>
      </c>
      <c r="HR117" s="162">
        <f t="shared" si="698"/>
        <v>58</v>
      </c>
      <c r="HS117" s="162">
        <f t="shared" si="698"/>
        <v>59</v>
      </c>
      <c r="HT117" s="162">
        <f t="shared" si="698"/>
        <v>60</v>
      </c>
      <c r="HU117" s="162">
        <f t="shared" si="698"/>
        <v>61</v>
      </c>
      <c r="HV117" s="162">
        <f t="shared" si="698"/>
        <v>62</v>
      </c>
      <c r="HW117" s="162">
        <f t="shared" si="698"/>
        <v>63</v>
      </c>
      <c r="HX117" s="162">
        <f t="shared" si="698"/>
        <v>64</v>
      </c>
      <c r="HY117" s="162">
        <f t="shared" si="698"/>
        <v>65</v>
      </c>
      <c r="HZ117" s="162">
        <f t="shared" si="698"/>
        <v>66</v>
      </c>
      <c r="IA117" s="162">
        <f t="shared" si="698"/>
        <v>67</v>
      </c>
      <c r="IB117" s="162">
        <f t="shared" si="698"/>
        <v>68</v>
      </c>
      <c r="IC117" s="162">
        <f t="shared" si="698"/>
        <v>69</v>
      </c>
      <c r="ID117" s="162">
        <f t="shared" si="698"/>
        <v>70</v>
      </c>
      <c r="IE117" s="162">
        <f t="shared" si="698"/>
        <v>71</v>
      </c>
      <c r="IF117" s="162">
        <f t="shared" si="698"/>
        <v>72</v>
      </c>
      <c r="IG117" s="162">
        <f t="shared" si="698"/>
        <v>73</v>
      </c>
      <c r="IH117" s="162">
        <f t="shared" si="698"/>
        <v>74</v>
      </c>
      <c r="II117" s="162">
        <f t="shared" si="698"/>
        <v>75</v>
      </c>
      <c r="IJ117" s="162">
        <f t="shared" si="698"/>
        <v>76</v>
      </c>
      <c r="IK117" s="162">
        <f t="shared" si="698"/>
        <v>77</v>
      </c>
      <c r="IL117" s="162">
        <f t="shared" si="698"/>
        <v>78</v>
      </c>
      <c r="IM117" s="162">
        <f t="shared" si="698"/>
        <v>79</v>
      </c>
      <c r="IN117" s="162">
        <f t="shared" si="698"/>
        <v>80</v>
      </c>
      <c r="IO117" s="162">
        <f t="shared" si="698"/>
        <v>81</v>
      </c>
      <c r="IP117" s="162">
        <f t="shared" si="698"/>
        <v>82</v>
      </c>
      <c r="IQ117" s="162">
        <f t="shared" si="698"/>
        <v>83</v>
      </c>
      <c r="IR117" s="162">
        <f t="shared" si="698"/>
        <v>84</v>
      </c>
      <c r="IS117" s="162">
        <f t="shared" si="698"/>
        <v>85</v>
      </c>
      <c r="IT117" s="162">
        <f t="shared" ref="IT117:KC117" si="699">MAX(IT3-Timing_Growth_Begin_Expenses+1,1)</f>
        <v>86</v>
      </c>
      <c r="IU117" s="162">
        <f t="shared" si="699"/>
        <v>87</v>
      </c>
      <c r="IV117" s="162">
        <f t="shared" si="699"/>
        <v>88</v>
      </c>
      <c r="IW117" s="162">
        <f t="shared" si="699"/>
        <v>89</v>
      </c>
      <c r="IX117" s="162">
        <f t="shared" si="699"/>
        <v>90</v>
      </c>
      <c r="IY117" s="162">
        <f t="shared" si="699"/>
        <v>91</v>
      </c>
      <c r="IZ117" s="162">
        <f t="shared" si="699"/>
        <v>92</v>
      </c>
      <c r="JA117" s="162">
        <f t="shared" si="699"/>
        <v>93</v>
      </c>
      <c r="JB117" s="162">
        <f t="shared" si="699"/>
        <v>94</v>
      </c>
      <c r="JC117" s="162">
        <f t="shared" si="699"/>
        <v>95</v>
      </c>
      <c r="JD117" s="162">
        <f t="shared" si="699"/>
        <v>96</v>
      </c>
      <c r="JE117" s="162">
        <f t="shared" si="699"/>
        <v>97</v>
      </c>
      <c r="JF117" s="162">
        <f t="shared" si="699"/>
        <v>98</v>
      </c>
      <c r="JG117" s="162">
        <f t="shared" si="699"/>
        <v>99</v>
      </c>
      <c r="JH117" s="162">
        <f t="shared" si="699"/>
        <v>100</v>
      </c>
      <c r="JI117" s="162">
        <f t="shared" si="699"/>
        <v>101</v>
      </c>
      <c r="JJ117" s="162">
        <f t="shared" si="699"/>
        <v>102</v>
      </c>
      <c r="JK117" s="162">
        <f t="shared" si="699"/>
        <v>103</v>
      </c>
      <c r="JL117" s="162">
        <f t="shared" si="699"/>
        <v>104</v>
      </c>
      <c r="JM117" s="162">
        <f t="shared" si="699"/>
        <v>105</v>
      </c>
      <c r="JN117" s="162">
        <f t="shared" si="699"/>
        <v>106</v>
      </c>
      <c r="JO117" s="162">
        <f t="shared" si="699"/>
        <v>107</v>
      </c>
      <c r="JP117" s="162">
        <f t="shared" si="699"/>
        <v>108</v>
      </c>
      <c r="JQ117" s="162">
        <f t="shared" si="699"/>
        <v>109</v>
      </c>
      <c r="JR117" s="162">
        <f t="shared" si="699"/>
        <v>110</v>
      </c>
      <c r="JS117" s="162">
        <f t="shared" si="699"/>
        <v>111</v>
      </c>
      <c r="JT117" s="162">
        <f t="shared" si="699"/>
        <v>112</v>
      </c>
      <c r="JU117" s="162">
        <f t="shared" si="699"/>
        <v>113</v>
      </c>
      <c r="JV117" s="162">
        <f t="shared" si="699"/>
        <v>114</v>
      </c>
      <c r="JW117" s="162">
        <f t="shared" si="699"/>
        <v>115</v>
      </c>
      <c r="JX117" s="162">
        <f t="shared" si="699"/>
        <v>116</v>
      </c>
      <c r="JY117" s="162">
        <f t="shared" si="699"/>
        <v>117</v>
      </c>
      <c r="JZ117" s="162">
        <f t="shared" si="699"/>
        <v>118</v>
      </c>
      <c r="KA117" s="162">
        <f t="shared" si="699"/>
        <v>119</v>
      </c>
      <c r="KB117" s="162">
        <f t="shared" si="699"/>
        <v>120</v>
      </c>
      <c r="KC117" s="162">
        <f t="shared" si="699"/>
        <v>121</v>
      </c>
    </row>
    <row r="118" spans="1:289" x14ac:dyDescent="0.25">
      <c r="B118" s="180" t="s">
        <v>729</v>
      </c>
      <c r="C118" s="196"/>
      <c r="D118" s="196"/>
      <c r="E118" s="288" t="s">
        <v>858</v>
      </c>
      <c r="F118" s="196"/>
      <c r="G118" s="181" t="s">
        <v>145</v>
      </c>
      <c r="H118" s="196"/>
      <c r="I118" s="249">
        <v>0.75</v>
      </c>
      <c r="EU118" s="153"/>
      <c r="EV118" s="153"/>
      <c r="EW118" s="153"/>
      <c r="EX118" s="153"/>
      <c r="EY118" s="153"/>
      <c r="EZ118" s="154" t="str">
        <f>P90</f>
        <v>Leased %</v>
      </c>
      <c r="FA118" s="327"/>
      <c r="FB118" s="327">
        <f t="shared" ref="FB118:GG118" si="700">R90</f>
        <v>0</v>
      </c>
      <c r="FC118" s="327">
        <f t="shared" si="700"/>
        <v>0</v>
      </c>
      <c r="FD118" s="327">
        <f t="shared" si="700"/>
        <v>0</v>
      </c>
      <c r="FE118" s="327">
        <f t="shared" si="700"/>
        <v>0</v>
      </c>
      <c r="FF118" s="327">
        <f t="shared" si="700"/>
        <v>0</v>
      </c>
      <c r="FG118" s="327">
        <f t="shared" si="700"/>
        <v>0</v>
      </c>
      <c r="FH118" s="327">
        <f t="shared" si="700"/>
        <v>0</v>
      </c>
      <c r="FI118" s="327">
        <f t="shared" si="700"/>
        <v>0</v>
      </c>
      <c r="FJ118" s="327">
        <f t="shared" si="700"/>
        <v>0</v>
      </c>
      <c r="FK118" s="327">
        <f t="shared" si="700"/>
        <v>0</v>
      </c>
      <c r="FL118" s="327">
        <f t="shared" si="700"/>
        <v>0</v>
      </c>
      <c r="FM118" s="327">
        <f t="shared" si="700"/>
        <v>0.25</v>
      </c>
      <c r="FN118" s="327">
        <f t="shared" si="700"/>
        <v>0.625</v>
      </c>
      <c r="FO118" s="327">
        <f t="shared" si="700"/>
        <v>1</v>
      </c>
      <c r="FP118" s="327">
        <f t="shared" si="700"/>
        <v>1</v>
      </c>
      <c r="FQ118" s="327">
        <f t="shared" si="700"/>
        <v>1</v>
      </c>
      <c r="FR118" s="327">
        <f t="shared" si="700"/>
        <v>1</v>
      </c>
      <c r="FS118" s="327">
        <f t="shared" si="700"/>
        <v>1</v>
      </c>
      <c r="FT118" s="327">
        <f t="shared" si="700"/>
        <v>1</v>
      </c>
      <c r="FU118" s="327">
        <f t="shared" si="700"/>
        <v>1</v>
      </c>
      <c r="FV118" s="327">
        <f t="shared" si="700"/>
        <v>1</v>
      </c>
      <c r="FW118" s="327">
        <f t="shared" si="700"/>
        <v>1</v>
      </c>
      <c r="FX118" s="327">
        <f t="shared" si="700"/>
        <v>1</v>
      </c>
      <c r="FY118" s="327">
        <f t="shared" si="700"/>
        <v>1</v>
      </c>
      <c r="FZ118" s="327">
        <f t="shared" si="700"/>
        <v>1</v>
      </c>
      <c r="GA118" s="327">
        <f t="shared" si="700"/>
        <v>1</v>
      </c>
      <c r="GB118" s="327">
        <f t="shared" si="700"/>
        <v>1</v>
      </c>
      <c r="GC118" s="327">
        <f t="shared" si="700"/>
        <v>1</v>
      </c>
      <c r="GD118" s="327">
        <f t="shared" si="700"/>
        <v>1</v>
      </c>
      <c r="GE118" s="327">
        <f t="shared" si="700"/>
        <v>1</v>
      </c>
      <c r="GF118" s="327">
        <f t="shared" si="700"/>
        <v>1</v>
      </c>
      <c r="GG118" s="327">
        <f t="shared" si="700"/>
        <v>1</v>
      </c>
      <c r="GH118" s="327">
        <f t="shared" ref="GH118:HM118" si="701">AX90</f>
        <v>1</v>
      </c>
      <c r="GI118" s="327">
        <f t="shared" si="701"/>
        <v>1</v>
      </c>
      <c r="GJ118" s="327">
        <f t="shared" si="701"/>
        <v>1</v>
      </c>
      <c r="GK118" s="327">
        <f t="shared" si="701"/>
        <v>1</v>
      </c>
      <c r="GL118" s="327">
        <f t="shared" si="701"/>
        <v>1</v>
      </c>
      <c r="GM118" s="327">
        <f t="shared" si="701"/>
        <v>1</v>
      </c>
      <c r="GN118" s="327">
        <f t="shared" si="701"/>
        <v>1</v>
      </c>
      <c r="GO118" s="327">
        <f t="shared" si="701"/>
        <v>1</v>
      </c>
      <c r="GP118" s="327">
        <f t="shared" si="701"/>
        <v>1</v>
      </c>
      <c r="GQ118" s="327">
        <f t="shared" si="701"/>
        <v>1</v>
      </c>
      <c r="GR118" s="327">
        <f t="shared" si="701"/>
        <v>1</v>
      </c>
      <c r="GS118" s="327">
        <f t="shared" si="701"/>
        <v>1</v>
      </c>
      <c r="GT118" s="327">
        <f t="shared" si="701"/>
        <v>1</v>
      </c>
      <c r="GU118" s="327">
        <f t="shared" si="701"/>
        <v>1</v>
      </c>
      <c r="GV118" s="327">
        <f t="shared" si="701"/>
        <v>1</v>
      </c>
      <c r="GW118" s="327">
        <f t="shared" si="701"/>
        <v>1</v>
      </c>
      <c r="GX118" s="327">
        <f t="shared" si="701"/>
        <v>1</v>
      </c>
      <c r="GY118" s="327">
        <f t="shared" si="701"/>
        <v>1</v>
      </c>
      <c r="GZ118" s="327">
        <f t="shared" si="701"/>
        <v>1</v>
      </c>
      <c r="HA118" s="327">
        <f t="shared" si="701"/>
        <v>1</v>
      </c>
      <c r="HB118" s="327">
        <f t="shared" si="701"/>
        <v>1</v>
      </c>
      <c r="HC118" s="327">
        <f t="shared" si="701"/>
        <v>1</v>
      </c>
      <c r="HD118" s="327">
        <f t="shared" si="701"/>
        <v>1</v>
      </c>
      <c r="HE118" s="327">
        <f t="shared" si="701"/>
        <v>1</v>
      </c>
      <c r="HF118" s="327">
        <f t="shared" si="701"/>
        <v>1</v>
      </c>
      <c r="HG118" s="327">
        <f t="shared" si="701"/>
        <v>1</v>
      </c>
      <c r="HH118" s="327">
        <f t="shared" si="701"/>
        <v>1</v>
      </c>
      <c r="HI118" s="327">
        <f t="shared" si="701"/>
        <v>1</v>
      </c>
      <c r="HJ118" s="327">
        <f t="shared" si="701"/>
        <v>1</v>
      </c>
      <c r="HK118" s="327">
        <f t="shared" si="701"/>
        <v>1</v>
      </c>
      <c r="HL118" s="327">
        <f t="shared" si="701"/>
        <v>1</v>
      </c>
      <c r="HM118" s="327">
        <f t="shared" si="701"/>
        <v>1</v>
      </c>
      <c r="HN118" s="327">
        <f t="shared" ref="HN118:IS118" si="702">CD90</f>
        <v>1</v>
      </c>
      <c r="HO118" s="327">
        <f t="shared" si="702"/>
        <v>1</v>
      </c>
      <c r="HP118" s="327">
        <f t="shared" si="702"/>
        <v>1</v>
      </c>
      <c r="HQ118" s="327">
        <f t="shared" si="702"/>
        <v>1</v>
      </c>
      <c r="HR118" s="327">
        <f t="shared" si="702"/>
        <v>1</v>
      </c>
      <c r="HS118" s="327">
        <f t="shared" si="702"/>
        <v>1</v>
      </c>
      <c r="HT118" s="327">
        <f t="shared" si="702"/>
        <v>1</v>
      </c>
      <c r="HU118" s="327">
        <f t="shared" si="702"/>
        <v>1</v>
      </c>
      <c r="HV118" s="327">
        <f t="shared" si="702"/>
        <v>1</v>
      </c>
      <c r="HW118" s="327">
        <f t="shared" si="702"/>
        <v>1</v>
      </c>
      <c r="HX118" s="327">
        <f t="shared" si="702"/>
        <v>1</v>
      </c>
      <c r="HY118" s="327">
        <f t="shared" si="702"/>
        <v>1</v>
      </c>
      <c r="HZ118" s="327">
        <f t="shared" si="702"/>
        <v>1</v>
      </c>
      <c r="IA118" s="327">
        <f t="shared" si="702"/>
        <v>1</v>
      </c>
      <c r="IB118" s="327">
        <f t="shared" si="702"/>
        <v>1</v>
      </c>
      <c r="IC118" s="327">
        <f t="shared" si="702"/>
        <v>1</v>
      </c>
      <c r="ID118" s="327">
        <f t="shared" si="702"/>
        <v>1</v>
      </c>
      <c r="IE118" s="327">
        <f t="shared" si="702"/>
        <v>1</v>
      </c>
      <c r="IF118" s="327">
        <f t="shared" si="702"/>
        <v>1</v>
      </c>
      <c r="IG118" s="327">
        <f t="shared" si="702"/>
        <v>1</v>
      </c>
      <c r="IH118" s="327">
        <f t="shared" si="702"/>
        <v>1</v>
      </c>
      <c r="II118" s="327">
        <f t="shared" si="702"/>
        <v>1</v>
      </c>
      <c r="IJ118" s="327">
        <f t="shared" si="702"/>
        <v>1</v>
      </c>
      <c r="IK118" s="327">
        <f t="shared" si="702"/>
        <v>1</v>
      </c>
      <c r="IL118" s="327">
        <f t="shared" si="702"/>
        <v>1</v>
      </c>
      <c r="IM118" s="327">
        <f t="shared" si="702"/>
        <v>1</v>
      </c>
      <c r="IN118" s="327">
        <f t="shared" si="702"/>
        <v>1</v>
      </c>
      <c r="IO118" s="327">
        <f t="shared" si="702"/>
        <v>1</v>
      </c>
      <c r="IP118" s="327">
        <f t="shared" si="702"/>
        <v>1</v>
      </c>
      <c r="IQ118" s="327">
        <f t="shared" si="702"/>
        <v>1</v>
      </c>
      <c r="IR118" s="327">
        <f t="shared" si="702"/>
        <v>1</v>
      </c>
      <c r="IS118" s="327">
        <f t="shared" si="702"/>
        <v>1</v>
      </c>
      <c r="IT118" s="327">
        <f t="shared" ref="IT118:JY118" si="703">DJ90</f>
        <v>1</v>
      </c>
      <c r="IU118" s="327">
        <f t="shared" si="703"/>
        <v>1</v>
      </c>
      <c r="IV118" s="327">
        <f t="shared" si="703"/>
        <v>1</v>
      </c>
      <c r="IW118" s="327">
        <f t="shared" si="703"/>
        <v>1</v>
      </c>
      <c r="IX118" s="327">
        <f t="shared" si="703"/>
        <v>1</v>
      </c>
      <c r="IY118" s="327">
        <f t="shared" si="703"/>
        <v>1</v>
      </c>
      <c r="IZ118" s="327">
        <f t="shared" si="703"/>
        <v>1</v>
      </c>
      <c r="JA118" s="327">
        <f t="shared" si="703"/>
        <v>1</v>
      </c>
      <c r="JB118" s="327">
        <f t="shared" si="703"/>
        <v>1</v>
      </c>
      <c r="JC118" s="327">
        <f t="shared" si="703"/>
        <v>1</v>
      </c>
      <c r="JD118" s="327">
        <f t="shared" si="703"/>
        <v>1</v>
      </c>
      <c r="JE118" s="327">
        <f t="shared" si="703"/>
        <v>1</v>
      </c>
      <c r="JF118" s="327">
        <f t="shared" si="703"/>
        <v>1</v>
      </c>
      <c r="JG118" s="327">
        <f t="shared" si="703"/>
        <v>1</v>
      </c>
      <c r="JH118" s="327">
        <f t="shared" si="703"/>
        <v>1</v>
      </c>
      <c r="JI118" s="327">
        <f t="shared" si="703"/>
        <v>1</v>
      </c>
      <c r="JJ118" s="327">
        <f t="shared" si="703"/>
        <v>1</v>
      </c>
      <c r="JK118" s="327">
        <f t="shared" si="703"/>
        <v>1</v>
      </c>
      <c r="JL118" s="327">
        <f t="shared" si="703"/>
        <v>1</v>
      </c>
      <c r="JM118" s="327">
        <f t="shared" si="703"/>
        <v>1</v>
      </c>
      <c r="JN118" s="327">
        <f t="shared" si="703"/>
        <v>1</v>
      </c>
      <c r="JO118" s="327">
        <f t="shared" si="703"/>
        <v>1</v>
      </c>
      <c r="JP118" s="327">
        <f t="shared" si="703"/>
        <v>1</v>
      </c>
      <c r="JQ118" s="327">
        <f t="shared" si="703"/>
        <v>1</v>
      </c>
      <c r="JR118" s="327">
        <f t="shared" si="703"/>
        <v>1</v>
      </c>
      <c r="JS118" s="327">
        <f t="shared" si="703"/>
        <v>1</v>
      </c>
      <c r="JT118" s="327">
        <f t="shared" si="703"/>
        <v>1</v>
      </c>
      <c r="JU118" s="327">
        <f t="shared" si="703"/>
        <v>1</v>
      </c>
      <c r="JV118" s="327">
        <f t="shared" si="703"/>
        <v>1</v>
      </c>
      <c r="JW118" s="327">
        <f t="shared" si="703"/>
        <v>1</v>
      </c>
      <c r="JX118" s="327">
        <f t="shared" si="703"/>
        <v>1</v>
      </c>
      <c r="JY118" s="327">
        <f t="shared" si="703"/>
        <v>1</v>
      </c>
      <c r="JZ118" s="327">
        <f t="shared" ref="JZ118:KC118" si="704">EP90</f>
        <v>1</v>
      </c>
      <c r="KA118" s="327">
        <f t="shared" si="704"/>
        <v>1</v>
      </c>
      <c r="KB118" s="327">
        <f t="shared" si="704"/>
        <v>1</v>
      </c>
      <c r="KC118" s="327">
        <f t="shared" si="704"/>
        <v>1</v>
      </c>
    </row>
    <row r="119" spans="1:289" x14ac:dyDescent="0.25">
      <c r="A119" s="150">
        <v>1</v>
      </c>
      <c r="B119" s="170" t="s">
        <v>200</v>
      </c>
      <c r="C119" s="171" t="s">
        <v>199</v>
      </c>
      <c r="D119" s="196"/>
      <c r="E119" s="196"/>
      <c r="F119" s="196"/>
      <c r="G119" s="181" t="s">
        <v>146</v>
      </c>
      <c r="H119" s="196"/>
      <c r="I119" s="249">
        <v>1</v>
      </c>
      <c r="AI119" s="157"/>
      <c r="AJ119" s="220"/>
      <c r="EU119" s="153"/>
      <c r="EV119" s="153"/>
      <c r="EW119" s="153"/>
      <c r="EX119" s="153"/>
      <c r="EY119" s="153"/>
      <c r="EZ119" s="154" t="s">
        <v>91</v>
      </c>
      <c r="FA119" s="162"/>
      <c r="FB119" s="162">
        <f t="shared" ref="FB119:GG119" si="705">FB89</f>
        <v>0</v>
      </c>
      <c r="FC119" s="162">
        <f t="shared" si="705"/>
        <v>0</v>
      </c>
      <c r="FD119" s="162">
        <f t="shared" si="705"/>
        <v>0</v>
      </c>
      <c r="FE119" s="162">
        <f t="shared" si="705"/>
        <v>0</v>
      </c>
      <c r="FF119" s="162">
        <f t="shared" si="705"/>
        <v>0</v>
      </c>
      <c r="FG119" s="162">
        <f t="shared" si="705"/>
        <v>0</v>
      </c>
      <c r="FH119" s="162">
        <f t="shared" si="705"/>
        <v>0</v>
      </c>
      <c r="FI119" s="162">
        <f t="shared" si="705"/>
        <v>0</v>
      </c>
      <c r="FJ119" s="162">
        <f t="shared" si="705"/>
        <v>0</v>
      </c>
      <c r="FK119" s="162">
        <f t="shared" si="705"/>
        <v>0</v>
      </c>
      <c r="FL119" s="162">
        <f t="shared" si="705"/>
        <v>0</v>
      </c>
      <c r="FM119" s="162">
        <f t="shared" si="705"/>
        <v>1</v>
      </c>
      <c r="FN119" s="162">
        <f t="shared" si="705"/>
        <v>2</v>
      </c>
      <c r="FO119" s="162">
        <f t="shared" si="705"/>
        <v>3</v>
      </c>
      <c r="FP119" s="162">
        <f t="shared" si="705"/>
        <v>4</v>
      </c>
      <c r="FQ119" s="162">
        <f t="shared" si="705"/>
        <v>5</v>
      </c>
      <c r="FR119" s="162">
        <f t="shared" si="705"/>
        <v>6</v>
      </c>
      <c r="FS119" s="162">
        <f t="shared" si="705"/>
        <v>7</v>
      </c>
      <c r="FT119" s="162">
        <f t="shared" si="705"/>
        <v>8</v>
      </c>
      <c r="FU119" s="162">
        <f t="shared" si="705"/>
        <v>9</v>
      </c>
      <c r="FV119" s="162">
        <f t="shared" si="705"/>
        <v>10</v>
      </c>
      <c r="FW119" s="162">
        <f t="shared" si="705"/>
        <v>11</v>
      </c>
      <c r="FX119" s="162">
        <f t="shared" si="705"/>
        <v>12</v>
      </c>
      <c r="FY119" s="162">
        <f t="shared" si="705"/>
        <v>13</v>
      </c>
      <c r="FZ119" s="162">
        <f t="shared" si="705"/>
        <v>14</v>
      </c>
      <c r="GA119" s="162">
        <f t="shared" si="705"/>
        <v>15</v>
      </c>
      <c r="GB119" s="162">
        <f t="shared" si="705"/>
        <v>16</v>
      </c>
      <c r="GC119" s="162">
        <f t="shared" si="705"/>
        <v>17</v>
      </c>
      <c r="GD119" s="162">
        <f t="shared" si="705"/>
        <v>18</v>
      </c>
      <c r="GE119" s="162">
        <f t="shared" si="705"/>
        <v>19</v>
      </c>
      <c r="GF119" s="162">
        <f t="shared" si="705"/>
        <v>20</v>
      </c>
      <c r="GG119" s="162">
        <f t="shared" si="705"/>
        <v>21</v>
      </c>
      <c r="GH119" s="162">
        <f t="shared" ref="GH119:HM119" si="706">GH89</f>
        <v>22</v>
      </c>
      <c r="GI119" s="162">
        <f t="shared" si="706"/>
        <v>23</v>
      </c>
      <c r="GJ119" s="162">
        <f t="shared" si="706"/>
        <v>24</v>
      </c>
      <c r="GK119" s="162">
        <f t="shared" si="706"/>
        <v>25</v>
      </c>
      <c r="GL119" s="162">
        <f t="shared" si="706"/>
        <v>26</v>
      </c>
      <c r="GM119" s="162">
        <f t="shared" si="706"/>
        <v>27</v>
      </c>
      <c r="GN119" s="162">
        <f t="shared" si="706"/>
        <v>28</v>
      </c>
      <c r="GO119" s="162">
        <f t="shared" si="706"/>
        <v>29</v>
      </c>
      <c r="GP119" s="162">
        <f t="shared" si="706"/>
        <v>30</v>
      </c>
      <c r="GQ119" s="162">
        <f t="shared" si="706"/>
        <v>31</v>
      </c>
      <c r="GR119" s="162">
        <f t="shared" si="706"/>
        <v>32</v>
      </c>
      <c r="GS119" s="162">
        <f t="shared" si="706"/>
        <v>33</v>
      </c>
      <c r="GT119" s="162">
        <f t="shared" si="706"/>
        <v>34</v>
      </c>
      <c r="GU119" s="162">
        <f t="shared" si="706"/>
        <v>35</v>
      </c>
      <c r="GV119" s="162">
        <f t="shared" si="706"/>
        <v>36</v>
      </c>
      <c r="GW119" s="162">
        <f t="shared" si="706"/>
        <v>37</v>
      </c>
      <c r="GX119" s="162">
        <f t="shared" si="706"/>
        <v>38</v>
      </c>
      <c r="GY119" s="162">
        <f t="shared" si="706"/>
        <v>39</v>
      </c>
      <c r="GZ119" s="162">
        <f t="shared" si="706"/>
        <v>40</v>
      </c>
      <c r="HA119" s="162">
        <f t="shared" si="706"/>
        <v>41</v>
      </c>
      <c r="HB119" s="162">
        <f t="shared" si="706"/>
        <v>42</v>
      </c>
      <c r="HC119" s="162">
        <f t="shared" si="706"/>
        <v>43</v>
      </c>
      <c r="HD119" s="162">
        <f t="shared" si="706"/>
        <v>44</v>
      </c>
      <c r="HE119" s="162">
        <f t="shared" si="706"/>
        <v>45</v>
      </c>
      <c r="HF119" s="162">
        <f t="shared" si="706"/>
        <v>46</v>
      </c>
      <c r="HG119" s="162">
        <f t="shared" si="706"/>
        <v>47</v>
      </c>
      <c r="HH119" s="162">
        <f t="shared" si="706"/>
        <v>48</v>
      </c>
      <c r="HI119" s="162">
        <f t="shared" si="706"/>
        <v>49</v>
      </c>
      <c r="HJ119" s="162">
        <f t="shared" si="706"/>
        <v>50</v>
      </c>
      <c r="HK119" s="162">
        <f t="shared" si="706"/>
        <v>51</v>
      </c>
      <c r="HL119" s="162">
        <f t="shared" si="706"/>
        <v>52</v>
      </c>
      <c r="HM119" s="162">
        <f t="shared" si="706"/>
        <v>53</v>
      </c>
      <c r="HN119" s="162">
        <f t="shared" ref="HN119:IS119" si="707">HN89</f>
        <v>54</v>
      </c>
      <c r="HO119" s="162">
        <f t="shared" si="707"/>
        <v>55</v>
      </c>
      <c r="HP119" s="162">
        <f t="shared" si="707"/>
        <v>56</v>
      </c>
      <c r="HQ119" s="162">
        <f t="shared" si="707"/>
        <v>57</v>
      </c>
      <c r="HR119" s="162">
        <f t="shared" si="707"/>
        <v>58</v>
      </c>
      <c r="HS119" s="162">
        <f t="shared" si="707"/>
        <v>59</v>
      </c>
      <c r="HT119" s="162">
        <f t="shared" si="707"/>
        <v>60</v>
      </c>
      <c r="HU119" s="162">
        <f t="shared" si="707"/>
        <v>61</v>
      </c>
      <c r="HV119" s="162">
        <f t="shared" si="707"/>
        <v>62</v>
      </c>
      <c r="HW119" s="162">
        <f t="shared" si="707"/>
        <v>63</v>
      </c>
      <c r="HX119" s="162">
        <f t="shared" si="707"/>
        <v>64</v>
      </c>
      <c r="HY119" s="162">
        <f t="shared" si="707"/>
        <v>65</v>
      </c>
      <c r="HZ119" s="162">
        <f t="shared" si="707"/>
        <v>66</v>
      </c>
      <c r="IA119" s="162">
        <f t="shared" si="707"/>
        <v>67</v>
      </c>
      <c r="IB119" s="162">
        <f t="shared" si="707"/>
        <v>68</v>
      </c>
      <c r="IC119" s="162">
        <f t="shared" si="707"/>
        <v>69</v>
      </c>
      <c r="ID119" s="162">
        <f t="shared" si="707"/>
        <v>70</v>
      </c>
      <c r="IE119" s="162">
        <f t="shared" si="707"/>
        <v>71</v>
      </c>
      <c r="IF119" s="162">
        <f t="shared" si="707"/>
        <v>72</v>
      </c>
      <c r="IG119" s="162">
        <f t="shared" si="707"/>
        <v>73</v>
      </c>
      <c r="IH119" s="162">
        <f t="shared" si="707"/>
        <v>74</v>
      </c>
      <c r="II119" s="162">
        <f t="shared" si="707"/>
        <v>75</v>
      </c>
      <c r="IJ119" s="162">
        <f t="shared" si="707"/>
        <v>76</v>
      </c>
      <c r="IK119" s="162">
        <f t="shared" si="707"/>
        <v>77</v>
      </c>
      <c r="IL119" s="162">
        <f t="shared" si="707"/>
        <v>78</v>
      </c>
      <c r="IM119" s="162">
        <f t="shared" si="707"/>
        <v>79</v>
      </c>
      <c r="IN119" s="162">
        <f t="shared" si="707"/>
        <v>80</v>
      </c>
      <c r="IO119" s="162">
        <f t="shared" si="707"/>
        <v>81</v>
      </c>
      <c r="IP119" s="162">
        <f t="shared" si="707"/>
        <v>82</v>
      </c>
      <c r="IQ119" s="162">
        <f t="shared" si="707"/>
        <v>83</v>
      </c>
      <c r="IR119" s="162">
        <f t="shared" si="707"/>
        <v>84</v>
      </c>
      <c r="IS119" s="162">
        <f t="shared" si="707"/>
        <v>85</v>
      </c>
      <c r="IT119" s="162">
        <f t="shared" ref="IT119:KC119" si="708">IT89</f>
        <v>86</v>
      </c>
      <c r="IU119" s="162">
        <f t="shared" si="708"/>
        <v>87</v>
      </c>
      <c r="IV119" s="162">
        <f t="shared" si="708"/>
        <v>88</v>
      </c>
      <c r="IW119" s="162">
        <f t="shared" si="708"/>
        <v>89</v>
      </c>
      <c r="IX119" s="162">
        <f t="shared" si="708"/>
        <v>90</v>
      </c>
      <c r="IY119" s="162">
        <f t="shared" si="708"/>
        <v>91</v>
      </c>
      <c r="IZ119" s="162">
        <f t="shared" si="708"/>
        <v>92</v>
      </c>
      <c r="JA119" s="162">
        <f t="shared" si="708"/>
        <v>93</v>
      </c>
      <c r="JB119" s="162">
        <f t="shared" si="708"/>
        <v>94</v>
      </c>
      <c r="JC119" s="162">
        <f t="shared" si="708"/>
        <v>95</v>
      </c>
      <c r="JD119" s="162">
        <f t="shared" si="708"/>
        <v>96</v>
      </c>
      <c r="JE119" s="162">
        <f t="shared" si="708"/>
        <v>97</v>
      </c>
      <c r="JF119" s="162">
        <f t="shared" si="708"/>
        <v>98</v>
      </c>
      <c r="JG119" s="162">
        <f t="shared" si="708"/>
        <v>99</v>
      </c>
      <c r="JH119" s="162">
        <f t="shared" si="708"/>
        <v>100</v>
      </c>
      <c r="JI119" s="162">
        <f t="shared" si="708"/>
        <v>101</v>
      </c>
      <c r="JJ119" s="162">
        <f t="shared" si="708"/>
        <v>102</v>
      </c>
      <c r="JK119" s="162">
        <f t="shared" si="708"/>
        <v>103</v>
      </c>
      <c r="JL119" s="162">
        <f t="shared" si="708"/>
        <v>104</v>
      </c>
      <c r="JM119" s="162">
        <f t="shared" si="708"/>
        <v>105</v>
      </c>
      <c r="JN119" s="162">
        <f t="shared" si="708"/>
        <v>106</v>
      </c>
      <c r="JO119" s="162">
        <f t="shared" si="708"/>
        <v>107</v>
      </c>
      <c r="JP119" s="162">
        <f t="shared" si="708"/>
        <v>108</v>
      </c>
      <c r="JQ119" s="162">
        <f t="shared" si="708"/>
        <v>109</v>
      </c>
      <c r="JR119" s="162">
        <f t="shared" si="708"/>
        <v>110</v>
      </c>
      <c r="JS119" s="162">
        <f t="shared" si="708"/>
        <v>111</v>
      </c>
      <c r="JT119" s="162">
        <f t="shared" si="708"/>
        <v>112</v>
      </c>
      <c r="JU119" s="162">
        <f t="shared" si="708"/>
        <v>113</v>
      </c>
      <c r="JV119" s="162">
        <f t="shared" si="708"/>
        <v>114</v>
      </c>
      <c r="JW119" s="162">
        <f t="shared" si="708"/>
        <v>115</v>
      </c>
      <c r="JX119" s="162">
        <f t="shared" si="708"/>
        <v>116</v>
      </c>
      <c r="JY119" s="162">
        <f t="shared" si="708"/>
        <v>117</v>
      </c>
      <c r="JZ119" s="162">
        <f t="shared" si="708"/>
        <v>118</v>
      </c>
      <c r="KA119" s="162">
        <f t="shared" si="708"/>
        <v>119</v>
      </c>
      <c r="KB119" s="162">
        <f t="shared" si="708"/>
        <v>120</v>
      </c>
      <c r="KC119" s="162">
        <f t="shared" si="708"/>
        <v>121</v>
      </c>
    </row>
    <row r="120" spans="1:289" x14ac:dyDescent="0.25">
      <c r="B120" s="209" t="s">
        <v>125</v>
      </c>
      <c r="C120" s="196"/>
      <c r="D120" s="210" t="s">
        <v>764</v>
      </c>
      <c r="E120" s="210" t="s">
        <v>139</v>
      </c>
      <c r="F120" s="210"/>
      <c r="G120" s="210" t="s">
        <v>140</v>
      </c>
      <c r="H120" s="211" t="s">
        <v>120</v>
      </c>
      <c r="I120" s="210" t="s">
        <v>119</v>
      </c>
      <c r="P120" s="152" t="s">
        <v>448</v>
      </c>
      <c r="AI120" s="157"/>
      <c r="EU120" s="202" t="s">
        <v>125</v>
      </c>
      <c r="EV120" s="153"/>
      <c r="EW120" s="207" t="s">
        <v>143</v>
      </c>
      <c r="EX120" s="153"/>
      <c r="EY120" s="153"/>
      <c r="EZ120" s="154" t="s">
        <v>96</v>
      </c>
      <c r="FA120" s="321"/>
      <c r="FB120" s="321">
        <f t="shared" ref="FB120:GG120" si="709">FB95</f>
        <v>0</v>
      </c>
      <c r="FC120" s="321">
        <f t="shared" si="709"/>
        <v>0</v>
      </c>
      <c r="FD120" s="321">
        <f t="shared" si="709"/>
        <v>0</v>
      </c>
      <c r="FE120" s="321">
        <f t="shared" si="709"/>
        <v>0</v>
      </c>
      <c r="FF120" s="321">
        <f t="shared" si="709"/>
        <v>0</v>
      </c>
      <c r="FG120" s="321">
        <f t="shared" si="709"/>
        <v>0</v>
      </c>
      <c r="FH120" s="321">
        <f t="shared" si="709"/>
        <v>0</v>
      </c>
      <c r="FI120" s="321">
        <f t="shared" si="709"/>
        <v>0</v>
      </c>
      <c r="FJ120" s="321">
        <f t="shared" si="709"/>
        <v>0</v>
      </c>
      <c r="FK120" s="321">
        <f t="shared" si="709"/>
        <v>0</v>
      </c>
      <c r="FL120" s="321">
        <f t="shared" si="709"/>
        <v>0</v>
      </c>
      <c r="FM120" s="321">
        <f t="shared" si="709"/>
        <v>1</v>
      </c>
      <c r="FN120" s="321">
        <f t="shared" si="709"/>
        <v>1</v>
      </c>
      <c r="FO120" s="321">
        <f t="shared" si="709"/>
        <v>1</v>
      </c>
      <c r="FP120" s="321">
        <f t="shared" si="709"/>
        <v>1</v>
      </c>
      <c r="FQ120" s="321">
        <f t="shared" si="709"/>
        <v>1</v>
      </c>
      <c r="FR120" s="321">
        <f t="shared" si="709"/>
        <v>1</v>
      </c>
      <c r="FS120" s="321">
        <f t="shared" si="709"/>
        <v>1</v>
      </c>
      <c r="FT120" s="321">
        <f t="shared" si="709"/>
        <v>1</v>
      </c>
      <c r="FU120" s="321">
        <f t="shared" si="709"/>
        <v>1</v>
      </c>
      <c r="FV120" s="321">
        <f t="shared" si="709"/>
        <v>1</v>
      </c>
      <c r="FW120" s="321">
        <f t="shared" si="709"/>
        <v>1</v>
      </c>
      <c r="FX120" s="321">
        <f t="shared" si="709"/>
        <v>1</v>
      </c>
      <c r="FY120" s="321">
        <f t="shared" si="709"/>
        <v>2</v>
      </c>
      <c r="FZ120" s="321">
        <f t="shared" si="709"/>
        <v>2</v>
      </c>
      <c r="GA120" s="321">
        <f t="shared" si="709"/>
        <v>2</v>
      </c>
      <c r="GB120" s="321">
        <f t="shared" si="709"/>
        <v>2</v>
      </c>
      <c r="GC120" s="321">
        <f t="shared" si="709"/>
        <v>2</v>
      </c>
      <c r="GD120" s="321">
        <f t="shared" si="709"/>
        <v>2</v>
      </c>
      <c r="GE120" s="321">
        <f t="shared" si="709"/>
        <v>2</v>
      </c>
      <c r="GF120" s="321">
        <f t="shared" si="709"/>
        <v>2</v>
      </c>
      <c r="GG120" s="321">
        <f t="shared" si="709"/>
        <v>2</v>
      </c>
      <c r="GH120" s="321">
        <f t="shared" ref="GH120:HM120" si="710">GH95</f>
        <v>2</v>
      </c>
      <c r="GI120" s="321">
        <f t="shared" si="710"/>
        <v>2</v>
      </c>
      <c r="GJ120" s="321">
        <f t="shared" si="710"/>
        <v>2</v>
      </c>
      <c r="GK120" s="321">
        <f t="shared" si="710"/>
        <v>3</v>
      </c>
      <c r="GL120" s="321">
        <f t="shared" si="710"/>
        <v>3</v>
      </c>
      <c r="GM120" s="321">
        <f t="shared" si="710"/>
        <v>3</v>
      </c>
      <c r="GN120" s="321">
        <f t="shared" si="710"/>
        <v>3</v>
      </c>
      <c r="GO120" s="321">
        <f t="shared" si="710"/>
        <v>3</v>
      </c>
      <c r="GP120" s="321">
        <f t="shared" si="710"/>
        <v>3</v>
      </c>
      <c r="GQ120" s="321">
        <f t="shared" si="710"/>
        <v>3</v>
      </c>
      <c r="GR120" s="321">
        <f t="shared" si="710"/>
        <v>3</v>
      </c>
      <c r="GS120" s="321">
        <f t="shared" si="710"/>
        <v>3</v>
      </c>
      <c r="GT120" s="321">
        <f t="shared" si="710"/>
        <v>3</v>
      </c>
      <c r="GU120" s="321">
        <f t="shared" si="710"/>
        <v>3</v>
      </c>
      <c r="GV120" s="321">
        <f t="shared" si="710"/>
        <v>3</v>
      </c>
      <c r="GW120" s="321">
        <f t="shared" si="710"/>
        <v>4</v>
      </c>
      <c r="GX120" s="321">
        <f t="shared" si="710"/>
        <v>4</v>
      </c>
      <c r="GY120" s="321">
        <f t="shared" si="710"/>
        <v>4</v>
      </c>
      <c r="GZ120" s="321">
        <f t="shared" si="710"/>
        <v>4</v>
      </c>
      <c r="HA120" s="321">
        <f t="shared" si="710"/>
        <v>4</v>
      </c>
      <c r="HB120" s="321">
        <f t="shared" si="710"/>
        <v>4</v>
      </c>
      <c r="HC120" s="321">
        <f t="shared" si="710"/>
        <v>4</v>
      </c>
      <c r="HD120" s="321">
        <f t="shared" si="710"/>
        <v>4</v>
      </c>
      <c r="HE120" s="321">
        <f t="shared" si="710"/>
        <v>4</v>
      </c>
      <c r="HF120" s="321">
        <f t="shared" si="710"/>
        <v>4</v>
      </c>
      <c r="HG120" s="321">
        <f t="shared" si="710"/>
        <v>4</v>
      </c>
      <c r="HH120" s="321">
        <f t="shared" si="710"/>
        <v>4</v>
      </c>
      <c r="HI120" s="321">
        <f t="shared" si="710"/>
        <v>5</v>
      </c>
      <c r="HJ120" s="321">
        <f t="shared" si="710"/>
        <v>5</v>
      </c>
      <c r="HK120" s="321">
        <f t="shared" si="710"/>
        <v>5</v>
      </c>
      <c r="HL120" s="321">
        <f t="shared" si="710"/>
        <v>5</v>
      </c>
      <c r="HM120" s="321">
        <f t="shared" si="710"/>
        <v>5</v>
      </c>
      <c r="HN120" s="321">
        <f t="shared" ref="HN120:IS120" si="711">HN95</f>
        <v>5</v>
      </c>
      <c r="HO120" s="321">
        <f t="shared" si="711"/>
        <v>5</v>
      </c>
      <c r="HP120" s="321">
        <f t="shared" si="711"/>
        <v>5</v>
      </c>
      <c r="HQ120" s="321">
        <f t="shared" si="711"/>
        <v>5</v>
      </c>
      <c r="HR120" s="321">
        <f t="shared" si="711"/>
        <v>5</v>
      </c>
      <c r="HS120" s="321">
        <f t="shared" si="711"/>
        <v>5</v>
      </c>
      <c r="HT120" s="321">
        <f t="shared" si="711"/>
        <v>5</v>
      </c>
      <c r="HU120" s="321">
        <f t="shared" si="711"/>
        <v>6</v>
      </c>
      <c r="HV120" s="321">
        <f t="shared" si="711"/>
        <v>6</v>
      </c>
      <c r="HW120" s="321">
        <f t="shared" si="711"/>
        <v>6</v>
      </c>
      <c r="HX120" s="321">
        <f t="shared" si="711"/>
        <v>6</v>
      </c>
      <c r="HY120" s="321">
        <f t="shared" si="711"/>
        <v>6</v>
      </c>
      <c r="HZ120" s="321">
        <f t="shared" si="711"/>
        <v>6</v>
      </c>
      <c r="IA120" s="321">
        <f t="shared" si="711"/>
        <v>6</v>
      </c>
      <c r="IB120" s="321">
        <f t="shared" si="711"/>
        <v>6</v>
      </c>
      <c r="IC120" s="321">
        <f t="shared" si="711"/>
        <v>6</v>
      </c>
      <c r="ID120" s="321">
        <f t="shared" si="711"/>
        <v>6</v>
      </c>
      <c r="IE120" s="321">
        <f t="shared" si="711"/>
        <v>6</v>
      </c>
      <c r="IF120" s="321">
        <f t="shared" si="711"/>
        <v>6</v>
      </c>
      <c r="IG120" s="321">
        <f t="shared" si="711"/>
        <v>7</v>
      </c>
      <c r="IH120" s="321">
        <f t="shared" si="711"/>
        <v>7</v>
      </c>
      <c r="II120" s="321">
        <f t="shared" si="711"/>
        <v>7</v>
      </c>
      <c r="IJ120" s="321">
        <f t="shared" si="711"/>
        <v>7</v>
      </c>
      <c r="IK120" s="321">
        <f t="shared" si="711"/>
        <v>7</v>
      </c>
      <c r="IL120" s="321">
        <f t="shared" si="711"/>
        <v>7</v>
      </c>
      <c r="IM120" s="321">
        <f t="shared" si="711"/>
        <v>7</v>
      </c>
      <c r="IN120" s="321">
        <f t="shared" si="711"/>
        <v>7</v>
      </c>
      <c r="IO120" s="321">
        <f t="shared" si="711"/>
        <v>7</v>
      </c>
      <c r="IP120" s="321">
        <f t="shared" si="711"/>
        <v>7</v>
      </c>
      <c r="IQ120" s="321">
        <f t="shared" si="711"/>
        <v>7</v>
      </c>
      <c r="IR120" s="321">
        <f t="shared" si="711"/>
        <v>7</v>
      </c>
      <c r="IS120" s="321">
        <f t="shared" si="711"/>
        <v>8</v>
      </c>
      <c r="IT120" s="321">
        <f t="shared" ref="IT120:KC120" si="712">IT95</f>
        <v>8</v>
      </c>
      <c r="IU120" s="321">
        <f t="shared" si="712"/>
        <v>8</v>
      </c>
      <c r="IV120" s="321">
        <f t="shared" si="712"/>
        <v>8</v>
      </c>
      <c r="IW120" s="321">
        <f t="shared" si="712"/>
        <v>8</v>
      </c>
      <c r="IX120" s="321">
        <f t="shared" si="712"/>
        <v>8</v>
      </c>
      <c r="IY120" s="321">
        <f t="shared" si="712"/>
        <v>8</v>
      </c>
      <c r="IZ120" s="321">
        <f t="shared" si="712"/>
        <v>8</v>
      </c>
      <c r="JA120" s="321">
        <f t="shared" si="712"/>
        <v>8</v>
      </c>
      <c r="JB120" s="321">
        <f t="shared" si="712"/>
        <v>8</v>
      </c>
      <c r="JC120" s="321">
        <f t="shared" si="712"/>
        <v>8</v>
      </c>
      <c r="JD120" s="321">
        <f t="shared" si="712"/>
        <v>8</v>
      </c>
      <c r="JE120" s="321">
        <f t="shared" si="712"/>
        <v>9</v>
      </c>
      <c r="JF120" s="321">
        <f t="shared" si="712"/>
        <v>9</v>
      </c>
      <c r="JG120" s="321">
        <f t="shared" si="712"/>
        <v>9</v>
      </c>
      <c r="JH120" s="321">
        <f t="shared" si="712"/>
        <v>9</v>
      </c>
      <c r="JI120" s="321">
        <f t="shared" si="712"/>
        <v>9</v>
      </c>
      <c r="JJ120" s="321">
        <f t="shared" si="712"/>
        <v>9</v>
      </c>
      <c r="JK120" s="321">
        <f t="shared" si="712"/>
        <v>9</v>
      </c>
      <c r="JL120" s="321">
        <f t="shared" si="712"/>
        <v>9</v>
      </c>
      <c r="JM120" s="321">
        <f t="shared" si="712"/>
        <v>9</v>
      </c>
      <c r="JN120" s="321">
        <f t="shared" si="712"/>
        <v>9</v>
      </c>
      <c r="JO120" s="321">
        <f t="shared" si="712"/>
        <v>9</v>
      </c>
      <c r="JP120" s="321">
        <f t="shared" si="712"/>
        <v>9</v>
      </c>
      <c r="JQ120" s="321">
        <f t="shared" si="712"/>
        <v>10</v>
      </c>
      <c r="JR120" s="321">
        <f t="shared" si="712"/>
        <v>10</v>
      </c>
      <c r="JS120" s="321">
        <f t="shared" si="712"/>
        <v>10</v>
      </c>
      <c r="JT120" s="321">
        <f t="shared" si="712"/>
        <v>10</v>
      </c>
      <c r="JU120" s="321">
        <f t="shared" si="712"/>
        <v>10</v>
      </c>
      <c r="JV120" s="321">
        <f t="shared" si="712"/>
        <v>10</v>
      </c>
      <c r="JW120" s="321">
        <f t="shared" si="712"/>
        <v>10</v>
      </c>
      <c r="JX120" s="321">
        <f t="shared" si="712"/>
        <v>10</v>
      </c>
      <c r="JY120" s="321">
        <f t="shared" si="712"/>
        <v>10</v>
      </c>
      <c r="JZ120" s="321">
        <f t="shared" si="712"/>
        <v>10</v>
      </c>
      <c r="KA120" s="321">
        <f t="shared" si="712"/>
        <v>10</v>
      </c>
      <c r="KB120" s="321">
        <f t="shared" si="712"/>
        <v>10</v>
      </c>
      <c r="KC120" s="321">
        <f t="shared" si="712"/>
        <v>11</v>
      </c>
    </row>
    <row r="121" spans="1:289" x14ac:dyDescent="0.25">
      <c r="B121" s="234" t="s">
        <v>126</v>
      </c>
      <c r="C121" s="196"/>
      <c r="D121" s="310">
        <v>0.02</v>
      </c>
      <c r="E121" s="357">
        <v>0.75</v>
      </c>
      <c r="F121" s="357"/>
      <c r="G121" s="272">
        <f>I121/$I$114</f>
        <v>7.2137580794090486E-3</v>
      </c>
      <c r="H121" s="218">
        <f t="shared" ref="H121:H131" si="713">I121/Units</f>
        <v>156.25</v>
      </c>
      <c r="I121" s="219">
        <v>2500</v>
      </c>
      <c r="R121" s="220">
        <f t="shared" ref="R121:AW121" si="714">(FB121+($I121/12*R$90*(1-$E121)))*(1+$D$121)^(FB$116-1)</f>
        <v>0</v>
      </c>
      <c r="S121" s="220">
        <f t="shared" si="714"/>
        <v>0</v>
      </c>
      <c r="T121" s="220">
        <f t="shared" si="714"/>
        <v>0</v>
      </c>
      <c r="U121" s="220">
        <f t="shared" si="714"/>
        <v>0</v>
      </c>
      <c r="V121" s="220">
        <f t="shared" si="714"/>
        <v>0</v>
      </c>
      <c r="W121" s="220">
        <f t="shared" si="714"/>
        <v>0</v>
      </c>
      <c r="X121" s="220">
        <f t="shared" si="714"/>
        <v>0</v>
      </c>
      <c r="Y121" s="220">
        <f t="shared" si="714"/>
        <v>0</v>
      </c>
      <c r="Z121" s="220">
        <f t="shared" si="714"/>
        <v>0</v>
      </c>
      <c r="AA121" s="220">
        <f t="shared" si="714"/>
        <v>0</v>
      </c>
      <c r="AB121" s="220">
        <f t="shared" si="714"/>
        <v>0</v>
      </c>
      <c r="AC121" s="220">
        <f t="shared" si="714"/>
        <v>169.27083333333334</v>
      </c>
      <c r="AD121" s="220">
        <f t="shared" si="714"/>
        <v>188.80208333333334</v>
      </c>
      <c r="AE121" s="220">
        <f t="shared" si="714"/>
        <v>208.33333333333334</v>
      </c>
      <c r="AF121" s="220">
        <f t="shared" si="714"/>
        <v>208.33333333333334</v>
      </c>
      <c r="AG121" s="220">
        <f t="shared" si="714"/>
        <v>208.33333333333334</v>
      </c>
      <c r="AH121" s="220">
        <f t="shared" si="714"/>
        <v>208.33333333333334</v>
      </c>
      <c r="AI121" s="220">
        <f t="shared" si="714"/>
        <v>208.33333333333334</v>
      </c>
      <c r="AJ121" s="220">
        <f t="shared" si="714"/>
        <v>208.33333333333334</v>
      </c>
      <c r="AK121" s="220">
        <f t="shared" si="714"/>
        <v>208.33333333333334</v>
      </c>
      <c r="AL121" s="220">
        <f t="shared" si="714"/>
        <v>208.33333333333334</v>
      </c>
      <c r="AM121" s="220">
        <f t="shared" si="714"/>
        <v>208.33333333333334</v>
      </c>
      <c r="AN121" s="220">
        <f t="shared" si="714"/>
        <v>208.33333333333334</v>
      </c>
      <c r="AO121" s="220">
        <f t="shared" si="714"/>
        <v>212.5</v>
      </c>
      <c r="AP121" s="220">
        <f t="shared" si="714"/>
        <v>212.5</v>
      </c>
      <c r="AQ121" s="220">
        <f t="shared" si="714"/>
        <v>212.5</v>
      </c>
      <c r="AR121" s="220">
        <f t="shared" si="714"/>
        <v>212.5</v>
      </c>
      <c r="AS121" s="220">
        <f t="shared" si="714"/>
        <v>212.5</v>
      </c>
      <c r="AT121" s="220">
        <f t="shared" si="714"/>
        <v>212.5</v>
      </c>
      <c r="AU121" s="220">
        <f t="shared" si="714"/>
        <v>212.5</v>
      </c>
      <c r="AV121" s="220">
        <f t="shared" si="714"/>
        <v>212.5</v>
      </c>
      <c r="AW121" s="220">
        <f t="shared" si="714"/>
        <v>212.5</v>
      </c>
      <c r="AX121" s="220">
        <f t="shared" ref="AX121:CC121" si="715">(GH121+($I121/12*AX$90*(1-$E121)))*(1+$D$121)^(GH$116-1)</f>
        <v>212.5</v>
      </c>
      <c r="AY121" s="220">
        <f t="shared" si="715"/>
        <v>212.5</v>
      </c>
      <c r="AZ121" s="220">
        <f t="shared" si="715"/>
        <v>212.5</v>
      </c>
      <c r="BA121" s="220">
        <f t="shared" si="715"/>
        <v>216.75</v>
      </c>
      <c r="BB121" s="220">
        <f t="shared" si="715"/>
        <v>216.75</v>
      </c>
      <c r="BC121" s="220">
        <f t="shared" si="715"/>
        <v>216.75</v>
      </c>
      <c r="BD121" s="220">
        <f t="shared" si="715"/>
        <v>216.75</v>
      </c>
      <c r="BE121" s="220">
        <f t="shared" si="715"/>
        <v>216.75</v>
      </c>
      <c r="BF121" s="220">
        <f t="shared" si="715"/>
        <v>216.75</v>
      </c>
      <c r="BG121" s="220">
        <f t="shared" si="715"/>
        <v>216.75</v>
      </c>
      <c r="BH121" s="220">
        <f t="shared" si="715"/>
        <v>216.75</v>
      </c>
      <c r="BI121" s="220">
        <f t="shared" si="715"/>
        <v>216.75</v>
      </c>
      <c r="BJ121" s="220">
        <f t="shared" si="715"/>
        <v>216.75</v>
      </c>
      <c r="BK121" s="220">
        <f t="shared" si="715"/>
        <v>216.75</v>
      </c>
      <c r="BL121" s="220">
        <f t="shared" si="715"/>
        <v>216.75</v>
      </c>
      <c r="BM121" s="220">
        <f t="shared" si="715"/>
        <v>221.08500000000001</v>
      </c>
      <c r="BN121" s="220">
        <f t="shared" si="715"/>
        <v>221.08500000000001</v>
      </c>
      <c r="BO121" s="220">
        <f t="shared" si="715"/>
        <v>221.08500000000001</v>
      </c>
      <c r="BP121" s="220">
        <f t="shared" si="715"/>
        <v>221.08500000000001</v>
      </c>
      <c r="BQ121" s="220">
        <f t="shared" si="715"/>
        <v>221.08500000000001</v>
      </c>
      <c r="BR121" s="220">
        <f t="shared" si="715"/>
        <v>221.08500000000001</v>
      </c>
      <c r="BS121" s="220">
        <f t="shared" si="715"/>
        <v>221.08500000000001</v>
      </c>
      <c r="BT121" s="220">
        <f t="shared" si="715"/>
        <v>221.08500000000001</v>
      </c>
      <c r="BU121" s="220">
        <f t="shared" si="715"/>
        <v>221.08500000000001</v>
      </c>
      <c r="BV121" s="220">
        <f t="shared" si="715"/>
        <v>221.08500000000001</v>
      </c>
      <c r="BW121" s="220">
        <f t="shared" si="715"/>
        <v>221.08500000000001</v>
      </c>
      <c r="BX121" s="220">
        <f t="shared" si="715"/>
        <v>221.08500000000001</v>
      </c>
      <c r="BY121" s="220">
        <f t="shared" si="715"/>
        <v>225.5067</v>
      </c>
      <c r="BZ121" s="220">
        <f t="shared" si="715"/>
        <v>225.5067</v>
      </c>
      <c r="CA121" s="220">
        <f t="shared" si="715"/>
        <v>225.5067</v>
      </c>
      <c r="CB121" s="220">
        <f t="shared" si="715"/>
        <v>225.5067</v>
      </c>
      <c r="CC121" s="220">
        <f t="shared" si="715"/>
        <v>225.5067</v>
      </c>
      <c r="CD121" s="220">
        <f t="shared" ref="CD121:DI121" si="716">(HN121+($I121/12*CD$90*(1-$E121)))*(1+$D$121)^(HN$116-1)</f>
        <v>225.5067</v>
      </c>
      <c r="CE121" s="220">
        <f t="shared" si="716"/>
        <v>225.5067</v>
      </c>
      <c r="CF121" s="220">
        <f t="shared" si="716"/>
        <v>225.5067</v>
      </c>
      <c r="CG121" s="220">
        <f t="shared" si="716"/>
        <v>225.5067</v>
      </c>
      <c r="CH121" s="220">
        <f t="shared" si="716"/>
        <v>225.5067</v>
      </c>
      <c r="CI121" s="220">
        <f t="shared" si="716"/>
        <v>225.5067</v>
      </c>
      <c r="CJ121" s="220">
        <f t="shared" si="716"/>
        <v>225.5067</v>
      </c>
      <c r="CK121" s="220">
        <f t="shared" si="716"/>
        <v>230.01683400000002</v>
      </c>
      <c r="CL121" s="220">
        <f t="shared" si="716"/>
        <v>230.01683400000002</v>
      </c>
      <c r="CM121" s="220">
        <f t="shared" si="716"/>
        <v>230.01683400000002</v>
      </c>
      <c r="CN121" s="220">
        <f t="shared" si="716"/>
        <v>230.01683400000002</v>
      </c>
      <c r="CO121" s="220">
        <f t="shared" si="716"/>
        <v>230.01683400000002</v>
      </c>
      <c r="CP121" s="220">
        <f t="shared" si="716"/>
        <v>230.01683400000002</v>
      </c>
      <c r="CQ121" s="220">
        <f t="shared" si="716"/>
        <v>230.01683400000002</v>
      </c>
      <c r="CR121" s="220">
        <f t="shared" si="716"/>
        <v>230.01683400000002</v>
      </c>
      <c r="CS121" s="220">
        <f t="shared" si="716"/>
        <v>230.01683400000002</v>
      </c>
      <c r="CT121" s="220">
        <f t="shared" si="716"/>
        <v>230.01683400000002</v>
      </c>
      <c r="CU121" s="220">
        <f t="shared" si="716"/>
        <v>230.01683400000002</v>
      </c>
      <c r="CV121" s="220">
        <f t="shared" si="716"/>
        <v>230.01683400000002</v>
      </c>
      <c r="CW121" s="220">
        <f t="shared" si="716"/>
        <v>234.61717068000002</v>
      </c>
      <c r="CX121" s="220">
        <f t="shared" si="716"/>
        <v>234.61717068000002</v>
      </c>
      <c r="CY121" s="220">
        <f t="shared" si="716"/>
        <v>234.61717068000002</v>
      </c>
      <c r="CZ121" s="220">
        <f t="shared" si="716"/>
        <v>234.61717068000002</v>
      </c>
      <c r="DA121" s="220">
        <f t="shared" si="716"/>
        <v>234.61717068000002</v>
      </c>
      <c r="DB121" s="220">
        <f t="shared" si="716"/>
        <v>234.61717068000002</v>
      </c>
      <c r="DC121" s="220">
        <f t="shared" si="716"/>
        <v>234.61717068000002</v>
      </c>
      <c r="DD121" s="220">
        <f t="shared" si="716"/>
        <v>234.61717068000002</v>
      </c>
      <c r="DE121" s="220">
        <f t="shared" si="716"/>
        <v>234.61717068000002</v>
      </c>
      <c r="DF121" s="220">
        <f t="shared" si="716"/>
        <v>234.61717068000002</v>
      </c>
      <c r="DG121" s="220">
        <f t="shared" si="716"/>
        <v>234.61717068000002</v>
      </c>
      <c r="DH121" s="220">
        <f t="shared" si="716"/>
        <v>234.61717068000002</v>
      </c>
      <c r="DI121" s="220">
        <f t="shared" si="716"/>
        <v>239.30951409359997</v>
      </c>
      <c r="DJ121" s="220">
        <f t="shared" ref="DJ121:EO121" si="717">(IT121+($I121/12*DJ$90*(1-$E121)))*(1+$D$121)^(IT$116-1)</f>
        <v>239.30951409359997</v>
      </c>
      <c r="DK121" s="220">
        <f t="shared" si="717"/>
        <v>239.30951409359997</v>
      </c>
      <c r="DL121" s="220">
        <f t="shared" si="717"/>
        <v>239.30951409359997</v>
      </c>
      <c r="DM121" s="220">
        <f t="shared" si="717"/>
        <v>239.30951409359997</v>
      </c>
      <c r="DN121" s="220">
        <f t="shared" si="717"/>
        <v>239.30951409359997</v>
      </c>
      <c r="DO121" s="220">
        <f t="shared" si="717"/>
        <v>239.30951409359997</v>
      </c>
      <c r="DP121" s="220">
        <f t="shared" si="717"/>
        <v>239.30951409359997</v>
      </c>
      <c r="DQ121" s="220">
        <f t="shared" si="717"/>
        <v>239.30951409359997</v>
      </c>
      <c r="DR121" s="220">
        <f t="shared" si="717"/>
        <v>239.30951409359997</v>
      </c>
      <c r="DS121" s="220">
        <f t="shared" si="717"/>
        <v>239.30951409359997</v>
      </c>
      <c r="DT121" s="220">
        <f t="shared" si="717"/>
        <v>239.30951409359997</v>
      </c>
      <c r="DU121" s="220">
        <f t="shared" si="717"/>
        <v>244.095704375472</v>
      </c>
      <c r="DV121" s="220">
        <f t="shared" si="717"/>
        <v>244.095704375472</v>
      </c>
      <c r="DW121" s="220">
        <f t="shared" si="717"/>
        <v>244.095704375472</v>
      </c>
      <c r="DX121" s="220">
        <f t="shared" si="717"/>
        <v>244.095704375472</v>
      </c>
      <c r="DY121" s="220">
        <f t="shared" si="717"/>
        <v>244.095704375472</v>
      </c>
      <c r="DZ121" s="220">
        <f t="shared" si="717"/>
        <v>244.095704375472</v>
      </c>
      <c r="EA121" s="220">
        <f t="shared" si="717"/>
        <v>244.095704375472</v>
      </c>
      <c r="EB121" s="220">
        <f t="shared" si="717"/>
        <v>244.095704375472</v>
      </c>
      <c r="EC121" s="220">
        <f t="shared" si="717"/>
        <v>244.095704375472</v>
      </c>
      <c r="ED121" s="220">
        <f t="shared" si="717"/>
        <v>244.095704375472</v>
      </c>
      <c r="EE121" s="220">
        <f t="shared" si="717"/>
        <v>244.095704375472</v>
      </c>
      <c r="EF121" s="220">
        <f t="shared" si="717"/>
        <v>244.095704375472</v>
      </c>
      <c r="EG121" s="220">
        <f t="shared" si="717"/>
        <v>248.97761846298144</v>
      </c>
      <c r="EH121" s="220">
        <f t="shared" si="717"/>
        <v>248.97761846298144</v>
      </c>
      <c r="EI121" s="220">
        <f t="shared" si="717"/>
        <v>248.97761846298144</v>
      </c>
      <c r="EJ121" s="220">
        <f t="shared" si="717"/>
        <v>248.97761846298144</v>
      </c>
      <c r="EK121" s="220">
        <f t="shared" si="717"/>
        <v>248.97761846298144</v>
      </c>
      <c r="EL121" s="220">
        <f t="shared" si="717"/>
        <v>248.97761846298144</v>
      </c>
      <c r="EM121" s="220">
        <f t="shared" si="717"/>
        <v>248.97761846298144</v>
      </c>
      <c r="EN121" s="220">
        <f t="shared" si="717"/>
        <v>248.97761846298144</v>
      </c>
      <c r="EO121" s="220">
        <f t="shared" si="717"/>
        <v>248.97761846298144</v>
      </c>
      <c r="EP121" s="220">
        <f t="shared" ref="EP121:ES121" si="718">(JZ121+($I121/12*EP$90*(1-$E121)))*(1+$D$121)^(JZ$116-1)</f>
        <v>248.97761846298144</v>
      </c>
      <c r="EQ121" s="220">
        <f t="shared" si="718"/>
        <v>248.97761846298144</v>
      </c>
      <c r="ER121" s="220">
        <f t="shared" si="718"/>
        <v>248.97761846298144</v>
      </c>
      <c r="ES121" s="220">
        <f t="shared" si="718"/>
        <v>253.95717083224108</v>
      </c>
      <c r="EU121" s="153" t="s">
        <v>149</v>
      </c>
      <c r="EV121" s="153"/>
      <c r="EW121" s="304">
        <f t="shared" ref="EW121:EW127" si="719">E121</f>
        <v>0.75</v>
      </c>
      <c r="EX121" s="153"/>
      <c r="EY121" s="153"/>
      <c r="EZ121" s="154"/>
      <c r="FA121" s="153" t="s">
        <v>147</v>
      </c>
      <c r="FB121" s="221">
        <f t="shared" ref="FB121:FK127" si="720">+IF(FB$3&lt;Timing_Operation_Begin_Month,0,$I121/12*$EW121)</f>
        <v>0</v>
      </c>
      <c r="FC121" s="221">
        <f t="shared" si="720"/>
        <v>0</v>
      </c>
      <c r="FD121" s="221">
        <f t="shared" si="720"/>
        <v>0</v>
      </c>
      <c r="FE121" s="221">
        <f t="shared" si="720"/>
        <v>0</v>
      </c>
      <c r="FF121" s="221">
        <f t="shared" si="720"/>
        <v>0</v>
      </c>
      <c r="FG121" s="221">
        <f t="shared" si="720"/>
        <v>0</v>
      </c>
      <c r="FH121" s="221">
        <f t="shared" si="720"/>
        <v>0</v>
      </c>
      <c r="FI121" s="221">
        <f t="shared" si="720"/>
        <v>0</v>
      </c>
      <c r="FJ121" s="221">
        <f t="shared" si="720"/>
        <v>0</v>
      </c>
      <c r="FK121" s="221">
        <f t="shared" si="720"/>
        <v>0</v>
      </c>
      <c r="FL121" s="221">
        <f t="shared" ref="FL121:FU127" si="721">+IF(FL$3&lt;Timing_Operation_Begin_Month,0,$I121/12*$EW121)</f>
        <v>0</v>
      </c>
      <c r="FM121" s="221">
        <f t="shared" si="721"/>
        <v>156.25</v>
      </c>
      <c r="FN121" s="221">
        <f t="shared" si="721"/>
        <v>156.25</v>
      </c>
      <c r="FO121" s="221">
        <f t="shared" si="721"/>
        <v>156.25</v>
      </c>
      <c r="FP121" s="221">
        <f t="shared" si="721"/>
        <v>156.25</v>
      </c>
      <c r="FQ121" s="221">
        <f t="shared" si="721"/>
        <v>156.25</v>
      </c>
      <c r="FR121" s="221">
        <f t="shared" si="721"/>
        <v>156.25</v>
      </c>
      <c r="FS121" s="221">
        <f t="shared" si="721"/>
        <v>156.25</v>
      </c>
      <c r="FT121" s="221">
        <f t="shared" si="721"/>
        <v>156.25</v>
      </c>
      <c r="FU121" s="221">
        <f t="shared" si="721"/>
        <v>156.25</v>
      </c>
      <c r="FV121" s="221">
        <f t="shared" ref="FV121:GE127" si="722">+IF(FV$3&lt;Timing_Operation_Begin_Month,0,$I121/12*$EW121)</f>
        <v>156.25</v>
      </c>
      <c r="FW121" s="221">
        <f t="shared" si="722"/>
        <v>156.25</v>
      </c>
      <c r="FX121" s="221">
        <f t="shared" si="722"/>
        <v>156.25</v>
      </c>
      <c r="FY121" s="221">
        <f t="shared" si="722"/>
        <v>156.25</v>
      </c>
      <c r="FZ121" s="221">
        <f t="shared" si="722"/>
        <v>156.25</v>
      </c>
      <c r="GA121" s="221">
        <f t="shared" si="722"/>
        <v>156.25</v>
      </c>
      <c r="GB121" s="221">
        <f t="shared" si="722"/>
        <v>156.25</v>
      </c>
      <c r="GC121" s="221">
        <f t="shared" si="722"/>
        <v>156.25</v>
      </c>
      <c r="GD121" s="221">
        <f t="shared" si="722"/>
        <v>156.25</v>
      </c>
      <c r="GE121" s="221">
        <f t="shared" si="722"/>
        <v>156.25</v>
      </c>
      <c r="GF121" s="221">
        <f t="shared" ref="GF121:GO127" si="723">+IF(GF$3&lt;Timing_Operation_Begin_Month,0,$I121/12*$EW121)</f>
        <v>156.25</v>
      </c>
      <c r="GG121" s="221">
        <f t="shared" si="723"/>
        <v>156.25</v>
      </c>
      <c r="GH121" s="221">
        <f t="shared" si="723"/>
        <v>156.25</v>
      </c>
      <c r="GI121" s="221">
        <f t="shared" si="723"/>
        <v>156.25</v>
      </c>
      <c r="GJ121" s="221">
        <f t="shared" si="723"/>
        <v>156.25</v>
      </c>
      <c r="GK121" s="221">
        <f t="shared" si="723"/>
        <v>156.25</v>
      </c>
      <c r="GL121" s="221">
        <f t="shared" si="723"/>
        <v>156.25</v>
      </c>
      <c r="GM121" s="221">
        <f t="shared" si="723"/>
        <v>156.25</v>
      </c>
      <c r="GN121" s="221">
        <f t="shared" si="723"/>
        <v>156.25</v>
      </c>
      <c r="GO121" s="221">
        <f t="shared" si="723"/>
        <v>156.25</v>
      </c>
      <c r="GP121" s="221">
        <f t="shared" ref="GP121:GY127" si="724">+IF(GP$3&lt;Timing_Operation_Begin_Month,0,$I121/12*$EW121)</f>
        <v>156.25</v>
      </c>
      <c r="GQ121" s="221">
        <f t="shared" si="724"/>
        <v>156.25</v>
      </c>
      <c r="GR121" s="221">
        <f t="shared" si="724"/>
        <v>156.25</v>
      </c>
      <c r="GS121" s="221">
        <f t="shared" si="724"/>
        <v>156.25</v>
      </c>
      <c r="GT121" s="221">
        <f t="shared" si="724"/>
        <v>156.25</v>
      </c>
      <c r="GU121" s="221">
        <f t="shared" si="724"/>
        <v>156.25</v>
      </c>
      <c r="GV121" s="221">
        <f t="shared" si="724"/>
        <v>156.25</v>
      </c>
      <c r="GW121" s="221">
        <f t="shared" si="724"/>
        <v>156.25</v>
      </c>
      <c r="GX121" s="221">
        <f t="shared" si="724"/>
        <v>156.25</v>
      </c>
      <c r="GY121" s="221">
        <f t="shared" si="724"/>
        <v>156.25</v>
      </c>
      <c r="GZ121" s="221">
        <f t="shared" ref="GZ121:HI127" si="725">+IF(GZ$3&lt;Timing_Operation_Begin_Month,0,$I121/12*$EW121)</f>
        <v>156.25</v>
      </c>
      <c r="HA121" s="221">
        <f t="shared" si="725"/>
        <v>156.25</v>
      </c>
      <c r="HB121" s="221">
        <f t="shared" si="725"/>
        <v>156.25</v>
      </c>
      <c r="HC121" s="221">
        <f t="shared" si="725"/>
        <v>156.25</v>
      </c>
      <c r="HD121" s="221">
        <f t="shared" si="725"/>
        <v>156.25</v>
      </c>
      <c r="HE121" s="221">
        <f t="shared" si="725"/>
        <v>156.25</v>
      </c>
      <c r="HF121" s="221">
        <f t="shared" si="725"/>
        <v>156.25</v>
      </c>
      <c r="HG121" s="221">
        <f t="shared" si="725"/>
        <v>156.25</v>
      </c>
      <c r="HH121" s="221">
        <f t="shared" si="725"/>
        <v>156.25</v>
      </c>
      <c r="HI121" s="221">
        <f t="shared" si="725"/>
        <v>156.25</v>
      </c>
      <c r="HJ121" s="221">
        <f t="shared" ref="HJ121:HS127" si="726">+IF(HJ$3&lt;Timing_Operation_Begin_Month,0,$I121/12*$EW121)</f>
        <v>156.25</v>
      </c>
      <c r="HK121" s="221">
        <f t="shared" si="726"/>
        <v>156.25</v>
      </c>
      <c r="HL121" s="221">
        <f t="shared" si="726"/>
        <v>156.25</v>
      </c>
      <c r="HM121" s="221">
        <f t="shared" si="726"/>
        <v>156.25</v>
      </c>
      <c r="HN121" s="221">
        <f t="shared" si="726"/>
        <v>156.25</v>
      </c>
      <c r="HO121" s="221">
        <f t="shared" si="726"/>
        <v>156.25</v>
      </c>
      <c r="HP121" s="221">
        <f t="shared" si="726"/>
        <v>156.25</v>
      </c>
      <c r="HQ121" s="221">
        <f t="shared" si="726"/>
        <v>156.25</v>
      </c>
      <c r="HR121" s="221">
        <f t="shared" si="726"/>
        <v>156.25</v>
      </c>
      <c r="HS121" s="221">
        <f t="shared" si="726"/>
        <v>156.25</v>
      </c>
      <c r="HT121" s="221">
        <f t="shared" ref="HT121:IC127" si="727">+IF(HT$3&lt;Timing_Operation_Begin_Month,0,$I121/12*$EW121)</f>
        <v>156.25</v>
      </c>
      <c r="HU121" s="221">
        <f t="shared" si="727"/>
        <v>156.25</v>
      </c>
      <c r="HV121" s="221">
        <f t="shared" si="727"/>
        <v>156.25</v>
      </c>
      <c r="HW121" s="221">
        <f t="shared" si="727"/>
        <v>156.25</v>
      </c>
      <c r="HX121" s="221">
        <f t="shared" si="727"/>
        <v>156.25</v>
      </c>
      <c r="HY121" s="221">
        <f t="shared" si="727"/>
        <v>156.25</v>
      </c>
      <c r="HZ121" s="221">
        <f t="shared" si="727"/>
        <v>156.25</v>
      </c>
      <c r="IA121" s="221">
        <f t="shared" si="727"/>
        <v>156.25</v>
      </c>
      <c r="IB121" s="221">
        <f t="shared" si="727"/>
        <v>156.25</v>
      </c>
      <c r="IC121" s="221">
        <f t="shared" si="727"/>
        <v>156.25</v>
      </c>
      <c r="ID121" s="221">
        <f t="shared" ref="ID121:IM127" si="728">+IF(ID$3&lt;Timing_Operation_Begin_Month,0,$I121/12*$EW121)</f>
        <v>156.25</v>
      </c>
      <c r="IE121" s="221">
        <f t="shared" si="728"/>
        <v>156.25</v>
      </c>
      <c r="IF121" s="221">
        <f t="shared" si="728"/>
        <v>156.25</v>
      </c>
      <c r="IG121" s="221">
        <f t="shared" si="728"/>
        <v>156.25</v>
      </c>
      <c r="IH121" s="221">
        <f t="shared" si="728"/>
        <v>156.25</v>
      </c>
      <c r="II121" s="221">
        <f t="shared" si="728"/>
        <v>156.25</v>
      </c>
      <c r="IJ121" s="221">
        <f t="shared" si="728"/>
        <v>156.25</v>
      </c>
      <c r="IK121" s="221">
        <f t="shared" si="728"/>
        <v>156.25</v>
      </c>
      <c r="IL121" s="221">
        <f t="shared" si="728"/>
        <v>156.25</v>
      </c>
      <c r="IM121" s="221">
        <f t="shared" si="728"/>
        <v>156.25</v>
      </c>
      <c r="IN121" s="221">
        <f t="shared" ref="IN121:IW127" si="729">+IF(IN$3&lt;Timing_Operation_Begin_Month,0,$I121/12*$EW121)</f>
        <v>156.25</v>
      </c>
      <c r="IO121" s="221">
        <f t="shared" si="729"/>
        <v>156.25</v>
      </c>
      <c r="IP121" s="221">
        <f t="shared" si="729"/>
        <v>156.25</v>
      </c>
      <c r="IQ121" s="221">
        <f t="shared" si="729"/>
        <v>156.25</v>
      </c>
      <c r="IR121" s="221">
        <f t="shared" si="729"/>
        <v>156.25</v>
      </c>
      <c r="IS121" s="221">
        <f t="shared" si="729"/>
        <v>156.25</v>
      </c>
      <c r="IT121" s="221">
        <f t="shared" si="729"/>
        <v>156.25</v>
      </c>
      <c r="IU121" s="221">
        <f t="shared" si="729"/>
        <v>156.25</v>
      </c>
      <c r="IV121" s="221">
        <f t="shared" si="729"/>
        <v>156.25</v>
      </c>
      <c r="IW121" s="221">
        <f t="shared" si="729"/>
        <v>156.25</v>
      </c>
      <c r="IX121" s="221">
        <f t="shared" ref="IX121:JG127" si="730">+IF(IX$3&lt;Timing_Operation_Begin_Month,0,$I121/12*$EW121)</f>
        <v>156.25</v>
      </c>
      <c r="IY121" s="221">
        <f t="shared" si="730"/>
        <v>156.25</v>
      </c>
      <c r="IZ121" s="221">
        <f t="shared" si="730"/>
        <v>156.25</v>
      </c>
      <c r="JA121" s="221">
        <f t="shared" si="730"/>
        <v>156.25</v>
      </c>
      <c r="JB121" s="221">
        <f t="shared" si="730"/>
        <v>156.25</v>
      </c>
      <c r="JC121" s="221">
        <f t="shared" si="730"/>
        <v>156.25</v>
      </c>
      <c r="JD121" s="221">
        <f t="shared" si="730"/>
        <v>156.25</v>
      </c>
      <c r="JE121" s="221">
        <f t="shared" si="730"/>
        <v>156.25</v>
      </c>
      <c r="JF121" s="221">
        <f t="shared" si="730"/>
        <v>156.25</v>
      </c>
      <c r="JG121" s="221">
        <f t="shared" si="730"/>
        <v>156.25</v>
      </c>
      <c r="JH121" s="221">
        <f t="shared" ref="JH121:JQ127" si="731">+IF(JH$3&lt;Timing_Operation_Begin_Month,0,$I121/12*$EW121)</f>
        <v>156.25</v>
      </c>
      <c r="JI121" s="221">
        <f t="shared" si="731"/>
        <v>156.25</v>
      </c>
      <c r="JJ121" s="221">
        <f t="shared" si="731"/>
        <v>156.25</v>
      </c>
      <c r="JK121" s="221">
        <f t="shared" si="731"/>
        <v>156.25</v>
      </c>
      <c r="JL121" s="221">
        <f t="shared" si="731"/>
        <v>156.25</v>
      </c>
      <c r="JM121" s="221">
        <f t="shared" si="731"/>
        <v>156.25</v>
      </c>
      <c r="JN121" s="221">
        <f t="shared" si="731"/>
        <v>156.25</v>
      </c>
      <c r="JO121" s="221">
        <f t="shared" si="731"/>
        <v>156.25</v>
      </c>
      <c r="JP121" s="221">
        <f t="shared" si="731"/>
        <v>156.25</v>
      </c>
      <c r="JQ121" s="221">
        <f t="shared" si="731"/>
        <v>156.25</v>
      </c>
      <c r="JR121" s="221">
        <f t="shared" ref="JR121:KC127" si="732">+IF(JR$3&lt;Timing_Operation_Begin_Month,0,$I121/12*$EW121)</f>
        <v>156.25</v>
      </c>
      <c r="JS121" s="221">
        <f t="shared" si="732"/>
        <v>156.25</v>
      </c>
      <c r="JT121" s="221">
        <f t="shared" si="732"/>
        <v>156.25</v>
      </c>
      <c r="JU121" s="221">
        <f t="shared" si="732"/>
        <v>156.25</v>
      </c>
      <c r="JV121" s="221">
        <f t="shared" si="732"/>
        <v>156.25</v>
      </c>
      <c r="JW121" s="221">
        <f t="shared" si="732"/>
        <v>156.25</v>
      </c>
      <c r="JX121" s="221">
        <f t="shared" si="732"/>
        <v>156.25</v>
      </c>
      <c r="JY121" s="221">
        <f t="shared" si="732"/>
        <v>156.25</v>
      </c>
      <c r="JZ121" s="221">
        <f t="shared" si="732"/>
        <v>156.25</v>
      </c>
      <c r="KA121" s="221">
        <f t="shared" si="732"/>
        <v>156.25</v>
      </c>
      <c r="KB121" s="221">
        <f t="shared" si="732"/>
        <v>156.25</v>
      </c>
      <c r="KC121" s="221">
        <f t="shared" si="732"/>
        <v>156.25</v>
      </c>
    </row>
    <row r="122" spans="1:289" x14ac:dyDescent="0.25">
      <c r="B122" s="234" t="s">
        <v>127</v>
      </c>
      <c r="C122" s="196"/>
      <c r="D122" s="310">
        <f>$D$121</f>
        <v>0.02</v>
      </c>
      <c r="E122" s="357">
        <v>1</v>
      </c>
      <c r="F122" s="357"/>
      <c r="G122" s="272">
        <f t="shared" ref="G122:G131" si="733">I122/$I$114</f>
        <v>0</v>
      </c>
      <c r="H122" s="218">
        <f t="shared" si="713"/>
        <v>0</v>
      </c>
      <c r="I122" s="219">
        <v>0</v>
      </c>
      <c r="R122" s="220">
        <f t="shared" ref="R122:AW122" si="734">(FB122+($I122/12*R$90*(1-$E122)))*(1+$D$122)^(FB$116-1)</f>
        <v>0</v>
      </c>
      <c r="S122" s="220">
        <f t="shared" si="734"/>
        <v>0</v>
      </c>
      <c r="T122" s="220">
        <f t="shared" si="734"/>
        <v>0</v>
      </c>
      <c r="U122" s="220">
        <f t="shared" si="734"/>
        <v>0</v>
      </c>
      <c r="V122" s="220">
        <f t="shared" si="734"/>
        <v>0</v>
      </c>
      <c r="W122" s="220">
        <f t="shared" si="734"/>
        <v>0</v>
      </c>
      <c r="X122" s="220">
        <f t="shared" si="734"/>
        <v>0</v>
      </c>
      <c r="Y122" s="220">
        <f t="shared" si="734"/>
        <v>0</v>
      </c>
      <c r="Z122" s="220">
        <f t="shared" si="734"/>
        <v>0</v>
      </c>
      <c r="AA122" s="220">
        <f t="shared" si="734"/>
        <v>0</v>
      </c>
      <c r="AB122" s="220">
        <f t="shared" si="734"/>
        <v>0</v>
      </c>
      <c r="AC122" s="220">
        <f t="shared" si="734"/>
        <v>0</v>
      </c>
      <c r="AD122" s="220">
        <f t="shared" si="734"/>
        <v>0</v>
      </c>
      <c r="AE122" s="220">
        <f t="shared" si="734"/>
        <v>0</v>
      </c>
      <c r="AF122" s="220">
        <f t="shared" si="734"/>
        <v>0</v>
      </c>
      <c r="AG122" s="220">
        <f t="shared" si="734"/>
        <v>0</v>
      </c>
      <c r="AH122" s="220">
        <f t="shared" si="734"/>
        <v>0</v>
      </c>
      <c r="AI122" s="220">
        <f t="shared" si="734"/>
        <v>0</v>
      </c>
      <c r="AJ122" s="220">
        <f t="shared" si="734"/>
        <v>0</v>
      </c>
      <c r="AK122" s="220">
        <f t="shared" si="734"/>
        <v>0</v>
      </c>
      <c r="AL122" s="220">
        <f t="shared" si="734"/>
        <v>0</v>
      </c>
      <c r="AM122" s="220">
        <f t="shared" si="734"/>
        <v>0</v>
      </c>
      <c r="AN122" s="220">
        <f t="shared" si="734"/>
        <v>0</v>
      </c>
      <c r="AO122" s="220">
        <f t="shared" si="734"/>
        <v>0</v>
      </c>
      <c r="AP122" s="220">
        <f t="shared" si="734"/>
        <v>0</v>
      </c>
      <c r="AQ122" s="220">
        <f t="shared" si="734"/>
        <v>0</v>
      </c>
      <c r="AR122" s="220">
        <f t="shared" si="734"/>
        <v>0</v>
      </c>
      <c r="AS122" s="220">
        <f t="shared" si="734"/>
        <v>0</v>
      </c>
      <c r="AT122" s="220">
        <f t="shared" si="734"/>
        <v>0</v>
      </c>
      <c r="AU122" s="220">
        <f t="shared" si="734"/>
        <v>0</v>
      </c>
      <c r="AV122" s="220">
        <f t="shared" si="734"/>
        <v>0</v>
      </c>
      <c r="AW122" s="220">
        <f t="shared" si="734"/>
        <v>0</v>
      </c>
      <c r="AX122" s="220">
        <f t="shared" ref="AX122:CC122" si="735">(GH122+($I122/12*AX$90*(1-$E122)))*(1+$D$122)^(GH$116-1)</f>
        <v>0</v>
      </c>
      <c r="AY122" s="220">
        <f t="shared" si="735"/>
        <v>0</v>
      </c>
      <c r="AZ122" s="220">
        <f t="shared" si="735"/>
        <v>0</v>
      </c>
      <c r="BA122" s="220">
        <f t="shared" si="735"/>
        <v>0</v>
      </c>
      <c r="BB122" s="220">
        <f t="shared" si="735"/>
        <v>0</v>
      </c>
      <c r="BC122" s="220">
        <f t="shared" si="735"/>
        <v>0</v>
      </c>
      <c r="BD122" s="220">
        <f t="shared" si="735"/>
        <v>0</v>
      </c>
      <c r="BE122" s="220">
        <f t="shared" si="735"/>
        <v>0</v>
      </c>
      <c r="BF122" s="220">
        <f t="shared" si="735"/>
        <v>0</v>
      </c>
      <c r="BG122" s="220">
        <f t="shared" si="735"/>
        <v>0</v>
      </c>
      <c r="BH122" s="220">
        <f t="shared" si="735"/>
        <v>0</v>
      </c>
      <c r="BI122" s="220">
        <f t="shared" si="735"/>
        <v>0</v>
      </c>
      <c r="BJ122" s="220">
        <f t="shared" si="735"/>
        <v>0</v>
      </c>
      <c r="BK122" s="220">
        <f t="shared" si="735"/>
        <v>0</v>
      </c>
      <c r="BL122" s="220">
        <f t="shared" si="735"/>
        <v>0</v>
      </c>
      <c r="BM122" s="220">
        <f t="shared" si="735"/>
        <v>0</v>
      </c>
      <c r="BN122" s="220">
        <f t="shared" si="735"/>
        <v>0</v>
      </c>
      <c r="BO122" s="220">
        <f t="shared" si="735"/>
        <v>0</v>
      </c>
      <c r="BP122" s="220">
        <f t="shared" si="735"/>
        <v>0</v>
      </c>
      <c r="BQ122" s="220">
        <f t="shared" si="735"/>
        <v>0</v>
      </c>
      <c r="BR122" s="220">
        <f t="shared" si="735"/>
        <v>0</v>
      </c>
      <c r="BS122" s="220">
        <f t="shared" si="735"/>
        <v>0</v>
      </c>
      <c r="BT122" s="220">
        <f t="shared" si="735"/>
        <v>0</v>
      </c>
      <c r="BU122" s="220">
        <f t="shared" si="735"/>
        <v>0</v>
      </c>
      <c r="BV122" s="220">
        <f t="shared" si="735"/>
        <v>0</v>
      </c>
      <c r="BW122" s="220">
        <f t="shared" si="735"/>
        <v>0</v>
      </c>
      <c r="BX122" s="220">
        <f t="shared" si="735"/>
        <v>0</v>
      </c>
      <c r="BY122" s="220">
        <f t="shared" si="735"/>
        <v>0</v>
      </c>
      <c r="BZ122" s="220">
        <f t="shared" si="735"/>
        <v>0</v>
      </c>
      <c r="CA122" s="220">
        <f t="shared" si="735"/>
        <v>0</v>
      </c>
      <c r="CB122" s="220">
        <f t="shared" si="735"/>
        <v>0</v>
      </c>
      <c r="CC122" s="220">
        <f t="shared" si="735"/>
        <v>0</v>
      </c>
      <c r="CD122" s="220">
        <f t="shared" ref="CD122:DI122" si="736">(HN122+($I122/12*CD$90*(1-$E122)))*(1+$D$122)^(HN$116-1)</f>
        <v>0</v>
      </c>
      <c r="CE122" s="220">
        <f t="shared" si="736"/>
        <v>0</v>
      </c>
      <c r="CF122" s="220">
        <f t="shared" si="736"/>
        <v>0</v>
      </c>
      <c r="CG122" s="220">
        <f t="shared" si="736"/>
        <v>0</v>
      </c>
      <c r="CH122" s="220">
        <f t="shared" si="736"/>
        <v>0</v>
      </c>
      <c r="CI122" s="220">
        <f t="shared" si="736"/>
        <v>0</v>
      </c>
      <c r="CJ122" s="220">
        <f t="shared" si="736"/>
        <v>0</v>
      </c>
      <c r="CK122" s="220">
        <f t="shared" si="736"/>
        <v>0</v>
      </c>
      <c r="CL122" s="220">
        <f t="shared" si="736"/>
        <v>0</v>
      </c>
      <c r="CM122" s="220">
        <f t="shared" si="736"/>
        <v>0</v>
      </c>
      <c r="CN122" s="220">
        <f t="shared" si="736"/>
        <v>0</v>
      </c>
      <c r="CO122" s="220">
        <f t="shared" si="736"/>
        <v>0</v>
      </c>
      <c r="CP122" s="220">
        <f t="shared" si="736"/>
        <v>0</v>
      </c>
      <c r="CQ122" s="220">
        <f t="shared" si="736"/>
        <v>0</v>
      </c>
      <c r="CR122" s="220">
        <f t="shared" si="736"/>
        <v>0</v>
      </c>
      <c r="CS122" s="220">
        <f t="shared" si="736"/>
        <v>0</v>
      </c>
      <c r="CT122" s="220">
        <f t="shared" si="736"/>
        <v>0</v>
      </c>
      <c r="CU122" s="220">
        <f t="shared" si="736"/>
        <v>0</v>
      </c>
      <c r="CV122" s="220">
        <f t="shared" si="736"/>
        <v>0</v>
      </c>
      <c r="CW122" s="220">
        <f t="shared" si="736"/>
        <v>0</v>
      </c>
      <c r="CX122" s="220">
        <f t="shared" si="736"/>
        <v>0</v>
      </c>
      <c r="CY122" s="220">
        <f t="shared" si="736"/>
        <v>0</v>
      </c>
      <c r="CZ122" s="220">
        <f t="shared" si="736"/>
        <v>0</v>
      </c>
      <c r="DA122" s="220">
        <f t="shared" si="736"/>
        <v>0</v>
      </c>
      <c r="DB122" s="220">
        <f t="shared" si="736"/>
        <v>0</v>
      </c>
      <c r="DC122" s="220">
        <f t="shared" si="736"/>
        <v>0</v>
      </c>
      <c r="DD122" s="220">
        <f t="shared" si="736"/>
        <v>0</v>
      </c>
      <c r="DE122" s="220">
        <f t="shared" si="736"/>
        <v>0</v>
      </c>
      <c r="DF122" s="220">
        <f t="shared" si="736"/>
        <v>0</v>
      </c>
      <c r="DG122" s="220">
        <f t="shared" si="736"/>
        <v>0</v>
      </c>
      <c r="DH122" s="220">
        <f t="shared" si="736"/>
        <v>0</v>
      </c>
      <c r="DI122" s="220">
        <f t="shared" si="736"/>
        <v>0</v>
      </c>
      <c r="DJ122" s="220">
        <f t="shared" ref="DJ122:EO122" si="737">(IT122+($I122/12*DJ$90*(1-$E122)))*(1+$D$122)^(IT$116-1)</f>
        <v>0</v>
      </c>
      <c r="DK122" s="220">
        <f t="shared" si="737"/>
        <v>0</v>
      </c>
      <c r="DL122" s="220">
        <f t="shared" si="737"/>
        <v>0</v>
      </c>
      <c r="DM122" s="220">
        <f t="shared" si="737"/>
        <v>0</v>
      </c>
      <c r="DN122" s="220">
        <f t="shared" si="737"/>
        <v>0</v>
      </c>
      <c r="DO122" s="220">
        <f t="shared" si="737"/>
        <v>0</v>
      </c>
      <c r="DP122" s="220">
        <f t="shared" si="737"/>
        <v>0</v>
      </c>
      <c r="DQ122" s="220">
        <f t="shared" si="737"/>
        <v>0</v>
      </c>
      <c r="DR122" s="220">
        <f t="shared" si="737"/>
        <v>0</v>
      </c>
      <c r="DS122" s="220">
        <f t="shared" si="737"/>
        <v>0</v>
      </c>
      <c r="DT122" s="220">
        <f t="shared" si="737"/>
        <v>0</v>
      </c>
      <c r="DU122" s="220">
        <f t="shared" si="737"/>
        <v>0</v>
      </c>
      <c r="DV122" s="220">
        <f t="shared" si="737"/>
        <v>0</v>
      </c>
      <c r="DW122" s="220">
        <f t="shared" si="737"/>
        <v>0</v>
      </c>
      <c r="DX122" s="220">
        <f t="shared" si="737"/>
        <v>0</v>
      </c>
      <c r="DY122" s="220">
        <f t="shared" si="737"/>
        <v>0</v>
      </c>
      <c r="DZ122" s="220">
        <f t="shared" si="737"/>
        <v>0</v>
      </c>
      <c r="EA122" s="220">
        <f t="shared" si="737"/>
        <v>0</v>
      </c>
      <c r="EB122" s="220">
        <f t="shared" si="737"/>
        <v>0</v>
      </c>
      <c r="EC122" s="220">
        <f t="shared" si="737"/>
        <v>0</v>
      </c>
      <c r="ED122" s="220">
        <f t="shared" si="737"/>
        <v>0</v>
      </c>
      <c r="EE122" s="220">
        <f t="shared" si="737"/>
        <v>0</v>
      </c>
      <c r="EF122" s="220">
        <f t="shared" si="737"/>
        <v>0</v>
      </c>
      <c r="EG122" s="220">
        <f t="shared" si="737"/>
        <v>0</v>
      </c>
      <c r="EH122" s="220">
        <f t="shared" si="737"/>
        <v>0</v>
      </c>
      <c r="EI122" s="220">
        <f t="shared" si="737"/>
        <v>0</v>
      </c>
      <c r="EJ122" s="220">
        <f t="shared" si="737"/>
        <v>0</v>
      </c>
      <c r="EK122" s="220">
        <f t="shared" si="737"/>
        <v>0</v>
      </c>
      <c r="EL122" s="220">
        <f t="shared" si="737"/>
        <v>0</v>
      </c>
      <c r="EM122" s="220">
        <f t="shared" si="737"/>
        <v>0</v>
      </c>
      <c r="EN122" s="220">
        <f t="shared" si="737"/>
        <v>0</v>
      </c>
      <c r="EO122" s="220">
        <f t="shared" si="737"/>
        <v>0</v>
      </c>
      <c r="EP122" s="220">
        <f t="shared" ref="EP122:ES122" si="738">(JZ122+($I122/12*EP$90*(1-$E122)))*(1+$D$122)^(JZ$116-1)</f>
        <v>0</v>
      </c>
      <c r="EQ122" s="220">
        <f t="shared" si="738"/>
        <v>0</v>
      </c>
      <c r="ER122" s="220">
        <f t="shared" si="738"/>
        <v>0</v>
      </c>
      <c r="ES122" s="220">
        <f t="shared" si="738"/>
        <v>0</v>
      </c>
      <c r="EU122" s="153"/>
      <c r="EV122" s="153"/>
      <c r="EW122" s="304">
        <f t="shared" si="719"/>
        <v>1</v>
      </c>
      <c r="EX122" s="153"/>
      <c r="EY122" s="153"/>
      <c r="EZ122" s="154"/>
      <c r="FA122" s="153" t="s">
        <v>147</v>
      </c>
      <c r="FB122" s="221">
        <f t="shared" si="720"/>
        <v>0</v>
      </c>
      <c r="FC122" s="221">
        <f t="shared" si="720"/>
        <v>0</v>
      </c>
      <c r="FD122" s="221">
        <f t="shared" si="720"/>
        <v>0</v>
      </c>
      <c r="FE122" s="221">
        <f t="shared" si="720"/>
        <v>0</v>
      </c>
      <c r="FF122" s="221">
        <f t="shared" si="720"/>
        <v>0</v>
      </c>
      <c r="FG122" s="221">
        <f t="shared" si="720"/>
        <v>0</v>
      </c>
      <c r="FH122" s="221">
        <f t="shared" si="720"/>
        <v>0</v>
      </c>
      <c r="FI122" s="221">
        <f t="shared" si="720"/>
        <v>0</v>
      </c>
      <c r="FJ122" s="221">
        <f t="shared" si="720"/>
        <v>0</v>
      </c>
      <c r="FK122" s="221">
        <f t="shared" si="720"/>
        <v>0</v>
      </c>
      <c r="FL122" s="221">
        <f t="shared" si="721"/>
        <v>0</v>
      </c>
      <c r="FM122" s="221">
        <f t="shared" si="721"/>
        <v>0</v>
      </c>
      <c r="FN122" s="221">
        <f t="shared" si="721"/>
        <v>0</v>
      </c>
      <c r="FO122" s="221">
        <f t="shared" si="721"/>
        <v>0</v>
      </c>
      <c r="FP122" s="221">
        <f t="shared" si="721"/>
        <v>0</v>
      </c>
      <c r="FQ122" s="221">
        <f t="shared" si="721"/>
        <v>0</v>
      </c>
      <c r="FR122" s="221">
        <f t="shared" si="721"/>
        <v>0</v>
      </c>
      <c r="FS122" s="221">
        <f t="shared" si="721"/>
        <v>0</v>
      </c>
      <c r="FT122" s="221">
        <f t="shared" si="721"/>
        <v>0</v>
      </c>
      <c r="FU122" s="221">
        <f t="shared" si="721"/>
        <v>0</v>
      </c>
      <c r="FV122" s="221">
        <f t="shared" si="722"/>
        <v>0</v>
      </c>
      <c r="FW122" s="221">
        <f t="shared" si="722"/>
        <v>0</v>
      </c>
      <c r="FX122" s="221">
        <f t="shared" si="722"/>
        <v>0</v>
      </c>
      <c r="FY122" s="221">
        <f t="shared" si="722"/>
        <v>0</v>
      </c>
      <c r="FZ122" s="221">
        <f t="shared" si="722"/>
        <v>0</v>
      </c>
      <c r="GA122" s="221">
        <f t="shared" si="722"/>
        <v>0</v>
      </c>
      <c r="GB122" s="221">
        <f t="shared" si="722"/>
        <v>0</v>
      </c>
      <c r="GC122" s="221">
        <f t="shared" si="722"/>
        <v>0</v>
      </c>
      <c r="GD122" s="221">
        <f t="shared" si="722"/>
        <v>0</v>
      </c>
      <c r="GE122" s="221">
        <f t="shared" si="722"/>
        <v>0</v>
      </c>
      <c r="GF122" s="221">
        <f t="shared" si="723"/>
        <v>0</v>
      </c>
      <c r="GG122" s="221">
        <f t="shared" si="723"/>
        <v>0</v>
      </c>
      <c r="GH122" s="221">
        <f t="shared" si="723"/>
        <v>0</v>
      </c>
      <c r="GI122" s="221">
        <f t="shared" si="723"/>
        <v>0</v>
      </c>
      <c r="GJ122" s="221">
        <f t="shared" si="723"/>
        <v>0</v>
      </c>
      <c r="GK122" s="221">
        <f t="shared" si="723"/>
        <v>0</v>
      </c>
      <c r="GL122" s="221">
        <f t="shared" si="723"/>
        <v>0</v>
      </c>
      <c r="GM122" s="221">
        <f t="shared" si="723"/>
        <v>0</v>
      </c>
      <c r="GN122" s="221">
        <f t="shared" si="723"/>
        <v>0</v>
      </c>
      <c r="GO122" s="221">
        <f t="shared" si="723"/>
        <v>0</v>
      </c>
      <c r="GP122" s="221">
        <f t="shared" si="724"/>
        <v>0</v>
      </c>
      <c r="GQ122" s="221">
        <f t="shared" si="724"/>
        <v>0</v>
      </c>
      <c r="GR122" s="221">
        <f t="shared" si="724"/>
        <v>0</v>
      </c>
      <c r="GS122" s="221">
        <f t="shared" si="724"/>
        <v>0</v>
      </c>
      <c r="GT122" s="221">
        <f t="shared" si="724"/>
        <v>0</v>
      </c>
      <c r="GU122" s="221">
        <f t="shared" si="724"/>
        <v>0</v>
      </c>
      <c r="GV122" s="221">
        <f t="shared" si="724"/>
        <v>0</v>
      </c>
      <c r="GW122" s="221">
        <f t="shared" si="724"/>
        <v>0</v>
      </c>
      <c r="GX122" s="221">
        <f t="shared" si="724"/>
        <v>0</v>
      </c>
      <c r="GY122" s="221">
        <f t="shared" si="724"/>
        <v>0</v>
      </c>
      <c r="GZ122" s="221">
        <f t="shared" si="725"/>
        <v>0</v>
      </c>
      <c r="HA122" s="221">
        <f t="shared" si="725"/>
        <v>0</v>
      </c>
      <c r="HB122" s="221">
        <f t="shared" si="725"/>
        <v>0</v>
      </c>
      <c r="HC122" s="221">
        <f t="shared" si="725"/>
        <v>0</v>
      </c>
      <c r="HD122" s="221">
        <f t="shared" si="725"/>
        <v>0</v>
      </c>
      <c r="HE122" s="221">
        <f t="shared" si="725"/>
        <v>0</v>
      </c>
      <c r="HF122" s="221">
        <f t="shared" si="725"/>
        <v>0</v>
      </c>
      <c r="HG122" s="221">
        <f t="shared" si="725"/>
        <v>0</v>
      </c>
      <c r="HH122" s="221">
        <f t="shared" si="725"/>
        <v>0</v>
      </c>
      <c r="HI122" s="221">
        <f t="shared" si="725"/>
        <v>0</v>
      </c>
      <c r="HJ122" s="221">
        <f t="shared" si="726"/>
        <v>0</v>
      </c>
      <c r="HK122" s="221">
        <f t="shared" si="726"/>
        <v>0</v>
      </c>
      <c r="HL122" s="221">
        <f t="shared" si="726"/>
        <v>0</v>
      </c>
      <c r="HM122" s="221">
        <f t="shared" si="726"/>
        <v>0</v>
      </c>
      <c r="HN122" s="221">
        <f t="shared" si="726"/>
        <v>0</v>
      </c>
      <c r="HO122" s="221">
        <f t="shared" si="726"/>
        <v>0</v>
      </c>
      <c r="HP122" s="221">
        <f t="shared" si="726"/>
        <v>0</v>
      </c>
      <c r="HQ122" s="221">
        <f t="shared" si="726"/>
        <v>0</v>
      </c>
      <c r="HR122" s="221">
        <f t="shared" si="726"/>
        <v>0</v>
      </c>
      <c r="HS122" s="221">
        <f t="shared" si="726"/>
        <v>0</v>
      </c>
      <c r="HT122" s="221">
        <f t="shared" si="727"/>
        <v>0</v>
      </c>
      <c r="HU122" s="221">
        <f t="shared" si="727"/>
        <v>0</v>
      </c>
      <c r="HV122" s="221">
        <f t="shared" si="727"/>
        <v>0</v>
      </c>
      <c r="HW122" s="221">
        <f t="shared" si="727"/>
        <v>0</v>
      </c>
      <c r="HX122" s="221">
        <f t="shared" si="727"/>
        <v>0</v>
      </c>
      <c r="HY122" s="221">
        <f t="shared" si="727"/>
        <v>0</v>
      </c>
      <c r="HZ122" s="221">
        <f t="shared" si="727"/>
        <v>0</v>
      </c>
      <c r="IA122" s="221">
        <f t="shared" si="727"/>
        <v>0</v>
      </c>
      <c r="IB122" s="221">
        <f t="shared" si="727"/>
        <v>0</v>
      </c>
      <c r="IC122" s="221">
        <f t="shared" si="727"/>
        <v>0</v>
      </c>
      <c r="ID122" s="221">
        <f t="shared" si="728"/>
        <v>0</v>
      </c>
      <c r="IE122" s="221">
        <f t="shared" si="728"/>
        <v>0</v>
      </c>
      <c r="IF122" s="221">
        <f t="shared" si="728"/>
        <v>0</v>
      </c>
      <c r="IG122" s="221">
        <f t="shared" si="728"/>
        <v>0</v>
      </c>
      <c r="IH122" s="221">
        <f t="shared" si="728"/>
        <v>0</v>
      </c>
      <c r="II122" s="221">
        <f t="shared" si="728"/>
        <v>0</v>
      </c>
      <c r="IJ122" s="221">
        <f t="shared" si="728"/>
        <v>0</v>
      </c>
      <c r="IK122" s="221">
        <f t="shared" si="728"/>
        <v>0</v>
      </c>
      <c r="IL122" s="221">
        <f t="shared" si="728"/>
        <v>0</v>
      </c>
      <c r="IM122" s="221">
        <f t="shared" si="728"/>
        <v>0</v>
      </c>
      <c r="IN122" s="221">
        <f t="shared" si="729"/>
        <v>0</v>
      </c>
      <c r="IO122" s="221">
        <f t="shared" si="729"/>
        <v>0</v>
      </c>
      <c r="IP122" s="221">
        <f t="shared" si="729"/>
        <v>0</v>
      </c>
      <c r="IQ122" s="221">
        <f t="shared" si="729"/>
        <v>0</v>
      </c>
      <c r="IR122" s="221">
        <f t="shared" si="729"/>
        <v>0</v>
      </c>
      <c r="IS122" s="221">
        <f t="shared" si="729"/>
        <v>0</v>
      </c>
      <c r="IT122" s="221">
        <f t="shared" si="729"/>
        <v>0</v>
      </c>
      <c r="IU122" s="221">
        <f t="shared" si="729"/>
        <v>0</v>
      </c>
      <c r="IV122" s="221">
        <f t="shared" si="729"/>
        <v>0</v>
      </c>
      <c r="IW122" s="221">
        <f t="shared" si="729"/>
        <v>0</v>
      </c>
      <c r="IX122" s="221">
        <f t="shared" si="730"/>
        <v>0</v>
      </c>
      <c r="IY122" s="221">
        <f t="shared" si="730"/>
        <v>0</v>
      </c>
      <c r="IZ122" s="221">
        <f t="shared" si="730"/>
        <v>0</v>
      </c>
      <c r="JA122" s="221">
        <f t="shared" si="730"/>
        <v>0</v>
      </c>
      <c r="JB122" s="221">
        <f t="shared" si="730"/>
        <v>0</v>
      </c>
      <c r="JC122" s="221">
        <f t="shared" si="730"/>
        <v>0</v>
      </c>
      <c r="JD122" s="221">
        <f t="shared" si="730"/>
        <v>0</v>
      </c>
      <c r="JE122" s="221">
        <f t="shared" si="730"/>
        <v>0</v>
      </c>
      <c r="JF122" s="221">
        <f t="shared" si="730"/>
        <v>0</v>
      </c>
      <c r="JG122" s="221">
        <f t="shared" si="730"/>
        <v>0</v>
      </c>
      <c r="JH122" s="221">
        <f t="shared" si="731"/>
        <v>0</v>
      </c>
      <c r="JI122" s="221">
        <f t="shared" si="731"/>
        <v>0</v>
      </c>
      <c r="JJ122" s="221">
        <f t="shared" si="731"/>
        <v>0</v>
      </c>
      <c r="JK122" s="221">
        <f t="shared" si="731"/>
        <v>0</v>
      </c>
      <c r="JL122" s="221">
        <f t="shared" si="731"/>
        <v>0</v>
      </c>
      <c r="JM122" s="221">
        <f t="shared" si="731"/>
        <v>0</v>
      </c>
      <c r="JN122" s="221">
        <f t="shared" si="731"/>
        <v>0</v>
      </c>
      <c r="JO122" s="221">
        <f t="shared" si="731"/>
        <v>0</v>
      </c>
      <c r="JP122" s="221">
        <f t="shared" si="731"/>
        <v>0</v>
      </c>
      <c r="JQ122" s="221">
        <f t="shared" si="731"/>
        <v>0</v>
      </c>
      <c r="JR122" s="221">
        <f t="shared" si="732"/>
        <v>0</v>
      </c>
      <c r="JS122" s="221">
        <f t="shared" si="732"/>
        <v>0</v>
      </c>
      <c r="JT122" s="221">
        <f t="shared" si="732"/>
        <v>0</v>
      </c>
      <c r="JU122" s="221">
        <f t="shared" si="732"/>
        <v>0</v>
      </c>
      <c r="JV122" s="221">
        <f t="shared" si="732"/>
        <v>0</v>
      </c>
      <c r="JW122" s="221">
        <f t="shared" si="732"/>
        <v>0</v>
      </c>
      <c r="JX122" s="221">
        <f t="shared" si="732"/>
        <v>0</v>
      </c>
      <c r="JY122" s="221">
        <f t="shared" si="732"/>
        <v>0</v>
      </c>
      <c r="JZ122" s="221">
        <f t="shared" si="732"/>
        <v>0</v>
      </c>
      <c r="KA122" s="221">
        <f t="shared" si="732"/>
        <v>0</v>
      </c>
      <c r="KB122" s="221">
        <f t="shared" si="732"/>
        <v>0</v>
      </c>
      <c r="KC122" s="221">
        <f t="shared" si="732"/>
        <v>0</v>
      </c>
    </row>
    <row r="123" spans="1:289" x14ac:dyDescent="0.25">
      <c r="B123" s="234" t="s">
        <v>245</v>
      </c>
      <c r="C123" s="196"/>
      <c r="D123" s="310">
        <f t="shared" ref="D123:D127" si="739">$D$121</f>
        <v>0.02</v>
      </c>
      <c r="E123" s="357">
        <v>0.75</v>
      </c>
      <c r="F123" s="357"/>
      <c r="G123" s="272">
        <f t="shared" si="733"/>
        <v>7.2137580794090486E-3</v>
      </c>
      <c r="H123" s="218">
        <f t="shared" si="713"/>
        <v>156.25</v>
      </c>
      <c r="I123" s="219">
        <v>2500</v>
      </c>
      <c r="R123" s="220">
        <f t="shared" ref="R123:AW123" si="740">(FB123+($I123/12*R$90*(1-$E123)))*(1+$D$123)^(FB$116-1)</f>
        <v>0</v>
      </c>
      <c r="S123" s="220">
        <f t="shared" si="740"/>
        <v>0</v>
      </c>
      <c r="T123" s="220">
        <f t="shared" si="740"/>
        <v>0</v>
      </c>
      <c r="U123" s="220">
        <f t="shared" si="740"/>
        <v>0</v>
      </c>
      <c r="V123" s="220">
        <f t="shared" si="740"/>
        <v>0</v>
      </c>
      <c r="W123" s="220">
        <f t="shared" si="740"/>
        <v>0</v>
      </c>
      <c r="X123" s="220">
        <f t="shared" si="740"/>
        <v>0</v>
      </c>
      <c r="Y123" s="220">
        <f t="shared" si="740"/>
        <v>0</v>
      </c>
      <c r="Z123" s="220">
        <f t="shared" si="740"/>
        <v>0</v>
      </c>
      <c r="AA123" s="220">
        <f t="shared" si="740"/>
        <v>0</v>
      </c>
      <c r="AB123" s="220">
        <f t="shared" si="740"/>
        <v>0</v>
      </c>
      <c r="AC123" s="220">
        <f t="shared" si="740"/>
        <v>169.27083333333334</v>
      </c>
      <c r="AD123" s="220">
        <f t="shared" si="740"/>
        <v>188.80208333333334</v>
      </c>
      <c r="AE123" s="220">
        <f t="shared" si="740"/>
        <v>208.33333333333334</v>
      </c>
      <c r="AF123" s="220">
        <f t="shared" si="740"/>
        <v>208.33333333333334</v>
      </c>
      <c r="AG123" s="220">
        <f t="shared" si="740"/>
        <v>208.33333333333334</v>
      </c>
      <c r="AH123" s="220">
        <f t="shared" si="740"/>
        <v>208.33333333333334</v>
      </c>
      <c r="AI123" s="220">
        <f t="shared" si="740"/>
        <v>208.33333333333334</v>
      </c>
      <c r="AJ123" s="220">
        <f t="shared" si="740"/>
        <v>208.33333333333334</v>
      </c>
      <c r="AK123" s="220">
        <f t="shared" si="740"/>
        <v>208.33333333333334</v>
      </c>
      <c r="AL123" s="220">
        <f t="shared" si="740"/>
        <v>208.33333333333334</v>
      </c>
      <c r="AM123" s="220">
        <f t="shared" si="740"/>
        <v>208.33333333333334</v>
      </c>
      <c r="AN123" s="220">
        <f t="shared" si="740"/>
        <v>208.33333333333334</v>
      </c>
      <c r="AO123" s="220">
        <f t="shared" si="740"/>
        <v>212.5</v>
      </c>
      <c r="AP123" s="220">
        <f t="shared" si="740"/>
        <v>212.5</v>
      </c>
      <c r="AQ123" s="220">
        <f t="shared" si="740"/>
        <v>212.5</v>
      </c>
      <c r="AR123" s="220">
        <f t="shared" si="740"/>
        <v>212.5</v>
      </c>
      <c r="AS123" s="220">
        <f t="shared" si="740"/>
        <v>212.5</v>
      </c>
      <c r="AT123" s="220">
        <f t="shared" si="740"/>
        <v>212.5</v>
      </c>
      <c r="AU123" s="220">
        <f t="shared" si="740"/>
        <v>212.5</v>
      </c>
      <c r="AV123" s="220">
        <f t="shared" si="740"/>
        <v>212.5</v>
      </c>
      <c r="AW123" s="220">
        <f t="shared" si="740"/>
        <v>212.5</v>
      </c>
      <c r="AX123" s="220">
        <f t="shared" ref="AX123:CC123" si="741">(GH123+($I123/12*AX$90*(1-$E123)))*(1+$D$123)^(GH$116-1)</f>
        <v>212.5</v>
      </c>
      <c r="AY123" s="220">
        <f t="shared" si="741"/>
        <v>212.5</v>
      </c>
      <c r="AZ123" s="220">
        <f t="shared" si="741"/>
        <v>212.5</v>
      </c>
      <c r="BA123" s="220">
        <f t="shared" si="741"/>
        <v>216.75</v>
      </c>
      <c r="BB123" s="220">
        <f t="shared" si="741"/>
        <v>216.75</v>
      </c>
      <c r="BC123" s="220">
        <f t="shared" si="741"/>
        <v>216.75</v>
      </c>
      <c r="BD123" s="220">
        <f t="shared" si="741"/>
        <v>216.75</v>
      </c>
      <c r="BE123" s="220">
        <f t="shared" si="741"/>
        <v>216.75</v>
      </c>
      <c r="BF123" s="220">
        <f t="shared" si="741"/>
        <v>216.75</v>
      </c>
      <c r="BG123" s="220">
        <f t="shared" si="741"/>
        <v>216.75</v>
      </c>
      <c r="BH123" s="220">
        <f t="shared" si="741"/>
        <v>216.75</v>
      </c>
      <c r="BI123" s="220">
        <f t="shared" si="741"/>
        <v>216.75</v>
      </c>
      <c r="BJ123" s="220">
        <f t="shared" si="741"/>
        <v>216.75</v>
      </c>
      <c r="BK123" s="220">
        <f t="shared" si="741"/>
        <v>216.75</v>
      </c>
      <c r="BL123" s="220">
        <f t="shared" si="741"/>
        <v>216.75</v>
      </c>
      <c r="BM123" s="220">
        <f t="shared" si="741"/>
        <v>221.08500000000001</v>
      </c>
      <c r="BN123" s="220">
        <f t="shared" si="741"/>
        <v>221.08500000000001</v>
      </c>
      <c r="BO123" s="220">
        <f t="shared" si="741"/>
        <v>221.08500000000001</v>
      </c>
      <c r="BP123" s="220">
        <f t="shared" si="741"/>
        <v>221.08500000000001</v>
      </c>
      <c r="BQ123" s="220">
        <f t="shared" si="741"/>
        <v>221.08500000000001</v>
      </c>
      <c r="BR123" s="220">
        <f t="shared" si="741"/>
        <v>221.08500000000001</v>
      </c>
      <c r="BS123" s="220">
        <f t="shared" si="741"/>
        <v>221.08500000000001</v>
      </c>
      <c r="BT123" s="220">
        <f t="shared" si="741"/>
        <v>221.08500000000001</v>
      </c>
      <c r="BU123" s="220">
        <f t="shared" si="741"/>
        <v>221.08500000000001</v>
      </c>
      <c r="BV123" s="220">
        <f t="shared" si="741"/>
        <v>221.08500000000001</v>
      </c>
      <c r="BW123" s="220">
        <f t="shared" si="741"/>
        <v>221.08500000000001</v>
      </c>
      <c r="BX123" s="220">
        <f t="shared" si="741"/>
        <v>221.08500000000001</v>
      </c>
      <c r="BY123" s="220">
        <f t="shared" si="741"/>
        <v>225.5067</v>
      </c>
      <c r="BZ123" s="220">
        <f t="shared" si="741"/>
        <v>225.5067</v>
      </c>
      <c r="CA123" s="220">
        <f t="shared" si="741"/>
        <v>225.5067</v>
      </c>
      <c r="CB123" s="220">
        <f t="shared" si="741"/>
        <v>225.5067</v>
      </c>
      <c r="CC123" s="220">
        <f t="shared" si="741"/>
        <v>225.5067</v>
      </c>
      <c r="CD123" s="220">
        <f t="shared" ref="CD123:DI123" si="742">(HN123+($I123/12*CD$90*(1-$E123)))*(1+$D$123)^(HN$116-1)</f>
        <v>225.5067</v>
      </c>
      <c r="CE123" s="220">
        <f t="shared" si="742"/>
        <v>225.5067</v>
      </c>
      <c r="CF123" s="220">
        <f t="shared" si="742"/>
        <v>225.5067</v>
      </c>
      <c r="CG123" s="220">
        <f t="shared" si="742"/>
        <v>225.5067</v>
      </c>
      <c r="CH123" s="220">
        <f t="shared" si="742"/>
        <v>225.5067</v>
      </c>
      <c r="CI123" s="220">
        <f t="shared" si="742"/>
        <v>225.5067</v>
      </c>
      <c r="CJ123" s="220">
        <f t="shared" si="742"/>
        <v>225.5067</v>
      </c>
      <c r="CK123" s="220">
        <f t="shared" si="742"/>
        <v>230.01683400000002</v>
      </c>
      <c r="CL123" s="220">
        <f t="shared" si="742"/>
        <v>230.01683400000002</v>
      </c>
      <c r="CM123" s="220">
        <f t="shared" si="742"/>
        <v>230.01683400000002</v>
      </c>
      <c r="CN123" s="220">
        <f t="shared" si="742"/>
        <v>230.01683400000002</v>
      </c>
      <c r="CO123" s="220">
        <f t="shared" si="742"/>
        <v>230.01683400000002</v>
      </c>
      <c r="CP123" s="220">
        <f t="shared" si="742"/>
        <v>230.01683400000002</v>
      </c>
      <c r="CQ123" s="220">
        <f t="shared" si="742"/>
        <v>230.01683400000002</v>
      </c>
      <c r="CR123" s="220">
        <f t="shared" si="742"/>
        <v>230.01683400000002</v>
      </c>
      <c r="CS123" s="220">
        <f t="shared" si="742"/>
        <v>230.01683400000002</v>
      </c>
      <c r="CT123" s="220">
        <f t="shared" si="742"/>
        <v>230.01683400000002</v>
      </c>
      <c r="CU123" s="220">
        <f t="shared" si="742"/>
        <v>230.01683400000002</v>
      </c>
      <c r="CV123" s="220">
        <f t="shared" si="742"/>
        <v>230.01683400000002</v>
      </c>
      <c r="CW123" s="220">
        <f t="shared" si="742"/>
        <v>234.61717068000002</v>
      </c>
      <c r="CX123" s="220">
        <f t="shared" si="742"/>
        <v>234.61717068000002</v>
      </c>
      <c r="CY123" s="220">
        <f t="shared" si="742"/>
        <v>234.61717068000002</v>
      </c>
      <c r="CZ123" s="220">
        <f t="shared" si="742"/>
        <v>234.61717068000002</v>
      </c>
      <c r="DA123" s="220">
        <f t="shared" si="742"/>
        <v>234.61717068000002</v>
      </c>
      <c r="DB123" s="220">
        <f t="shared" si="742"/>
        <v>234.61717068000002</v>
      </c>
      <c r="DC123" s="220">
        <f t="shared" si="742"/>
        <v>234.61717068000002</v>
      </c>
      <c r="DD123" s="220">
        <f t="shared" si="742"/>
        <v>234.61717068000002</v>
      </c>
      <c r="DE123" s="220">
        <f t="shared" si="742"/>
        <v>234.61717068000002</v>
      </c>
      <c r="DF123" s="220">
        <f t="shared" si="742"/>
        <v>234.61717068000002</v>
      </c>
      <c r="DG123" s="220">
        <f t="shared" si="742"/>
        <v>234.61717068000002</v>
      </c>
      <c r="DH123" s="220">
        <f t="shared" si="742"/>
        <v>234.61717068000002</v>
      </c>
      <c r="DI123" s="220">
        <f t="shared" si="742"/>
        <v>239.30951409359997</v>
      </c>
      <c r="DJ123" s="220">
        <f t="shared" ref="DJ123:EO123" si="743">(IT123+($I123/12*DJ$90*(1-$E123)))*(1+$D$123)^(IT$116-1)</f>
        <v>239.30951409359997</v>
      </c>
      <c r="DK123" s="220">
        <f t="shared" si="743"/>
        <v>239.30951409359997</v>
      </c>
      <c r="DL123" s="220">
        <f t="shared" si="743"/>
        <v>239.30951409359997</v>
      </c>
      <c r="DM123" s="220">
        <f t="shared" si="743"/>
        <v>239.30951409359997</v>
      </c>
      <c r="DN123" s="220">
        <f t="shared" si="743"/>
        <v>239.30951409359997</v>
      </c>
      <c r="DO123" s="220">
        <f t="shared" si="743"/>
        <v>239.30951409359997</v>
      </c>
      <c r="DP123" s="220">
        <f t="shared" si="743"/>
        <v>239.30951409359997</v>
      </c>
      <c r="DQ123" s="220">
        <f t="shared" si="743"/>
        <v>239.30951409359997</v>
      </c>
      <c r="DR123" s="220">
        <f t="shared" si="743"/>
        <v>239.30951409359997</v>
      </c>
      <c r="DS123" s="220">
        <f t="shared" si="743"/>
        <v>239.30951409359997</v>
      </c>
      <c r="DT123" s="220">
        <f t="shared" si="743"/>
        <v>239.30951409359997</v>
      </c>
      <c r="DU123" s="220">
        <f t="shared" si="743"/>
        <v>244.095704375472</v>
      </c>
      <c r="DV123" s="220">
        <f t="shared" si="743"/>
        <v>244.095704375472</v>
      </c>
      <c r="DW123" s="220">
        <f t="shared" si="743"/>
        <v>244.095704375472</v>
      </c>
      <c r="DX123" s="220">
        <f t="shared" si="743"/>
        <v>244.095704375472</v>
      </c>
      <c r="DY123" s="220">
        <f t="shared" si="743"/>
        <v>244.095704375472</v>
      </c>
      <c r="DZ123" s="220">
        <f t="shared" si="743"/>
        <v>244.095704375472</v>
      </c>
      <c r="EA123" s="220">
        <f t="shared" si="743"/>
        <v>244.095704375472</v>
      </c>
      <c r="EB123" s="220">
        <f t="shared" si="743"/>
        <v>244.095704375472</v>
      </c>
      <c r="EC123" s="220">
        <f t="shared" si="743"/>
        <v>244.095704375472</v>
      </c>
      <c r="ED123" s="220">
        <f t="shared" si="743"/>
        <v>244.095704375472</v>
      </c>
      <c r="EE123" s="220">
        <f t="shared" si="743"/>
        <v>244.095704375472</v>
      </c>
      <c r="EF123" s="220">
        <f t="shared" si="743"/>
        <v>244.095704375472</v>
      </c>
      <c r="EG123" s="220">
        <f t="shared" si="743"/>
        <v>248.97761846298144</v>
      </c>
      <c r="EH123" s="220">
        <f t="shared" si="743"/>
        <v>248.97761846298144</v>
      </c>
      <c r="EI123" s="220">
        <f t="shared" si="743"/>
        <v>248.97761846298144</v>
      </c>
      <c r="EJ123" s="220">
        <f t="shared" si="743"/>
        <v>248.97761846298144</v>
      </c>
      <c r="EK123" s="220">
        <f t="shared" si="743"/>
        <v>248.97761846298144</v>
      </c>
      <c r="EL123" s="220">
        <f t="shared" si="743"/>
        <v>248.97761846298144</v>
      </c>
      <c r="EM123" s="220">
        <f t="shared" si="743"/>
        <v>248.97761846298144</v>
      </c>
      <c r="EN123" s="220">
        <f t="shared" si="743"/>
        <v>248.97761846298144</v>
      </c>
      <c r="EO123" s="220">
        <f t="shared" si="743"/>
        <v>248.97761846298144</v>
      </c>
      <c r="EP123" s="220">
        <f t="shared" ref="EP123:ES123" si="744">(JZ123+($I123/12*EP$90*(1-$E123)))*(1+$D$123)^(JZ$116-1)</f>
        <v>248.97761846298144</v>
      </c>
      <c r="EQ123" s="220">
        <f t="shared" si="744"/>
        <v>248.97761846298144</v>
      </c>
      <c r="ER123" s="220">
        <f t="shared" si="744"/>
        <v>248.97761846298144</v>
      </c>
      <c r="ES123" s="220">
        <f t="shared" si="744"/>
        <v>253.95717083224108</v>
      </c>
      <c r="EU123" s="153"/>
      <c r="EV123" s="153"/>
      <c r="EW123" s="304">
        <f t="shared" si="719"/>
        <v>0.75</v>
      </c>
      <c r="EX123" s="153"/>
      <c r="EY123" s="153"/>
      <c r="EZ123" s="154"/>
      <c r="FA123" s="153" t="s">
        <v>147</v>
      </c>
      <c r="FB123" s="221">
        <f t="shared" si="720"/>
        <v>0</v>
      </c>
      <c r="FC123" s="221">
        <f t="shared" si="720"/>
        <v>0</v>
      </c>
      <c r="FD123" s="221">
        <f t="shared" si="720"/>
        <v>0</v>
      </c>
      <c r="FE123" s="221">
        <f t="shared" si="720"/>
        <v>0</v>
      </c>
      <c r="FF123" s="221">
        <f t="shared" si="720"/>
        <v>0</v>
      </c>
      <c r="FG123" s="221">
        <f t="shared" si="720"/>
        <v>0</v>
      </c>
      <c r="FH123" s="221">
        <f t="shared" si="720"/>
        <v>0</v>
      </c>
      <c r="FI123" s="221">
        <f t="shared" si="720"/>
        <v>0</v>
      </c>
      <c r="FJ123" s="221">
        <f t="shared" si="720"/>
        <v>0</v>
      </c>
      <c r="FK123" s="221">
        <f t="shared" si="720"/>
        <v>0</v>
      </c>
      <c r="FL123" s="221">
        <f t="shared" si="721"/>
        <v>0</v>
      </c>
      <c r="FM123" s="221">
        <f t="shared" si="721"/>
        <v>156.25</v>
      </c>
      <c r="FN123" s="221">
        <f t="shared" si="721"/>
        <v>156.25</v>
      </c>
      <c r="FO123" s="221">
        <f t="shared" si="721"/>
        <v>156.25</v>
      </c>
      <c r="FP123" s="221">
        <f t="shared" si="721"/>
        <v>156.25</v>
      </c>
      <c r="FQ123" s="221">
        <f t="shared" si="721"/>
        <v>156.25</v>
      </c>
      <c r="FR123" s="221">
        <f t="shared" si="721"/>
        <v>156.25</v>
      </c>
      <c r="FS123" s="221">
        <f t="shared" si="721"/>
        <v>156.25</v>
      </c>
      <c r="FT123" s="221">
        <f t="shared" si="721"/>
        <v>156.25</v>
      </c>
      <c r="FU123" s="221">
        <f t="shared" si="721"/>
        <v>156.25</v>
      </c>
      <c r="FV123" s="221">
        <f t="shared" si="722"/>
        <v>156.25</v>
      </c>
      <c r="FW123" s="221">
        <f t="shared" si="722"/>
        <v>156.25</v>
      </c>
      <c r="FX123" s="221">
        <f t="shared" si="722"/>
        <v>156.25</v>
      </c>
      <c r="FY123" s="221">
        <f t="shared" si="722"/>
        <v>156.25</v>
      </c>
      <c r="FZ123" s="221">
        <f t="shared" si="722"/>
        <v>156.25</v>
      </c>
      <c r="GA123" s="221">
        <f t="shared" si="722"/>
        <v>156.25</v>
      </c>
      <c r="GB123" s="221">
        <f t="shared" si="722"/>
        <v>156.25</v>
      </c>
      <c r="GC123" s="221">
        <f t="shared" si="722"/>
        <v>156.25</v>
      </c>
      <c r="GD123" s="221">
        <f t="shared" si="722"/>
        <v>156.25</v>
      </c>
      <c r="GE123" s="221">
        <f t="shared" si="722"/>
        <v>156.25</v>
      </c>
      <c r="GF123" s="221">
        <f t="shared" si="723"/>
        <v>156.25</v>
      </c>
      <c r="GG123" s="221">
        <f t="shared" si="723"/>
        <v>156.25</v>
      </c>
      <c r="GH123" s="221">
        <f t="shared" si="723"/>
        <v>156.25</v>
      </c>
      <c r="GI123" s="221">
        <f t="shared" si="723"/>
        <v>156.25</v>
      </c>
      <c r="GJ123" s="221">
        <f t="shared" si="723"/>
        <v>156.25</v>
      </c>
      <c r="GK123" s="221">
        <f t="shared" si="723"/>
        <v>156.25</v>
      </c>
      <c r="GL123" s="221">
        <f t="shared" si="723"/>
        <v>156.25</v>
      </c>
      <c r="GM123" s="221">
        <f t="shared" si="723"/>
        <v>156.25</v>
      </c>
      <c r="GN123" s="221">
        <f t="shared" si="723"/>
        <v>156.25</v>
      </c>
      <c r="GO123" s="221">
        <f t="shared" si="723"/>
        <v>156.25</v>
      </c>
      <c r="GP123" s="221">
        <f t="shared" si="724"/>
        <v>156.25</v>
      </c>
      <c r="GQ123" s="221">
        <f t="shared" si="724"/>
        <v>156.25</v>
      </c>
      <c r="GR123" s="221">
        <f t="shared" si="724"/>
        <v>156.25</v>
      </c>
      <c r="GS123" s="221">
        <f t="shared" si="724"/>
        <v>156.25</v>
      </c>
      <c r="GT123" s="221">
        <f t="shared" si="724"/>
        <v>156.25</v>
      </c>
      <c r="GU123" s="221">
        <f t="shared" si="724"/>
        <v>156.25</v>
      </c>
      <c r="GV123" s="221">
        <f t="shared" si="724"/>
        <v>156.25</v>
      </c>
      <c r="GW123" s="221">
        <f t="shared" si="724"/>
        <v>156.25</v>
      </c>
      <c r="GX123" s="221">
        <f t="shared" si="724"/>
        <v>156.25</v>
      </c>
      <c r="GY123" s="221">
        <f t="shared" si="724"/>
        <v>156.25</v>
      </c>
      <c r="GZ123" s="221">
        <f t="shared" si="725"/>
        <v>156.25</v>
      </c>
      <c r="HA123" s="221">
        <f t="shared" si="725"/>
        <v>156.25</v>
      </c>
      <c r="HB123" s="221">
        <f t="shared" si="725"/>
        <v>156.25</v>
      </c>
      <c r="HC123" s="221">
        <f t="shared" si="725"/>
        <v>156.25</v>
      </c>
      <c r="HD123" s="221">
        <f t="shared" si="725"/>
        <v>156.25</v>
      </c>
      <c r="HE123" s="221">
        <f t="shared" si="725"/>
        <v>156.25</v>
      </c>
      <c r="HF123" s="221">
        <f t="shared" si="725"/>
        <v>156.25</v>
      </c>
      <c r="HG123" s="221">
        <f t="shared" si="725"/>
        <v>156.25</v>
      </c>
      <c r="HH123" s="221">
        <f t="shared" si="725"/>
        <v>156.25</v>
      </c>
      <c r="HI123" s="221">
        <f t="shared" si="725"/>
        <v>156.25</v>
      </c>
      <c r="HJ123" s="221">
        <f t="shared" si="726"/>
        <v>156.25</v>
      </c>
      <c r="HK123" s="221">
        <f t="shared" si="726"/>
        <v>156.25</v>
      </c>
      <c r="HL123" s="221">
        <f t="shared" si="726"/>
        <v>156.25</v>
      </c>
      <c r="HM123" s="221">
        <f t="shared" si="726"/>
        <v>156.25</v>
      </c>
      <c r="HN123" s="221">
        <f t="shared" si="726"/>
        <v>156.25</v>
      </c>
      <c r="HO123" s="221">
        <f t="shared" si="726"/>
        <v>156.25</v>
      </c>
      <c r="HP123" s="221">
        <f t="shared" si="726"/>
        <v>156.25</v>
      </c>
      <c r="HQ123" s="221">
        <f t="shared" si="726"/>
        <v>156.25</v>
      </c>
      <c r="HR123" s="221">
        <f t="shared" si="726"/>
        <v>156.25</v>
      </c>
      <c r="HS123" s="221">
        <f t="shared" si="726"/>
        <v>156.25</v>
      </c>
      <c r="HT123" s="221">
        <f t="shared" si="727"/>
        <v>156.25</v>
      </c>
      <c r="HU123" s="221">
        <f t="shared" si="727"/>
        <v>156.25</v>
      </c>
      <c r="HV123" s="221">
        <f t="shared" si="727"/>
        <v>156.25</v>
      </c>
      <c r="HW123" s="221">
        <f t="shared" si="727"/>
        <v>156.25</v>
      </c>
      <c r="HX123" s="221">
        <f t="shared" si="727"/>
        <v>156.25</v>
      </c>
      <c r="HY123" s="221">
        <f t="shared" si="727"/>
        <v>156.25</v>
      </c>
      <c r="HZ123" s="221">
        <f t="shared" si="727"/>
        <v>156.25</v>
      </c>
      <c r="IA123" s="221">
        <f t="shared" si="727"/>
        <v>156.25</v>
      </c>
      <c r="IB123" s="221">
        <f t="shared" si="727"/>
        <v>156.25</v>
      </c>
      <c r="IC123" s="221">
        <f t="shared" si="727"/>
        <v>156.25</v>
      </c>
      <c r="ID123" s="221">
        <f t="shared" si="728"/>
        <v>156.25</v>
      </c>
      <c r="IE123" s="221">
        <f t="shared" si="728"/>
        <v>156.25</v>
      </c>
      <c r="IF123" s="221">
        <f t="shared" si="728"/>
        <v>156.25</v>
      </c>
      <c r="IG123" s="221">
        <f t="shared" si="728"/>
        <v>156.25</v>
      </c>
      <c r="IH123" s="221">
        <f t="shared" si="728"/>
        <v>156.25</v>
      </c>
      <c r="II123" s="221">
        <f t="shared" si="728"/>
        <v>156.25</v>
      </c>
      <c r="IJ123" s="221">
        <f t="shared" si="728"/>
        <v>156.25</v>
      </c>
      <c r="IK123" s="221">
        <f t="shared" si="728"/>
        <v>156.25</v>
      </c>
      <c r="IL123" s="221">
        <f t="shared" si="728"/>
        <v>156.25</v>
      </c>
      <c r="IM123" s="221">
        <f t="shared" si="728"/>
        <v>156.25</v>
      </c>
      <c r="IN123" s="221">
        <f t="shared" si="729"/>
        <v>156.25</v>
      </c>
      <c r="IO123" s="221">
        <f t="shared" si="729"/>
        <v>156.25</v>
      </c>
      <c r="IP123" s="221">
        <f t="shared" si="729"/>
        <v>156.25</v>
      </c>
      <c r="IQ123" s="221">
        <f t="shared" si="729"/>
        <v>156.25</v>
      </c>
      <c r="IR123" s="221">
        <f t="shared" si="729"/>
        <v>156.25</v>
      </c>
      <c r="IS123" s="221">
        <f t="shared" si="729"/>
        <v>156.25</v>
      </c>
      <c r="IT123" s="221">
        <f t="shared" si="729"/>
        <v>156.25</v>
      </c>
      <c r="IU123" s="221">
        <f t="shared" si="729"/>
        <v>156.25</v>
      </c>
      <c r="IV123" s="221">
        <f t="shared" si="729"/>
        <v>156.25</v>
      </c>
      <c r="IW123" s="221">
        <f t="shared" si="729"/>
        <v>156.25</v>
      </c>
      <c r="IX123" s="221">
        <f t="shared" si="730"/>
        <v>156.25</v>
      </c>
      <c r="IY123" s="221">
        <f t="shared" si="730"/>
        <v>156.25</v>
      </c>
      <c r="IZ123" s="221">
        <f t="shared" si="730"/>
        <v>156.25</v>
      </c>
      <c r="JA123" s="221">
        <f t="shared" si="730"/>
        <v>156.25</v>
      </c>
      <c r="JB123" s="221">
        <f t="shared" si="730"/>
        <v>156.25</v>
      </c>
      <c r="JC123" s="221">
        <f t="shared" si="730"/>
        <v>156.25</v>
      </c>
      <c r="JD123" s="221">
        <f t="shared" si="730"/>
        <v>156.25</v>
      </c>
      <c r="JE123" s="221">
        <f t="shared" si="730"/>
        <v>156.25</v>
      </c>
      <c r="JF123" s="221">
        <f t="shared" si="730"/>
        <v>156.25</v>
      </c>
      <c r="JG123" s="221">
        <f t="shared" si="730"/>
        <v>156.25</v>
      </c>
      <c r="JH123" s="221">
        <f t="shared" si="731"/>
        <v>156.25</v>
      </c>
      <c r="JI123" s="221">
        <f t="shared" si="731"/>
        <v>156.25</v>
      </c>
      <c r="JJ123" s="221">
        <f t="shared" si="731"/>
        <v>156.25</v>
      </c>
      <c r="JK123" s="221">
        <f t="shared" si="731"/>
        <v>156.25</v>
      </c>
      <c r="JL123" s="221">
        <f t="shared" si="731"/>
        <v>156.25</v>
      </c>
      <c r="JM123" s="221">
        <f t="shared" si="731"/>
        <v>156.25</v>
      </c>
      <c r="JN123" s="221">
        <f t="shared" si="731"/>
        <v>156.25</v>
      </c>
      <c r="JO123" s="221">
        <f t="shared" si="731"/>
        <v>156.25</v>
      </c>
      <c r="JP123" s="221">
        <f t="shared" si="731"/>
        <v>156.25</v>
      </c>
      <c r="JQ123" s="221">
        <f t="shared" si="731"/>
        <v>156.25</v>
      </c>
      <c r="JR123" s="221">
        <f t="shared" si="732"/>
        <v>156.25</v>
      </c>
      <c r="JS123" s="221">
        <f t="shared" si="732"/>
        <v>156.25</v>
      </c>
      <c r="JT123" s="221">
        <f t="shared" si="732"/>
        <v>156.25</v>
      </c>
      <c r="JU123" s="221">
        <f t="shared" si="732"/>
        <v>156.25</v>
      </c>
      <c r="JV123" s="221">
        <f t="shared" si="732"/>
        <v>156.25</v>
      </c>
      <c r="JW123" s="221">
        <f t="shared" si="732"/>
        <v>156.25</v>
      </c>
      <c r="JX123" s="221">
        <f t="shared" si="732"/>
        <v>156.25</v>
      </c>
      <c r="JY123" s="221">
        <f t="shared" si="732"/>
        <v>156.25</v>
      </c>
      <c r="JZ123" s="221">
        <f t="shared" si="732"/>
        <v>156.25</v>
      </c>
      <c r="KA123" s="221">
        <f t="shared" si="732"/>
        <v>156.25</v>
      </c>
      <c r="KB123" s="221">
        <f t="shared" si="732"/>
        <v>156.25</v>
      </c>
      <c r="KC123" s="221">
        <f t="shared" si="732"/>
        <v>156.25</v>
      </c>
    </row>
    <row r="124" spans="1:289" x14ac:dyDescent="0.25">
      <c r="B124" s="234" t="s">
        <v>128</v>
      </c>
      <c r="C124" s="196"/>
      <c r="D124" s="310">
        <f t="shared" si="739"/>
        <v>0.02</v>
      </c>
      <c r="E124" s="357">
        <v>1</v>
      </c>
      <c r="F124" s="357"/>
      <c r="G124" s="272">
        <f t="shared" si="733"/>
        <v>1.4427516158818097E-2</v>
      </c>
      <c r="H124" s="218">
        <f t="shared" si="713"/>
        <v>312.5</v>
      </c>
      <c r="I124" s="219">
        <v>5000</v>
      </c>
      <c r="R124" s="220">
        <f t="shared" ref="R124:AW124" si="745">(FB124+($I124/12*R$90*(1-$E124)))*(1+$D$124)^(FB$116-1)</f>
        <v>0</v>
      </c>
      <c r="S124" s="220">
        <f t="shared" si="745"/>
        <v>0</v>
      </c>
      <c r="T124" s="220">
        <f t="shared" si="745"/>
        <v>0</v>
      </c>
      <c r="U124" s="220">
        <f t="shared" si="745"/>
        <v>0</v>
      </c>
      <c r="V124" s="220">
        <f t="shared" si="745"/>
        <v>0</v>
      </c>
      <c r="W124" s="220">
        <f t="shared" si="745"/>
        <v>0</v>
      </c>
      <c r="X124" s="220">
        <f t="shared" si="745"/>
        <v>0</v>
      </c>
      <c r="Y124" s="220">
        <f t="shared" si="745"/>
        <v>0</v>
      </c>
      <c r="Z124" s="220">
        <f t="shared" si="745"/>
        <v>0</v>
      </c>
      <c r="AA124" s="220">
        <f t="shared" si="745"/>
        <v>0</v>
      </c>
      <c r="AB124" s="220">
        <f t="shared" si="745"/>
        <v>0</v>
      </c>
      <c r="AC124" s="220">
        <f t="shared" si="745"/>
        <v>416.66666666666669</v>
      </c>
      <c r="AD124" s="220">
        <f t="shared" si="745"/>
        <v>416.66666666666669</v>
      </c>
      <c r="AE124" s="220">
        <f t="shared" si="745"/>
        <v>416.66666666666669</v>
      </c>
      <c r="AF124" s="220">
        <f t="shared" si="745"/>
        <v>416.66666666666669</v>
      </c>
      <c r="AG124" s="220">
        <f t="shared" si="745"/>
        <v>416.66666666666669</v>
      </c>
      <c r="AH124" s="220">
        <f t="shared" si="745"/>
        <v>416.66666666666669</v>
      </c>
      <c r="AI124" s="220">
        <f t="shared" si="745"/>
        <v>416.66666666666669</v>
      </c>
      <c r="AJ124" s="220">
        <f t="shared" si="745"/>
        <v>416.66666666666669</v>
      </c>
      <c r="AK124" s="220">
        <f t="shared" si="745"/>
        <v>416.66666666666669</v>
      </c>
      <c r="AL124" s="220">
        <f t="shared" si="745"/>
        <v>416.66666666666669</v>
      </c>
      <c r="AM124" s="220">
        <f t="shared" si="745"/>
        <v>416.66666666666669</v>
      </c>
      <c r="AN124" s="220">
        <f t="shared" si="745"/>
        <v>416.66666666666669</v>
      </c>
      <c r="AO124" s="220">
        <f t="shared" si="745"/>
        <v>425</v>
      </c>
      <c r="AP124" s="220">
        <f t="shared" si="745"/>
        <v>425</v>
      </c>
      <c r="AQ124" s="220">
        <f t="shared" si="745"/>
        <v>425</v>
      </c>
      <c r="AR124" s="220">
        <f t="shared" si="745"/>
        <v>425</v>
      </c>
      <c r="AS124" s="220">
        <f t="shared" si="745"/>
        <v>425</v>
      </c>
      <c r="AT124" s="220">
        <f t="shared" si="745"/>
        <v>425</v>
      </c>
      <c r="AU124" s="220">
        <f t="shared" si="745"/>
        <v>425</v>
      </c>
      <c r="AV124" s="220">
        <f t="shared" si="745"/>
        <v>425</v>
      </c>
      <c r="AW124" s="220">
        <f t="shared" si="745"/>
        <v>425</v>
      </c>
      <c r="AX124" s="220">
        <f t="shared" ref="AX124:CC124" si="746">(GH124+($I124/12*AX$90*(1-$E124)))*(1+$D$124)^(GH$116-1)</f>
        <v>425</v>
      </c>
      <c r="AY124" s="220">
        <f t="shared" si="746"/>
        <v>425</v>
      </c>
      <c r="AZ124" s="220">
        <f t="shared" si="746"/>
        <v>425</v>
      </c>
      <c r="BA124" s="220">
        <f t="shared" si="746"/>
        <v>433.5</v>
      </c>
      <c r="BB124" s="220">
        <f t="shared" si="746"/>
        <v>433.5</v>
      </c>
      <c r="BC124" s="220">
        <f t="shared" si="746"/>
        <v>433.5</v>
      </c>
      <c r="BD124" s="220">
        <f t="shared" si="746"/>
        <v>433.5</v>
      </c>
      <c r="BE124" s="220">
        <f t="shared" si="746"/>
        <v>433.5</v>
      </c>
      <c r="BF124" s="220">
        <f t="shared" si="746"/>
        <v>433.5</v>
      </c>
      <c r="BG124" s="220">
        <f t="shared" si="746"/>
        <v>433.5</v>
      </c>
      <c r="BH124" s="220">
        <f t="shared" si="746"/>
        <v>433.5</v>
      </c>
      <c r="BI124" s="220">
        <f t="shared" si="746"/>
        <v>433.5</v>
      </c>
      <c r="BJ124" s="220">
        <f t="shared" si="746"/>
        <v>433.5</v>
      </c>
      <c r="BK124" s="220">
        <f t="shared" si="746"/>
        <v>433.5</v>
      </c>
      <c r="BL124" s="220">
        <f t="shared" si="746"/>
        <v>433.5</v>
      </c>
      <c r="BM124" s="220">
        <f t="shared" si="746"/>
        <v>442.17</v>
      </c>
      <c r="BN124" s="220">
        <f t="shared" si="746"/>
        <v>442.17</v>
      </c>
      <c r="BO124" s="220">
        <f t="shared" si="746"/>
        <v>442.17</v>
      </c>
      <c r="BP124" s="220">
        <f t="shared" si="746"/>
        <v>442.17</v>
      </c>
      <c r="BQ124" s="220">
        <f t="shared" si="746"/>
        <v>442.17</v>
      </c>
      <c r="BR124" s="220">
        <f t="shared" si="746"/>
        <v>442.17</v>
      </c>
      <c r="BS124" s="220">
        <f t="shared" si="746"/>
        <v>442.17</v>
      </c>
      <c r="BT124" s="220">
        <f t="shared" si="746"/>
        <v>442.17</v>
      </c>
      <c r="BU124" s="220">
        <f t="shared" si="746"/>
        <v>442.17</v>
      </c>
      <c r="BV124" s="220">
        <f t="shared" si="746"/>
        <v>442.17</v>
      </c>
      <c r="BW124" s="220">
        <f t="shared" si="746"/>
        <v>442.17</v>
      </c>
      <c r="BX124" s="220">
        <f t="shared" si="746"/>
        <v>442.17</v>
      </c>
      <c r="BY124" s="220">
        <f t="shared" si="746"/>
        <v>451.01339999999999</v>
      </c>
      <c r="BZ124" s="220">
        <f t="shared" si="746"/>
        <v>451.01339999999999</v>
      </c>
      <c r="CA124" s="220">
        <f t="shared" si="746"/>
        <v>451.01339999999999</v>
      </c>
      <c r="CB124" s="220">
        <f t="shared" si="746"/>
        <v>451.01339999999999</v>
      </c>
      <c r="CC124" s="220">
        <f t="shared" si="746"/>
        <v>451.01339999999999</v>
      </c>
      <c r="CD124" s="220">
        <f t="shared" ref="CD124:DI124" si="747">(HN124+($I124/12*CD$90*(1-$E124)))*(1+$D$124)^(HN$116-1)</f>
        <v>451.01339999999999</v>
      </c>
      <c r="CE124" s="220">
        <f t="shared" si="747"/>
        <v>451.01339999999999</v>
      </c>
      <c r="CF124" s="220">
        <f t="shared" si="747"/>
        <v>451.01339999999999</v>
      </c>
      <c r="CG124" s="220">
        <f t="shared" si="747"/>
        <v>451.01339999999999</v>
      </c>
      <c r="CH124" s="220">
        <f t="shared" si="747"/>
        <v>451.01339999999999</v>
      </c>
      <c r="CI124" s="220">
        <f t="shared" si="747"/>
        <v>451.01339999999999</v>
      </c>
      <c r="CJ124" s="220">
        <f t="shared" si="747"/>
        <v>451.01339999999999</v>
      </c>
      <c r="CK124" s="220">
        <f t="shared" si="747"/>
        <v>460.03366800000003</v>
      </c>
      <c r="CL124" s="220">
        <f t="shared" si="747"/>
        <v>460.03366800000003</v>
      </c>
      <c r="CM124" s="220">
        <f t="shared" si="747"/>
        <v>460.03366800000003</v>
      </c>
      <c r="CN124" s="220">
        <f t="shared" si="747"/>
        <v>460.03366800000003</v>
      </c>
      <c r="CO124" s="220">
        <f t="shared" si="747"/>
        <v>460.03366800000003</v>
      </c>
      <c r="CP124" s="220">
        <f t="shared" si="747"/>
        <v>460.03366800000003</v>
      </c>
      <c r="CQ124" s="220">
        <f t="shared" si="747"/>
        <v>460.03366800000003</v>
      </c>
      <c r="CR124" s="220">
        <f t="shared" si="747"/>
        <v>460.03366800000003</v>
      </c>
      <c r="CS124" s="220">
        <f t="shared" si="747"/>
        <v>460.03366800000003</v>
      </c>
      <c r="CT124" s="220">
        <f t="shared" si="747"/>
        <v>460.03366800000003</v>
      </c>
      <c r="CU124" s="220">
        <f t="shared" si="747"/>
        <v>460.03366800000003</v>
      </c>
      <c r="CV124" s="220">
        <f t="shared" si="747"/>
        <v>460.03366800000003</v>
      </c>
      <c r="CW124" s="220">
        <f t="shared" si="747"/>
        <v>469.23434136000003</v>
      </c>
      <c r="CX124" s="220">
        <f t="shared" si="747"/>
        <v>469.23434136000003</v>
      </c>
      <c r="CY124" s="220">
        <f t="shared" si="747"/>
        <v>469.23434136000003</v>
      </c>
      <c r="CZ124" s="220">
        <f t="shared" si="747"/>
        <v>469.23434136000003</v>
      </c>
      <c r="DA124" s="220">
        <f t="shared" si="747"/>
        <v>469.23434136000003</v>
      </c>
      <c r="DB124" s="220">
        <f t="shared" si="747"/>
        <v>469.23434136000003</v>
      </c>
      <c r="DC124" s="220">
        <f t="shared" si="747"/>
        <v>469.23434136000003</v>
      </c>
      <c r="DD124" s="220">
        <f t="shared" si="747"/>
        <v>469.23434136000003</v>
      </c>
      <c r="DE124" s="220">
        <f t="shared" si="747"/>
        <v>469.23434136000003</v>
      </c>
      <c r="DF124" s="220">
        <f t="shared" si="747"/>
        <v>469.23434136000003</v>
      </c>
      <c r="DG124" s="220">
        <f t="shared" si="747"/>
        <v>469.23434136000003</v>
      </c>
      <c r="DH124" s="220">
        <f t="shared" si="747"/>
        <v>469.23434136000003</v>
      </c>
      <c r="DI124" s="220">
        <f t="shared" si="747"/>
        <v>478.61902818719994</v>
      </c>
      <c r="DJ124" s="220">
        <f t="shared" ref="DJ124:EO124" si="748">(IT124+($I124/12*DJ$90*(1-$E124)))*(1+$D$124)^(IT$116-1)</f>
        <v>478.61902818719994</v>
      </c>
      <c r="DK124" s="220">
        <f t="shared" si="748"/>
        <v>478.61902818719994</v>
      </c>
      <c r="DL124" s="220">
        <f t="shared" si="748"/>
        <v>478.61902818719994</v>
      </c>
      <c r="DM124" s="220">
        <f t="shared" si="748"/>
        <v>478.61902818719994</v>
      </c>
      <c r="DN124" s="220">
        <f t="shared" si="748"/>
        <v>478.61902818719994</v>
      </c>
      <c r="DO124" s="220">
        <f t="shared" si="748"/>
        <v>478.61902818719994</v>
      </c>
      <c r="DP124" s="220">
        <f t="shared" si="748"/>
        <v>478.61902818719994</v>
      </c>
      <c r="DQ124" s="220">
        <f t="shared" si="748"/>
        <v>478.61902818719994</v>
      </c>
      <c r="DR124" s="220">
        <f t="shared" si="748"/>
        <v>478.61902818719994</v>
      </c>
      <c r="DS124" s="220">
        <f t="shared" si="748"/>
        <v>478.61902818719994</v>
      </c>
      <c r="DT124" s="220">
        <f t="shared" si="748"/>
        <v>478.61902818719994</v>
      </c>
      <c r="DU124" s="220">
        <f t="shared" si="748"/>
        <v>488.19140875094399</v>
      </c>
      <c r="DV124" s="220">
        <f t="shared" si="748"/>
        <v>488.19140875094399</v>
      </c>
      <c r="DW124" s="220">
        <f t="shared" si="748"/>
        <v>488.19140875094399</v>
      </c>
      <c r="DX124" s="220">
        <f t="shared" si="748"/>
        <v>488.19140875094399</v>
      </c>
      <c r="DY124" s="220">
        <f t="shared" si="748"/>
        <v>488.19140875094399</v>
      </c>
      <c r="DZ124" s="220">
        <f t="shared" si="748"/>
        <v>488.19140875094399</v>
      </c>
      <c r="EA124" s="220">
        <f t="shared" si="748"/>
        <v>488.19140875094399</v>
      </c>
      <c r="EB124" s="220">
        <f t="shared" si="748"/>
        <v>488.19140875094399</v>
      </c>
      <c r="EC124" s="220">
        <f t="shared" si="748"/>
        <v>488.19140875094399</v>
      </c>
      <c r="ED124" s="220">
        <f t="shared" si="748"/>
        <v>488.19140875094399</v>
      </c>
      <c r="EE124" s="220">
        <f t="shared" si="748"/>
        <v>488.19140875094399</v>
      </c>
      <c r="EF124" s="220">
        <f t="shared" si="748"/>
        <v>488.19140875094399</v>
      </c>
      <c r="EG124" s="220">
        <f t="shared" si="748"/>
        <v>497.95523692596288</v>
      </c>
      <c r="EH124" s="220">
        <f t="shared" si="748"/>
        <v>497.95523692596288</v>
      </c>
      <c r="EI124" s="220">
        <f t="shared" si="748"/>
        <v>497.95523692596288</v>
      </c>
      <c r="EJ124" s="220">
        <f t="shared" si="748"/>
        <v>497.95523692596288</v>
      </c>
      <c r="EK124" s="220">
        <f t="shared" si="748"/>
        <v>497.95523692596288</v>
      </c>
      <c r="EL124" s="220">
        <f t="shared" si="748"/>
        <v>497.95523692596288</v>
      </c>
      <c r="EM124" s="220">
        <f t="shared" si="748"/>
        <v>497.95523692596288</v>
      </c>
      <c r="EN124" s="220">
        <f t="shared" si="748"/>
        <v>497.95523692596288</v>
      </c>
      <c r="EO124" s="220">
        <f t="shared" si="748"/>
        <v>497.95523692596288</v>
      </c>
      <c r="EP124" s="220">
        <f t="shared" ref="EP124:ES124" si="749">(JZ124+($I124/12*EP$90*(1-$E124)))*(1+$D$124)^(JZ$116-1)</f>
        <v>497.95523692596288</v>
      </c>
      <c r="EQ124" s="220">
        <f t="shared" si="749"/>
        <v>497.95523692596288</v>
      </c>
      <c r="ER124" s="220">
        <f t="shared" si="749"/>
        <v>497.95523692596288</v>
      </c>
      <c r="ES124" s="220">
        <f t="shared" si="749"/>
        <v>507.91434166448215</v>
      </c>
      <c r="EU124" s="153"/>
      <c r="EV124" s="153"/>
      <c r="EW124" s="304">
        <f t="shared" si="719"/>
        <v>1</v>
      </c>
      <c r="EX124" s="153"/>
      <c r="EY124" s="153"/>
      <c r="EZ124" s="154"/>
      <c r="FA124" s="153" t="s">
        <v>147</v>
      </c>
      <c r="FB124" s="221">
        <f t="shared" si="720"/>
        <v>0</v>
      </c>
      <c r="FC124" s="221">
        <f t="shared" si="720"/>
        <v>0</v>
      </c>
      <c r="FD124" s="221">
        <f t="shared" si="720"/>
        <v>0</v>
      </c>
      <c r="FE124" s="221">
        <f t="shared" si="720"/>
        <v>0</v>
      </c>
      <c r="FF124" s="221">
        <f t="shared" si="720"/>
        <v>0</v>
      </c>
      <c r="FG124" s="221">
        <f t="shared" si="720"/>
        <v>0</v>
      </c>
      <c r="FH124" s="221">
        <f t="shared" si="720"/>
        <v>0</v>
      </c>
      <c r="FI124" s="221">
        <f t="shared" si="720"/>
        <v>0</v>
      </c>
      <c r="FJ124" s="221">
        <f t="shared" si="720"/>
        <v>0</v>
      </c>
      <c r="FK124" s="221">
        <f t="shared" si="720"/>
        <v>0</v>
      </c>
      <c r="FL124" s="221">
        <f t="shared" si="721"/>
        <v>0</v>
      </c>
      <c r="FM124" s="221">
        <f t="shared" si="721"/>
        <v>416.66666666666669</v>
      </c>
      <c r="FN124" s="221">
        <f t="shared" si="721"/>
        <v>416.66666666666669</v>
      </c>
      <c r="FO124" s="221">
        <f t="shared" si="721"/>
        <v>416.66666666666669</v>
      </c>
      <c r="FP124" s="221">
        <f t="shared" si="721"/>
        <v>416.66666666666669</v>
      </c>
      <c r="FQ124" s="221">
        <f t="shared" si="721"/>
        <v>416.66666666666669</v>
      </c>
      <c r="FR124" s="221">
        <f t="shared" si="721"/>
        <v>416.66666666666669</v>
      </c>
      <c r="FS124" s="221">
        <f t="shared" si="721"/>
        <v>416.66666666666669</v>
      </c>
      <c r="FT124" s="221">
        <f t="shared" si="721"/>
        <v>416.66666666666669</v>
      </c>
      <c r="FU124" s="221">
        <f t="shared" si="721"/>
        <v>416.66666666666669</v>
      </c>
      <c r="FV124" s="221">
        <f t="shared" si="722"/>
        <v>416.66666666666669</v>
      </c>
      <c r="FW124" s="221">
        <f t="shared" si="722"/>
        <v>416.66666666666669</v>
      </c>
      <c r="FX124" s="221">
        <f t="shared" si="722"/>
        <v>416.66666666666669</v>
      </c>
      <c r="FY124" s="221">
        <f t="shared" si="722"/>
        <v>416.66666666666669</v>
      </c>
      <c r="FZ124" s="221">
        <f t="shared" si="722"/>
        <v>416.66666666666669</v>
      </c>
      <c r="GA124" s="221">
        <f t="shared" si="722"/>
        <v>416.66666666666669</v>
      </c>
      <c r="GB124" s="221">
        <f t="shared" si="722"/>
        <v>416.66666666666669</v>
      </c>
      <c r="GC124" s="221">
        <f t="shared" si="722"/>
        <v>416.66666666666669</v>
      </c>
      <c r="GD124" s="221">
        <f t="shared" si="722"/>
        <v>416.66666666666669</v>
      </c>
      <c r="GE124" s="221">
        <f t="shared" si="722"/>
        <v>416.66666666666669</v>
      </c>
      <c r="GF124" s="221">
        <f t="shared" si="723"/>
        <v>416.66666666666669</v>
      </c>
      <c r="GG124" s="221">
        <f t="shared" si="723"/>
        <v>416.66666666666669</v>
      </c>
      <c r="GH124" s="221">
        <f t="shared" si="723"/>
        <v>416.66666666666669</v>
      </c>
      <c r="GI124" s="221">
        <f t="shared" si="723"/>
        <v>416.66666666666669</v>
      </c>
      <c r="GJ124" s="221">
        <f t="shared" si="723"/>
        <v>416.66666666666669</v>
      </c>
      <c r="GK124" s="221">
        <f t="shared" si="723"/>
        <v>416.66666666666669</v>
      </c>
      <c r="GL124" s="221">
        <f t="shared" si="723"/>
        <v>416.66666666666669</v>
      </c>
      <c r="GM124" s="221">
        <f t="shared" si="723"/>
        <v>416.66666666666669</v>
      </c>
      <c r="GN124" s="221">
        <f t="shared" si="723"/>
        <v>416.66666666666669</v>
      </c>
      <c r="GO124" s="221">
        <f t="shared" si="723"/>
        <v>416.66666666666669</v>
      </c>
      <c r="GP124" s="221">
        <f t="shared" si="724"/>
        <v>416.66666666666669</v>
      </c>
      <c r="GQ124" s="221">
        <f t="shared" si="724"/>
        <v>416.66666666666669</v>
      </c>
      <c r="GR124" s="221">
        <f t="shared" si="724"/>
        <v>416.66666666666669</v>
      </c>
      <c r="GS124" s="221">
        <f t="shared" si="724"/>
        <v>416.66666666666669</v>
      </c>
      <c r="GT124" s="221">
        <f t="shared" si="724"/>
        <v>416.66666666666669</v>
      </c>
      <c r="GU124" s="221">
        <f t="shared" si="724"/>
        <v>416.66666666666669</v>
      </c>
      <c r="GV124" s="221">
        <f t="shared" si="724"/>
        <v>416.66666666666669</v>
      </c>
      <c r="GW124" s="221">
        <f t="shared" si="724"/>
        <v>416.66666666666669</v>
      </c>
      <c r="GX124" s="221">
        <f t="shared" si="724"/>
        <v>416.66666666666669</v>
      </c>
      <c r="GY124" s="221">
        <f t="shared" si="724"/>
        <v>416.66666666666669</v>
      </c>
      <c r="GZ124" s="221">
        <f t="shared" si="725"/>
        <v>416.66666666666669</v>
      </c>
      <c r="HA124" s="221">
        <f t="shared" si="725"/>
        <v>416.66666666666669</v>
      </c>
      <c r="HB124" s="221">
        <f t="shared" si="725"/>
        <v>416.66666666666669</v>
      </c>
      <c r="HC124" s="221">
        <f t="shared" si="725"/>
        <v>416.66666666666669</v>
      </c>
      <c r="HD124" s="221">
        <f t="shared" si="725"/>
        <v>416.66666666666669</v>
      </c>
      <c r="HE124" s="221">
        <f t="shared" si="725"/>
        <v>416.66666666666669</v>
      </c>
      <c r="HF124" s="221">
        <f t="shared" si="725"/>
        <v>416.66666666666669</v>
      </c>
      <c r="HG124" s="221">
        <f t="shared" si="725"/>
        <v>416.66666666666669</v>
      </c>
      <c r="HH124" s="221">
        <f t="shared" si="725"/>
        <v>416.66666666666669</v>
      </c>
      <c r="HI124" s="221">
        <f t="shared" si="725"/>
        <v>416.66666666666669</v>
      </c>
      <c r="HJ124" s="221">
        <f t="shared" si="726"/>
        <v>416.66666666666669</v>
      </c>
      <c r="HK124" s="221">
        <f t="shared" si="726"/>
        <v>416.66666666666669</v>
      </c>
      <c r="HL124" s="221">
        <f t="shared" si="726"/>
        <v>416.66666666666669</v>
      </c>
      <c r="HM124" s="221">
        <f t="shared" si="726"/>
        <v>416.66666666666669</v>
      </c>
      <c r="HN124" s="221">
        <f t="shared" si="726"/>
        <v>416.66666666666669</v>
      </c>
      <c r="HO124" s="221">
        <f t="shared" si="726"/>
        <v>416.66666666666669</v>
      </c>
      <c r="HP124" s="221">
        <f t="shared" si="726"/>
        <v>416.66666666666669</v>
      </c>
      <c r="HQ124" s="221">
        <f t="shared" si="726"/>
        <v>416.66666666666669</v>
      </c>
      <c r="HR124" s="221">
        <f t="shared" si="726"/>
        <v>416.66666666666669</v>
      </c>
      <c r="HS124" s="221">
        <f t="shared" si="726"/>
        <v>416.66666666666669</v>
      </c>
      <c r="HT124" s="221">
        <f t="shared" si="727"/>
        <v>416.66666666666669</v>
      </c>
      <c r="HU124" s="221">
        <f t="shared" si="727"/>
        <v>416.66666666666669</v>
      </c>
      <c r="HV124" s="221">
        <f t="shared" si="727"/>
        <v>416.66666666666669</v>
      </c>
      <c r="HW124" s="221">
        <f t="shared" si="727"/>
        <v>416.66666666666669</v>
      </c>
      <c r="HX124" s="221">
        <f t="shared" si="727"/>
        <v>416.66666666666669</v>
      </c>
      <c r="HY124" s="221">
        <f t="shared" si="727"/>
        <v>416.66666666666669</v>
      </c>
      <c r="HZ124" s="221">
        <f t="shared" si="727"/>
        <v>416.66666666666669</v>
      </c>
      <c r="IA124" s="221">
        <f t="shared" si="727"/>
        <v>416.66666666666669</v>
      </c>
      <c r="IB124" s="221">
        <f t="shared" si="727"/>
        <v>416.66666666666669</v>
      </c>
      <c r="IC124" s="221">
        <f t="shared" si="727"/>
        <v>416.66666666666669</v>
      </c>
      <c r="ID124" s="221">
        <f t="shared" si="728"/>
        <v>416.66666666666669</v>
      </c>
      <c r="IE124" s="221">
        <f t="shared" si="728"/>
        <v>416.66666666666669</v>
      </c>
      <c r="IF124" s="221">
        <f t="shared" si="728"/>
        <v>416.66666666666669</v>
      </c>
      <c r="IG124" s="221">
        <f t="shared" si="728"/>
        <v>416.66666666666669</v>
      </c>
      <c r="IH124" s="221">
        <f t="shared" si="728"/>
        <v>416.66666666666669</v>
      </c>
      <c r="II124" s="221">
        <f t="shared" si="728"/>
        <v>416.66666666666669</v>
      </c>
      <c r="IJ124" s="221">
        <f t="shared" si="728"/>
        <v>416.66666666666669</v>
      </c>
      <c r="IK124" s="221">
        <f t="shared" si="728"/>
        <v>416.66666666666669</v>
      </c>
      <c r="IL124" s="221">
        <f t="shared" si="728"/>
        <v>416.66666666666669</v>
      </c>
      <c r="IM124" s="221">
        <f t="shared" si="728"/>
        <v>416.66666666666669</v>
      </c>
      <c r="IN124" s="221">
        <f t="shared" si="729"/>
        <v>416.66666666666669</v>
      </c>
      <c r="IO124" s="221">
        <f t="shared" si="729"/>
        <v>416.66666666666669</v>
      </c>
      <c r="IP124" s="221">
        <f t="shared" si="729"/>
        <v>416.66666666666669</v>
      </c>
      <c r="IQ124" s="221">
        <f t="shared" si="729"/>
        <v>416.66666666666669</v>
      </c>
      <c r="IR124" s="221">
        <f t="shared" si="729"/>
        <v>416.66666666666669</v>
      </c>
      <c r="IS124" s="221">
        <f t="shared" si="729"/>
        <v>416.66666666666669</v>
      </c>
      <c r="IT124" s="221">
        <f t="shared" si="729"/>
        <v>416.66666666666669</v>
      </c>
      <c r="IU124" s="221">
        <f t="shared" si="729"/>
        <v>416.66666666666669</v>
      </c>
      <c r="IV124" s="221">
        <f t="shared" si="729"/>
        <v>416.66666666666669</v>
      </c>
      <c r="IW124" s="221">
        <f t="shared" si="729"/>
        <v>416.66666666666669</v>
      </c>
      <c r="IX124" s="221">
        <f t="shared" si="730"/>
        <v>416.66666666666669</v>
      </c>
      <c r="IY124" s="221">
        <f t="shared" si="730"/>
        <v>416.66666666666669</v>
      </c>
      <c r="IZ124" s="221">
        <f t="shared" si="730"/>
        <v>416.66666666666669</v>
      </c>
      <c r="JA124" s="221">
        <f t="shared" si="730"/>
        <v>416.66666666666669</v>
      </c>
      <c r="JB124" s="221">
        <f t="shared" si="730"/>
        <v>416.66666666666669</v>
      </c>
      <c r="JC124" s="221">
        <f t="shared" si="730"/>
        <v>416.66666666666669</v>
      </c>
      <c r="JD124" s="221">
        <f t="shared" si="730"/>
        <v>416.66666666666669</v>
      </c>
      <c r="JE124" s="221">
        <f t="shared" si="730"/>
        <v>416.66666666666669</v>
      </c>
      <c r="JF124" s="221">
        <f t="shared" si="730"/>
        <v>416.66666666666669</v>
      </c>
      <c r="JG124" s="221">
        <f t="shared" si="730"/>
        <v>416.66666666666669</v>
      </c>
      <c r="JH124" s="221">
        <f t="shared" si="731"/>
        <v>416.66666666666669</v>
      </c>
      <c r="JI124" s="221">
        <f t="shared" si="731"/>
        <v>416.66666666666669</v>
      </c>
      <c r="JJ124" s="221">
        <f t="shared" si="731"/>
        <v>416.66666666666669</v>
      </c>
      <c r="JK124" s="221">
        <f t="shared" si="731"/>
        <v>416.66666666666669</v>
      </c>
      <c r="JL124" s="221">
        <f t="shared" si="731"/>
        <v>416.66666666666669</v>
      </c>
      <c r="JM124" s="221">
        <f t="shared" si="731"/>
        <v>416.66666666666669</v>
      </c>
      <c r="JN124" s="221">
        <f t="shared" si="731"/>
        <v>416.66666666666669</v>
      </c>
      <c r="JO124" s="221">
        <f t="shared" si="731"/>
        <v>416.66666666666669</v>
      </c>
      <c r="JP124" s="221">
        <f t="shared" si="731"/>
        <v>416.66666666666669</v>
      </c>
      <c r="JQ124" s="221">
        <f t="shared" si="731"/>
        <v>416.66666666666669</v>
      </c>
      <c r="JR124" s="221">
        <f t="shared" si="732"/>
        <v>416.66666666666669</v>
      </c>
      <c r="JS124" s="221">
        <f t="shared" si="732"/>
        <v>416.66666666666669</v>
      </c>
      <c r="JT124" s="221">
        <f t="shared" si="732"/>
        <v>416.66666666666669</v>
      </c>
      <c r="JU124" s="221">
        <f t="shared" si="732"/>
        <v>416.66666666666669</v>
      </c>
      <c r="JV124" s="221">
        <f t="shared" si="732"/>
        <v>416.66666666666669</v>
      </c>
      <c r="JW124" s="221">
        <f t="shared" si="732"/>
        <v>416.66666666666669</v>
      </c>
      <c r="JX124" s="221">
        <f t="shared" si="732"/>
        <v>416.66666666666669</v>
      </c>
      <c r="JY124" s="221">
        <f t="shared" si="732"/>
        <v>416.66666666666669</v>
      </c>
      <c r="JZ124" s="221">
        <f t="shared" si="732"/>
        <v>416.66666666666669</v>
      </c>
      <c r="KA124" s="221">
        <f t="shared" si="732"/>
        <v>416.66666666666669</v>
      </c>
      <c r="KB124" s="221">
        <f t="shared" si="732"/>
        <v>416.66666666666669</v>
      </c>
      <c r="KC124" s="221">
        <f t="shared" si="732"/>
        <v>416.66666666666669</v>
      </c>
    </row>
    <row r="125" spans="1:289" x14ac:dyDescent="0.25">
      <c r="B125" s="234" t="s">
        <v>129</v>
      </c>
      <c r="C125" s="196"/>
      <c r="D125" s="310">
        <f t="shared" si="739"/>
        <v>0.02</v>
      </c>
      <c r="E125" s="357">
        <v>0.5</v>
      </c>
      <c r="F125" s="357"/>
      <c r="G125" s="272">
        <f t="shared" si="733"/>
        <v>1.4427516158818097E-2</v>
      </c>
      <c r="H125" s="218">
        <f t="shared" si="713"/>
        <v>312.5</v>
      </c>
      <c r="I125" s="219">
        <v>5000</v>
      </c>
      <c r="R125" s="220">
        <f t="shared" ref="R125:AW125" si="750">(FB125+($I125/12*R$90*(1-$E125)))*(1+$D$125)^(FB$116-1)</f>
        <v>0</v>
      </c>
      <c r="S125" s="220">
        <f t="shared" si="750"/>
        <v>0</v>
      </c>
      <c r="T125" s="220">
        <f t="shared" si="750"/>
        <v>0</v>
      </c>
      <c r="U125" s="220">
        <f t="shared" si="750"/>
        <v>0</v>
      </c>
      <c r="V125" s="220">
        <f t="shared" si="750"/>
        <v>0</v>
      </c>
      <c r="W125" s="220">
        <f t="shared" si="750"/>
        <v>0</v>
      </c>
      <c r="X125" s="220">
        <f t="shared" si="750"/>
        <v>0</v>
      </c>
      <c r="Y125" s="220">
        <f t="shared" si="750"/>
        <v>0</v>
      </c>
      <c r="Z125" s="220">
        <f t="shared" si="750"/>
        <v>0</v>
      </c>
      <c r="AA125" s="220">
        <f t="shared" si="750"/>
        <v>0</v>
      </c>
      <c r="AB125" s="220">
        <f t="shared" si="750"/>
        <v>0</v>
      </c>
      <c r="AC125" s="220">
        <f t="shared" si="750"/>
        <v>260.41666666666669</v>
      </c>
      <c r="AD125" s="220">
        <f t="shared" si="750"/>
        <v>338.54166666666669</v>
      </c>
      <c r="AE125" s="220">
        <f t="shared" si="750"/>
        <v>416.66666666666669</v>
      </c>
      <c r="AF125" s="220">
        <f t="shared" si="750"/>
        <v>416.66666666666669</v>
      </c>
      <c r="AG125" s="220">
        <f t="shared" si="750"/>
        <v>416.66666666666669</v>
      </c>
      <c r="AH125" s="220">
        <f t="shared" si="750"/>
        <v>416.66666666666669</v>
      </c>
      <c r="AI125" s="220">
        <f t="shared" si="750"/>
        <v>416.66666666666669</v>
      </c>
      <c r="AJ125" s="220">
        <f t="shared" si="750"/>
        <v>416.66666666666669</v>
      </c>
      <c r="AK125" s="220">
        <f t="shared" si="750"/>
        <v>416.66666666666669</v>
      </c>
      <c r="AL125" s="220">
        <f t="shared" si="750"/>
        <v>416.66666666666669</v>
      </c>
      <c r="AM125" s="220">
        <f t="shared" si="750"/>
        <v>416.66666666666669</v>
      </c>
      <c r="AN125" s="220">
        <f t="shared" si="750"/>
        <v>416.66666666666669</v>
      </c>
      <c r="AO125" s="220">
        <f t="shared" si="750"/>
        <v>425</v>
      </c>
      <c r="AP125" s="220">
        <f t="shared" si="750"/>
        <v>425</v>
      </c>
      <c r="AQ125" s="220">
        <f t="shared" si="750"/>
        <v>425</v>
      </c>
      <c r="AR125" s="220">
        <f t="shared" si="750"/>
        <v>425</v>
      </c>
      <c r="AS125" s="220">
        <f t="shared" si="750"/>
        <v>425</v>
      </c>
      <c r="AT125" s="220">
        <f t="shared" si="750"/>
        <v>425</v>
      </c>
      <c r="AU125" s="220">
        <f t="shared" si="750"/>
        <v>425</v>
      </c>
      <c r="AV125" s="220">
        <f t="shared" si="750"/>
        <v>425</v>
      </c>
      <c r="AW125" s="220">
        <f t="shared" si="750"/>
        <v>425</v>
      </c>
      <c r="AX125" s="220">
        <f t="shared" ref="AX125:CC125" si="751">(GH125+($I125/12*AX$90*(1-$E125)))*(1+$D$125)^(GH$116-1)</f>
        <v>425</v>
      </c>
      <c r="AY125" s="220">
        <f t="shared" si="751"/>
        <v>425</v>
      </c>
      <c r="AZ125" s="220">
        <f t="shared" si="751"/>
        <v>425</v>
      </c>
      <c r="BA125" s="220">
        <f t="shared" si="751"/>
        <v>433.5</v>
      </c>
      <c r="BB125" s="220">
        <f t="shared" si="751"/>
        <v>433.5</v>
      </c>
      <c r="BC125" s="220">
        <f t="shared" si="751"/>
        <v>433.5</v>
      </c>
      <c r="BD125" s="220">
        <f t="shared" si="751"/>
        <v>433.5</v>
      </c>
      <c r="BE125" s="220">
        <f t="shared" si="751"/>
        <v>433.5</v>
      </c>
      <c r="BF125" s="220">
        <f t="shared" si="751"/>
        <v>433.5</v>
      </c>
      <c r="BG125" s="220">
        <f t="shared" si="751"/>
        <v>433.5</v>
      </c>
      <c r="BH125" s="220">
        <f t="shared" si="751"/>
        <v>433.5</v>
      </c>
      <c r="BI125" s="220">
        <f t="shared" si="751"/>
        <v>433.5</v>
      </c>
      <c r="BJ125" s="220">
        <f t="shared" si="751"/>
        <v>433.5</v>
      </c>
      <c r="BK125" s="220">
        <f t="shared" si="751"/>
        <v>433.5</v>
      </c>
      <c r="BL125" s="220">
        <f t="shared" si="751"/>
        <v>433.5</v>
      </c>
      <c r="BM125" s="220">
        <f t="shared" si="751"/>
        <v>442.17</v>
      </c>
      <c r="BN125" s="220">
        <f t="shared" si="751"/>
        <v>442.17</v>
      </c>
      <c r="BO125" s="220">
        <f t="shared" si="751"/>
        <v>442.17</v>
      </c>
      <c r="BP125" s="220">
        <f t="shared" si="751"/>
        <v>442.17</v>
      </c>
      <c r="BQ125" s="220">
        <f t="shared" si="751"/>
        <v>442.17</v>
      </c>
      <c r="BR125" s="220">
        <f t="shared" si="751"/>
        <v>442.17</v>
      </c>
      <c r="BS125" s="220">
        <f t="shared" si="751"/>
        <v>442.17</v>
      </c>
      <c r="BT125" s="220">
        <f t="shared" si="751"/>
        <v>442.17</v>
      </c>
      <c r="BU125" s="220">
        <f t="shared" si="751"/>
        <v>442.17</v>
      </c>
      <c r="BV125" s="220">
        <f t="shared" si="751"/>
        <v>442.17</v>
      </c>
      <c r="BW125" s="220">
        <f t="shared" si="751"/>
        <v>442.17</v>
      </c>
      <c r="BX125" s="220">
        <f t="shared" si="751"/>
        <v>442.17</v>
      </c>
      <c r="BY125" s="220">
        <f t="shared" si="751"/>
        <v>451.01339999999999</v>
      </c>
      <c r="BZ125" s="220">
        <f t="shared" si="751"/>
        <v>451.01339999999999</v>
      </c>
      <c r="CA125" s="220">
        <f t="shared" si="751"/>
        <v>451.01339999999999</v>
      </c>
      <c r="CB125" s="220">
        <f t="shared" si="751"/>
        <v>451.01339999999999</v>
      </c>
      <c r="CC125" s="220">
        <f t="shared" si="751"/>
        <v>451.01339999999999</v>
      </c>
      <c r="CD125" s="220">
        <f t="shared" ref="CD125:DI125" si="752">(HN125+($I125/12*CD$90*(1-$E125)))*(1+$D$125)^(HN$116-1)</f>
        <v>451.01339999999999</v>
      </c>
      <c r="CE125" s="220">
        <f t="shared" si="752"/>
        <v>451.01339999999999</v>
      </c>
      <c r="CF125" s="220">
        <f t="shared" si="752"/>
        <v>451.01339999999999</v>
      </c>
      <c r="CG125" s="220">
        <f t="shared" si="752"/>
        <v>451.01339999999999</v>
      </c>
      <c r="CH125" s="220">
        <f t="shared" si="752"/>
        <v>451.01339999999999</v>
      </c>
      <c r="CI125" s="220">
        <f t="shared" si="752"/>
        <v>451.01339999999999</v>
      </c>
      <c r="CJ125" s="220">
        <f t="shared" si="752"/>
        <v>451.01339999999999</v>
      </c>
      <c r="CK125" s="220">
        <f t="shared" si="752"/>
        <v>460.03366800000003</v>
      </c>
      <c r="CL125" s="220">
        <f t="shared" si="752"/>
        <v>460.03366800000003</v>
      </c>
      <c r="CM125" s="220">
        <f t="shared" si="752"/>
        <v>460.03366800000003</v>
      </c>
      <c r="CN125" s="220">
        <f t="shared" si="752"/>
        <v>460.03366800000003</v>
      </c>
      <c r="CO125" s="220">
        <f t="shared" si="752"/>
        <v>460.03366800000003</v>
      </c>
      <c r="CP125" s="220">
        <f t="shared" si="752"/>
        <v>460.03366800000003</v>
      </c>
      <c r="CQ125" s="220">
        <f t="shared" si="752"/>
        <v>460.03366800000003</v>
      </c>
      <c r="CR125" s="220">
        <f t="shared" si="752"/>
        <v>460.03366800000003</v>
      </c>
      <c r="CS125" s="220">
        <f t="shared" si="752"/>
        <v>460.03366800000003</v>
      </c>
      <c r="CT125" s="220">
        <f t="shared" si="752"/>
        <v>460.03366800000003</v>
      </c>
      <c r="CU125" s="220">
        <f t="shared" si="752"/>
        <v>460.03366800000003</v>
      </c>
      <c r="CV125" s="220">
        <f t="shared" si="752"/>
        <v>460.03366800000003</v>
      </c>
      <c r="CW125" s="220">
        <f t="shared" si="752"/>
        <v>469.23434136000003</v>
      </c>
      <c r="CX125" s="220">
        <f t="shared" si="752"/>
        <v>469.23434136000003</v>
      </c>
      <c r="CY125" s="220">
        <f t="shared" si="752"/>
        <v>469.23434136000003</v>
      </c>
      <c r="CZ125" s="220">
        <f t="shared" si="752"/>
        <v>469.23434136000003</v>
      </c>
      <c r="DA125" s="220">
        <f t="shared" si="752"/>
        <v>469.23434136000003</v>
      </c>
      <c r="DB125" s="220">
        <f t="shared" si="752"/>
        <v>469.23434136000003</v>
      </c>
      <c r="DC125" s="220">
        <f t="shared" si="752"/>
        <v>469.23434136000003</v>
      </c>
      <c r="DD125" s="220">
        <f t="shared" si="752"/>
        <v>469.23434136000003</v>
      </c>
      <c r="DE125" s="220">
        <f t="shared" si="752"/>
        <v>469.23434136000003</v>
      </c>
      <c r="DF125" s="220">
        <f t="shared" si="752"/>
        <v>469.23434136000003</v>
      </c>
      <c r="DG125" s="220">
        <f t="shared" si="752"/>
        <v>469.23434136000003</v>
      </c>
      <c r="DH125" s="220">
        <f t="shared" si="752"/>
        <v>469.23434136000003</v>
      </c>
      <c r="DI125" s="220">
        <f t="shared" si="752"/>
        <v>478.61902818719994</v>
      </c>
      <c r="DJ125" s="220">
        <f t="shared" ref="DJ125:EO125" si="753">(IT125+($I125/12*DJ$90*(1-$E125)))*(1+$D$125)^(IT$116-1)</f>
        <v>478.61902818719994</v>
      </c>
      <c r="DK125" s="220">
        <f t="shared" si="753"/>
        <v>478.61902818719994</v>
      </c>
      <c r="DL125" s="220">
        <f t="shared" si="753"/>
        <v>478.61902818719994</v>
      </c>
      <c r="DM125" s="220">
        <f t="shared" si="753"/>
        <v>478.61902818719994</v>
      </c>
      <c r="DN125" s="220">
        <f t="shared" si="753"/>
        <v>478.61902818719994</v>
      </c>
      <c r="DO125" s="220">
        <f t="shared" si="753"/>
        <v>478.61902818719994</v>
      </c>
      <c r="DP125" s="220">
        <f t="shared" si="753"/>
        <v>478.61902818719994</v>
      </c>
      <c r="DQ125" s="220">
        <f t="shared" si="753"/>
        <v>478.61902818719994</v>
      </c>
      <c r="DR125" s="220">
        <f t="shared" si="753"/>
        <v>478.61902818719994</v>
      </c>
      <c r="DS125" s="220">
        <f t="shared" si="753"/>
        <v>478.61902818719994</v>
      </c>
      <c r="DT125" s="220">
        <f t="shared" si="753"/>
        <v>478.61902818719994</v>
      </c>
      <c r="DU125" s="220">
        <f t="shared" si="753"/>
        <v>488.19140875094399</v>
      </c>
      <c r="DV125" s="220">
        <f t="shared" si="753"/>
        <v>488.19140875094399</v>
      </c>
      <c r="DW125" s="220">
        <f t="shared" si="753"/>
        <v>488.19140875094399</v>
      </c>
      <c r="DX125" s="220">
        <f t="shared" si="753"/>
        <v>488.19140875094399</v>
      </c>
      <c r="DY125" s="220">
        <f t="shared" si="753"/>
        <v>488.19140875094399</v>
      </c>
      <c r="DZ125" s="220">
        <f t="shared" si="753"/>
        <v>488.19140875094399</v>
      </c>
      <c r="EA125" s="220">
        <f t="shared" si="753"/>
        <v>488.19140875094399</v>
      </c>
      <c r="EB125" s="220">
        <f t="shared" si="753"/>
        <v>488.19140875094399</v>
      </c>
      <c r="EC125" s="220">
        <f t="shared" si="753"/>
        <v>488.19140875094399</v>
      </c>
      <c r="ED125" s="220">
        <f t="shared" si="753"/>
        <v>488.19140875094399</v>
      </c>
      <c r="EE125" s="220">
        <f t="shared" si="753"/>
        <v>488.19140875094399</v>
      </c>
      <c r="EF125" s="220">
        <f t="shared" si="753"/>
        <v>488.19140875094399</v>
      </c>
      <c r="EG125" s="220">
        <f t="shared" si="753"/>
        <v>497.95523692596288</v>
      </c>
      <c r="EH125" s="220">
        <f t="shared" si="753"/>
        <v>497.95523692596288</v>
      </c>
      <c r="EI125" s="220">
        <f t="shared" si="753"/>
        <v>497.95523692596288</v>
      </c>
      <c r="EJ125" s="220">
        <f t="shared" si="753"/>
        <v>497.95523692596288</v>
      </c>
      <c r="EK125" s="220">
        <f t="shared" si="753"/>
        <v>497.95523692596288</v>
      </c>
      <c r="EL125" s="220">
        <f t="shared" si="753"/>
        <v>497.95523692596288</v>
      </c>
      <c r="EM125" s="220">
        <f t="shared" si="753"/>
        <v>497.95523692596288</v>
      </c>
      <c r="EN125" s="220">
        <f t="shared" si="753"/>
        <v>497.95523692596288</v>
      </c>
      <c r="EO125" s="220">
        <f t="shared" si="753"/>
        <v>497.95523692596288</v>
      </c>
      <c r="EP125" s="220">
        <f t="shared" ref="EP125:ES125" si="754">(JZ125+($I125/12*EP$90*(1-$E125)))*(1+$D$125)^(JZ$116-1)</f>
        <v>497.95523692596288</v>
      </c>
      <c r="EQ125" s="220">
        <f t="shared" si="754"/>
        <v>497.95523692596288</v>
      </c>
      <c r="ER125" s="220">
        <f t="shared" si="754"/>
        <v>497.95523692596288</v>
      </c>
      <c r="ES125" s="220">
        <f t="shared" si="754"/>
        <v>507.91434166448215</v>
      </c>
      <c r="EU125" s="153"/>
      <c r="EV125" s="153"/>
      <c r="EW125" s="304">
        <f t="shared" si="719"/>
        <v>0.5</v>
      </c>
      <c r="EX125" s="153"/>
      <c r="EY125" s="153"/>
      <c r="EZ125" s="154"/>
      <c r="FA125" s="153" t="s">
        <v>147</v>
      </c>
      <c r="FB125" s="221">
        <f t="shared" si="720"/>
        <v>0</v>
      </c>
      <c r="FC125" s="221">
        <f t="shared" si="720"/>
        <v>0</v>
      </c>
      <c r="FD125" s="221">
        <f t="shared" si="720"/>
        <v>0</v>
      </c>
      <c r="FE125" s="221">
        <f t="shared" si="720"/>
        <v>0</v>
      </c>
      <c r="FF125" s="221">
        <f t="shared" si="720"/>
        <v>0</v>
      </c>
      <c r="FG125" s="221">
        <f t="shared" si="720"/>
        <v>0</v>
      </c>
      <c r="FH125" s="221">
        <f t="shared" si="720"/>
        <v>0</v>
      </c>
      <c r="FI125" s="221">
        <f t="shared" si="720"/>
        <v>0</v>
      </c>
      <c r="FJ125" s="221">
        <f t="shared" si="720"/>
        <v>0</v>
      </c>
      <c r="FK125" s="221">
        <f t="shared" si="720"/>
        <v>0</v>
      </c>
      <c r="FL125" s="221">
        <f t="shared" si="721"/>
        <v>0</v>
      </c>
      <c r="FM125" s="221">
        <f t="shared" si="721"/>
        <v>208.33333333333334</v>
      </c>
      <c r="FN125" s="221">
        <f t="shared" si="721"/>
        <v>208.33333333333334</v>
      </c>
      <c r="FO125" s="221">
        <f t="shared" si="721"/>
        <v>208.33333333333334</v>
      </c>
      <c r="FP125" s="221">
        <f t="shared" si="721"/>
        <v>208.33333333333334</v>
      </c>
      <c r="FQ125" s="221">
        <f t="shared" si="721"/>
        <v>208.33333333333334</v>
      </c>
      <c r="FR125" s="221">
        <f t="shared" si="721"/>
        <v>208.33333333333334</v>
      </c>
      <c r="FS125" s="221">
        <f t="shared" si="721"/>
        <v>208.33333333333334</v>
      </c>
      <c r="FT125" s="221">
        <f t="shared" si="721"/>
        <v>208.33333333333334</v>
      </c>
      <c r="FU125" s="221">
        <f t="shared" si="721"/>
        <v>208.33333333333334</v>
      </c>
      <c r="FV125" s="221">
        <f t="shared" si="722"/>
        <v>208.33333333333334</v>
      </c>
      <c r="FW125" s="221">
        <f t="shared" si="722"/>
        <v>208.33333333333334</v>
      </c>
      <c r="FX125" s="221">
        <f t="shared" si="722"/>
        <v>208.33333333333334</v>
      </c>
      <c r="FY125" s="221">
        <f t="shared" si="722"/>
        <v>208.33333333333334</v>
      </c>
      <c r="FZ125" s="221">
        <f t="shared" si="722"/>
        <v>208.33333333333334</v>
      </c>
      <c r="GA125" s="221">
        <f t="shared" si="722"/>
        <v>208.33333333333334</v>
      </c>
      <c r="GB125" s="221">
        <f t="shared" si="722"/>
        <v>208.33333333333334</v>
      </c>
      <c r="GC125" s="221">
        <f t="shared" si="722"/>
        <v>208.33333333333334</v>
      </c>
      <c r="GD125" s="221">
        <f t="shared" si="722"/>
        <v>208.33333333333334</v>
      </c>
      <c r="GE125" s="221">
        <f t="shared" si="722"/>
        <v>208.33333333333334</v>
      </c>
      <c r="GF125" s="221">
        <f t="shared" si="723"/>
        <v>208.33333333333334</v>
      </c>
      <c r="GG125" s="221">
        <f t="shared" si="723"/>
        <v>208.33333333333334</v>
      </c>
      <c r="GH125" s="221">
        <f t="shared" si="723"/>
        <v>208.33333333333334</v>
      </c>
      <c r="GI125" s="221">
        <f t="shared" si="723"/>
        <v>208.33333333333334</v>
      </c>
      <c r="GJ125" s="221">
        <f t="shared" si="723"/>
        <v>208.33333333333334</v>
      </c>
      <c r="GK125" s="221">
        <f t="shared" si="723"/>
        <v>208.33333333333334</v>
      </c>
      <c r="GL125" s="221">
        <f t="shared" si="723"/>
        <v>208.33333333333334</v>
      </c>
      <c r="GM125" s="221">
        <f t="shared" si="723"/>
        <v>208.33333333333334</v>
      </c>
      <c r="GN125" s="221">
        <f t="shared" si="723"/>
        <v>208.33333333333334</v>
      </c>
      <c r="GO125" s="221">
        <f t="shared" si="723"/>
        <v>208.33333333333334</v>
      </c>
      <c r="GP125" s="221">
        <f t="shared" si="724"/>
        <v>208.33333333333334</v>
      </c>
      <c r="GQ125" s="221">
        <f t="shared" si="724"/>
        <v>208.33333333333334</v>
      </c>
      <c r="GR125" s="221">
        <f t="shared" si="724"/>
        <v>208.33333333333334</v>
      </c>
      <c r="GS125" s="221">
        <f t="shared" si="724"/>
        <v>208.33333333333334</v>
      </c>
      <c r="GT125" s="221">
        <f t="shared" si="724"/>
        <v>208.33333333333334</v>
      </c>
      <c r="GU125" s="221">
        <f t="shared" si="724"/>
        <v>208.33333333333334</v>
      </c>
      <c r="GV125" s="221">
        <f t="shared" si="724"/>
        <v>208.33333333333334</v>
      </c>
      <c r="GW125" s="221">
        <f t="shared" si="724"/>
        <v>208.33333333333334</v>
      </c>
      <c r="GX125" s="221">
        <f t="shared" si="724"/>
        <v>208.33333333333334</v>
      </c>
      <c r="GY125" s="221">
        <f t="shared" si="724"/>
        <v>208.33333333333334</v>
      </c>
      <c r="GZ125" s="221">
        <f t="shared" si="725"/>
        <v>208.33333333333334</v>
      </c>
      <c r="HA125" s="221">
        <f t="shared" si="725"/>
        <v>208.33333333333334</v>
      </c>
      <c r="HB125" s="221">
        <f t="shared" si="725"/>
        <v>208.33333333333334</v>
      </c>
      <c r="HC125" s="221">
        <f t="shared" si="725"/>
        <v>208.33333333333334</v>
      </c>
      <c r="HD125" s="221">
        <f t="shared" si="725"/>
        <v>208.33333333333334</v>
      </c>
      <c r="HE125" s="221">
        <f t="shared" si="725"/>
        <v>208.33333333333334</v>
      </c>
      <c r="HF125" s="221">
        <f t="shared" si="725"/>
        <v>208.33333333333334</v>
      </c>
      <c r="HG125" s="221">
        <f t="shared" si="725"/>
        <v>208.33333333333334</v>
      </c>
      <c r="HH125" s="221">
        <f t="shared" si="725"/>
        <v>208.33333333333334</v>
      </c>
      <c r="HI125" s="221">
        <f t="shared" si="725"/>
        <v>208.33333333333334</v>
      </c>
      <c r="HJ125" s="221">
        <f t="shared" si="726"/>
        <v>208.33333333333334</v>
      </c>
      <c r="HK125" s="221">
        <f t="shared" si="726"/>
        <v>208.33333333333334</v>
      </c>
      <c r="HL125" s="221">
        <f t="shared" si="726"/>
        <v>208.33333333333334</v>
      </c>
      <c r="HM125" s="221">
        <f t="shared" si="726"/>
        <v>208.33333333333334</v>
      </c>
      <c r="HN125" s="221">
        <f t="shared" si="726"/>
        <v>208.33333333333334</v>
      </c>
      <c r="HO125" s="221">
        <f t="shared" si="726"/>
        <v>208.33333333333334</v>
      </c>
      <c r="HP125" s="221">
        <f t="shared" si="726"/>
        <v>208.33333333333334</v>
      </c>
      <c r="HQ125" s="221">
        <f t="shared" si="726"/>
        <v>208.33333333333334</v>
      </c>
      <c r="HR125" s="221">
        <f t="shared" si="726"/>
        <v>208.33333333333334</v>
      </c>
      <c r="HS125" s="221">
        <f t="shared" si="726"/>
        <v>208.33333333333334</v>
      </c>
      <c r="HT125" s="221">
        <f t="shared" si="727"/>
        <v>208.33333333333334</v>
      </c>
      <c r="HU125" s="221">
        <f t="shared" si="727"/>
        <v>208.33333333333334</v>
      </c>
      <c r="HV125" s="221">
        <f t="shared" si="727"/>
        <v>208.33333333333334</v>
      </c>
      <c r="HW125" s="221">
        <f t="shared" si="727"/>
        <v>208.33333333333334</v>
      </c>
      <c r="HX125" s="221">
        <f t="shared" si="727"/>
        <v>208.33333333333334</v>
      </c>
      <c r="HY125" s="221">
        <f t="shared" si="727"/>
        <v>208.33333333333334</v>
      </c>
      <c r="HZ125" s="221">
        <f t="shared" si="727"/>
        <v>208.33333333333334</v>
      </c>
      <c r="IA125" s="221">
        <f t="shared" si="727"/>
        <v>208.33333333333334</v>
      </c>
      <c r="IB125" s="221">
        <f t="shared" si="727"/>
        <v>208.33333333333334</v>
      </c>
      <c r="IC125" s="221">
        <f t="shared" si="727"/>
        <v>208.33333333333334</v>
      </c>
      <c r="ID125" s="221">
        <f t="shared" si="728"/>
        <v>208.33333333333334</v>
      </c>
      <c r="IE125" s="221">
        <f t="shared" si="728"/>
        <v>208.33333333333334</v>
      </c>
      <c r="IF125" s="221">
        <f t="shared" si="728"/>
        <v>208.33333333333334</v>
      </c>
      <c r="IG125" s="221">
        <f t="shared" si="728"/>
        <v>208.33333333333334</v>
      </c>
      <c r="IH125" s="221">
        <f t="shared" si="728"/>
        <v>208.33333333333334</v>
      </c>
      <c r="II125" s="221">
        <f t="shared" si="728"/>
        <v>208.33333333333334</v>
      </c>
      <c r="IJ125" s="221">
        <f t="shared" si="728"/>
        <v>208.33333333333334</v>
      </c>
      <c r="IK125" s="221">
        <f t="shared" si="728"/>
        <v>208.33333333333334</v>
      </c>
      <c r="IL125" s="221">
        <f t="shared" si="728"/>
        <v>208.33333333333334</v>
      </c>
      <c r="IM125" s="221">
        <f t="shared" si="728"/>
        <v>208.33333333333334</v>
      </c>
      <c r="IN125" s="221">
        <f t="shared" si="729"/>
        <v>208.33333333333334</v>
      </c>
      <c r="IO125" s="221">
        <f t="shared" si="729"/>
        <v>208.33333333333334</v>
      </c>
      <c r="IP125" s="221">
        <f t="shared" si="729"/>
        <v>208.33333333333334</v>
      </c>
      <c r="IQ125" s="221">
        <f t="shared" si="729"/>
        <v>208.33333333333334</v>
      </c>
      <c r="IR125" s="221">
        <f t="shared" si="729"/>
        <v>208.33333333333334</v>
      </c>
      <c r="IS125" s="221">
        <f t="shared" si="729"/>
        <v>208.33333333333334</v>
      </c>
      <c r="IT125" s="221">
        <f t="shared" si="729"/>
        <v>208.33333333333334</v>
      </c>
      <c r="IU125" s="221">
        <f t="shared" si="729"/>
        <v>208.33333333333334</v>
      </c>
      <c r="IV125" s="221">
        <f t="shared" si="729"/>
        <v>208.33333333333334</v>
      </c>
      <c r="IW125" s="221">
        <f t="shared" si="729"/>
        <v>208.33333333333334</v>
      </c>
      <c r="IX125" s="221">
        <f t="shared" si="730"/>
        <v>208.33333333333334</v>
      </c>
      <c r="IY125" s="221">
        <f t="shared" si="730"/>
        <v>208.33333333333334</v>
      </c>
      <c r="IZ125" s="221">
        <f t="shared" si="730"/>
        <v>208.33333333333334</v>
      </c>
      <c r="JA125" s="221">
        <f t="shared" si="730"/>
        <v>208.33333333333334</v>
      </c>
      <c r="JB125" s="221">
        <f t="shared" si="730"/>
        <v>208.33333333333334</v>
      </c>
      <c r="JC125" s="221">
        <f t="shared" si="730"/>
        <v>208.33333333333334</v>
      </c>
      <c r="JD125" s="221">
        <f t="shared" si="730"/>
        <v>208.33333333333334</v>
      </c>
      <c r="JE125" s="221">
        <f t="shared" si="730"/>
        <v>208.33333333333334</v>
      </c>
      <c r="JF125" s="221">
        <f t="shared" si="730"/>
        <v>208.33333333333334</v>
      </c>
      <c r="JG125" s="221">
        <f t="shared" si="730"/>
        <v>208.33333333333334</v>
      </c>
      <c r="JH125" s="221">
        <f t="shared" si="731"/>
        <v>208.33333333333334</v>
      </c>
      <c r="JI125" s="221">
        <f t="shared" si="731"/>
        <v>208.33333333333334</v>
      </c>
      <c r="JJ125" s="221">
        <f t="shared" si="731"/>
        <v>208.33333333333334</v>
      </c>
      <c r="JK125" s="221">
        <f t="shared" si="731"/>
        <v>208.33333333333334</v>
      </c>
      <c r="JL125" s="221">
        <f t="shared" si="731"/>
        <v>208.33333333333334</v>
      </c>
      <c r="JM125" s="221">
        <f t="shared" si="731"/>
        <v>208.33333333333334</v>
      </c>
      <c r="JN125" s="221">
        <f t="shared" si="731"/>
        <v>208.33333333333334</v>
      </c>
      <c r="JO125" s="221">
        <f t="shared" si="731"/>
        <v>208.33333333333334</v>
      </c>
      <c r="JP125" s="221">
        <f t="shared" si="731"/>
        <v>208.33333333333334</v>
      </c>
      <c r="JQ125" s="221">
        <f t="shared" si="731"/>
        <v>208.33333333333334</v>
      </c>
      <c r="JR125" s="221">
        <f t="shared" si="732"/>
        <v>208.33333333333334</v>
      </c>
      <c r="JS125" s="221">
        <f t="shared" si="732"/>
        <v>208.33333333333334</v>
      </c>
      <c r="JT125" s="221">
        <f t="shared" si="732"/>
        <v>208.33333333333334</v>
      </c>
      <c r="JU125" s="221">
        <f t="shared" si="732"/>
        <v>208.33333333333334</v>
      </c>
      <c r="JV125" s="221">
        <f t="shared" si="732"/>
        <v>208.33333333333334</v>
      </c>
      <c r="JW125" s="221">
        <f t="shared" si="732"/>
        <v>208.33333333333334</v>
      </c>
      <c r="JX125" s="221">
        <f t="shared" si="732"/>
        <v>208.33333333333334</v>
      </c>
      <c r="JY125" s="221">
        <f t="shared" si="732"/>
        <v>208.33333333333334</v>
      </c>
      <c r="JZ125" s="221">
        <f t="shared" si="732"/>
        <v>208.33333333333334</v>
      </c>
      <c r="KA125" s="221">
        <f t="shared" si="732"/>
        <v>208.33333333333334</v>
      </c>
      <c r="KB125" s="221">
        <f t="shared" si="732"/>
        <v>208.33333333333334</v>
      </c>
      <c r="KC125" s="221">
        <f t="shared" si="732"/>
        <v>208.33333333333334</v>
      </c>
    </row>
    <row r="126" spans="1:289" x14ac:dyDescent="0.25">
      <c r="B126" s="234" t="s">
        <v>130</v>
      </c>
      <c r="C126" s="196"/>
      <c r="D126" s="310">
        <f t="shared" si="739"/>
        <v>0.02</v>
      </c>
      <c r="E126" s="357">
        <v>0.5</v>
      </c>
      <c r="F126" s="357"/>
      <c r="G126" s="272">
        <f t="shared" si="733"/>
        <v>5.7710064635272396E-3</v>
      </c>
      <c r="H126" s="218">
        <f t="shared" si="713"/>
        <v>125</v>
      </c>
      <c r="I126" s="219">
        <v>2000</v>
      </c>
      <c r="R126" s="220">
        <f t="shared" ref="R126:AW126" si="755">(FB126+($I126/12*R$90*(1-$E126)))*(1+$D$126)^(FB$116-1)</f>
        <v>0</v>
      </c>
      <c r="S126" s="220">
        <f t="shared" si="755"/>
        <v>0</v>
      </c>
      <c r="T126" s="220">
        <f t="shared" si="755"/>
        <v>0</v>
      </c>
      <c r="U126" s="220">
        <f t="shared" si="755"/>
        <v>0</v>
      </c>
      <c r="V126" s="220">
        <f t="shared" si="755"/>
        <v>0</v>
      </c>
      <c r="W126" s="220">
        <f t="shared" si="755"/>
        <v>0</v>
      </c>
      <c r="X126" s="220">
        <f t="shared" si="755"/>
        <v>0</v>
      </c>
      <c r="Y126" s="220">
        <f t="shared" si="755"/>
        <v>0</v>
      </c>
      <c r="Z126" s="220">
        <f t="shared" si="755"/>
        <v>0</v>
      </c>
      <c r="AA126" s="220">
        <f t="shared" si="755"/>
        <v>0</v>
      </c>
      <c r="AB126" s="220">
        <f t="shared" si="755"/>
        <v>0</v>
      </c>
      <c r="AC126" s="220">
        <f t="shared" si="755"/>
        <v>104.16666666666666</v>
      </c>
      <c r="AD126" s="220">
        <f t="shared" si="755"/>
        <v>135.41666666666666</v>
      </c>
      <c r="AE126" s="220">
        <f t="shared" si="755"/>
        <v>166.66666666666666</v>
      </c>
      <c r="AF126" s="220">
        <f t="shared" si="755"/>
        <v>166.66666666666666</v>
      </c>
      <c r="AG126" s="220">
        <f t="shared" si="755"/>
        <v>166.66666666666666</v>
      </c>
      <c r="AH126" s="220">
        <f t="shared" si="755"/>
        <v>166.66666666666666</v>
      </c>
      <c r="AI126" s="220">
        <f t="shared" si="755"/>
        <v>166.66666666666666</v>
      </c>
      <c r="AJ126" s="220">
        <f t="shared" si="755"/>
        <v>166.66666666666666</v>
      </c>
      <c r="AK126" s="220">
        <f t="shared" si="755"/>
        <v>166.66666666666666</v>
      </c>
      <c r="AL126" s="220">
        <f t="shared" si="755"/>
        <v>166.66666666666666</v>
      </c>
      <c r="AM126" s="220">
        <f t="shared" si="755"/>
        <v>166.66666666666666</v>
      </c>
      <c r="AN126" s="220">
        <f t="shared" si="755"/>
        <v>166.66666666666666</v>
      </c>
      <c r="AO126" s="220">
        <f t="shared" si="755"/>
        <v>170</v>
      </c>
      <c r="AP126" s="220">
        <f t="shared" si="755"/>
        <v>170</v>
      </c>
      <c r="AQ126" s="220">
        <f t="shared" si="755"/>
        <v>170</v>
      </c>
      <c r="AR126" s="220">
        <f t="shared" si="755"/>
        <v>170</v>
      </c>
      <c r="AS126" s="220">
        <f t="shared" si="755"/>
        <v>170</v>
      </c>
      <c r="AT126" s="220">
        <f t="shared" si="755"/>
        <v>170</v>
      </c>
      <c r="AU126" s="220">
        <f t="shared" si="755"/>
        <v>170</v>
      </c>
      <c r="AV126" s="220">
        <f t="shared" si="755"/>
        <v>170</v>
      </c>
      <c r="AW126" s="220">
        <f t="shared" si="755"/>
        <v>170</v>
      </c>
      <c r="AX126" s="220">
        <f t="shared" ref="AX126:CC126" si="756">(GH126+($I126/12*AX$90*(1-$E126)))*(1+$D$126)^(GH$116-1)</f>
        <v>170</v>
      </c>
      <c r="AY126" s="220">
        <f t="shared" si="756"/>
        <v>170</v>
      </c>
      <c r="AZ126" s="220">
        <f t="shared" si="756"/>
        <v>170</v>
      </c>
      <c r="BA126" s="220">
        <f t="shared" si="756"/>
        <v>173.39999999999998</v>
      </c>
      <c r="BB126" s="220">
        <f t="shared" si="756"/>
        <v>173.39999999999998</v>
      </c>
      <c r="BC126" s="220">
        <f t="shared" si="756"/>
        <v>173.39999999999998</v>
      </c>
      <c r="BD126" s="220">
        <f t="shared" si="756"/>
        <v>173.39999999999998</v>
      </c>
      <c r="BE126" s="220">
        <f t="shared" si="756"/>
        <v>173.39999999999998</v>
      </c>
      <c r="BF126" s="220">
        <f t="shared" si="756"/>
        <v>173.39999999999998</v>
      </c>
      <c r="BG126" s="220">
        <f t="shared" si="756"/>
        <v>173.39999999999998</v>
      </c>
      <c r="BH126" s="220">
        <f t="shared" si="756"/>
        <v>173.39999999999998</v>
      </c>
      <c r="BI126" s="220">
        <f t="shared" si="756"/>
        <v>173.39999999999998</v>
      </c>
      <c r="BJ126" s="220">
        <f t="shared" si="756"/>
        <v>173.39999999999998</v>
      </c>
      <c r="BK126" s="220">
        <f t="shared" si="756"/>
        <v>173.39999999999998</v>
      </c>
      <c r="BL126" s="220">
        <f t="shared" si="756"/>
        <v>173.39999999999998</v>
      </c>
      <c r="BM126" s="220">
        <f t="shared" si="756"/>
        <v>176.86799999999997</v>
      </c>
      <c r="BN126" s="220">
        <f t="shared" si="756"/>
        <v>176.86799999999997</v>
      </c>
      <c r="BO126" s="220">
        <f t="shared" si="756"/>
        <v>176.86799999999997</v>
      </c>
      <c r="BP126" s="220">
        <f t="shared" si="756"/>
        <v>176.86799999999997</v>
      </c>
      <c r="BQ126" s="220">
        <f t="shared" si="756"/>
        <v>176.86799999999997</v>
      </c>
      <c r="BR126" s="220">
        <f t="shared" si="756"/>
        <v>176.86799999999997</v>
      </c>
      <c r="BS126" s="220">
        <f t="shared" si="756"/>
        <v>176.86799999999997</v>
      </c>
      <c r="BT126" s="220">
        <f t="shared" si="756"/>
        <v>176.86799999999997</v>
      </c>
      <c r="BU126" s="220">
        <f t="shared" si="756"/>
        <v>176.86799999999997</v>
      </c>
      <c r="BV126" s="220">
        <f t="shared" si="756"/>
        <v>176.86799999999997</v>
      </c>
      <c r="BW126" s="220">
        <f t="shared" si="756"/>
        <v>176.86799999999997</v>
      </c>
      <c r="BX126" s="220">
        <f t="shared" si="756"/>
        <v>176.86799999999997</v>
      </c>
      <c r="BY126" s="220">
        <f t="shared" si="756"/>
        <v>180.40535999999997</v>
      </c>
      <c r="BZ126" s="220">
        <f t="shared" si="756"/>
        <v>180.40535999999997</v>
      </c>
      <c r="CA126" s="220">
        <f t="shared" si="756"/>
        <v>180.40535999999997</v>
      </c>
      <c r="CB126" s="220">
        <f t="shared" si="756"/>
        <v>180.40535999999997</v>
      </c>
      <c r="CC126" s="220">
        <f t="shared" si="756"/>
        <v>180.40535999999997</v>
      </c>
      <c r="CD126" s="220">
        <f t="shared" ref="CD126:DI126" si="757">(HN126+($I126/12*CD$90*(1-$E126)))*(1+$D$126)^(HN$116-1)</f>
        <v>180.40535999999997</v>
      </c>
      <c r="CE126" s="220">
        <f t="shared" si="757"/>
        <v>180.40535999999997</v>
      </c>
      <c r="CF126" s="220">
        <f t="shared" si="757"/>
        <v>180.40535999999997</v>
      </c>
      <c r="CG126" s="220">
        <f t="shared" si="757"/>
        <v>180.40535999999997</v>
      </c>
      <c r="CH126" s="220">
        <f t="shared" si="757"/>
        <v>180.40535999999997</v>
      </c>
      <c r="CI126" s="220">
        <f t="shared" si="757"/>
        <v>180.40535999999997</v>
      </c>
      <c r="CJ126" s="220">
        <f t="shared" si="757"/>
        <v>180.40535999999997</v>
      </c>
      <c r="CK126" s="220">
        <f t="shared" si="757"/>
        <v>184.01346719999998</v>
      </c>
      <c r="CL126" s="220">
        <f t="shared" si="757"/>
        <v>184.01346719999998</v>
      </c>
      <c r="CM126" s="220">
        <f t="shared" si="757"/>
        <v>184.01346719999998</v>
      </c>
      <c r="CN126" s="220">
        <f t="shared" si="757"/>
        <v>184.01346719999998</v>
      </c>
      <c r="CO126" s="220">
        <f t="shared" si="757"/>
        <v>184.01346719999998</v>
      </c>
      <c r="CP126" s="220">
        <f t="shared" si="757"/>
        <v>184.01346719999998</v>
      </c>
      <c r="CQ126" s="220">
        <f t="shared" si="757"/>
        <v>184.01346719999998</v>
      </c>
      <c r="CR126" s="220">
        <f t="shared" si="757"/>
        <v>184.01346719999998</v>
      </c>
      <c r="CS126" s="220">
        <f t="shared" si="757"/>
        <v>184.01346719999998</v>
      </c>
      <c r="CT126" s="220">
        <f t="shared" si="757"/>
        <v>184.01346719999998</v>
      </c>
      <c r="CU126" s="220">
        <f t="shared" si="757"/>
        <v>184.01346719999998</v>
      </c>
      <c r="CV126" s="220">
        <f t="shared" si="757"/>
        <v>184.01346719999998</v>
      </c>
      <c r="CW126" s="220">
        <f t="shared" si="757"/>
        <v>187.69373654399999</v>
      </c>
      <c r="CX126" s="220">
        <f t="shared" si="757"/>
        <v>187.69373654399999</v>
      </c>
      <c r="CY126" s="220">
        <f t="shared" si="757"/>
        <v>187.69373654399999</v>
      </c>
      <c r="CZ126" s="220">
        <f t="shared" si="757"/>
        <v>187.69373654399999</v>
      </c>
      <c r="DA126" s="220">
        <f t="shared" si="757"/>
        <v>187.69373654399999</v>
      </c>
      <c r="DB126" s="220">
        <f t="shared" si="757"/>
        <v>187.69373654399999</v>
      </c>
      <c r="DC126" s="220">
        <f t="shared" si="757"/>
        <v>187.69373654399999</v>
      </c>
      <c r="DD126" s="220">
        <f t="shared" si="757"/>
        <v>187.69373654399999</v>
      </c>
      <c r="DE126" s="220">
        <f t="shared" si="757"/>
        <v>187.69373654399999</v>
      </c>
      <c r="DF126" s="220">
        <f t="shared" si="757"/>
        <v>187.69373654399999</v>
      </c>
      <c r="DG126" s="220">
        <f t="shared" si="757"/>
        <v>187.69373654399999</v>
      </c>
      <c r="DH126" s="220">
        <f t="shared" si="757"/>
        <v>187.69373654399999</v>
      </c>
      <c r="DI126" s="220">
        <f t="shared" si="757"/>
        <v>191.44761127487996</v>
      </c>
      <c r="DJ126" s="220">
        <f t="shared" ref="DJ126:EO126" si="758">(IT126+($I126/12*DJ$90*(1-$E126)))*(1+$D$126)^(IT$116-1)</f>
        <v>191.44761127487996</v>
      </c>
      <c r="DK126" s="220">
        <f t="shared" si="758"/>
        <v>191.44761127487996</v>
      </c>
      <c r="DL126" s="220">
        <f t="shared" si="758"/>
        <v>191.44761127487996</v>
      </c>
      <c r="DM126" s="220">
        <f t="shared" si="758"/>
        <v>191.44761127487996</v>
      </c>
      <c r="DN126" s="220">
        <f t="shared" si="758"/>
        <v>191.44761127487996</v>
      </c>
      <c r="DO126" s="220">
        <f t="shared" si="758"/>
        <v>191.44761127487996</v>
      </c>
      <c r="DP126" s="220">
        <f t="shared" si="758"/>
        <v>191.44761127487996</v>
      </c>
      <c r="DQ126" s="220">
        <f t="shared" si="758"/>
        <v>191.44761127487996</v>
      </c>
      <c r="DR126" s="220">
        <f t="shared" si="758"/>
        <v>191.44761127487996</v>
      </c>
      <c r="DS126" s="220">
        <f t="shared" si="758"/>
        <v>191.44761127487996</v>
      </c>
      <c r="DT126" s="220">
        <f t="shared" si="758"/>
        <v>191.44761127487996</v>
      </c>
      <c r="DU126" s="220">
        <f t="shared" si="758"/>
        <v>195.27656350037756</v>
      </c>
      <c r="DV126" s="220">
        <f t="shared" si="758"/>
        <v>195.27656350037756</v>
      </c>
      <c r="DW126" s="220">
        <f t="shared" si="758"/>
        <v>195.27656350037756</v>
      </c>
      <c r="DX126" s="220">
        <f t="shared" si="758"/>
        <v>195.27656350037756</v>
      </c>
      <c r="DY126" s="220">
        <f t="shared" si="758"/>
        <v>195.27656350037756</v>
      </c>
      <c r="DZ126" s="220">
        <f t="shared" si="758"/>
        <v>195.27656350037756</v>
      </c>
      <c r="EA126" s="220">
        <f t="shared" si="758"/>
        <v>195.27656350037756</v>
      </c>
      <c r="EB126" s="220">
        <f t="shared" si="758"/>
        <v>195.27656350037756</v>
      </c>
      <c r="EC126" s="220">
        <f t="shared" si="758"/>
        <v>195.27656350037756</v>
      </c>
      <c r="ED126" s="220">
        <f t="shared" si="758"/>
        <v>195.27656350037756</v>
      </c>
      <c r="EE126" s="220">
        <f t="shared" si="758"/>
        <v>195.27656350037756</v>
      </c>
      <c r="EF126" s="220">
        <f t="shared" si="758"/>
        <v>195.27656350037756</v>
      </c>
      <c r="EG126" s="220">
        <f t="shared" si="758"/>
        <v>199.18209477038513</v>
      </c>
      <c r="EH126" s="220">
        <f t="shared" si="758"/>
        <v>199.18209477038513</v>
      </c>
      <c r="EI126" s="220">
        <f t="shared" si="758"/>
        <v>199.18209477038513</v>
      </c>
      <c r="EJ126" s="220">
        <f t="shared" si="758"/>
        <v>199.18209477038513</v>
      </c>
      <c r="EK126" s="220">
        <f t="shared" si="758"/>
        <v>199.18209477038513</v>
      </c>
      <c r="EL126" s="220">
        <f t="shared" si="758"/>
        <v>199.18209477038513</v>
      </c>
      <c r="EM126" s="220">
        <f t="shared" si="758"/>
        <v>199.18209477038513</v>
      </c>
      <c r="EN126" s="220">
        <f t="shared" si="758"/>
        <v>199.18209477038513</v>
      </c>
      <c r="EO126" s="220">
        <f t="shared" si="758"/>
        <v>199.18209477038513</v>
      </c>
      <c r="EP126" s="220">
        <f t="shared" ref="EP126:ES126" si="759">(JZ126+($I126/12*EP$90*(1-$E126)))*(1+$D$126)^(JZ$116-1)</f>
        <v>199.18209477038513</v>
      </c>
      <c r="EQ126" s="220">
        <f t="shared" si="759"/>
        <v>199.18209477038513</v>
      </c>
      <c r="ER126" s="220">
        <f t="shared" si="759"/>
        <v>199.18209477038513</v>
      </c>
      <c r="ES126" s="220">
        <f t="shared" si="759"/>
        <v>203.16573666579285</v>
      </c>
      <c r="EU126" s="153"/>
      <c r="EV126" s="153"/>
      <c r="EW126" s="304">
        <f t="shared" si="719"/>
        <v>0.5</v>
      </c>
      <c r="EX126" s="153"/>
      <c r="EY126" s="153"/>
      <c r="EZ126" s="154"/>
      <c r="FA126" s="153" t="s">
        <v>147</v>
      </c>
      <c r="FB126" s="221">
        <f t="shared" si="720"/>
        <v>0</v>
      </c>
      <c r="FC126" s="221">
        <f t="shared" si="720"/>
        <v>0</v>
      </c>
      <c r="FD126" s="221">
        <f t="shared" si="720"/>
        <v>0</v>
      </c>
      <c r="FE126" s="221">
        <f t="shared" si="720"/>
        <v>0</v>
      </c>
      <c r="FF126" s="221">
        <f t="shared" si="720"/>
        <v>0</v>
      </c>
      <c r="FG126" s="221">
        <f t="shared" si="720"/>
        <v>0</v>
      </c>
      <c r="FH126" s="221">
        <f t="shared" si="720"/>
        <v>0</v>
      </c>
      <c r="FI126" s="221">
        <f t="shared" si="720"/>
        <v>0</v>
      </c>
      <c r="FJ126" s="221">
        <f t="shared" si="720"/>
        <v>0</v>
      </c>
      <c r="FK126" s="221">
        <f t="shared" si="720"/>
        <v>0</v>
      </c>
      <c r="FL126" s="221">
        <f t="shared" si="721"/>
        <v>0</v>
      </c>
      <c r="FM126" s="221">
        <f t="shared" si="721"/>
        <v>83.333333333333329</v>
      </c>
      <c r="FN126" s="221">
        <f t="shared" si="721"/>
        <v>83.333333333333329</v>
      </c>
      <c r="FO126" s="221">
        <f t="shared" si="721"/>
        <v>83.333333333333329</v>
      </c>
      <c r="FP126" s="221">
        <f t="shared" si="721"/>
        <v>83.333333333333329</v>
      </c>
      <c r="FQ126" s="221">
        <f t="shared" si="721"/>
        <v>83.333333333333329</v>
      </c>
      <c r="FR126" s="221">
        <f t="shared" si="721"/>
        <v>83.333333333333329</v>
      </c>
      <c r="FS126" s="221">
        <f t="shared" si="721"/>
        <v>83.333333333333329</v>
      </c>
      <c r="FT126" s="221">
        <f t="shared" si="721"/>
        <v>83.333333333333329</v>
      </c>
      <c r="FU126" s="221">
        <f t="shared" si="721"/>
        <v>83.333333333333329</v>
      </c>
      <c r="FV126" s="221">
        <f t="shared" si="722"/>
        <v>83.333333333333329</v>
      </c>
      <c r="FW126" s="221">
        <f t="shared" si="722"/>
        <v>83.333333333333329</v>
      </c>
      <c r="FX126" s="221">
        <f t="shared" si="722"/>
        <v>83.333333333333329</v>
      </c>
      <c r="FY126" s="221">
        <f t="shared" si="722"/>
        <v>83.333333333333329</v>
      </c>
      <c r="FZ126" s="221">
        <f t="shared" si="722"/>
        <v>83.333333333333329</v>
      </c>
      <c r="GA126" s="221">
        <f t="shared" si="722"/>
        <v>83.333333333333329</v>
      </c>
      <c r="GB126" s="221">
        <f t="shared" si="722"/>
        <v>83.333333333333329</v>
      </c>
      <c r="GC126" s="221">
        <f t="shared" si="722"/>
        <v>83.333333333333329</v>
      </c>
      <c r="GD126" s="221">
        <f t="shared" si="722"/>
        <v>83.333333333333329</v>
      </c>
      <c r="GE126" s="221">
        <f t="shared" si="722"/>
        <v>83.333333333333329</v>
      </c>
      <c r="GF126" s="221">
        <f t="shared" si="723"/>
        <v>83.333333333333329</v>
      </c>
      <c r="GG126" s="221">
        <f t="shared" si="723"/>
        <v>83.333333333333329</v>
      </c>
      <c r="GH126" s="221">
        <f t="shared" si="723"/>
        <v>83.333333333333329</v>
      </c>
      <c r="GI126" s="221">
        <f t="shared" si="723"/>
        <v>83.333333333333329</v>
      </c>
      <c r="GJ126" s="221">
        <f t="shared" si="723"/>
        <v>83.333333333333329</v>
      </c>
      <c r="GK126" s="221">
        <f t="shared" si="723"/>
        <v>83.333333333333329</v>
      </c>
      <c r="GL126" s="221">
        <f t="shared" si="723"/>
        <v>83.333333333333329</v>
      </c>
      <c r="GM126" s="221">
        <f t="shared" si="723"/>
        <v>83.333333333333329</v>
      </c>
      <c r="GN126" s="221">
        <f t="shared" si="723"/>
        <v>83.333333333333329</v>
      </c>
      <c r="GO126" s="221">
        <f t="shared" si="723"/>
        <v>83.333333333333329</v>
      </c>
      <c r="GP126" s="221">
        <f t="shared" si="724"/>
        <v>83.333333333333329</v>
      </c>
      <c r="GQ126" s="221">
        <f t="shared" si="724"/>
        <v>83.333333333333329</v>
      </c>
      <c r="GR126" s="221">
        <f t="shared" si="724"/>
        <v>83.333333333333329</v>
      </c>
      <c r="GS126" s="221">
        <f t="shared" si="724"/>
        <v>83.333333333333329</v>
      </c>
      <c r="GT126" s="221">
        <f t="shared" si="724"/>
        <v>83.333333333333329</v>
      </c>
      <c r="GU126" s="221">
        <f t="shared" si="724"/>
        <v>83.333333333333329</v>
      </c>
      <c r="GV126" s="221">
        <f t="shared" si="724"/>
        <v>83.333333333333329</v>
      </c>
      <c r="GW126" s="221">
        <f t="shared" si="724"/>
        <v>83.333333333333329</v>
      </c>
      <c r="GX126" s="221">
        <f t="shared" si="724"/>
        <v>83.333333333333329</v>
      </c>
      <c r="GY126" s="221">
        <f t="shared" si="724"/>
        <v>83.333333333333329</v>
      </c>
      <c r="GZ126" s="221">
        <f t="shared" si="725"/>
        <v>83.333333333333329</v>
      </c>
      <c r="HA126" s="221">
        <f t="shared" si="725"/>
        <v>83.333333333333329</v>
      </c>
      <c r="HB126" s="221">
        <f t="shared" si="725"/>
        <v>83.333333333333329</v>
      </c>
      <c r="HC126" s="221">
        <f t="shared" si="725"/>
        <v>83.333333333333329</v>
      </c>
      <c r="HD126" s="221">
        <f t="shared" si="725"/>
        <v>83.333333333333329</v>
      </c>
      <c r="HE126" s="221">
        <f t="shared" si="725"/>
        <v>83.333333333333329</v>
      </c>
      <c r="HF126" s="221">
        <f t="shared" si="725"/>
        <v>83.333333333333329</v>
      </c>
      <c r="HG126" s="221">
        <f t="shared" si="725"/>
        <v>83.333333333333329</v>
      </c>
      <c r="HH126" s="221">
        <f t="shared" si="725"/>
        <v>83.333333333333329</v>
      </c>
      <c r="HI126" s="221">
        <f t="shared" si="725"/>
        <v>83.333333333333329</v>
      </c>
      <c r="HJ126" s="221">
        <f t="shared" si="726"/>
        <v>83.333333333333329</v>
      </c>
      <c r="HK126" s="221">
        <f t="shared" si="726"/>
        <v>83.333333333333329</v>
      </c>
      <c r="HL126" s="221">
        <f t="shared" si="726"/>
        <v>83.333333333333329</v>
      </c>
      <c r="HM126" s="221">
        <f t="shared" si="726"/>
        <v>83.333333333333329</v>
      </c>
      <c r="HN126" s="221">
        <f t="shared" si="726"/>
        <v>83.333333333333329</v>
      </c>
      <c r="HO126" s="221">
        <f t="shared" si="726"/>
        <v>83.333333333333329</v>
      </c>
      <c r="HP126" s="221">
        <f t="shared" si="726"/>
        <v>83.333333333333329</v>
      </c>
      <c r="HQ126" s="221">
        <f t="shared" si="726"/>
        <v>83.333333333333329</v>
      </c>
      <c r="HR126" s="221">
        <f t="shared" si="726"/>
        <v>83.333333333333329</v>
      </c>
      <c r="HS126" s="221">
        <f t="shared" si="726"/>
        <v>83.333333333333329</v>
      </c>
      <c r="HT126" s="221">
        <f t="shared" si="727"/>
        <v>83.333333333333329</v>
      </c>
      <c r="HU126" s="221">
        <f t="shared" si="727"/>
        <v>83.333333333333329</v>
      </c>
      <c r="HV126" s="221">
        <f t="shared" si="727"/>
        <v>83.333333333333329</v>
      </c>
      <c r="HW126" s="221">
        <f t="shared" si="727"/>
        <v>83.333333333333329</v>
      </c>
      <c r="HX126" s="221">
        <f t="shared" si="727"/>
        <v>83.333333333333329</v>
      </c>
      <c r="HY126" s="221">
        <f t="shared" si="727"/>
        <v>83.333333333333329</v>
      </c>
      <c r="HZ126" s="221">
        <f t="shared" si="727"/>
        <v>83.333333333333329</v>
      </c>
      <c r="IA126" s="221">
        <f t="shared" si="727"/>
        <v>83.333333333333329</v>
      </c>
      <c r="IB126" s="221">
        <f t="shared" si="727"/>
        <v>83.333333333333329</v>
      </c>
      <c r="IC126" s="221">
        <f t="shared" si="727"/>
        <v>83.333333333333329</v>
      </c>
      <c r="ID126" s="221">
        <f t="shared" si="728"/>
        <v>83.333333333333329</v>
      </c>
      <c r="IE126" s="221">
        <f t="shared" si="728"/>
        <v>83.333333333333329</v>
      </c>
      <c r="IF126" s="221">
        <f t="shared" si="728"/>
        <v>83.333333333333329</v>
      </c>
      <c r="IG126" s="221">
        <f t="shared" si="728"/>
        <v>83.333333333333329</v>
      </c>
      <c r="IH126" s="221">
        <f t="shared" si="728"/>
        <v>83.333333333333329</v>
      </c>
      <c r="II126" s="221">
        <f t="shared" si="728"/>
        <v>83.333333333333329</v>
      </c>
      <c r="IJ126" s="221">
        <f t="shared" si="728"/>
        <v>83.333333333333329</v>
      </c>
      <c r="IK126" s="221">
        <f t="shared" si="728"/>
        <v>83.333333333333329</v>
      </c>
      <c r="IL126" s="221">
        <f t="shared" si="728"/>
        <v>83.333333333333329</v>
      </c>
      <c r="IM126" s="221">
        <f t="shared" si="728"/>
        <v>83.333333333333329</v>
      </c>
      <c r="IN126" s="221">
        <f t="shared" si="729"/>
        <v>83.333333333333329</v>
      </c>
      <c r="IO126" s="221">
        <f t="shared" si="729"/>
        <v>83.333333333333329</v>
      </c>
      <c r="IP126" s="221">
        <f t="shared" si="729"/>
        <v>83.333333333333329</v>
      </c>
      <c r="IQ126" s="221">
        <f t="shared" si="729"/>
        <v>83.333333333333329</v>
      </c>
      <c r="IR126" s="221">
        <f t="shared" si="729"/>
        <v>83.333333333333329</v>
      </c>
      <c r="IS126" s="221">
        <f t="shared" si="729"/>
        <v>83.333333333333329</v>
      </c>
      <c r="IT126" s="221">
        <f t="shared" si="729"/>
        <v>83.333333333333329</v>
      </c>
      <c r="IU126" s="221">
        <f t="shared" si="729"/>
        <v>83.333333333333329</v>
      </c>
      <c r="IV126" s="221">
        <f t="shared" si="729"/>
        <v>83.333333333333329</v>
      </c>
      <c r="IW126" s="221">
        <f t="shared" si="729"/>
        <v>83.333333333333329</v>
      </c>
      <c r="IX126" s="221">
        <f t="shared" si="730"/>
        <v>83.333333333333329</v>
      </c>
      <c r="IY126" s="221">
        <f t="shared" si="730"/>
        <v>83.333333333333329</v>
      </c>
      <c r="IZ126" s="221">
        <f t="shared" si="730"/>
        <v>83.333333333333329</v>
      </c>
      <c r="JA126" s="221">
        <f t="shared" si="730"/>
        <v>83.333333333333329</v>
      </c>
      <c r="JB126" s="221">
        <f t="shared" si="730"/>
        <v>83.333333333333329</v>
      </c>
      <c r="JC126" s="221">
        <f t="shared" si="730"/>
        <v>83.333333333333329</v>
      </c>
      <c r="JD126" s="221">
        <f t="shared" si="730"/>
        <v>83.333333333333329</v>
      </c>
      <c r="JE126" s="221">
        <f t="shared" si="730"/>
        <v>83.333333333333329</v>
      </c>
      <c r="JF126" s="221">
        <f t="shared" si="730"/>
        <v>83.333333333333329</v>
      </c>
      <c r="JG126" s="221">
        <f t="shared" si="730"/>
        <v>83.333333333333329</v>
      </c>
      <c r="JH126" s="221">
        <f t="shared" si="731"/>
        <v>83.333333333333329</v>
      </c>
      <c r="JI126" s="221">
        <f t="shared" si="731"/>
        <v>83.333333333333329</v>
      </c>
      <c r="JJ126" s="221">
        <f t="shared" si="731"/>
        <v>83.333333333333329</v>
      </c>
      <c r="JK126" s="221">
        <f t="shared" si="731"/>
        <v>83.333333333333329</v>
      </c>
      <c r="JL126" s="221">
        <f t="shared" si="731"/>
        <v>83.333333333333329</v>
      </c>
      <c r="JM126" s="221">
        <f t="shared" si="731"/>
        <v>83.333333333333329</v>
      </c>
      <c r="JN126" s="221">
        <f t="shared" si="731"/>
        <v>83.333333333333329</v>
      </c>
      <c r="JO126" s="221">
        <f t="shared" si="731"/>
        <v>83.333333333333329</v>
      </c>
      <c r="JP126" s="221">
        <f t="shared" si="731"/>
        <v>83.333333333333329</v>
      </c>
      <c r="JQ126" s="221">
        <f t="shared" si="731"/>
        <v>83.333333333333329</v>
      </c>
      <c r="JR126" s="221">
        <f t="shared" si="732"/>
        <v>83.333333333333329</v>
      </c>
      <c r="JS126" s="221">
        <f t="shared" si="732"/>
        <v>83.333333333333329</v>
      </c>
      <c r="JT126" s="221">
        <f t="shared" si="732"/>
        <v>83.333333333333329</v>
      </c>
      <c r="JU126" s="221">
        <f t="shared" si="732"/>
        <v>83.333333333333329</v>
      </c>
      <c r="JV126" s="221">
        <f t="shared" si="732"/>
        <v>83.333333333333329</v>
      </c>
      <c r="JW126" s="221">
        <f t="shared" si="732"/>
        <v>83.333333333333329</v>
      </c>
      <c r="JX126" s="221">
        <f t="shared" si="732"/>
        <v>83.333333333333329</v>
      </c>
      <c r="JY126" s="221">
        <f t="shared" si="732"/>
        <v>83.333333333333329</v>
      </c>
      <c r="JZ126" s="221">
        <f t="shared" si="732"/>
        <v>83.333333333333329</v>
      </c>
      <c r="KA126" s="221">
        <f t="shared" si="732"/>
        <v>83.333333333333329</v>
      </c>
      <c r="KB126" s="221">
        <f t="shared" si="732"/>
        <v>83.333333333333329</v>
      </c>
      <c r="KC126" s="221">
        <f t="shared" si="732"/>
        <v>83.333333333333329</v>
      </c>
    </row>
    <row r="127" spans="1:289" x14ac:dyDescent="0.25">
      <c r="B127" s="234" t="str">
        <f>IF(E118="Below NOI","Make Ready Cost","Capital Reserves")</f>
        <v>Make Ready Cost</v>
      </c>
      <c r="C127" s="196"/>
      <c r="D127" s="310">
        <f t="shared" si="739"/>
        <v>0.02</v>
      </c>
      <c r="E127" s="357">
        <v>0.75</v>
      </c>
      <c r="F127" s="357"/>
      <c r="G127" s="272">
        <f t="shared" si="733"/>
        <v>5.7710064635272396E-3</v>
      </c>
      <c r="H127" s="218">
        <f t="shared" si="713"/>
        <v>125</v>
      </c>
      <c r="I127" s="219">
        <v>2000</v>
      </c>
      <c r="R127" s="220">
        <f t="shared" ref="R127:AW127" si="760">(FB127+($I127/12*R$90*(1-$E127)))*(1+$D$127)^(FB$116-1)</f>
        <v>0</v>
      </c>
      <c r="S127" s="220">
        <f t="shared" si="760"/>
        <v>0</v>
      </c>
      <c r="T127" s="220">
        <f t="shared" si="760"/>
        <v>0</v>
      </c>
      <c r="U127" s="220">
        <f t="shared" si="760"/>
        <v>0</v>
      </c>
      <c r="V127" s="220">
        <f t="shared" si="760"/>
        <v>0</v>
      </c>
      <c r="W127" s="220">
        <f t="shared" si="760"/>
        <v>0</v>
      </c>
      <c r="X127" s="220">
        <f t="shared" si="760"/>
        <v>0</v>
      </c>
      <c r="Y127" s="220">
        <f t="shared" si="760"/>
        <v>0</v>
      </c>
      <c r="Z127" s="220">
        <f t="shared" si="760"/>
        <v>0</v>
      </c>
      <c r="AA127" s="220">
        <f t="shared" si="760"/>
        <v>0</v>
      </c>
      <c r="AB127" s="220">
        <f t="shared" si="760"/>
        <v>0</v>
      </c>
      <c r="AC127" s="220">
        <f t="shared" si="760"/>
        <v>135.41666666666666</v>
      </c>
      <c r="AD127" s="220">
        <f t="shared" si="760"/>
        <v>151.04166666666666</v>
      </c>
      <c r="AE127" s="220">
        <f t="shared" si="760"/>
        <v>166.66666666666666</v>
      </c>
      <c r="AF127" s="220">
        <f t="shared" si="760"/>
        <v>166.66666666666666</v>
      </c>
      <c r="AG127" s="220">
        <f t="shared" si="760"/>
        <v>166.66666666666666</v>
      </c>
      <c r="AH127" s="220">
        <f t="shared" si="760"/>
        <v>166.66666666666666</v>
      </c>
      <c r="AI127" s="220">
        <f t="shared" si="760"/>
        <v>166.66666666666666</v>
      </c>
      <c r="AJ127" s="220">
        <f t="shared" si="760"/>
        <v>166.66666666666666</v>
      </c>
      <c r="AK127" s="220">
        <f t="shared" si="760"/>
        <v>166.66666666666666</v>
      </c>
      <c r="AL127" s="220">
        <f t="shared" si="760"/>
        <v>166.66666666666666</v>
      </c>
      <c r="AM127" s="220">
        <f t="shared" si="760"/>
        <v>166.66666666666666</v>
      </c>
      <c r="AN127" s="220">
        <f t="shared" si="760"/>
        <v>166.66666666666666</v>
      </c>
      <c r="AO127" s="220">
        <f t="shared" si="760"/>
        <v>170</v>
      </c>
      <c r="AP127" s="220">
        <f t="shared" si="760"/>
        <v>170</v>
      </c>
      <c r="AQ127" s="220">
        <f t="shared" si="760"/>
        <v>170</v>
      </c>
      <c r="AR127" s="220">
        <f t="shared" si="760"/>
        <v>170</v>
      </c>
      <c r="AS127" s="220">
        <f t="shared" si="760"/>
        <v>170</v>
      </c>
      <c r="AT127" s="220">
        <f t="shared" si="760"/>
        <v>170</v>
      </c>
      <c r="AU127" s="220">
        <f t="shared" si="760"/>
        <v>170</v>
      </c>
      <c r="AV127" s="220">
        <f t="shared" si="760"/>
        <v>170</v>
      </c>
      <c r="AW127" s="220">
        <f t="shared" si="760"/>
        <v>170</v>
      </c>
      <c r="AX127" s="220">
        <f t="shared" ref="AX127:CC127" si="761">(GH127+($I127/12*AX$90*(1-$E127)))*(1+$D$127)^(GH$116-1)</f>
        <v>170</v>
      </c>
      <c r="AY127" s="220">
        <f t="shared" si="761"/>
        <v>170</v>
      </c>
      <c r="AZ127" s="220">
        <f t="shared" si="761"/>
        <v>170</v>
      </c>
      <c r="BA127" s="220">
        <f t="shared" si="761"/>
        <v>173.39999999999998</v>
      </c>
      <c r="BB127" s="220">
        <f t="shared" si="761"/>
        <v>173.39999999999998</v>
      </c>
      <c r="BC127" s="220">
        <f t="shared" si="761"/>
        <v>173.39999999999998</v>
      </c>
      <c r="BD127" s="220">
        <f t="shared" si="761"/>
        <v>173.39999999999998</v>
      </c>
      <c r="BE127" s="220">
        <f t="shared" si="761"/>
        <v>173.39999999999998</v>
      </c>
      <c r="BF127" s="220">
        <f t="shared" si="761"/>
        <v>173.39999999999998</v>
      </c>
      <c r="BG127" s="220">
        <f t="shared" si="761"/>
        <v>173.39999999999998</v>
      </c>
      <c r="BH127" s="220">
        <f t="shared" si="761"/>
        <v>173.39999999999998</v>
      </c>
      <c r="BI127" s="220">
        <f t="shared" si="761"/>
        <v>173.39999999999998</v>
      </c>
      <c r="BJ127" s="220">
        <f t="shared" si="761"/>
        <v>173.39999999999998</v>
      </c>
      <c r="BK127" s="220">
        <f t="shared" si="761"/>
        <v>173.39999999999998</v>
      </c>
      <c r="BL127" s="220">
        <f t="shared" si="761"/>
        <v>173.39999999999998</v>
      </c>
      <c r="BM127" s="220">
        <f t="shared" si="761"/>
        <v>176.86799999999997</v>
      </c>
      <c r="BN127" s="220">
        <f t="shared" si="761"/>
        <v>176.86799999999997</v>
      </c>
      <c r="BO127" s="220">
        <f t="shared" si="761"/>
        <v>176.86799999999997</v>
      </c>
      <c r="BP127" s="220">
        <f t="shared" si="761"/>
        <v>176.86799999999997</v>
      </c>
      <c r="BQ127" s="220">
        <f t="shared" si="761"/>
        <v>176.86799999999997</v>
      </c>
      <c r="BR127" s="220">
        <f t="shared" si="761"/>
        <v>176.86799999999997</v>
      </c>
      <c r="BS127" s="220">
        <f t="shared" si="761"/>
        <v>176.86799999999997</v>
      </c>
      <c r="BT127" s="220">
        <f t="shared" si="761"/>
        <v>176.86799999999997</v>
      </c>
      <c r="BU127" s="220">
        <f t="shared" si="761"/>
        <v>176.86799999999997</v>
      </c>
      <c r="BV127" s="220">
        <f t="shared" si="761"/>
        <v>176.86799999999997</v>
      </c>
      <c r="BW127" s="220">
        <f t="shared" si="761"/>
        <v>176.86799999999997</v>
      </c>
      <c r="BX127" s="220">
        <f t="shared" si="761"/>
        <v>176.86799999999997</v>
      </c>
      <c r="BY127" s="220">
        <f t="shared" si="761"/>
        <v>180.40535999999997</v>
      </c>
      <c r="BZ127" s="220">
        <f t="shared" si="761"/>
        <v>180.40535999999997</v>
      </c>
      <c r="CA127" s="220">
        <f t="shared" si="761"/>
        <v>180.40535999999997</v>
      </c>
      <c r="CB127" s="220">
        <f t="shared" si="761"/>
        <v>180.40535999999997</v>
      </c>
      <c r="CC127" s="220">
        <f t="shared" si="761"/>
        <v>180.40535999999997</v>
      </c>
      <c r="CD127" s="220">
        <f t="shared" ref="CD127:DI127" si="762">(HN127+($I127/12*CD$90*(1-$E127)))*(1+$D$127)^(HN$116-1)</f>
        <v>180.40535999999997</v>
      </c>
      <c r="CE127" s="220">
        <f t="shared" si="762"/>
        <v>180.40535999999997</v>
      </c>
      <c r="CF127" s="220">
        <f t="shared" si="762"/>
        <v>180.40535999999997</v>
      </c>
      <c r="CG127" s="220">
        <f t="shared" si="762"/>
        <v>180.40535999999997</v>
      </c>
      <c r="CH127" s="220">
        <f t="shared" si="762"/>
        <v>180.40535999999997</v>
      </c>
      <c r="CI127" s="220">
        <f t="shared" si="762"/>
        <v>180.40535999999997</v>
      </c>
      <c r="CJ127" s="220">
        <f t="shared" si="762"/>
        <v>180.40535999999997</v>
      </c>
      <c r="CK127" s="220">
        <f t="shared" si="762"/>
        <v>184.01346719999998</v>
      </c>
      <c r="CL127" s="220">
        <f t="shared" si="762"/>
        <v>184.01346719999998</v>
      </c>
      <c r="CM127" s="220">
        <f t="shared" si="762"/>
        <v>184.01346719999998</v>
      </c>
      <c r="CN127" s="220">
        <f t="shared" si="762"/>
        <v>184.01346719999998</v>
      </c>
      <c r="CO127" s="220">
        <f t="shared" si="762"/>
        <v>184.01346719999998</v>
      </c>
      <c r="CP127" s="220">
        <f t="shared" si="762"/>
        <v>184.01346719999998</v>
      </c>
      <c r="CQ127" s="220">
        <f t="shared" si="762"/>
        <v>184.01346719999998</v>
      </c>
      <c r="CR127" s="220">
        <f t="shared" si="762"/>
        <v>184.01346719999998</v>
      </c>
      <c r="CS127" s="220">
        <f t="shared" si="762"/>
        <v>184.01346719999998</v>
      </c>
      <c r="CT127" s="220">
        <f t="shared" si="762"/>
        <v>184.01346719999998</v>
      </c>
      <c r="CU127" s="220">
        <f t="shared" si="762"/>
        <v>184.01346719999998</v>
      </c>
      <c r="CV127" s="220">
        <f t="shared" si="762"/>
        <v>184.01346719999998</v>
      </c>
      <c r="CW127" s="220">
        <f t="shared" si="762"/>
        <v>187.69373654399999</v>
      </c>
      <c r="CX127" s="220">
        <f t="shared" si="762"/>
        <v>187.69373654399999</v>
      </c>
      <c r="CY127" s="220">
        <f t="shared" si="762"/>
        <v>187.69373654399999</v>
      </c>
      <c r="CZ127" s="220">
        <f t="shared" si="762"/>
        <v>187.69373654399999</v>
      </c>
      <c r="DA127" s="220">
        <f t="shared" si="762"/>
        <v>187.69373654399999</v>
      </c>
      <c r="DB127" s="220">
        <f t="shared" si="762"/>
        <v>187.69373654399999</v>
      </c>
      <c r="DC127" s="220">
        <f t="shared" si="762"/>
        <v>187.69373654399999</v>
      </c>
      <c r="DD127" s="220">
        <f t="shared" si="762"/>
        <v>187.69373654399999</v>
      </c>
      <c r="DE127" s="220">
        <f t="shared" si="762"/>
        <v>187.69373654399999</v>
      </c>
      <c r="DF127" s="220">
        <f t="shared" si="762"/>
        <v>187.69373654399999</v>
      </c>
      <c r="DG127" s="220">
        <f t="shared" si="762"/>
        <v>187.69373654399999</v>
      </c>
      <c r="DH127" s="220">
        <f t="shared" si="762"/>
        <v>187.69373654399999</v>
      </c>
      <c r="DI127" s="220">
        <f t="shared" si="762"/>
        <v>191.44761127487996</v>
      </c>
      <c r="DJ127" s="220">
        <f t="shared" ref="DJ127:EO127" si="763">(IT127+($I127/12*DJ$90*(1-$E127)))*(1+$D$127)^(IT$116-1)</f>
        <v>191.44761127487996</v>
      </c>
      <c r="DK127" s="220">
        <f t="shared" si="763"/>
        <v>191.44761127487996</v>
      </c>
      <c r="DL127" s="220">
        <f t="shared" si="763"/>
        <v>191.44761127487996</v>
      </c>
      <c r="DM127" s="220">
        <f t="shared" si="763"/>
        <v>191.44761127487996</v>
      </c>
      <c r="DN127" s="220">
        <f t="shared" si="763"/>
        <v>191.44761127487996</v>
      </c>
      <c r="DO127" s="220">
        <f t="shared" si="763"/>
        <v>191.44761127487996</v>
      </c>
      <c r="DP127" s="220">
        <f t="shared" si="763"/>
        <v>191.44761127487996</v>
      </c>
      <c r="DQ127" s="220">
        <f t="shared" si="763"/>
        <v>191.44761127487996</v>
      </c>
      <c r="DR127" s="220">
        <f t="shared" si="763"/>
        <v>191.44761127487996</v>
      </c>
      <c r="DS127" s="220">
        <f t="shared" si="763"/>
        <v>191.44761127487996</v>
      </c>
      <c r="DT127" s="220">
        <f t="shared" si="763"/>
        <v>191.44761127487996</v>
      </c>
      <c r="DU127" s="220">
        <f t="shared" si="763"/>
        <v>195.27656350037756</v>
      </c>
      <c r="DV127" s="220">
        <f t="shared" si="763"/>
        <v>195.27656350037756</v>
      </c>
      <c r="DW127" s="220">
        <f t="shared" si="763"/>
        <v>195.27656350037756</v>
      </c>
      <c r="DX127" s="220">
        <f t="shared" si="763"/>
        <v>195.27656350037756</v>
      </c>
      <c r="DY127" s="220">
        <f t="shared" si="763"/>
        <v>195.27656350037756</v>
      </c>
      <c r="DZ127" s="220">
        <f t="shared" si="763"/>
        <v>195.27656350037756</v>
      </c>
      <c r="EA127" s="220">
        <f t="shared" si="763"/>
        <v>195.27656350037756</v>
      </c>
      <c r="EB127" s="220">
        <f t="shared" si="763"/>
        <v>195.27656350037756</v>
      </c>
      <c r="EC127" s="220">
        <f t="shared" si="763"/>
        <v>195.27656350037756</v>
      </c>
      <c r="ED127" s="220">
        <f t="shared" si="763"/>
        <v>195.27656350037756</v>
      </c>
      <c r="EE127" s="220">
        <f t="shared" si="763"/>
        <v>195.27656350037756</v>
      </c>
      <c r="EF127" s="220">
        <f t="shared" si="763"/>
        <v>195.27656350037756</v>
      </c>
      <c r="EG127" s="220">
        <f t="shared" si="763"/>
        <v>199.18209477038513</v>
      </c>
      <c r="EH127" s="220">
        <f t="shared" si="763"/>
        <v>199.18209477038513</v>
      </c>
      <c r="EI127" s="220">
        <f t="shared" si="763"/>
        <v>199.18209477038513</v>
      </c>
      <c r="EJ127" s="220">
        <f t="shared" si="763"/>
        <v>199.18209477038513</v>
      </c>
      <c r="EK127" s="220">
        <f t="shared" si="763"/>
        <v>199.18209477038513</v>
      </c>
      <c r="EL127" s="220">
        <f t="shared" si="763"/>
        <v>199.18209477038513</v>
      </c>
      <c r="EM127" s="220">
        <f t="shared" si="763"/>
        <v>199.18209477038513</v>
      </c>
      <c r="EN127" s="220">
        <f t="shared" si="763"/>
        <v>199.18209477038513</v>
      </c>
      <c r="EO127" s="220">
        <f t="shared" si="763"/>
        <v>199.18209477038513</v>
      </c>
      <c r="EP127" s="220">
        <f t="shared" ref="EP127:ES127" si="764">(JZ127+($I127/12*EP$90*(1-$E127)))*(1+$D$127)^(JZ$116-1)</f>
        <v>199.18209477038513</v>
      </c>
      <c r="EQ127" s="220">
        <f t="shared" si="764"/>
        <v>199.18209477038513</v>
      </c>
      <c r="ER127" s="220">
        <f t="shared" si="764"/>
        <v>199.18209477038513</v>
      </c>
      <c r="ES127" s="220">
        <f t="shared" si="764"/>
        <v>203.16573666579285</v>
      </c>
      <c r="EU127" s="153"/>
      <c r="EV127" s="153"/>
      <c r="EW127" s="304">
        <f t="shared" si="719"/>
        <v>0.75</v>
      </c>
      <c r="EX127" s="153"/>
      <c r="EY127" s="153"/>
      <c r="EZ127" s="154"/>
      <c r="FA127" s="153" t="s">
        <v>147</v>
      </c>
      <c r="FB127" s="221">
        <f t="shared" si="720"/>
        <v>0</v>
      </c>
      <c r="FC127" s="221">
        <f t="shared" si="720"/>
        <v>0</v>
      </c>
      <c r="FD127" s="221">
        <f t="shared" si="720"/>
        <v>0</v>
      </c>
      <c r="FE127" s="221">
        <f t="shared" si="720"/>
        <v>0</v>
      </c>
      <c r="FF127" s="221">
        <f t="shared" si="720"/>
        <v>0</v>
      </c>
      <c r="FG127" s="221">
        <f t="shared" si="720"/>
        <v>0</v>
      </c>
      <c r="FH127" s="221">
        <f t="shared" si="720"/>
        <v>0</v>
      </c>
      <c r="FI127" s="221">
        <f t="shared" si="720"/>
        <v>0</v>
      </c>
      <c r="FJ127" s="221">
        <f t="shared" si="720"/>
        <v>0</v>
      </c>
      <c r="FK127" s="221">
        <f t="shared" si="720"/>
        <v>0</v>
      </c>
      <c r="FL127" s="221">
        <f t="shared" si="721"/>
        <v>0</v>
      </c>
      <c r="FM127" s="221">
        <f t="shared" si="721"/>
        <v>125</v>
      </c>
      <c r="FN127" s="221">
        <f t="shared" si="721"/>
        <v>125</v>
      </c>
      <c r="FO127" s="221">
        <f t="shared" si="721"/>
        <v>125</v>
      </c>
      <c r="FP127" s="221">
        <f t="shared" si="721"/>
        <v>125</v>
      </c>
      <c r="FQ127" s="221">
        <f t="shared" si="721"/>
        <v>125</v>
      </c>
      <c r="FR127" s="221">
        <f t="shared" si="721"/>
        <v>125</v>
      </c>
      <c r="FS127" s="221">
        <f t="shared" si="721"/>
        <v>125</v>
      </c>
      <c r="FT127" s="221">
        <f t="shared" si="721"/>
        <v>125</v>
      </c>
      <c r="FU127" s="221">
        <f t="shared" si="721"/>
        <v>125</v>
      </c>
      <c r="FV127" s="221">
        <f t="shared" si="722"/>
        <v>125</v>
      </c>
      <c r="FW127" s="221">
        <f t="shared" si="722"/>
        <v>125</v>
      </c>
      <c r="FX127" s="221">
        <f t="shared" si="722"/>
        <v>125</v>
      </c>
      <c r="FY127" s="221">
        <f t="shared" si="722"/>
        <v>125</v>
      </c>
      <c r="FZ127" s="221">
        <f t="shared" si="722"/>
        <v>125</v>
      </c>
      <c r="GA127" s="221">
        <f t="shared" si="722"/>
        <v>125</v>
      </c>
      <c r="GB127" s="221">
        <f t="shared" si="722"/>
        <v>125</v>
      </c>
      <c r="GC127" s="221">
        <f t="shared" si="722"/>
        <v>125</v>
      </c>
      <c r="GD127" s="221">
        <f t="shared" si="722"/>
        <v>125</v>
      </c>
      <c r="GE127" s="221">
        <f t="shared" si="722"/>
        <v>125</v>
      </c>
      <c r="GF127" s="221">
        <f t="shared" si="723"/>
        <v>125</v>
      </c>
      <c r="GG127" s="221">
        <f t="shared" si="723"/>
        <v>125</v>
      </c>
      <c r="GH127" s="221">
        <f t="shared" si="723"/>
        <v>125</v>
      </c>
      <c r="GI127" s="221">
        <f t="shared" si="723"/>
        <v>125</v>
      </c>
      <c r="GJ127" s="221">
        <f t="shared" si="723"/>
        <v>125</v>
      </c>
      <c r="GK127" s="221">
        <f t="shared" si="723"/>
        <v>125</v>
      </c>
      <c r="GL127" s="221">
        <f t="shared" si="723"/>
        <v>125</v>
      </c>
      <c r="GM127" s="221">
        <f t="shared" si="723"/>
        <v>125</v>
      </c>
      <c r="GN127" s="221">
        <f t="shared" si="723"/>
        <v>125</v>
      </c>
      <c r="GO127" s="221">
        <f t="shared" si="723"/>
        <v>125</v>
      </c>
      <c r="GP127" s="221">
        <f t="shared" si="724"/>
        <v>125</v>
      </c>
      <c r="GQ127" s="221">
        <f t="shared" si="724"/>
        <v>125</v>
      </c>
      <c r="GR127" s="221">
        <f t="shared" si="724"/>
        <v>125</v>
      </c>
      <c r="GS127" s="221">
        <f t="shared" si="724"/>
        <v>125</v>
      </c>
      <c r="GT127" s="221">
        <f t="shared" si="724"/>
        <v>125</v>
      </c>
      <c r="GU127" s="221">
        <f t="shared" si="724"/>
        <v>125</v>
      </c>
      <c r="GV127" s="221">
        <f t="shared" si="724"/>
        <v>125</v>
      </c>
      <c r="GW127" s="221">
        <f t="shared" si="724"/>
        <v>125</v>
      </c>
      <c r="GX127" s="221">
        <f t="shared" si="724"/>
        <v>125</v>
      </c>
      <c r="GY127" s="221">
        <f t="shared" si="724"/>
        <v>125</v>
      </c>
      <c r="GZ127" s="221">
        <f t="shared" si="725"/>
        <v>125</v>
      </c>
      <c r="HA127" s="221">
        <f t="shared" si="725"/>
        <v>125</v>
      </c>
      <c r="HB127" s="221">
        <f t="shared" si="725"/>
        <v>125</v>
      </c>
      <c r="HC127" s="221">
        <f t="shared" si="725"/>
        <v>125</v>
      </c>
      <c r="HD127" s="221">
        <f t="shared" si="725"/>
        <v>125</v>
      </c>
      <c r="HE127" s="221">
        <f t="shared" si="725"/>
        <v>125</v>
      </c>
      <c r="HF127" s="221">
        <f t="shared" si="725"/>
        <v>125</v>
      </c>
      <c r="HG127" s="221">
        <f t="shared" si="725"/>
        <v>125</v>
      </c>
      <c r="HH127" s="221">
        <f t="shared" si="725"/>
        <v>125</v>
      </c>
      <c r="HI127" s="221">
        <f t="shared" si="725"/>
        <v>125</v>
      </c>
      <c r="HJ127" s="221">
        <f t="shared" si="726"/>
        <v>125</v>
      </c>
      <c r="HK127" s="221">
        <f t="shared" si="726"/>
        <v>125</v>
      </c>
      <c r="HL127" s="221">
        <f t="shared" si="726"/>
        <v>125</v>
      </c>
      <c r="HM127" s="221">
        <f t="shared" si="726"/>
        <v>125</v>
      </c>
      <c r="HN127" s="221">
        <f t="shared" si="726"/>
        <v>125</v>
      </c>
      <c r="HO127" s="221">
        <f t="shared" si="726"/>
        <v>125</v>
      </c>
      <c r="HP127" s="221">
        <f t="shared" si="726"/>
        <v>125</v>
      </c>
      <c r="HQ127" s="221">
        <f t="shared" si="726"/>
        <v>125</v>
      </c>
      <c r="HR127" s="221">
        <f t="shared" si="726"/>
        <v>125</v>
      </c>
      <c r="HS127" s="221">
        <f t="shared" si="726"/>
        <v>125</v>
      </c>
      <c r="HT127" s="221">
        <f t="shared" si="727"/>
        <v>125</v>
      </c>
      <c r="HU127" s="221">
        <f t="shared" si="727"/>
        <v>125</v>
      </c>
      <c r="HV127" s="221">
        <f t="shared" si="727"/>
        <v>125</v>
      </c>
      <c r="HW127" s="221">
        <f t="shared" si="727"/>
        <v>125</v>
      </c>
      <c r="HX127" s="221">
        <f t="shared" si="727"/>
        <v>125</v>
      </c>
      <c r="HY127" s="221">
        <f t="shared" si="727"/>
        <v>125</v>
      </c>
      <c r="HZ127" s="221">
        <f t="shared" si="727"/>
        <v>125</v>
      </c>
      <c r="IA127" s="221">
        <f t="shared" si="727"/>
        <v>125</v>
      </c>
      <c r="IB127" s="221">
        <f t="shared" si="727"/>
        <v>125</v>
      </c>
      <c r="IC127" s="221">
        <f t="shared" si="727"/>
        <v>125</v>
      </c>
      <c r="ID127" s="221">
        <f t="shared" si="728"/>
        <v>125</v>
      </c>
      <c r="IE127" s="221">
        <f t="shared" si="728"/>
        <v>125</v>
      </c>
      <c r="IF127" s="221">
        <f t="shared" si="728"/>
        <v>125</v>
      </c>
      <c r="IG127" s="221">
        <f t="shared" si="728"/>
        <v>125</v>
      </c>
      <c r="IH127" s="221">
        <f t="shared" si="728"/>
        <v>125</v>
      </c>
      <c r="II127" s="221">
        <f t="shared" si="728"/>
        <v>125</v>
      </c>
      <c r="IJ127" s="221">
        <f t="shared" si="728"/>
        <v>125</v>
      </c>
      <c r="IK127" s="221">
        <f t="shared" si="728"/>
        <v>125</v>
      </c>
      <c r="IL127" s="221">
        <f t="shared" si="728"/>
        <v>125</v>
      </c>
      <c r="IM127" s="221">
        <f t="shared" si="728"/>
        <v>125</v>
      </c>
      <c r="IN127" s="221">
        <f t="shared" si="729"/>
        <v>125</v>
      </c>
      <c r="IO127" s="221">
        <f t="shared" si="729"/>
        <v>125</v>
      </c>
      <c r="IP127" s="221">
        <f t="shared" si="729"/>
        <v>125</v>
      </c>
      <c r="IQ127" s="221">
        <f t="shared" si="729"/>
        <v>125</v>
      </c>
      <c r="IR127" s="221">
        <f t="shared" si="729"/>
        <v>125</v>
      </c>
      <c r="IS127" s="221">
        <f t="shared" si="729"/>
        <v>125</v>
      </c>
      <c r="IT127" s="221">
        <f t="shared" si="729"/>
        <v>125</v>
      </c>
      <c r="IU127" s="221">
        <f t="shared" si="729"/>
        <v>125</v>
      </c>
      <c r="IV127" s="221">
        <f t="shared" si="729"/>
        <v>125</v>
      </c>
      <c r="IW127" s="221">
        <f t="shared" si="729"/>
        <v>125</v>
      </c>
      <c r="IX127" s="221">
        <f t="shared" si="730"/>
        <v>125</v>
      </c>
      <c r="IY127" s="221">
        <f t="shared" si="730"/>
        <v>125</v>
      </c>
      <c r="IZ127" s="221">
        <f t="shared" si="730"/>
        <v>125</v>
      </c>
      <c r="JA127" s="221">
        <f t="shared" si="730"/>
        <v>125</v>
      </c>
      <c r="JB127" s="221">
        <f t="shared" si="730"/>
        <v>125</v>
      </c>
      <c r="JC127" s="221">
        <f t="shared" si="730"/>
        <v>125</v>
      </c>
      <c r="JD127" s="221">
        <f t="shared" si="730"/>
        <v>125</v>
      </c>
      <c r="JE127" s="221">
        <f t="shared" si="730"/>
        <v>125</v>
      </c>
      <c r="JF127" s="221">
        <f t="shared" si="730"/>
        <v>125</v>
      </c>
      <c r="JG127" s="221">
        <f t="shared" si="730"/>
        <v>125</v>
      </c>
      <c r="JH127" s="221">
        <f t="shared" si="731"/>
        <v>125</v>
      </c>
      <c r="JI127" s="221">
        <f t="shared" si="731"/>
        <v>125</v>
      </c>
      <c r="JJ127" s="221">
        <f t="shared" si="731"/>
        <v>125</v>
      </c>
      <c r="JK127" s="221">
        <f t="shared" si="731"/>
        <v>125</v>
      </c>
      <c r="JL127" s="221">
        <f t="shared" si="731"/>
        <v>125</v>
      </c>
      <c r="JM127" s="221">
        <f t="shared" si="731"/>
        <v>125</v>
      </c>
      <c r="JN127" s="221">
        <f t="shared" si="731"/>
        <v>125</v>
      </c>
      <c r="JO127" s="221">
        <f t="shared" si="731"/>
        <v>125</v>
      </c>
      <c r="JP127" s="221">
        <f t="shared" si="731"/>
        <v>125</v>
      </c>
      <c r="JQ127" s="221">
        <f t="shared" si="731"/>
        <v>125</v>
      </c>
      <c r="JR127" s="221">
        <f t="shared" si="732"/>
        <v>125</v>
      </c>
      <c r="JS127" s="221">
        <f t="shared" si="732"/>
        <v>125</v>
      </c>
      <c r="JT127" s="221">
        <f t="shared" si="732"/>
        <v>125</v>
      </c>
      <c r="JU127" s="221">
        <f t="shared" si="732"/>
        <v>125</v>
      </c>
      <c r="JV127" s="221">
        <f t="shared" si="732"/>
        <v>125</v>
      </c>
      <c r="JW127" s="221">
        <f t="shared" si="732"/>
        <v>125</v>
      </c>
      <c r="JX127" s="221">
        <f t="shared" si="732"/>
        <v>125</v>
      </c>
      <c r="JY127" s="221">
        <f t="shared" si="732"/>
        <v>125</v>
      </c>
      <c r="JZ127" s="221">
        <f t="shared" si="732"/>
        <v>125</v>
      </c>
      <c r="KA127" s="221">
        <f t="shared" si="732"/>
        <v>125</v>
      </c>
      <c r="KB127" s="221">
        <f t="shared" si="732"/>
        <v>125</v>
      </c>
      <c r="KC127" s="221">
        <f t="shared" si="732"/>
        <v>125</v>
      </c>
    </row>
    <row r="128" spans="1:289" x14ac:dyDescent="0.25">
      <c r="B128" s="234" t="s">
        <v>132</v>
      </c>
      <c r="C128" s="196"/>
      <c r="D128" s="357"/>
      <c r="E128" s="357"/>
      <c r="F128" s="357"/>
      <c r="G128" s="286">
        <v>0.05</v>
      </c>
      <c r="H128" s="218">
        <f t="shared" si="713"/>
        <v>1083</v>
      </c>
      <c r="I128" s="358">
        <f>+G128*I114</f>
        <v>17328</v>
      </c>
      <c r="R128" s="220">
        <f ca="1">R114*$G128</f>
        <v>0</v>
      </c>
      <c r="S128" s="220">
        <f t="shared" ref="S128:CD128" ca="1" si="765">S114*$G128</f>
        <v>0</v>
      </c>
      <c r="T128" s="220">
        <f t="shared" ca="1" si="765"/>
        <v>0</v>
      </c>
      <c r="U128" s="220">
        <f t="shared" ca="1" si="765"/>
        <v>0</v>
      </c>
      <c r="V128" s="220">
        <f t="shared" ca="1" si="765"/>
        <v>0</v>
      </c>
      <c r="W128" s="220">
        <f t="shared" ca="1" si="765"/>
        <v>0</v>
      </c>
      <c r="X128" s="220">
        <f t="shared" ca="1" si="765"/>
        <v>0</v>
      </c>
      <c r="Y128" s="220">
        <f t="shared" ca="1" si="765"/>
        <v>0</v>
      </c>
      <c r="Z128" s="220">
        <f t="shared" ca="1" si="765"/>
        <v>0</v>
      </c>
      <c r="AA128" s="220">
        <f t="shared" ca="1" si="765"/>
        <v>0</v>
      </c>
      <c r="AB128" s="220">
        <f t="shared" ca="1" si="765"/>
        <v>0</v>
      </c>
      <c r="AC128" s="220">
        <f t="shared" ca="1" si="765"/>
        <v>361</v>
      </c>
      <c r="AD128" s="220">
        <f t="shared" ca="1" si="765"/>
        <v>902.5</v>
      </c>
      <c r="AE128" s="220">
        <f t="shared" ca="1" si="765"/>
        <v>1444</v>
      </c>
      <c r="AF128" s="220">
        <f t="shared" ca="1" si="765"/>
        <v>1444</v>
      </c>
      <c r="AG128" s="220">
        <f t="shared" ca="1" si="765"/>
        <v>1444</v>
      </c>
      <c r="AH128" s="220">
        <f t="shared" ca="1" si="765"/>
        <v>1444</v>
      </c>
      <c r="AI128" s="220">
        <f t="shared" ca="1" si="765"/>
        <v>1444</v>
      </c>
      <c r="AJ128" s="220">
        <f t="shared" ca="1" si="765"/>
        <v>1444</v>
      </c>
      <c r="AK128" s="220">
        <f t="shared" ca="1" si="765"/>
        <v>1444</v>
      </c>
      <c r="AL128" s="220">
        <f t="shared" ca="1" si="765"/>
        <v>1444</v>
      </c>
      <c r="AM128" s="220">
        <f t="shared" ca="1" si="765"/>
        <v>1444</v>
      </c>
      <c r="AN128" s="220">
        <f t="shared" ca="1" si="765"/>
        <v>1444</v>
      </c>
      <c r="AO128" s="220">
        <f t="shared" ca="1" si="765"/>
        <v>1454.83</v>
      </c>
      <c r="AP128" s="220">
        <f t="shared" ca="1" si="765"/>
        <v>1471.075</v>
      </c>
      <c r="AQ128" s="220">
        <f t="shared" ca="1" si="765"/>
        <v>1487.3200000000002</v>
      </c>
      <c r="AR128" s="220">
        <f t="shared" ca="1" si="765"/>
        <v>1487.3200000000002</v>
      </c>
      <c r="AS128" s="220">
        <f t="shared" ca="1" si="765"/>
        <v>1487.3200000000002</v>
      </c>
      <c r="AT128" s="220">
        <f t="shared" ca="1" si="765"/>
        <v>1487.3200000000002</v>
      </c>
      <c r="AU128" s="220">
        <f t="shared" ca="1" si="765"/>
        <v>1487.3200000000002</v>
      </c>
      <c r="AV128" s="220">
        <f t="shared" ca="1" si="765"/>
        <v>1487.3200000000002</v>
      </c>
      <c r="AW128" s="220">
        <f t="shared" ca="1" si="765"/>
        <v>1487.3200000000002</v>
      </c>
      <c r="AX128" s="220">
        <f t="shared" ca="1" si="765"/>
        <v>1487.3200000000002</v>
      </c>
      <c r="AY128" s="220">
        <f t="shared" ca="1" si="765"/>
        <v>1487.3200000000002</v>
      </c>
      <c r="AZ128" s="220">
        <f t="shared" ca="1" si="765"/>
        <v>1487.3200000000002</v>
      </c>
      <c r="BA128" s="220">
        <f t="shared" ca="1" si="765"/>
        <v>1498.4749000000002</v>
      </c>
      <c r="BB128" s="220">
        <f t="shared" ca="1" si="765"/>
        <v>1515.2072499999999</v>
      </c>
      <c r="BC128" s="220">
        <f t="shared" ca="1" si="765"/>
        <v>1531.9396000000002</v>
      </c>
      <c r="BD128" s="220">
        <f t="shared" ca="1" si="765"/>
        <v>1531.9396000000002</v>
      </c>
      <c r="BE128" s="220">
        <f t="shared" ca="1" si="765"/>
        <v>1531.9396000000002</v>
      </c>
      <c r="BF128" s="220">
        <f t="shared" ca="1" si="765"/>
        <v>1531.9396000000002</v>
      </c>
      <c r="BG128" s="220">
        <f t="shared" ca="1" si="765"/>
        <v>1531.9396000000002</v>
      </c>
      <c r="BH128" s="220">
        <f t="shared" ca="1" si="765"/>
        <v>1531.9396000000002</v>
      </c>
      <c r="BI128" s="220">
        <f t="shared" ca="1" si="765"/>
        <v>1531.9396000000002</v>
      </c>
      <c r="BJ128" s="220">
        <f t="shared" ca="1" si="765"/>
        <v>1531.9396000000002</v>
      </c>
      <c r="BK128" s="220">
        <f t="shared" ca="1" si="765"/>
        <v>1531.9396000000002</v>
      </c>
      <c r="BL128" s="220">
        <f t="shared" ca="1" si="765"/>
        <v>1531.9396000000002</v>
      </c>
      <c r="BM128" s="220">
        <f t="shared" ca="1" si="765"/>
        <v>1543.4291470000003</v>
      </c>
      <c r="BN128" s="220">
        <f t="shared" ca="1" si="765"/>
        <v>1560.6634675000003</v>
      </c>
      <c r="BO128" s="220">
        <f t="shared" ca="1" si="765"/>
        <v>1577.8977880000002</v>
      </c>
      <c r="BP128" s="220">
        <f t="shared" ca="1" si="765"/>
        <v>1577.8977880000002</v>
      </c>
      <c r="BQ128" s="220">
        <f t="shared" ca="1" si="765"/>
        <v>1577.8977880000002</v>
      </c>
      <c r="BR128" s="220">
        <f t="shared" ca="1" si="765"/>
        <v>1577.8977880000002</v>
      </c>
      <c r="BS128" s="220">
        <f t="shared" ca="1" si="765"/>
        <v>1577.8977880000002</v>
      </c>
      <c r="BT128" s="220">
        <f t="shared" ca="1" si="765"/>
        <v>1577.8977880000002</v>
      </c>
      <c r="BU128" s="220">
        <f t="shared" ca="1" si="765"/>
        <v>1577.8977880000002</v>
      </c>
      <c r="BV128" s="220">
        <f t="shared" ca="1" si="765"/>
        <v>1577.8977880000002</v>
      </c>
      <c r="BW128" s="220">
        <f t="shared" ca="1" si="765"/>
        <v>1577.8977880000002</v>
      </c>
      <c r="BX128" s="220">
        <f t="shared" ca="1" si="765"/>
        <v>1577.8977880000002</v>
      </c>
      <c r="BY128" s="220">
        <f t="shared" ca="1" si="765"/>
        <v>1589.7320214099998</v>
      </c>
      <c r="BZ128" s="220">
        <f t="shared" ca="1" si="765"/>
        <v>1607.4833715249999</v>
      </c>
      <c r="CA128" s="220">
        <f t="shared" ca="1" si="765"/>
        <v>1625.2347216400001</v>
      </c>
      <c r="CB128" s="220">
        <f t="shared" ca="1" si="765"/>
        <v>1625.2347216400001</v>
      </c>
      <c r="CC128" s="220">
        <f t="shared" ca="1" si="765"/>
        <v>1625.2347216400001</v>
      </c>
      <c r="CD128" s="220">
        <f t="shared" ca="1" si="765"/>
        <v>1625.2347216400001</v>
      </c>
      <c r="CE128" s="220">
        <f t="shared" ref="CE128:EP128" ca="1" si="766">CE114*$G128</f>
        <v>1625.2347216400001</v>
      </c>
      <c r="CF128" s="220">
        <f t="shared" ca="1" si="766"/>
        <v>1625.2347216400001</v>
      </c>
      <c r="CG128" s="220">
        <f t="shared" ca="1" si="766"/>
        <v>1625.2347216400001</v>
      </c>
      <c r="CH128" s="220">
        <f t="shared" ca="1" si="766"/>
        <v>1625.2347216400001</v>
      </c>
      <c r="CI128" s="220">
        <f t="shared" ca="1" si="766"/>
        <v>1625.2347216400001</v>
      </c>
      <c r="CJ128" s="220">
        <f t="shared" ca="1" si="766"/>
        <v>1625.2347216400001</v>
      </c>
      <c r="CK128" s="220">
        <f t="shared" ca="1" si="766"/>
        <v>1637.4239820523001</v>
      </c>
      <c r="CL128" s="220">
        <f t="shared" ca="1" si="766"/>
        <v>1655.70787267075</v>
      </c>
      <c r="CM128" s="220">
        <f t="shared" ca="1" si="766"/>
        <v>1673.9917632891998</v>
      </c>
      <c r="CN128" s="220">
        <f t="shared" ca="1" si="766"/>
        <v>1673.9917632891998</v>
      </c>
      <c r="CO128" s="220">
        <f t="shared" ca="1" si="766"/>
        <v>1673.9917632891998</v>
      </c>
      <c r="CP128" s="220">
        <f t="shared" ca="1" si="766"/>
        <v>1673.9917632891998</v>
      </c>
      <c r="CQ128" s="220">
        <f t="shared" ca="1" si="766"/>
        <v>1673.9917632891998</v>
      </c>
      <c r="CR128" s="220">
        <f t="shared" ca="1" si="766"/>
        <v>1673.9917632891998</v>
      </c>
      <c r="CS128" s="220">
        <f t="shared" ca="1" si="766"/>
        <v>1673.9917632891998</v>
      </c>
      <c r="CT128" s="220">
        <f t="shared" ca="1" si="766"/>
        <v>1673.9917632891998</v>
      </c>
      <c r="CU128" s="220">
        <f t="shared" ca="1" si="766"/>
        <v>1673.9917632891998</v>
      </c>
      <c r="CV128" s="220">
        <f t="shared" ca="1" si="766"/>
        <v>1673.9917632891998</v>
      </c>
      <c r="CW128" s="220">
        <f t="shared" ca="1" si="766"/>
        <v>1686.546701513869</v>
      </c>
      <c r="CX128" s="220">
        <f t="shared" ca="1" si="766"/>
        <v>1705.3791088508726</v>
      </c>
      <c r="CY128" s="220">
        <f t="shared" ca="1" si="766"/>
        <v>1724.211516187876</v>
      </c>
      <c r="CZ128" s="220">
        <f t="shared" ca="1" si="766"/>
        <v>1724.211516187876</v>
      </c>
      <c r="DA128" s="220">
        <f t="shared" ca="1" si="766"/>
        <v>1724.211516187876</v>
      </c>
      <c r="DB128" s="220">
        <f t="shared" ca="1" si="766"/>
        <v>1724.211516187876</v>
      </c>
      <c r="DC128" s="220">
        <f t="shared" ca="1" si="766"/>
        <v>1724.211516187876</v>
      </c>
      <c r="DD128" s="220">
        <f t="shared" ca="1" si="766"/>
        <v>1724.211516187876</v>
      </c>
      <c r="DE128" s="220">
        <f t="shared" ca="1" si="766"/>
        <v>1724.211516187876</v>
      </c>
      <c r="DF128" s="220">
        <f t="shared" ca="1" si="766"/>
        <v>1724.211516187876</v>
      </c>
      <c r="DG128" s="220">
        <f t="shared" ca="1" si="766"/>
        <v>1724.211516187876</v>
      </c>
      <c r="DH128" s="220">
        <f t="shared" ca="1" si="766"/>
        <v>1724.211516187876</v>
      </c>
      <c r="DI128" s="220">
        <f t="shared" ca="1" si="766"/>
        <v>1737.1431025592851</v>
      </c>
      <c r="DJ128" s="220">
        <f t="shared" ca="1" si="766"/>
        <v>1756.5404821163991</v>
      </c>
      <c r="DK128" s="220">
        <f t="shared" ca="1" si="766"/>
        <v>1775.9378616735125</v>
      </c>
      <c r="DL128" s="220">
        <f t="shared" ca="1" si="766"/>
        <v>1775.9378616735125</v>
      </c>
      <c r="DM128" s="220">
        <f t="shared" ca="1" si="766"/>
        <v>1775.9378616735125</v>
      </c>
      <c r="DN128" s="220">
        <f t="shared" ca="1" si="766"/>
        <v>1775.9378616735125</v>
      </c>
      <c r="DO128" s="220">
        <f t="shared" ca="1" si="766"/>
        <v>1775.9378616735125</v>
      </c>
      <c r="DP128" s="220">
        <f t="shared" ca="1" si="766"/>
        <v>1775.9378616735125</v>
      </c>
      <c r="DQ128" s="220">
        <f t="shared" ca="1" si="766"/>
        <v>1775.9378616735125</v>
      </c>
      <c r="DR128" s="220">
        <f t="shared" ca="1" si="766"/>
        <v>1775.9378616735125</v>
      </c>
      <c r="DS128" s="220">
        <f t="shared" ca="1" si="766"/>
        <v>1775.9378616735125</v>
      </c>
      <c r="DT128" s="220">
        <f t="shared" ca="1" si="766"/>
        <v>1775.9378616735125</v>
      </c>
      <c r="DU128" s="220">
        <f t="shared" ca="1" si="766"/>
        <v>1789.2573956360641</v>
      </c>
      <c r="DV128" s="220">
        <f t="shared" ca="1" si="766"/>
        <v>1809.2366965798906</v>
      </c>
      <c r="DW128" s="220">
        <f t="shared" ca="1" si="766"/>
        <v>1829.2159975237178</v>
      </c>
      <c r="DX128" s="220">
        <f t="shared" ca="1" si="766"/>
        <v>1829.2159975237178</v>
      </c>
      <c r="DY128" s="220">
        <f t="shared" ca="1" si="766"/>
        <v>1829.2159975237178</v>
      </c>
      <c r="DZ128" s="220">
        <f t="shared" ca="1" si="766"/>
        <v>1829.2159975237178</v>
      </c>
      <c r="EA128" s="220">
        <f t="shared" ca="1" si="766"/>
        <v>1829.2159975237178</v>
      </c>
      <c r="EB128" s="220">
        <f t="shared" ca="1" si="766"/>
        <v>1829.2159975237178</v>
      </c>
      <c r="EC128" s="220">
        <f t="shared" ca="1" si="766"/>
        <v>1829.2159975237178</v>
      </c>
      <c r="ED128" s="220">
        <f t="shared" ca="1" si="766"/>
        <v>1829.2159975237178</v>
      </c>
      <c r="EE128" s="220">
        <f t="shared" ca="1" si="766"/>
        <v>1829.2159975237178</v>
      </c>
      <c r="EF128" s="220">
        <f t="shared" ca="1" si="766"/>
        <v>1829.2159975237178</v>
      </c>
      <c r="EG128" s="220">
        <f t="shared" ca="1" si="766"/>
        <v>1842.9351175051449</v>
      </c>
      <c r="EH128" s="220">
        <f t="shared" ca="1" si="766"/>
        <v>1863.5137974772872</v>
      </c>
      <c r="EI128" s="220">
        <f t="shared" ca="1" si="766"/>
        <v>1884.0924774494288</v>
      </c>
      <c r="EJ128" s="220">
        <f t="shared" ca="1" si="766"/>
        <v>1884.0924774494288</v>
      </c>
      <c r="EK128" s="220">
        <f t="shared" ca="1" si="766"/>
        <v>1884.0924774494288</v>
      </c>
      <c r="EL128" s="220">
        <f t="shared" ca="1" si="766"/>
        <v>1884.0924774494288</v>
      </c>
      <c r="EM128" s="220">
        <f t="shared" ca="1" si="766"/>
        <v>1884.0924774494288</v>
      </c>
      <c r="EN128" s="220">
        <f t="shared" ca="1" si="766"/>
        <v>1884.0924774494288</v>
      </c>
      <c r="EO128" s="220">
        <f t="shared" ca="1" si="766"/>
        <v>1884.0924774494288</v>
      </c>
      <c r="EP128" s="220">
        <f t="shared" ca="1" si="766"/>
        <v>1884.0924774494288</v>
      </c>
      <c r="EQ128" s="220">
        <f t="shared" ref="EQ128:ES128" ca="1" si="767">EQ114*$G128</f>
        <v>1884.0924774494288</v>
      </c>
      <c r="ER128" s="220">
        <f t="shared" ca="1" si="767"/>
        <v>1884.0924774494288</v>
      </c>
      <c r="ES128" s="220">
        <f t="shared" ca="1" si="767"/>
        <v>1898.2231710302997</v>
      </c>
      <c r="EU128" s="153"/>
      <c r="EV128" s="153"/>
      <c r="EW128" s="304"/>
      <c r="EX128" s="153"/>
      <c r="EY128" s="153"/>
      <c r="EZ128" s="154"/>
      <c r="FA128" s="153"/>
      <c r="FB128" s="221"/>
      <c r="FC128" s="221"/>
      <c r="FD128" s="221"/>
      <c r="FE128" s="221"/>
      <c r="FF128" s="221"/>
      <c r="FG128" s="221"/>
      <c r="FH128" s="221"/>
      <c r="FI128" s="221"/>
      <c r="FJ128" s="221"/>
      <c r="FK128" s="221"/>
      <c r="FL128" s="221"/>
      <c r="FM128" s="221"/>
      <c r="FN128" s="221"/>
      <c r="FO128" s="221"/>
      <c r="FP128" s="221"/>
      <c r="FQ128" s="221"/>
      <c r="FR128" s="221"/>
      <c r="FS128" s="221"/>
      <c r="FT128" s="221"/>
      <c r="FU128" s="221"/>
      <c r="FV128" s="221"/>
      <c r="FW128" s="221"/>
      <c r="FX128" s="221"/>
      <c r="FY128" s="221"/>
      <c r="FZ128" s="221"/>
      <c r="GA128" s="221"/>
      <c r="GB128" s="221"/>
      <c r="GC128" s="221"/>
      <c r="GD128" s="221"/>
      <c r="GE128" s="221"/>
      <c r="GF128" s="221"/>
      <c r="GG128" s="221"/>
      <c r="GH128" s="221"/>
      <c r="GI128" s="221"/>
      <c r="GJ128" s="221"/>
      <c r="GK128" s="221"/>
      <c r="GL128" s="221"/>
      <c r="GM128" s="221"/>
      <c r="GN128" s="221"/>
      <c r="GO128" s="221"/>
      <c r="GP128" s="221"/>
      <c r="GQ128" s="221"/>
      <c r="GR128" s="221"/>
      <c r="GS128" s="221"/>
      <c r="GT128" s="221"/>
      <c r="GU128" s="221"/>
      <c r="GV128" s="221"/>
      <c r="GW128" s="221"/>
      <c r="GX128" s="221"/>
      <c r="GY128" s="221"/>
      <c r="GZ128" s="221"/>
      <c r="HA128" s="221"/>
      <c r="HB128" s="221"/>
      <c r="HC128" s="221"/>
      <c r="HD128" s="221"/>
      <c r="HE128" s="221"/>
      <c r="HF128" s="221"/>
      <c r="HG128" s="221"/>
      <c r="HH128" s="221"/>
      <c r="HI128" s="221"/>
      <c r="HJ128" s="221"/>
      <c r="HK128" s="221"/>
      <c r="HL128" s="221"/>
      <c r="HM128" s="221"/>
      <c r="HN128" s="221"/>
      <c r="HO128" s="221"/>
      <c r="HP128" s="221"/>
      <c r="HQ128" s="221"/>
      <c r="HR128" s="221"/>
      <c r="HS128" s="221"/>
      <c r="HT128" s="221"/>
      <c r="HU128" s="221"/>
      <c r="HV128" s="221"/>
      <c r="HW128" s="221"/>
      <c r="HX128" s="221"/>
      <c r="HY128" s="221"/>
      <c r="HZ128" s="221"/>
      <c r="IA128" s="221"/>
      <c r="IB128" s="221"/>
      <c r="IC128" s="221"/>
      <c r="ID128" s="221"/>
      <c r="IE128" s="221"/>
      <c r="IF128" s="221"/>
      <c r="IG128" s="221"/>
      <c r="IH128" s="221"/>
      <c r="II128" s="221"/>
      <c r="IJ128" s="221"/>
      <c r="IK128" s="221"/>
      <c r="IL128" s="221"/>
      <c r="IM128" s="221"/>
      <c r="IN128" s="221"/>
      <c r="IO128" s="221"/>
      <c r="IP128" s="221"/>
      <c r="IQ128" s="221"/>
      <c r="IR128" s="221"/>
      <c r="IS128" s="221"/>
      <c r="IT128" s="221"/>
      <c r="IU128" s="221"/>
      <c r="IV128" s="221"/>
      <c r="IW128" s="221"/>
      <c r="IX128" s="221"/>
      <c r="IY128" s="221"/>
      <c r="IZ128" s="221"/>
      <c r="JA128" s="221"/>
      <c r="JB128" s="221"/>
      <c r="JC128" s="221"/>
      <c r="JD128" s="221"/>
      <c r="JE128" s="221"/>
      <c r="JF128" s="221"/>
      <c r="JG128" s="221"/>
      <c r="JH128" s="221"/>
      <c r="JI128" s="221"/>
      <c r="JJ128" s="221"/>
      <c r="JK128" s="221"/>
      <c r="JL128" s="221"/>
      <c r="JM128" s="221"/>
      <c r="JN128" s="221"/>
      <c r="JO128" s="221"/>
      <c r="JP128" s="221"/>
      <c r="JQ128" s="221"/>
      <c r="JR128" s="221"/>
      <c r="JS128" s="221"/>
      <c r="JT128" s="221"/>
      <c r="JU128" s="221"/>
      <c r="JV128" s="221"/>
      <c r="JW128" s="221"/>
      <c r="JX128" s="221"/>
      <c r="JY128" s="221"/>
      <c r="JZ128" s="221"/>
      <c r="KA128" s="221"/>
      <c r="KB128" s="221"/>
      <c r="KC128" s="221"/>
    </row>
    <row r="129" spans="2:289" x14ac:dyDescent="0.25">
      <c r="B129" s="234" t="s">
        <v>133</v>
      </c>
      <c r="C129" s="196"/>
      <c r="D129" s="310">
        <f t="shared" ref="D129:D130" si="768">$D$121</f>
        <v>0.02</v>
      </c>
      <c r="E129" s="357">
        <v>1</v>
      </c>
      <c r="F129" s="357"/>
      <c r="G129" s="272">
        <f t="shared" si="733"/>
        <v>9.2336103416435833E-2</v>
      </c>
      <c r="H129" s="218">
        <f t="shared" si="713"/>
        <v>2000</v>
      </c>
      <c r="I129" s="219">
        <f>2000*Units</f>
        <v>32000</v>
      </c>
      <c r="K129" s="152" t="s">
        <v>875</v>
      </c>
      <c r="R129" s="220">
        <f t="shared" ref="R129:AW129" si="769">(FB129+($I129/12*R$90*(1-$E129)))*(1+$D$129)^(FB$116-1)</f>
        <v>0</v>
      </c>
      <c r="S129" s="220">
        <f t="shared" si="769"/>
        <v>0</v>
      </c>
      <c r="T129" s="220">
        <f t="shared" si="769"/>
        <v>0</v>
      </c>
      <c r="U129" s="220">
        <f t="shared" si="769"/>
        <v>0</v>
      </c>
      <c r="V129" s="220">
        <f t="shared" si="769"/>
        <v>0</v>
      </c>
      <c r="W129" s="220">
        <f t="shared" si="769"/>
        <v>0</v>
      </c>
      <c r="X129" s="220">
        <f t="shared" si="769"/>
        <v>0</v>
      </c>
      <c r="Y129" s="220">
        <f t="shared" si="769"/>
        <v>0</v>
      </c>
      <c r="Z129" s="220">
        <f t="shared" si="769"/>
        <v>0</v>
      </c>
      <c r="AA129" s="220">
        <f t="shared" si="769"/>
        <v>0</v>
      </c>
      <c r="AB129" s="220">
        <f t="shared" si="769"/>
        <v>0</v>
      </c>
      <c r="AC129" s="220">
        <f t="shared" si="769"/>
        <v>2666.6666666666665</v>
      </c>
      <c r="AD129" s="220">
        <f t="shared" si="769"/>
        <v>2666.6666666666665</v>
      </c>
      <c r="AE129" s="220">
        <f t="shared" si="769"/>
        <v>2666.6666666666665</v>
      </c>
      <c r="AF129" s="220">
        <f t="shared" si="769"/>
        <v>2666.6666666666665</v>
      </c>
      <c r="AG129" s="220">
        <f t="shared" si="769"/>
        <v>2666.6666666666665</v>
      </c>
      <c r="AH129" s="220">
        <f t="shared" si="769"/>
        <v>2666.6666666666665</v>
      </c>
      <c r="AI129" s="220">
        <f t="shared" si="769"/>
        <v>2666.6666666666665</v>
      </c>
      <c r="AJ129" s="220">
        <f t="shared" si="769"/>
        <v>2666.6666666666665</v>
      </c>
      <c r="AK129" s="220">
        <f t="shared" si="769"/>
        <v>2666.6666666666665</v>
      </c>
      <c r="AL129" s="220">
        <f t="shared" si="769"/>
        <v>2666.6666666666665</v>
      </c>
      <c r="AM129" s="220">
        <f t="shared" si="769"/>
        <v>2666.6666666666665</v>
      </c>
      <c r="AN129" s="220">
        <f t="shared" si="769"/>
        <v>2666.6666666666665</v>
      </c>
      <c r="AO129" s="220">
        <f t="shared" si="769"/>
        <v>2720</v>
      </c>
      <c r="AP129" s="220">
        <f t="shared" si="769"/>
        <v>2720</v>
      </c>
      <c r="AQ129" s="220">
        <f t="shared" si="769"/>
        <v>2720</v>
      </c>
      <c r="AR129" s="220">
        <f t="shared" si="769"/>
        <v>2720</v>
      </c>
      <c r="AS129" s="220">
        <f t="shared" si="769"/>
        <v>2720</v>
      </c>
      <c r="AT129" s="220">
        <f t="shared" si="769"/>
        <v>2720</v>
      </c>
      <c r="AU129" s="220">
        <f t="shared" si="769"/>
        <v>2720</v>
      </c>
      <c r="AV129" s="220">
        <f t="shared" si="769"/>
        <v>2720</v>
      </c>
      <c r="AW129" s="220">
        <f t="shared" si="769"/>
        <v>2720</v>
      </c>
      <c r="AX129" s="220">
        <f t="shared" ref="AX129:CC129" si="770">(GH129+($I129/12*AX$90*(1-$E129)))*(1+$D$129)^(GH$116-1)</f>
        <v>2720</v>
      </c>
      <c r="AY129" s="220">
        <f t="shared" si="770"/>
        <v>2720</v>
      </c>
      <c r="AZ129" s="220">
        <f t="shared" si="770"/>
        <v>2720</v>
      </c>
      <c r="BA129" s="220">
        <f t="shared" si="770"/>
        <v>2774.3999999999996</v>
      </c>
      <c r="BB129" s="220">
        <f t="shared" si="770"/>
        <v>2774.3999999999996</v>
      </c>
      <c r="BC129" s="220">
        <f t="shared" si="770"/>
        <v>2774.3999999999996</v>
      </c>
      <c r="BD129" s="220">
        <f t="shared" si="770"/>
        <v>2774.3999999999996</v>
      </c>
      <c r="BE129" s="220">
        <f t="shared" si="770"/>
        <v>2774.3999999999996</v>
      </c>
      <c r="BF129" s="220">
        <f t="shared" si="770"/>
        <v>2774.3999999999996</v>
      </c>
      <c r="BG129" s="220">
        <f t="shared" si="770"/>
        <v>2774.3999999999996</v>
      </c>
      <c r="BH129" s="220">
        <f t="shared" si="770"/>
        <v>2774.3999999999996</v>
      </c>
      <c r="BI129" s="220">
        <f t="shared" si="770"/>
        <v>2774.3999999999996</v>
      </c>
      <c r="BJ129" s="220">
        <f t="shared" si="770"/>
        <v>2774.3999999999996</v>
      </c>
      <c r="BK129" s="220">
        <f t="shared" si="770"/>
        <v>2774.3999999999996</v>
      </c>
      <c r="BL129" s="220">
        <f t="shared" si="770"/>
        <v>2774.3999999999996</v>
      </c>
      <c r="BM129" s="220">
        <f t="shared" si="770"/>
        <v>2829.8879999999995</v>
      </c>
      <c r="BN129" s="220">
        <f t="shared" si="770"/>
        <v>2829.8879999999995</v>
      </c>
      <c r="BO129" s="220">
        <f t="shared" si="770"/>
        <v>2829.8879999999995</v>
      </c>
      <c r="BP129" s="220">
        <f t="shared" si="770"/>
        <v>2829.8879999999995</v>
      </c>
      <c r="BQ129" s="220">
        <f t="shared" si="770"/>
        <v>2829.8879999999995</v>
      </c>
      <c r="BR129" s="220">
        <f t="shared" si="770"/>
        <v>2829.8879999999995</v>
      </c>
      <c r="BS129" s="220">
        <f t="shared" si="770"/>
        <v>2829.8879999999995</v>
      </c>
      <c r="BT129" s="220">
        <f t="shared" si="770"/>
        <v>2829.8879999999995</v>
      </c>
      <c r="BU129" s="220">
        <f t="shared" si="770"/>
        <v>2829.8879999999995</v>
      </c>
      <c r="BV129" s="220">
        <f t="shared" si="770"/>
        <v>2829.8879999999995</v>
      </c>
      <c r="BW129" s="220">
        <f t="shared" si="770"/>
        <v>2829.8879999999995</v>
      </c>
      <c r="BX129" s="220">
        <f t="shared" si="770"/>
        <v>2829.8879999999995</v>
      </c>
      <c r="BY129" s="220">
        <f t="shared" si="770"/>
        <v>2886.4857599999996</v>
      </c>
      <c r="BZ129" s="220">
        <f t="shared" si="770"/>
        <v>2886.4857599999996</v>
      </c>
      <c r="CA129" s="220">
        <f t="shared" si="770"/>
        <v>2886.4857599999996</v>
      </c>
      <c r="CB129" s="220">
        <f t="shared" si="770"/>
        <v>2886.4857599999996</v>
      </c>
      <c r="CC129" s="220">
        <f t="shared" si="770"/>
        <v>2886.4857599999996</v>
      </c>
      <c r="CD129" s="220">
        <f t="shared" ref="CD129:DI129" si="771">(HN129+($I129/12*CD$90*(1-$E129)))*(1+$D$129)^(HN$116-1)</f>
        <v>2886.4857599999996</v>
      </c>
      <c r="CE129" s="220">
        <f t="shared" si="771"/>
        <v>2886.4857599999996</v>
      </c>
      <c r="CF129" s="220">
        <f t="shared" si="771"/>
        <v>2886.4857599999996</v>
      </c>
      <c r="CG129" s="220">
        <f t="shared" si="771"/>
        <v>2886.4857599999996</v>
      </c>
      <c r="CH129" s="220">
        <f t="shared" si="771"/>
        <v>2886.4857599999996</v>
      </c>
      <c r="CI129" s="220">
        <f t="shared" si="771"/>
        <v>2886.4857599999996</v>
      </c>
      <c r="CJ129" s="220">
        <f t="shared" si="771"/>
        <v>2886.4857599999996</v>
      </c>
      <c r="CK129" s="220">
        <f t="shared" si="771"/>
        <v>2944.2154751999997</v>
      </c>
      <c r="CL129" s="220">
        <f t="shared" si="771"/>
        <v>2944.2154751999997</v>
      </c>
      <c r="CM129" s="220">
        <f t="shared" si="771"/>
        <v>2944.2154751999997</v>
      </c>
      <c r="CN129" s="220">
        <f t="shared" si="771"/>
        <v>2944.2154751999997</v>
      </c>
      <c r="CO129" s="220">
        <f t="shared" si="771"/>
        <v>2944.2154751999997</v>
      </c>
      <c r="CP129" s="220">
        <f t="shared" si="771"/>
        <v>2944.2154751999997</v>
      </c>
      <c r="CQ129" s="220">
        <f t="shared" si="771"/>
        <v>2944.2154751999997</v>
      </c>
      <c r="CR129" s="220">
        <f t="shared" si="771"/>
        <v>2944.2154751999997</v>
      </c>
      <c r="CS129" s="220">
        <f t="shared" si="771"/>
        <v>2944.2154751999997</v>
      </c>
      <c r="CT129" s="220">
        <f t="shared" si="771"/>
        <v>2944.2154751999997</v>
      </c>
      <c r="CU129" s="220">
        <f t="shared" si="771"/>
        <v>2944.2154751999997</v>
      </c>
      <c r="CV129" s="220">
        <f t="shared" si="771"/>
        <v>2944.2154751999997</v>
      </c>
      <c r="CW129" s="220">
        <f t="shared" si="771"/>
        <v>3003.0997847039998</v>
      </c>
      <c r="CX129" s="220">
        <f t="shared" si="771"/>
        <v>3003.0997847039998</v>
      </c>
      <c r="CY129" s="220">
        <f t="shared" si="771"/>
        <v>3003.0997847039998</v>
      </c>
      <c r="CZ129" s="220">
        <f t="shared" si="771"/>
        <v>3003.0997847039998</v>
      </c>
      <c r="DA129" s="220">
        <f t="shared" si="771"/>
        <v>3003.0997847039998</v>
      </c>
      <c r="DB129" s="220">
        <f t="shared" si="771"/>
        <v>3003.0997847039998</v>
      </c>
      <c r="DC129" s="220">
        <f t="shared" si="771"/>
        <v>3003.0997847039998</v>
      </c>
      <c r="DD129" s="220">
        <f t="shared" si="771"/>
        <v>3003.0997847039998</v>
      </c>
      <c r="DE129" s="220">
        <f t="shared" si="771"/>
        <v>3003.0997847039998</v>
      </c>
      <c r="DF129" s="220">
        <f t="shared" si="771"/>
        <v>3003.0997847039998</v>
      </c>
      <c r="DG129" s="220">
        <f t="shared" si="771"/>
        <v>3003.0997847039998</v>
      </c>
      <c r="DH129" s="220">
        <f t="shared" si="771"/>
        <v>3003.0997847039998</v>
      </c>
      <c r="DI129" s="220">
        <f t="shared" si="771"/>
        <v>3063.1617803980794</v>
      </c>
      <c r="DJ129" s="220">
        <f t="shared" ref="DJ129:EO129" si="772">(IT129+($I129/12*DJ$90*(1-$E129)))*(1+$D$129)^(IT$116-1)</f>
        <v>3063.1617803980794</v>
      </c>
      <c r="DK129" s="220">
        <f t="shared" si="772"/>
        <v>3063.1617803980794</v>
      </c>
      <c r="DL129" s="220">
        <f t="shared" si="772"/>
        <v>3063.1617803980794</v>
      </c>
      <c r="DM129" s="220">
        <f t="shared" si="772"/>
        <v>3063.1617803980794</v>
      </c>
      <c r="DN129" s="220">
        <f t="shared" si="772"/>
        <v>3063.1617803980794</v>
      </c>
      <c r="DO129" s="220">
        <f t="shared" si="772"/>
        <v>3063.1617803980794</v>
      </c>
      <c r="DP129" s="220">
        <f t="shared" si="772"/>
        <v>3063.1617803980794</v>
      </c>
      <c r="DQ129" s="220">
        <f t="shared" si="772"/>
        <v>3063.1617803980794</v>
      </c>
      <c r="DR129" s="220">
        <f t="shared" si="772"/>
        <v>3063.1617803980794</v>
      </c>
      <c r="DS129" s="220">
        <f t="shared" si="772"/>
        <v>3063.1617803980794</v>
      </c>
      <c r="DT129" s="220">
        <f t="shared" si="772"/>
        <v>3063.1617803980794</v>
      </c>
      <c r="DU129" s="220">
        <f t="shared" si="772"/>
        <v>3124.425016006041</v>
      </c>
      <c r="DV129" s="220">
        <f t="shared" si="772"/>
        <v>3124.425016006041</v>
      </c>
      <c r="DW129" s="220">
        <f t="shared" si="772"/>
        <v>3124.425016006041</v>
      </c>
      <c r="DX129" s="220">
        <f t="shared" si="772"/>
        <v>3124.425016006041</v>
      </c>
      <c r="DY129" s="220">
        <f t="shared" si="772"/>
        <v>3124.425016006041</v>
      </c>
      <c r="DZ129" s="220">
        <f t="shared" si="772"/>
        <v>3124.425016006041</v>
      </c>
      <c r="EA129" s="220">
        <f t="shared" si="772"/>
        <v>3124.425016006041</v>
      </c>
      <c r="EB129" s="220">
        <f t="shared" si="772"/>
        <v>3124.425016006041</v>
      </c>
      <c r="EC129" s="220">
        <f t="shared" si="772"/>
        <v>3124.425016006041</v>
      </c>
      <c r="ED129" s="220">
        <f t="shared" si="772"/>
        <v>3124.425016006041</v>
      </c>
      <c r="EE129" s="220">
        <f t="shared" si="772"/>
        <v>3124.425016006041</v>
      </c>
      <c r="EF129" s="220">
        <f t="shared" si="772"/>
        <v>3124.425016006041</v>
      </c>
      <c r="EG129" s="220">
        <f t="shared" si="772"/>
        <v>3186.9135163261622</v>
      </c>
      <c r="EH129" s="220">
        <f t="shared" si="772"/>
        <v>3186.9135163261622</v>
      </c>
      <c r="EI129" s="220">
        <f t="shared" si="772"/>
        <v>3186.9135163261622</v>
      </c>
      <c r="EJ129" s="220">
        <f t="shared" si="772"/>
        <v>3186.9135163261622</v>
      </c>
      <c r="EK129" s="220">
        <f t="shared" si="772"/>
        <v>3186.9135163261622</v>
      </c>
      <c r="EL129" s="220">
        <f t="shared" si="772"/>
        <v>3186.9135163261622</v>
      </c>
      <c r="EM129" s="220">
        <f t="shared" si="772"/>
        <v>3186.9135163261622</v>
      </c>
      <c r="EN129" s="220">
        <f t="shared" si="772"/>
        <v>3186.9135163261622</v>
      </c>
      <c r="EO129" s="220">
        <f t="shared" si="772"/>
        <v>3186.9135163261622</v>
      </c>
      <c r="EP129" s="220">
        <f t="shared" ref="EP129:ES129" si="773">(JZ129+($I129/12*EP$90*(1-$E129)))*(1+$D$129)^(JZ$116-1)</f>
        <v>3186.9135163261622</v>
      </c>
      <c r="EQ129" s="220">
        <f t="shared" si="773"/>
        <v>3186.9135163261622</v>
      </c>
      <c r="ER129" s="220">
        <f t="shared" si="773"/>
        <v>3186.9135163261622</v>
      </c>
      <c r="ES129" s="220">
        <f t="shared" si="773"/>
        <v>3250.6517866526856</v>
      </c>
      <c r="EU129" s="153"/>
      <c r="EV129" s="153"/>
      <c r="EW129" s="304">
        <f>E129</f>
        <v>1</v>
      </c>
      <c r="EX129" s="359">
        <v>1</v>
      </c>
      <c r="EY129" s="359">
        <v>2</v>
      </c>
      <c r="EZ129" s="360">
        <v>3</v>
      </c>
      <c r="FA129" s="153" t="s">
        <v>147</v>
      </c>
      <c r="FB129" s="221">
        <f t="shared" ref="FB129:GG129" si="774">+IF(FB$3&lt;Timing_Operation_Begin_Month,0,$I129/12*$EW129)</f>
        <v>0</v>
      </c>
      <c r="FC129" s="221">
        <f t="shared" si="774"/>
        <v>0</v>
      </c>
      <c r="FD129" s="221">
        <f t="shared" si="774"/>
        <v>0</v>
      </c>
      <c r="FE129" s="221">
        <f t="shared" si="774"/>
        <v>0</v>
      </c>
      <c r="FF129" s="221">
        <f t="shared" si="774"/>
        <v>0</v>
      </c>
      <c r="FG129" s="221">
        <f t="shared" si="774"/>
        <v>0</v>
      </c>
      <c r="FH129" s="221">
        <f t="shared" si="774"/>
        <v>0</v>
      </c>
      <c r="FI129" s="221">
        <f t="shared" si="774"/>
        <v>0</v>
      </c>
      <c r="FJ129" s="221">
        <f t="shared" si="774"/>
        <v>0</v>
      </c>
      <c r="FK129" s="221">
        <f t="shared" si="774"/>
        <v>0</v>
      </c>
      <c r="FL129" s="221">
        <f t="shared" si="774"/>
        <v>0</v>
      </c>
      <c r="FM129" s="221">
        <f t="shared" si="774"/>
        <v>2666.6666666666665</v>
      </c>
      <c r="FN129" s="221">
        <f t="shared" si="774"/>
        <v>2666.6666666666665</v>
      </c>
      <c r="FO129" s="221">
        <f t="shared" si="774"/>
        <v>2666.6666666666665</v>
      </c>
      <c r="FP129" s="221">
        <f t="shared" si="774"/>
        <v>2666.6666666666665</v>
      </c>
      <c r="FQ129" s="221">
        <f t="shared" si="774"/>
        <v>2666.6666666666665</v>
      </c>
      <c r="FR129" s="221">
        <f t="shared" si="774"/>
        <v>2666.6666666666665</v>
      </c>
      <c r="FS129" s="221">
        <f t="shared" si="774"/>
        <v>2666.6666666666665</v>
      </c>
      <c r="FT129" s="221">
        <f t="shared" si="774"/>
        <v>2666.6666666666665</v>
      </c>
      <c r="FU129" s="221">
        <f t="shared" si="774"/>
        <v>2666.6666666666665</v>
      </c>
      <c r="FV129" s="221">
        <f t="shared" si="774"/>
        <v>2666.6666666666665</v>
      </c>
      <c r="FW129" s="221">
        <f t="shared" si="774"/>
        <v>2666.6666666666665</v>
      </c>
      <c r="FX129" s="221">
        <f t="shared" si="774"/>
        <v>2666.6666666666665</v>
      </c>
      <c r="FY129" s="221">
        <f t="shared" si="774"/>
        <v>2666.6666666666665</v>
      </c>
      <c r="FZ129" s="221">
        <f t="shared" si="774"/>
        <v>2666.6666666666665</v>
      </c>
      <c r="GA129" s="221">
        <f t="shared" si="774"/>
        <v>2666.6666666666665</v>
      </c>
      <c r="GB129" s="221">
        <f t="shared" si="774"/>
        <v>2666.6666666666665</v>
      </c>
      <c r="GC129" s="221">
        <f t="shared" si="774"/>
        <v>2666.6666666666665</v>
      </c>
      <c r="GD129" s="221">
        <f t="shared" si="774"/>
        <v>2666.6666666666665</v>
      </c>
      <c r="GE129" s="221">
        <f t="shared" si="774"/>
        <v>2666.6666666666665</v>
      </c>
      <c r="GF129" s="221">
        <f t="shared" si="774"/>
        <v>2666.6666666666665</v>
      </c>
      <c r="GG129" s="221">
        <f t="shared" si="774"/>
        <v>2666.6666666666665</v>
      </c>
      <c r="GH129" s="221">
        <f t="shared" ref="GH129:HM129" si="775">+IF(GH$3&lt;Timing_Operation_Begin_Month,0,$I129/12*$EW129)</f>
        <v>2666.6666666666665</v>
      </c>
      <c r="GI129" s="221">
        <f t="shared" si="775"/>
        <v>2666.6666666666665</v>
      </c>
      <c r="GJ129" s="221">
        <f t="shared" si="775"/>
        <v>2666.6666666666665</v>
      </c>
      <c r="GK129" s="221">
        <f t="shared" si="775"/>
        <v>2666.6666666666665</v>
      </c>
      <c r="GL129" s="221">
        <f t="shared" si="775"/>
        <v>2666.6666666666665</v>
      </c>
      <c r="GM129" s="221">
        <f t="shared" si="775"/>
        <v>2666.6666666666665</v>
      </c>
      <c r="GN129" s="221">
        <f t="shared" si="775"/>
        <v>2666.6666666666665</v>
      </c>
      <c r="GO129" s="221">
        <f t="shared" si="775"/>
        <v>2666.6666666666665</v>
      </c>
      <c r="GP129" s="221">
        <f t="shared" si="775"/>
        <v>2666.6666666666665</v>
      </c>
      <c r="GQ129" s="221">
        <f t="shared" si="775"/>
        <v>2666.6666666666665</v>
      </c>
      <c r="GR129" s="221">
        <f t="shared" si="775"/>
        <v>2666.6666666666665</v>
      </c>
      <c r="GS129" s="221">
        <f t="shared" si="775"/>
        <v>2666.6666666666665</v>
      </c>
      <c r="GT129" s="221">
        <f t="shared" si="775"/>
        <v>2666.6666666666665</v>
      </c>
      <c r="GU129" s="221">
        <f t="shared" si="775"/>
        <v>2666.6666666666665</v>
      </c>
      <c r="GV129" s="221">
        <f t="shared" si="775"/>
        <v>2666.6666666666665</v>
      </c>
      <c r="GW129" s="221">
        <f t="shared" si="775"/>
        <v>2666.6666666666665</v>
      </c>
      <c r="GX129" s="221">
        <f t="shared" si="775"/>
        <v>2666.6666666666665</v>
      </c>
      <c r="GY129" s="221">
        <f t="shared" si="775"/>
        <v>2666.6666666666665</v>
      </c>
      <c r="GZ129" s="221">
        <f t="shared" si="775"/>
        <v>2666.6666666666665</v>
      </c>
      <c r="HA129" s="221">
        <f t="shared" si="775"/>
        <v>2666.6666666666665</v>
      </c>
      <c r="HB129" s="221">
        <f t="shared" si="775"/>
        <v>2666.6666666666665</v>
      </c>
      <c r="HC129" s="221">
        <f t="shared" si="775"/>
        <v>2666.6666666666665</v>
      </c>
      <c r="HD129" s="221">
        <f t="shared" si="775"/>
        <v>2666.6666666666665</v>
      </c>
      <c r="HE129" s="221">
        <f t="shared" si="775"/>
        <v>2666.6666666666665</v>
      </c>
      <c r="HF129" s="221">
        <f t="shared" si="775"/>
        <v>2666.6666666666665</v>
      </c>
      <c r="HG129" s="221">
        <f t="shared" si="775"/>
        <v>2666.6666666666665</v>
      </c>
      <c r="HH129" s="221">
        <f t="shared" si="775"/>
        <v>2666.6666666666665</v>
      </c>
      <c r="HI129" s="221">
        <f t="shared" si="775"/>
        <v>2666.6666666666665</v>
      </c>
      <c r="HJ129" s="221">
        <f t="shared" si="775"/>
        <v>2666.6666666666665</v>
      </c>
      <c r="HK129" s="221">
        <f t="shared" si="775"/>
        <v>2666.6666666666665</v>
      </c>
      <c r="HL129" s="221">
        <f t="shared" si="775"/>
        <v>2666.6666666666665</v>
      </c>
      <c r="HM129" s="221">
        <f t="shared" si="775"/>
        <v>2666.6666666666665</v>
      </c>
      <c r="HN129" s="221">
        <f t="shared" ref="HN129:IS129" si="776">+IF(HN$3&lt;Timing_Operation_Begin_Month,0,$I129/12*$EW129)</f>
        <v>2666.6666666666665</v>
      </c>
      <c r="HO129" s="221">
        <f t="shared" si="776"/>
        <v>2666.6666666666665</v>
      </c>
      <c r="HP129" s="221">
        <f t="shared" si="776"/>
        <v>2666.6666666666665</v>
      </c>
      <c r="HQ129" s="221">
        <f t="shared" si="776"/>
        <v>2666.6666666666665</v>
      </c>
      <c r="HR129" s="221">
        <f t="shared" si="776"/>
        <v>2666.6666666666665</v>
      </c>
      <c r="HS129" s="221">
        <f t="shared" si="776"/>
        <v>2666.6666666666665</v>
      </c>
      <c r="HT129" s="221">
        <f t="shared" si="776"/>
        <v>2666.6666666666665</v>
      </c>
      <c r="HU129" s="221">
        <f t="shared" si="776"/>
        <v>2666.6666666666665</v>
      </c>
      <c r="HV129" s="221">
        <f t="shared" si="776"/>
        <v>2666.6666666666665</v>
      </c>
      <c r="HW129" s="221">
        <f t="shared" si="776"/>
        <v>2666.6666666666665</v>
      </c>
      <c r="HX129" s="221">
        <f t="shared" si="776"/>
        <v>2666.6666666666665</v>
      </c>
      <c r="HY129" s="221">
        <f t="shared" si="776"/>
        <v>2666.6666666666665</v>
      </c>
      <c r="HZ129" s="221">
        <f t="shared" si="776"/>
        <v>2666.6666666666665</v>
      </c>
      <c r="IA129" s="221">
        <f t="shared" si="776"/>
        <v>2666.6666666666665</v>
      </c>
      <c r="IB129" s="221">
        <f t="shared" si="776"/>
        <v>2666.6666666666665</v>
      </c>
      <c r="IC129" s="221">
        <f t="shared" si="776"/>
        <v>2666.6666666666665</v>
      </c>
      <c r="ID129" s="221">
        <f t="shared" si="776"/>
        <v>2666.6666666666665</v>
      </c>
      <c r="IE129" s="221">
        <f t="shared" si="776"/>
        <v>2666.6666666666665</v>
      </c>
      <c r="IF129" s="221">
        <f t="shared" si="776"/>
        <v>2666.6666666666665</v>
      </c>
      <c r="IG129" s="221">
        <f t="shared" si="776"/>
        <v>2666.6666666666665</v>
      </c>
      <c r="IH129" s="221">
        <f t="shared" si="776"/>
        <v>2666.6666666666665</v>
      </c>
      <c r="II129" s="221">
        <f t="shared" si="776"/>
        <v>2666.6666666666665</v>
      </c>
      <c r="IJ129" s="221">
        <f t="shared" si="776"/>
        <v>2666.6666666666665</v>
      </c>
      <c r="IK129" s="221">
        <f t="shared" si="776"/>
        <v>2666.6666666666665</v>
      </c>
      <c r="IL129" s="221">
        <f t="shared" si="776"/>
        <v>2666.6666666666665</v>
      </c>
      <c r="IM129" s="221">
        <f t="shared" si="776"/>
        <v>2666.6666666666665</v>
      </c>
      <c r="IN129" s="221">
        <f t="shared" si="776"/>
        <v>2666.6666666666665</v>
      </c>
      <c r="IO129" s="221">
        <f t="shared" si="776"/>
        <v>2666.6666666666665</v>
      </c>
      <c r="IP129" s="221">
        <f t="shared" si="776"/>
        <v>2666.6666666666665</v>
      </c>
      <c r="IQ129" s="221">
        <f t="shared" si="776"/>
        <v>2666.6666666666665</v>
      </c>
      <c r="IR129" s="221">
        <f t="shared" si="776"/>
        <v>2666.6666666666665</v>
      </c>
      <c r="IS129" s="221">
        <f t="shared" si="776"/>
        <v>2666.6666666666665</v>
      </c>
      <c r="IT129" s="221">
        <f t="shared" ref="IT129:KC129" si="777">+IF(IT$3&lt;Timing_Operation_Begin_Month,0,$I129/12*$EW129)</f>
        <v>2666.6666666666665</v>
      </c>
      <c r="IU129" s="221">
        <f t="shared" si="777"/>
        <v>2666.6666666666665</v>
      </c>
      <c r="IV129" s="221">
        <f t="shared" si="777"/>
        <v>2666.6666666666665</v>
      </c>
      <c r="IW129" s="221">
        <f t="shared" si="777"/>
        <v>2666.6666666666665</v>
      </c>
      <c r="IX129" s="221">
        <f t="shared" si="777"/>
        <v>2666.6666666666665</v>
      </c>
      <c r="IY129" s="221">
        <f t="shared" si="777"/>
        <v>2666.6666666666665</v>
      </c>
      <c r="IZ129" s="221">
        <f t="shared" si="777"/>
        <v>2666.6666666666665</v>
      </c>
      <c r="JA129" s="221">
        <f t="shared" si="777"/>
        <v>2666.6666666666665</v>
      </c>
      <c r="JB129" s="221">
        <f t="shared" si="777"/>
        <v>2666.6666666666665</v>
      </c>
      <c r="JC129" s="221">
        <f t="shared" si="777"/>
        <v>2666.6666666666665</v>
      </c>
      <c r="JD129" s="221">
        <f t="shared" si="777"/>
        <v>2666.6666666666665</v>
      </c>
      <c r="JE129" s="221">
        <f t="shared" si="777"/>
        <v>2666.6666666666665</v>
      </c>
      <c r="JF129" s="221">
        <f t="shared" si="777"/>
        <v>2666.6666666666665</v>
      </c>
      <c r="JG129" s="221">
        <f t="shared" si="777"/>
        <v>2666.6666666666665</v>
      </c>
      <c r="JH129" s="221">
        <f t="shared" si="777"/>
        <v>2666.6666666666665</v>
      </c>
      <c r="JI129" s="221">
        <f t="shared" si="777"/>
        <v>2666.6666666666665</v>
      </c>
      <c r="JJ129" s="221">
        <f t="shared" si="777"/>
        <v>2666.6666666666665</v>
      </c>
      <c r="JK129" s="221">
        <f t="shared" si="777"/>
        <v>2666.6666666666665</v>
      </c>
      <c r="JL129" s="221">
        <f t="shared" si="777"/>
        <v>2666.6666666666665</v>
      </c>
      <c r="JM129" s="221">
        <f t="shared" si="777"/>
        <v>2666.6666666666665</v>
      </c>
      <c r="JN129" s="221">
        <f t="shared" si="777"/>
        <v>2666.6666666666665</v>
      </c>
      <c r="JO129" s="221">
        <f t="shared" si="777"/>
        <v>2666.6666666666665</v>
      </c>
      <c r="JP129" s="221">
        <f t="shared" si="777"/>
        <v>2666.6666666666665</v>
      </c>
      <c r="JQ129" s="221">
        <f t="shared" si="777"/>
        <v>2666.6666666666665</v>
      </c>
      <c r="JR129" s="221">
        <f t="shared" si="777"/>
        <v>2666.6666666666665</v>
      </c>
      <c r="JS129" s="221">
        <f t="shared" si="777"/>
        <v>2666.6666666666665</v>
      </c>
      <c r="JT129" s="221">
        <f t="shared" si="777"/>
        <v>2666.6666666666665</v>
      </c>
      <c r="JU129" s="221">
        <f t="shared" si="777"/>
        <v>2666.6666666666665</v>
      </c>
      <c r="JV129" s="221">
        <f t="shared" si="777"/>
        <v>2666.6666666666665</v>
      </c>
      <c r="JW129" s="221">
        <f t="shared" si="777"/>
        <v>2666.6666666666665</v>
      </c>
      <c r="JX129" s="221">
        <f t="shared" si="777"/>
        <v>2666.6666666666665</v>
      </c>
      <c r="JY129" s="221">
        <f t="shared" si="777"/>
        <v>2666.6666666666665</v>
      </c>
      <c r="JZ129" s="221">
        <f t="shared" si="777"/>
        <v>2666.6666666666665</v>
      </c>
      <c r="KA129" s="221">
        <f t="shared" si="777"/>
        <v>2666.6666666666665</v>
      </c>
      <c r="KB129" s="221">
        <f t="shared" si="777"/>
        <v>2666.6666666666665</v>
      </c>
      <c r="KC129" s="221">
        <f t="shared" si="777"/>
        <v>2666.6666666666665</v>
      </c>
    </row>
    <row r="130" spans="2:289" ht="16.5" x14ac:dyDescent="0.35">
      <c r="B130" s="234" t="s">
        <v>134</v>
      </c>
      <c r="C130" s="196"/>
      <c r="D130" s="310">
        <f t="shared" si="768"/>
        <v>0.02</v>
      </c>
      <c r="E130" s="272">
        <f>I130/G194</f>
        <v>1.1810088896402091E-2</v>
      </c>
      <c r="F130" s="361" t="s">
        <v>150</v>
      </c>
      <c r="G130" s="349">
        <f t="shared" si="733"/>
        <v>0.14191874422899353</v>
      </c>
      <c r="H130" s="341">
        <f t="shared" si="713"/>
        <v>3073.96</v>
      </c>
      <c r="I130" s="233">
        <f>((I38*1.2)+I31)*0.8*0.0148</f>
        <v>49183.360000000001</v>
      </c>
      <c r="R130" s="255">
        <f t="shared" ref="R130:AW130" si="778">FB130*(1+$D$130)^(FB$93-1)</f>
        <v>0</v>
      </c>
      <c r="S130" s="255">
        <f t="shared" si="778"/>
        <v>0</v>
      </c>
      <c r="T130" s="255">
        <f t="shared" si="778"/>
        <v>0</v>
      </c>
      <c r="U130" s="255">
        <f t="shared" si="778"/>
        <v>0</v>
      </c>
      <c r="V130" s="255">
        <f t="shared" si="778"/>
        <v>0</v>
      </c>
      <c r="W130" s="255">
        <f t="shared" si="778"/>
        <v>0</v>
      </c>
      <c r="X130" s="255">
        <f t="shared" si="778"/>
        <v>0</v>
      </c>
      <c r="Y130" s="255">
        <f t="shared" si="778"/>
        <v>0</v>
      </c>
      <c r="Z130" s="255">
        <f t="shared" si="778"/>
        <v>0</v>
      </c>
      <c r="AA130" s="255">
        <f t="shared" si="778"/>
        <v>0</v>
      </c>
      <c r="AB130" s="255">
        <f t="shared" si="778"/>
        <v>0</v>
      </c>
      <c r="AC130" s="255">
        <f t="shared" si="778"/>
        <v>2049.3066666666668</v>
      </c>
      <c r="AD130" s="255">
        <f t="shared" si="778"/>
        <v>2049.3066666666668</v>
      </c>
      <c r="AE130" s="255">
        <f t="shared" si="778"/>
        <v>2049.3066666666668</v>
      </c>
      <c r="AF130" s="255">
        <f t="shared" si="778"/>
        <v>2049.3066666666668</v>
      </c>
      <c r="AG130" s="255">
        <f t="shared" si="778"/>
        <v>2049.3066666666668</v>
      </c>
      <c r="AH130" s="255">
        <f t="shared" si="778"/>
        <v>2049.3066666666668</v>
      </c>
      <c r="AI130" s="255">
        <f t="shared" si="778"/>
        <v>2049.3066666666668</v>
      </c>
      <c r="AJ130" s="255">
        <f t="shared" si="778"/>
        <v>2049.3066666666668</v>
      </c>
      <c r="AK130" s="255">
        <f t="shared" si="778"/>
        <v>2049.3066666666668</v>
      </c>
      <c r="AL130" s="255">
        <f t="shared" si="778"/>
        <v>2049.3066666666668</v>
      </c>
      <c r="AM130" s="255">
        <f t="shared" si="778"/>
        <v>2049.3066666666668</v>
      </c>
      <c r="AN130" s="255">
        <f t="shared" si="778"/>
        <v>2049.3066666666668</v>
      </c>
      <c r="AO130" s="255">
        <f t="shared" si="778"/>
        <v>3135.4392000000003</v>
      </c>
      <c r="AP130" s="255">
        <f t="shared" si="778"/>
        <v>3135.4392000000003</v>
      </c>
      <c r="AQ130" s="255">
        <f t="shared" si="778"/>
        <v>3135.4392000000003</v>
      </c>
      <c r="AR130" s="255">
        <f t="shared" si="778"/>
        <v>3135.4392000000003</v>
      </c>
      <c r="AS130" s="255">
        <f t="shared" si="778"/>
        <v>3135.4392000000003</v>
      </c>
      <c r="AT130" s="255">
        <f t="shared" si="778"/>
        <v>3135.4392000000003</v>
      </c>
      <c r="AU130" s="255">
        <f t="shared" si="778"/>
        <v>3135.4392000000003</v>
      </c>
      <c r="AV130" s="255">
        <f t="shared" si="778"/>
        <v>3135.4392000000003</v>
      </c>
      <c r="AW130" s="255">
        <f t="shared" si="778"/>
        <v>3135.4392000000003</v>
      </c>
      <c r="AX130" s="255">
        <f t="shared" ref="AX130:CC130" si="779">GH130*(1+$D$130)^(GH$93-1)</f>
        <v>3135.4392000000003</v>
      </c>
      <c r="AY130" s="255">
        <f t="shared" si="779"/>
        <v>3135.4392000000003</v>
      </c>
      <c r="AZ130" s="255">
        <f t="shared" si="779"/>
        <v>3135.4392000000003</v>
      </c>
      <c r="BA130" s="255">
        <f t="shared" si="779"/>
        <v>4264.1973120000002</v>
      </c>
      <c r="BB130" s="255">
        <f t="shared" si="779"/>
        <v>4264.1973120000002</v>
      </c>
      <c r="BC130" s="255">
        <f t="shared" si="779"/>
        <v>4264.1973120000002</v>
      </c>
      <c r="BD130" s="255">
        <f t="shared" si="779"/>
        <v>4264.1973120000002</v>
      </c>
      <c r="BE130" s="255">
        <f t="shared" si="779"/>
        <v>4264.1973120000002</v>
      </c>
      <c r="BF130" s="255">
        <f t="shared" si="779"/>
        <v>4264.1973120000002</v>
      </c>
      <c r="BG130" s="255">
        <f t="shared" si="779"/>
        <v>4264.1973120000002</v>
      </c>
      <c r="BH130" s="255">
        <f t="shared" si="779"/>
        <v>4264.1973120000002</v>
      </c>
      <c r="BI130" s="255">
        <f t="shared" si="779"/>
        <v>4264.1973120000002</v>
      </c>
      <c r="BJ130" s="255">
        <f t="shared" si="779"/>
        <v>4264.1973120000002</v>
      </c>
      <c r="BK130" s="255">
        <f t="shared" si="779"/>
        <v>4264.1973120000002</v>
      </c>
      <c r="BL130" s="255">
        <f t="shared" si="779"/>
        <v>4264.1973120000002</v>
      </c>
      <c r="BM130" s="255">
        <f t="shared" si="779"/>
        <v>4349.48125824</v>
      </c>
      <c r="BN130" s="255">
        <f t="shared" si="779"/>
        <v>4349.48125824</v>
      </c>
      <c r="BO130" s="255">
        <f t="shared" si="779"/>
        <v>4349.48125824</v>
      </c>
      <c r="BP130" s="255">
        <f t="shared" si="779"/>
        <v>4349.48125824</v>
      </c>
      <c r="BQ130" s="255">
        <f t="shared" si="779"/>
        <v>4349.48125824</v>
      </c>
      <c r="BR130" s="255">
        <f t="shared" si="779"/>
        <v>4349.48125824</v>
      </c>
      <c r="BS130" s="255">
        <f t="shared" si="779"/>
        <v>4349.48125824</v>
      </c>
      <c r="BT130" s="255">
        <f t="shared" si="779"/>
        <v>4349.48125824</v>
      </c>
      <c r="BU130" s="255">
        <f t="shared" si="779"/>
        <v>4349.48125824</v>
      </c>
      <c r="BV130" s="255">
        <f t="shared" si="779"/>
        <v>4349.48125824</v>
      </c>
      <c r="BW130" s="255">
        <f t="shared" si="779"/>
        <v>4349.48125824</v>
      </c>
      <c r="BX130" s="255">
        <f t="shared" si="779"/>
        <v>4349.48125824</v>
      </c>
      <c r="BY130" s="255">
        <f t="shared" si="779"/>
        <v>4436.4708834048006</v>
      </c>
      <c r="BZ130" s="255">
        <f t="shared" si="779"/>
        <v>4436.4708834048006</v>
      </c>
      <c r="CA130" s="255">
        <f t="shared" si="779"/>
        <v>4436.4708834048006</v>
      </c>
      <c r="CB130" s="255">
        <f t="shared" si="779"/>
        <v>4436.4708834048006</v>
      </c>
      <c r="CC130" s="255">
        <f t="shared" si="779"/>
        <v>4436.4708834048006</v>
      </c>
      <c r="CD130" s="255">
        <f t="shared" ref="CD130:DI130" si="780">HN130*(1+$D$130)^(HN$93-1)</f>
        <v>4436.4708834048006</v>
      </c>
      <c r="CE130" s="255">
        <f t="shared" si="780"/>
        <v>4436.4708834048006</v>
      </c>
      <c r="CF130" s="255">
        <f t="shared" si="780"/>
        <v>4436.4708834048006</v>
      </c>
      <c r="CG130" s="255">
        <f t="shared" si="780"/>
        <v>4436.4708834048006</v>
      </c>
      <c r="CH130" s="255">
        <f t="shared" si="780"/>
        <v>4436.4708834048006</v>
      </c>
      <c r="CI130" s="255">
        <f t="shared" si="780"/>
        <v>4436.4708834048006</v>
      </c>
      <c r="CJ130" s="255">
        <f t="shared" si="780"/>
        <v>4436.4708834048006</v>
      </c>
      <c r="CK130" s="255">
        <f t="shared" si="780"/>
        <v>4525.2003010728968</v>
      </c>
      <c r="CL130" s="255">
        <f t="shared" si="780"/>
        <v>4525.2003010728968</v>
      </c>
      <c r="CM130" s="255">
        <f t="shared" si="780"/>
        <v>4525.2003010728968</v>
      </c>
      <c r="CN130" s="255">
        <f t="shared" si="780"/>
        <v>4525.2003010728968</v>
      </c>
      <c r="CO130" s="255">
        <f t="shared" si="780"/>
        <v>4525.2003010728968</v>
      </c>
      <c r="CP130" s="255">
        <f t="shared" si="780"/>
        <v>4525.2003010728968</v>
      </c>
      <c r="CQ130" s="255">
        <f t="shared" si="780"/>
        <v>4525.2003010728968</v>
      </c>
      <c r="CR130" s="255">
        <f t="shared" si="780"/>
        <v>4525.2003010728968</v>
      </c>
      <c r="CS130" s="255">
        <f t="shared" si="780"/>
        <v>4525.2003010728968</v>
      </c>
      <c r="CT130" s="255">
        <f t="shared" si="780"/>
        <v>4525.2003010728968</v>
      </c>
      <c r="CU130" s="255">
        <f t="shared" si="780"/>
        <v>4525.2003010728968</v>
      </c>
      <c r="CV130" s="255">
        <f t="shared" si="780"/>
        <v>4525.2003010728968</v>
      </c>
      <c r="CW130" s="255">
        <f t="shared" si="780"/>
        <v>4615.7043070943546</v>
      </c>
      <c r="CX130" s="255">
        <f t="shared" si="780"/>
        <v>4615.7043070943546</v>
      </c>
      <c r="CY130" s="255">
        <f t="shared" si="780"/>
        <v>4615.7043070943546</v>
      </c>
      <c r="CZ130" s="255">
        <f t="shared" si="780"/>
        <v>4615.7043070943546</v>
      </c>
      <c r="DA130" s="255">
        <f t="shared" si="780"/>
        <v>4615.7043070943546</v>
      </c>
      <c r="DB130" s="255">
        <f t="shared" si="780"/>
        <v>4615.7043070943546</v>
      </c>
      <c r="DC130" s="255">
        <f t="shared" si="780"/>
        <v>4615.7043070943546</v>
      </c>
      <c r="DD130" s="255">
        <f t="shared" si="780"/>
        <v>4615.7043070943546</v>
      </c>
      <c r="DE130" s="255">
        <f t="shared" si="780"/>
        <v>4615.7043070943546</v>
      </c>
      <c r="DF130" s="255">
        <f t="shared" si="780"/>
        <v>4615.7043070943546</v>
      </c>
      <c r="DG130" s="255">
        <f t="shared" si="780"/>
        <v>4615.7043070943546</v>
      </c>
      <c r="DH130" s="255">
        <f t="shared" si="780"/>
        <v>4615.7043070943546</v>
      </c>
      <c r="DI130" s="255">
        <f t="shared" si="780"/>
        <v>4708.0183932362406</v>
      </c>
      <c r="DJ130" s="255">
        <f t="shared" ref="DJ130:EO130" si="781">IT130*(1+$D$130)^(IT$93-1)</f>
        <v>4708.0183932362406</v>
      </c>
      <c r="DK130" s="255">
        <f t="shared" si="781"/>
        <v>4708.0183932362406</v>
      </c>
      <c r="DL130" s="255">
        <f t="shared" si="781"/>
        <v>4708.0183932362406</v>
      </c>
      <c r="DM130" s="255">
        <f t="shared" si="781"/>
        <v>4708.0183932362406</v>
      </c>
      <c r="DN130" s="255">
        <f t="shared" si="781"/>
        <v>4708.0183932362406</v>
      </c>
      <c r="DO130" s="255">
        <f t="shared" si="781"/>
        <v>4708.0183932362406</v>
      </c>
      <c r="DP130" s="255">
        <f t="shared" si="781"/>
        <v>4708.0183932362406</v>
      </c>
      <c r="DQ130" s="255">
        <f t="shared" si="781"/>
        <v>4708.0183932362406</v>
      </c>
      <c r="DR130" s="255">
        <f t="shared" si="781"/>
        <v>4708.0183932362406</v>
      </c>
      <c r="DS130" s="255">
        <f t="shared" si="781"/>
        <v>4708.0183932362406</v>
      </c>
      <c r="DT130" s="255">
        <f t="shared" si="781"/>
        <v>4708.0183932362406</v>
      </c>
      <c r="DU130" s="255">
        <f t="shared" si="781"/>
        <v>4802.1787611009659</v>
      </c>
      <c r="DV130" s="255">
        <f t="shared" si="781"/>
        <v>4802.1787611009659</v>
      </c>
      <c r="DW130" s="255">
        <f t="shared" si="781"/>
        <v>4802.1787611009659</v>
      </c>
      <c r="DX130" s="255">
        <f t="shared" si="781"/>
        <v>4802.1787611009659</v>
      </c>
      <c r="DY130" s="255">
        <f t="shared" si="781"/>
        <v>4802.1787611009659</v>
      </c>
      <c r="DZ130" s="255">
        <f t="shared" si="781"/>
        <v>4802.1787611009659</v>
      </c>
      <c r="EA130" s="255">
        <f t="shared" si="781"/>
        <v>4802.1787611009659</v>
      </c>
      <c r="EB130" s="255">
        <f t="shared" si="781"/>
        <v>4802.1787611009659</v>
      </c>
      <c r="EC130" s="255">
        <f t="shared" si="781"/>
        <v>4802.1787611009659</v>
      </c>
      <c r="ED130" s="255">
        <f t="shared" si="781"/>
        <v>4802.1787611009659</v>
      </c>
      <c r="EE130" s="255">
        <f t="shared" si="781"/>
        <v>4802.1787611009659</v>
      </c>
      <c r="EF130" s="255">
        <f t="shared" si="781"/>
        <v>4802.1787611009659</v>
      </c>
      <c r="EG130" s="255">
        <f t="shared" si="781"/>
        <v>4898.222336322985</v>
      </c>
      <c r="EH130" s="255">
        <f t="shared" si="781"/>
        <v>4898.222336322985</v>
      </c>
      <c r="EI130" s="255">
        <f t="shared" si="781"/>
        <v>4898.222336322985</v>
      </c>
      <c r="EJ130" s="255">
        <f t="shared" si="781"/>
        <v>4898.222336322985</v>
      </c>
      <c r="EK130" s="255">
        <f t="shared" si="781"/>
        <v>4898.222336322985</v>
      </c>
      <c r="EL130" s="255">
        <f t="shared" si="781"/>
        <v>4898.222336322985</v>
      </c>
      <c r="EM130" s="255">
        <f t="shared" si="781"/>
        <v>4898.222336322985</v>
      </c>
      <c r="EN130" s="255">
        <f t="shared" si="781"/>
        <v>4898.222336322985</v>
      </c>
      <c r="EO130" s="255">
        <f t="shared" si="781"/>
        <v>4898.222336322985</v>
      </c>
      <c r="EP130" s="255">
        <f t="shared" ref="EP130:ES130" si="782">JZ130*(1+$D$130)^(JZ$93-1)</f>
        <v>4898.222336322985</v>
      </c>
      <c r="EQ130" s="255">
        <f t="shared" si="782"/>
        <v>4898.222336322985</v>
      </c>
      <c r="ER130" s="255">
        <f t="shared" si="782"/>
        <v>4898.222336322985</v>
      </c>
      <c r="ES130" s="255">
        <f t="shared" si="782"/>
        <v>4996.1867830494448</v>
      </c>
      <c r="EU130" s="153"/>
      <c r="EV130" s="153"/>
      <c r="EW130" s="304"/>
      <c r="EX130" s="327">
        <f>I117</f>
        <v>0.5</v>
      </c>
      <c r="EY130" s="327">
        <f>I118</f>
        <v>0.75</v>
      </c>
      <c r="EZ130" s="362">
        <f>I119</f>
        <v>1</v>
      </c>
      <c r="FA130" s="153" t="s">
        <v>148</v>
      </c>
      <c r="FB130" s="251">
        <f t="shared" ref="FB130:GG130" si="783">+IF(FB$3&lt;Timing_Operation_Begin_Month,0,$I130/12*INDEX($EX$130:$EZ$130,1,MATCH(FB120,$EX$129:$EZ$129)))</f>
        <v>0</v>
      </c>
      <c r="FC130" s="252">
        <f t="shared" si="783"/>
        <v>0</v>
      </c>
      <c r="FD130" s="252">
        <f t="shared" si="783"/>
        <v>0</v>
      </c>
      <c r="FE130" s="252">
        <f t="shared" si="783"/>
        <v>0</v>
      </c>
      <c r="FF130" s="252">
        <f t="shared" si="783"/>
        <v>0</v>
      </c>
      <c r="FG130" s="252">
        <f t="shared" si="783"/>
        <v>0</v>
      </c>
      <c r="FH130" s="252">
        <f t="shared" si="783"/>
        <v>0</v>
      </c>
      <c r="FI130" s="252">
        <f t="shared" si="783"/>
        <v>0</v>
      </c>
      <c r="FJ130" s="252">
        <f t="shared" si="783"/>
        <v>0</v>
      </c>
      <c r="FK130" s="252">
        <f t="shared" si="783"/>
        <v>0</v>
      </c>
      <c r="FL130" s="252">
        <f t="shared" si="783"/>
        <v>0</v>
      </c>
      <c r="FM130" s="252">
        <f t="shared" si="783"/>
        <v>2049.3066666666668</v>
      </c>
      <c r="FN130" s="252">
        <f t="shared" si="783"/>
        <v>2049.3066666666668</v>
      </c>
      <c r="FO130" s="252">
        <f t="shared" si="783"/>
        <v>2049.3066666666668</v>
      </c>
      <c r="FP130" s="252">
        <f t="shared" si="783"/>
        <v>2049.3066666666668</v>
      </c>
      <c r="FQ130" s="252">
        <f t="shared" si="783"/>
        <v>2049.3066666666668</v>
      </c>
      <c r="FR130" s="252">
        <f t="shared" si="783"/>
        <v>2049.3066666666668</v>
      </c>
      <c r="FS130" s="252">
        <f t="shared" si="783"/>
        <v>2049.3066666666668</v>
      </c>
      <c r="FT130" s="252">
        <f t="shared" si="783"/>
        <v>2049.3066666666668</v>
      </c>
      <c r="FU130" s="252">
        <f t="shared" si="783"/>
        <v>2049.3066666666668</v>
      </c>
      <c r="FV130" s="252">
        <f t="shared" si="783"/>
        <v>2049.3066666666668</v>
      </c>
      <c r="FW130" s="252">
        <f t="shared" si="783"/>
        <v>2049.3066666666668</v>
      </c>
      <c r="FX130" s="252">
        <f t="shared" si="783"/>
        <v>2049.3066666666668</v>
      </c>
      <c r="FY130" s="252">
        <f t="shared" si="783"/>
        <v>3073.96</v>
      </c>
      <c r="FZ130" s="252">
        <f t="shared" si="783"/>
        <v>3073.96</v>
      </c>
      <c r="GA130" s="252">
        <f t="shared" si="783"/>
        <v>3073.96</v>
      </c>
      <c r="GB130" s="252">
        <f t="shared" si="783"/>
        <v>3073.96</v>
      </c>
      <c r="GC130" s="252">
        <f t="shared" si="783"/>
        <v>3073.96</v>
      </c>
      <c r="GD130" s="252">
        <f t="shared" si="783"/>
        <v>3073.96</v>
      </c>
      <c r="GE130" s="252">
        <f t="shared" si="783"/>
        <v>3073.96</v>
      </c>
      <c r="GF130" s="252">
        <f t="shared" si="783"/>
        <v>3073.96</v>
      </c>
      <c r="GG130" s="252">
        <f t="shared" si="783"/>
        <v>3073.96</v>
      </c>
      <c r="GH130" s="252">
        <f t="shared" ref="GH130:HM130" si="784">+IF(GH$3&lt;Timing_Operation_Begin_Month,0,$I130/12*INDEX($EX$130:$EZ$130,1,MATCH(GH120,$EX$129:$EZ$129)))</f>
        <v>3073.96</v>
      </c>
      <c r="GI130" s="252">
        <f t="shared" si="784"/>
        <v>3073.96</v>
      </c>
      <c r="GJ130" s="252">
        <f t="shared" si="784"/>
        <v>3073.96</v>
      </c>
      <c r="GK130" s="252">
        <f t="shared" si="784"/>
        <v>4098.6133333333337</v>
      </c>
      <c r="GL130" s="252">
        <f t="shared" si="784"/>
        <v>4098.6133333333337</v>
      </c>
      <c r="GM130" s="252">
        <f t="shared" si="784"/>
        <v>4098.6133333333337</v>
      </c>
      <c r="GN130" s="252">
        <f t="shared" si="784"/>
        <v>4098.6133333333337</v>
      </c>
      <c r="GO130" s="252">
        <f t="shared" si="784"/>
        <v>4098.6133333333337</v>
      </c>
      <c r="GP130" s="252">
        <f t="shared" si="784"/>
        <v>4098.6133333333337</v>
      </c>
      <c r="GQ130" s="252">
        <f t="shared" si="784"/>
        <v>4098.6133333333337</v>
      </c>
      <c r="GR130" s="252">
        <f t="shared" si="784"/>
        <v>4098.6133333333337</v>
      </c>
      <c r="GS130" s="252">
        <f t="shared" si="784"/>
        <v>4098.6133333333337</v>
      </c>
      <c r="GT130" s="252">
        <f t="shared" si="784"/>
        <v>4098.6133333333337</v>
      </c>
      <c r="GU130" s="252">
        <f t="shared" si="784"/>
        <v>4098.6133333333337</v>
      </c>
      <c r="GV130" s="252">
        <f t="shared" si="784"/>
        <v>4098.6133333333337</v>
      </c>
      <c r="GW130" s="252">
        <f t="shared" si="784"/>
        <v>4098.6133333333337</v>
      </c>
      <c r="GX130" s="252">
        <f t="shared" si="784"/>
        <v>4098.6133333333337</v>
      </c>
      <c r="GY130" s="252">
        <f t="shared" si="784"/>
        <v>4098.6133333333337</v>
      </c>
      <c r="GZ130" s="252">
        <f t="shared" si="784"/>
        <v>4098.6133333333337</v>
      </c>
      <c r="HA130" s="252">
        <f t="shared" si="784"/>
        <v>4098.6133333333337</v>
      </c>
      <c r="HB130" s="252">
        <f t="shared" si="784"/>
        <v>4098.6133333333337</v>
      </c>
      <c r="HC130" s="252">
        <f t="shared" si="784"/>
        <v>4098.6133333333337</v>
      </c>
      <c r="HD130" s="252">
        <f t="shared" si="784"/>
        <v>4098.6133333333337</v>
      </c>
      <c r="HE130" s="252">
        <f t="shared" si="784"/>
        <v>4098.6133333333337</v>
      </c>
      <c r="HF130" s="252">
        <f t="shared" si="784"/>
        <v>4098.6133333333337</v>
      </c>
      <c r="HG130" s="252">
        <f t="shared" si="784"/>
        <v>4098.6133333333337</v>
      </c>
      <c r="HH130" s="252">
        <f t="shared" si="784"/>
        <v>4098.6133333333337</v>
      </c>
      <c r="HI130" s="252">
        <f t="shared" si="784"/>
        <v>4098.6133333333337</v>
      </c>
      <c r="HJ130" s="252">
        <f t="shared" si="784"/>
        <v>4098.6133333333337</v>
      </c>
      <c r="HK130" s="252">
        <f t="shared" si="784"/>
        <v>4098.6133333333337</v>
      </c>
      <c r="HL130" s="252">
        <f t="shared" si="784"/>
        <v>4098.6133333333337</v>
      </c>
      <c r="HM130" s="252">
        <f t="shared" si="784"/>
        <v>4098.6133333333337</v>
      </c>
      <c r="HN130" s="252">
        <f t="shared" ref="HN130:IS130" si="785">+IF(HN$3&lt;Timing_Operation_Begin_Month,0,$I130/12*INDEX($EX$130:$EZ$130,1,MATCH(HN120,$EX$129:$EZ$129)))</f>
        <v>4098.6133333333337</v>
      </c>
      <c r="HO130" s="252">
        <f t="shared" si="785"/>
        <v>4098.6133333333337</v>
      </c>
      <c r="HP130" s="252">
        <f t="shared" si="785"/>
        <v>4098.6133333333337</v>
      </c>
      <c r="HQ130" s="252">
        <f t="shared" si="785"/>
        <v>4098.6133333333337</v>
      </c>
      <c r="HR130" s="252">
        <f t="shared" si="785"/>
        <v>4098.6133333333337</v>
      </c>
      <c r="HS130" s="252">
        <f t="shared" si="785"/>
        <v>4098.6133333333337</v>
      </c>
      <c r="HT130" s="252">
        <f t="shared" si="785"/>
        <v>4098.6133333333337</v>
      </c>
      <c r="HU130" s="252">
        <f t="shared" si="785"/>
        <v>4098.6133333333337</v>
      </c>
      <c r="HV130" s="252">
        <f t="shared" si="785"/>
        <v>4098.6133333333337</v>
      </c>
      <c r="HW130" s="252">
        <f t="shared" si="785"/>
        <v>4098.6133333333337</v>
      </c>
      <c r="HX130" s="252">
        <f t="shared" si="785"/>
        <v>4098.6133333333337</v>
      </c>
      <c r="HY130" s="252">
        <f t="shared" si="785"/>
        <v>4098.6133333333337</v>
      </c>
      <c r="HZ130" s="252">
        <f t="shared" si="785"/>
        <v>4098.6133333333337</v>
      </c>
      <c r="IA130" s="252">
        <f t="shared" si="785"/>
        <v>4098.6133333333337</v>
      </c>
      <c r="IB130" s="252">
        <f t="shared" si="785"/>
        <v>4098.6133333333337</v>
      </c>
      <c r="IC130" s="252">
        <f t="shared" si="785"/>
        <v>4098.6133333333337</v>
      </c>
      <c r="ID130" s="252">
        <f t="shared" si="785"/>
        <v>4098.6133333333337</v>
      </c>
      <c r="IE130" s="252">
        <f t="shared" si="785"/>
        <v>4098.6133333333337</v>
      </c>
      <c r="IF130" s="252">
        <f t="shared" si="785"/>
        <v>4098.6133333333337</v>
      </c>
      <c r="IG130" s="252">
        <f t="shared" si="785"/>
        <v>4098.6133333333337</v>
      </c>
      <c r="IH130" s="252">
        <f t="shared" si="785"/>
        <v>4098.6133333333337</v>
      </c>
      <c r="II130" s="252">
        <f t="shared" si="785"/>
        <v>4098.6133333333337</v>
      </c>
      <c r="IJ130" s="252">
        <f t="shared" si="785"/>
        <v>4098.6133333333337</v>
      </c>
      <c r="IK130" s="252">
        <f t="shared" si="785"/>
        <v>4098.6133333333337</v>
      </c>
      <c r="IL130" s="252">
        <f t="shared" si="785"/>
        <v>4098.6133333333337</v>
      </c>
      <c r="IM130" s="252">
        <f t="shared" si="785"/>
        <v>4098.6133333333337</v>
      </c>
      <c r="IN130" s="252">
        <f t="shared" si="785"/>
        <v>4098.6133333333337</v>
      </c>
      <c r="IO130" s="252">
        <f t="shared" si="785"/>
        <v>4098.6133333333337</v>
      </c>
      <c r="IP130" s="252">
        <f t="shared" si="785"/>
        <v>4098.6133333333337</v>
      </c>
      <c r="IQ130" s="252">
        <f t="shared" si="785"/>
        <v>4098.6133333333337</v>
      </c>
      <c r="IR130" s="252">
        <f t="shared" si="785"/>
        <v>4098.6133333333337</v>
      </c>
      <c r="IS130" s="252">
        <f t="shared" si="785"/>
        <v>4098.6133333333337</v>
      </c>
      <c r="IT130" s="252">
        <f t="shared" ref="IT130:KC130" si="786">+IF(IT$3&lt;Timing_Operation_Begin_Month,0,$I130/12*INDEX($EX$130:$EZ$130,1,MATCH(IT120,$EX$129:$EZ$129)))</f>
        <v>4098.6133333333337</v>
      </c>
      <c r="IU130" s="252">
        <f t="shared" si="786"/>
        <v>4098.6133333333337</v>
      </c>
      <c r="IV130" s="252">
        <f t="shared" si="786"/>
        <v>4098.6133333333337</v>
      </c>
      <c r="IW130" s="252">
        <f t="shared" si="786"/>
        <v>4098.6133333333337</v>
      </c>
      <c r="IX130" s="252">
        <f t="shared" si="786"/>
        <v>4098.6133333333337</v>
      </c>
      <c r="IY130" s="252">
        <f t="shared" si="786"/>
        <v>4098.6133333333337</v>
      </c>
      <c r="IZ130" s="252">
        <f t="shared" si="786"/>
        <v>4098.6133333333337</v>
      </c>
      <c r="JA130" s="252">
        <f t="shared" si="786"/>
        <v>4098.6133333333337</v>
      </c>
      <c r="JB130" s="252">
        <f t="shared" si="786"/>
        <v>4098.6133333333337</v>
      </c>
      <c r="JC130" s="252">
        <f t="shared" si="786"/>
        <v>4098.6133333333337</v>
      </c>
      <c r="JD130" s="252">
        <f t="shared" si="786"/>
        <v>4098.6133333333337</v>
      </c>
      <c r="JE130" s="252">
        <f t="shared" si="786"/>
        <v>4098.6133333333337</v>
      </c>
      <c r="JF130" s="252">
        <f t="shared" si="786"/>
        <v>4098.6133333333337</v>
      </c>
      <c r="JG130" s="252">
        <f t="shared" si="786"/>
        <v>4098.6133333333337</v>
      </c>
      <c r="JH130" s="252">
        <f t="shared" si="786"/>
        <v>4098.6133333333337</v>
      </c>
      <c r="JI130" s="252">
        <f t="shared" si="786"/>
        <v>4098.6133333333337</v>
      </c>
      <c r="JJ130" s="252">
        <f t="shared" si="786"/>
        <v>4098.6133333333337</v>
      </c>
      <c r="JK130" s="252">
        <f t="shared" si="786"/>
        <v>4098.6133333333337</v>
      </c>
      <c r="JL130" s="252">
        <f t="shared" si="786"/>
        <v>4098.6133333333337</v>
      </c>
      <c r="JM130" s="252">
        <f t="shared" si="786"/>
        <v>4098.6133333333337</v>
      </c>
      <c r="JN130" s="252">
        <f t="shared" si="786"/>
        <v>4098.6133333333337</v>
      </c>
      <c r="JO130" s="252">
        <f t="shared" si="786"/>
        <v>4098.6133333333337</v>
      </c>
      <c r="JP130" s="252">
        <f t="shared" si="786"/>
        <v>4098.6133333333337</v>
      </c>
      <c r="JQ130" s="252">
        <f t="shared" si="786"/>
        <v>4098.6133333333337</v>
      </c>
      <c r="JR130" s="252">
        <f t="shared" si="786"/>
        <v>4098.6133333333337</v>
      </c>
      <c r="JS130" s="252">
        <f t="shared" si="786"/>
        <v>4098.6133333333337</v>
      </c>
      <c r="JT130" s="252">
        <f t="shared" si="786"/>
        <v>4098.6133333333337</v>
      </c>
      <c r="JU130" s="252">
        <f t="shared" si="786"/>
        <v>4098.6133333333337</v>
      </c>
      <c r="JV130" s="252">
        <f t="shared" si="786"/>
        <v>4098.6133333333337</v>
      </c>
      <c r="JW130" s="252">
        <f t="shared" si="786"/>
        <v>4098.6133333333337</v>
      </c>
      <c r="JX130" s="252">
        <f t="shared" si="786"/>
        <v>4098.6133333333337</v>
      </c>
      <c r="JY130" s="252">
        <f t="shared" si="786"/>
        <v>4098.6133333333337</v>
      </c>
      <c r="JZ130" s="252">
        <f t="shared" si="786"/>
        <v>4098.6133333333337</v>
      </c>
      <c r="KA130" s="252">
        <f t="shared" si="786"/>
        <v>4098.6133333333337</v>
      </c>
      <c r="KB130" s="252">
        <f t="shared" si="786"/>
        <v>4098.6133333333337</v>
      </c>
      <c r="KC130" s="252">
        <f t="shared" si="786"/>
        <v>4098.6133333333337</v>
      </c>
    </row>
    <row r="131" spans="2:289" x14ac:dyDescent="0.25">
      <c r="B131" s="180" t="s">
        <v>135</v>
      </c>
      <c r="C131" s="196"/>
      <c r="D131" s="272">
        <f>SUMPRODUCT(D121:D130,I121:I130)/SUM(I121:I127,I129:I130)</f>
        <v>1.9999999999999997E-2</v>
      </c>
      <c r="E131" s="196"/>
      <c r="F131" s="196"/>
      <c r="G131" s="272">
        <f t="shared" si="733"/>
        <v>0.33907940904893813</v>
      </c>
      <c r="H131" s="218">
        <f t="shared" si="713"/>
        <v>7344.46</v>
      </c>
      <c r="I131" s="218">
        <f>SUM(I121:I130)</f>
        <v>117511.36</v>
      </c>
      <c r="P131" s="152" t="s">
        <v>448</v>
      </c>
      <c r="R131" s="220">
        <f ca="1">SUM(R121:R130)</f>
        <v>0</v>
      </c>
      <c r="S131" s="220">
        <f t="shared" ref="S131:CD131" ca="1" si="787">SUM(S121:S130)</f>
        <v>0</v>
      </c>
      <c r="T131" s="220">
        <f t="shared" ca="1" si="787"/>
        <v>0</v>
      </c>
      <c r="U131" s="220">
        <f t="shared" ca="1" si="787"/>
        <v>0</v>
      </c>
      <c r="V131" s="220">
        <f t="shared" ca="1" si="787"/>
        <v>0</v>
      </c>
      <c r="W131" s="220">
        <f t="shared" ca="1" si="787"/>
        <v>0</v>
      </c>
      <c r="X131" s="220">
        <f t="shared" ca="1" si="787"/>
        <v>0</v>
      </c>
      <c r="Y131" s="220">
        <f t="shared" ca="1" si="787"/>
        <v>0</v>
      </c>
      <c r="Z131" s="220">
        <f t="shared" ca="1" si="787"/>
        <v>0</v>
      </c>
      <c r="AA131" s="220">
        <f t="shared" ca="1" si="787"/>
        <v>0</v>
      </c>
      <c r="AB131" s="220">
        <f t="shared" ca="1" si="787"/>
        <v>0</v>
      </c>
      <c r="AC131" s="220">
        <f t="shared" ca="1" si="787"/>
        <v>6332.1816666666673</v>
      </c>
      <c r="AD131" s="220">
        <f t="shared" ca="1" si="787"/>
        <v>7037.7441666666673</v>
      </c>
      <c r="AE131" s="220">
        <f t="shared" ca="1" si="787"/>
        <v>7743.3066666666673</v>
      </c>
      <c r="AF131" s="220">
        <f t="shared" ca="1" si="787"/>
        <v>7743.3066666666673</v>
      </c>
      <c r="AG131" s="220">
        <f t="shared" ca="1" si="787"/>
        <v>7743.3066666666673</v>
      </c>
      <c r="AH131" s="220">
        <f t="shared" ca="1" si="787"/>
        <v>7743.3066666666673</v>
      </c>
      <c r="AI131" s="220">
        <f t="shared" ca="1" si="787"/>
        <v>7743.3066666666673</v>
      </c>
      <c r="AJ131" s="220">
        <f t="shared" ca="1" si="787"/>
        <v>7743.3066666666673</v>
      </c>
      <c r="AK131" s="220">
        <f t="shared" ca="1" si="787"/>
        <v>7743.3066666666673</v>
      </c>
      <c r="AL131" s="220">
        <f t="shared" ca="1" si="787"/>
        <v>7743.3066666666673</v>
      </c>
      <c r="AM131" s="220">
        <f t="shared" ca="1" si="787"/>
        <v>7743.3066666666673</v>
      </c>
      <c r="AN131" s="220">
        <f t="shared" ca="1" si="787"/>
        <v>7743.3066666666673</v>
      </c>
      <c r="AO131" s="220">
        <f t="shared" ca="1" si="787"/>
        <v>8925.2692000000006</v>
      </c>
      <c r="AP131" s="220">
        <f t="shared" ca="1" si="787"/>
        <v>8941.5141999999996</v>
      </c>
      <c r="AQ131" s="220">
        <f t="shared" ca="1" si="787"/>
        <v>8957.7592000000004</v>
      </c>
      <c r="AR131" s="220">
        <f t="shared" ca="1" si="787"/>
        <v>8957.7592000000004</v>
      </c>
      <c r="AS131" s="220">
        <f t="shared" ca="1" si="787"/>
        <v>8957.7592000000004</v>
      </c>
      <c r="AT131" s="220">
        <f t="shared" ca="1" si="787"/>
        <v>8957.7592000000004</v>
      </c>
      <c r="AU131" s="220">
        <f t="shared" ca="1" si="787"/>
        <v>8957.7592000000004</v>
      </c>
      <c r="AV131" s="220">
        <f t="shared" ca="1" si="787"/>
        <v>8957.7592000000004</v>
      </c>
      <c r="AW131" s="220">
        <f t="shared" ca="1" si="787"/>
        <v>8957.7592000000004</v>
      </c>
      <c r="AX131" s="220">
        <f t="shared" ca="1" si="787"/>
        <v>8957.7592000000004</v>
      </c>
      <c r="AY131" s="220">
        <f t="shared" ca="1" si="787"/>
        <v>8957.7592000000004</v>
      </c>
      <c r="AZ131" s="220">
        <f t="shared" ca="1" si="787"/>
        <v>8957.7592000000004</v>
      </c>
      <c r="BA131" s="220">
        <f t="shared" ca="1" si="787"/>
        <v>10184.372212</v>
      </c>
      <c r="BB131" s="220">
        <f t="shared" ca="1" si="787"/>
        <v>10201.104562</v>
      </c>
      <c r="BC131" s="220">
        <f t="shared" ca="1" si="787"/>
        <v>10217.836912000001</v>
      </c>
      <c r="BD131" s="220">
        <f t="shared" ca="1" si="787"/>
        <v>10217.836912000001</v>
      </c>
      <c r="BE131" s="220">
        <f t="shared" ca="1" si="787"/>
        <v>10217.836912000001</v>
      </c>
      <c r="BF131" s="220">
        <f t="shared" ca="1" si="787"/>
        <v>10217.836912000001</v>
      </c>
      <c r="BG131" s="220">
        <f t="shared" ca="1" si="787"/>
        <v>10217.836912000001</v>
      </c>
      <c r="BH131" s="220">
        <f t="shared" ca="1" si="787"/>
        <v>10217.836912000001</v>
      </c>
      <c r="BI131" s="220">
        <f t="shared" ca="1" si="787"/>
        <v>10217.836912000001</v>
      </c>
      <c r="BJ131" s="220">
        <f t="shared" ca="1" si="787"/>
        <v>10217.836912000001</v>
      </c>
      <c r="BK131" s="220">
        <f t="shared" ca="1" si="787"/>
        <v>10217.836912000001</v>
      </c>
      <c r="BL131" s="220">
        <f t="shared" ca="1" si="787"/>
        <v>10217.836912000001</v>
      </c>
      <c r="BM131" s="220">
        <f t="shared" ca="1" si="787"/>
        <v>10403.044405239998</v>
      </c>
      <c r="BN131" s="220">
        <f t="shared" ca="1" si="787"/>
        <v>10420.27872574</v>
      </c>
      <c r="BO131" s="220">
        <f t="shared" ca="1" si="787"/>
        <v>10437.513046240001</v>
      </c>
      <c r="BP131" s="220">
        <f t="shared" ca="1" si="787"/>
        <v>10437.513046240001</v>
      </c>
      <c r="BQ131" s="220">
        <f t="shared" ca="1" si="787"/>
        <v>10437.513046240001</v>
      </c>
      <c r="BR131" s="220">
        <f t="shared" ca="1" si="787"/>
        <v>10437.513046240001</v>
      </c>
      <c r="BS131" s="220">
        <f t="shared" ca="1" si="787"/>
        <v>10437.513046240001</v>
      </c>
      <c r="BT131" s="220">
        <f t="shared" ca="1" si="787"/>
        <v>10437.513046240001</v>
      </c>
      <c r="BU131" s="220">
        <f t="shared" ca="1" si="787"/>
        <v>10437.513046240001</v>
      </c>
      <c r="BV131" s="220">
        <f t="shared" ca="1" si="787"/>
        <v>10437.513046240001</v>
      </c>
      <c r="BW131" s="220">
        <f t="shared" ca="1" si="787"/>
        <v>10437.513046240001</v>
      </c>
      <c r="BX131" s="220">
        <f t="shared" ca="1" si="787"/>
        <v>10437.513046240001</v>
      </c>
      <c r="BY131" s="220">
        <f t="shared" ca="1" si="787"/>
        <v>10626.5395848148</v>
      </c>
      <c r="BZ131" s="220">
        <f t="shared" ca="1" si="787"/>
        <v>10644.290934929799</v>
      </c>
      <c r="CA131" s="220">
        <f t="shared" ca="1" si="787"/>
        <v>10662.042285044801</v>
      </c>
      <c r="CB131" s="220">
        <f t="shared" ca="1" si="787"/>
        <v>10662.042285044801</v>
      </c>
      <c r="CC131" s="220">
        <f t="shared" ca="1" si="787"/>
        <v>10662.042285044801</v>
      </c>
      <c r="CD131" s="220">
        <f t="shared" ca="1" si="787"/>
        <v>10662.042285044801</v>
      </c>
      <c r="CE131" s="220">
        <f t="shared" ref="CE131:EP131" ca="1" si="788">SUM(CE121:CE130)</f>
        <v>10662.042285044801</v>
      </c>
      <c r="CF131" s="220">
        <f t="shared" ca="1" si="788"/>
        <v>10662.042285044801</v>
      </c>
      <c r="CG131" s="220">
        <f t="shared" ca="1" si="788"/>
        <v>10662.042285044801</v>
      </c>
      <c r="CH131" s="220">
        <f t="shared" ca="1" si="788"/>
        <v>10662.042285044801</v>
      </c>
      <c r="CI131" s="220">
        <f t="shared" ca="1" si="788"/>
        <v>10662.042285044801</v>
      </c>
      <c r="CJ131" s="220">
        <f t="shared" ca="1" si="788"/>
        <v>10662.042285044801</v>
      </c>
      <c r="CK131" s="220">
        <f t="shared" ca="1" si="788"/>
        <v>10854.967696725196</v>
      </c>
      <c r="CL131" s="220">
        <f t="shared" ca="1" si="788"/>
        <v>10873.251587343646</v>
      </c>
      <c r="CM131" s="220">
        <f t="shared" ca="1" si="788"/>
        <v>10891.535477962096</v>
      </c>
      <c r="CN131" s="220">
        <f t="shared" ca="1" si="788"/>
        <v>10891.535477962096</v>
      </c>
      <c r="CO131" s="220">
        <f t="shared" ca="1" si="788"/>
        <v>10891.535477962096</v>
      </c>
      <c r="CP131" s="220">
        <f t="shared" ca="1" si="788"/>
        <v>10891.535477962096</v>
      </c>
      <c r="CQ131" s="220">
        <f t="shared" ca="1" si="788"/>
        <v>10891.535477962096</v>
      </c>
      <c r="CR131" s="220">
        <f t="shared" ca="1" si="788"/>
        <v>10891.535477962096</v>
      </c>
      <c r="CS131" s="220">
        <f t="shared" ca="1" si="788"/>
        <v>10891.535477962096</v>
      </c>
      <c r="CT131" s="220">
        <f t="shared" ca="1" si="788"/>
        <v>10891.535477962096</v>
      </c>
      <c r="CU131" s="220">
        <f t="shared" ca="1" si="788"/>
        <v>10891.535477962096</v>
      </c>
      <c r="CV131" s="220">
        <f t="shared" ca="1" si="788"/>
        <v>10891.535477962096</v>
      </c>
      <c r="CW131" s="220">
        <f t="shared" ca="1" si="788"/>
        <v>11088.441290480223</v>
      </c>
      <c r="CX131" s="220">
        <f t="shared" ca="1" si="788"/>
        <v>11107.273697817227</v>
      </c>
      <c r="CY131" s="220">
        <f t="shared" ca="1" si="788"/>
        <v>11126.106105154231</v>
      </c>
      <c r="CZ131" s="220">
        <f t="shared" ca="1" si="788"/>
        <v>11126.106105154231</v>
      </c>
      <c r="DA131" s="220">
        <f t="shared" ca="1" si="788"/>
        <v>11126.106105154231</v>
      </c>
      <c r="DB131" s="220">
        <f t="shared" ca="1" si="788"/>
        <v>11126.106105154231</v>
      </c>
      <c r="DC131" s="220">
        <f t="shared" ca="1" si="788"/>
        <v>11126.106105154231</v>
      </c>
      <c r="DD131" s="220">
        <f t="shared" ca="1" si="788"/>
        <v>11126.106105154231</v>
      </c>
      <c r="DE131" s="220">
        <f t="shared" ca="1" si="788"/>
        <v>11126.106105154231</v>
      </c>
      <c r="DF131" s="220">
        <f t="shared" ca="1" si="788"/>
        <v>11126.106105154231</v>
      </c>
      <c r="DG131" s="220">
        <f t="shared" ca="1" si="788"/>
        <v>11126.106105154231</v>
      </c>
      <c r="DH131" s="220">
        <f t="shared" ca="1" si="788"/>
        <v>11126.106105154231</v>
      </c>
      <c r="DI131" s="220">
        <f t="shared" ca="1" si="788"/>
        <v>11327.075583304966</v>
      </c>
      <c r="DJ131" s="220">
        <f t="shared" ca="1" si="788"/>
        <v>11346.472962862079</v>
      </c>
      <c r="DK131" s="220">
        <f t="shared" ca="1" si="788"/>
        <v>11365.870342419192</v>
      </c>
      <c r="DL131" s="220">
        <f t="shared" ca="1" si="788"/>
        <v>11365.870342419192</v>
      </c>
      <c r="DM131" s="220">
        <f t="shared" ca="1" si="788"/>
        <v>11365.870342419192</v>
      </c>
      <c r="DN131" s="220">
        <f t="shared" ca="1" si="788"/>
        <v>11365.870342419192</v>
      </c>
      <c r="DO131" s="220">
        <f t="shared" ca="1" si="788"/>
        <v>11365.870342419192</v>
      </c>
      <c r="DP131" s="220">
        <f t="shared" ca="1" si="788"/>
        <v>11365.870342419192</v>
      </c>
      <c r="DQ131" s="220">
        <f t="shared" ca="1" si="788"/>
        <v>11365.870342419192</v>
      </c>
      <c r="DR131" s="220">
        <f t="shared" ca="1" si="788"/>
        <v>11365.870342419192</v>
      </c>
      <c r="DS131" s="220">
        <f t="shared" ca="1" si="788"/>
        <v>11365.870342419192</v>
      </c>
      <c r="DT131" s="220">
        <f t="shared" ca="1" si="788"/>
        <v>11365.870342419192</v>
      </c>
      <c r="DU131" s="220">
        <f t="shared" ca="1" si="788"/>
        <v>11570.988525996658</v>
      </c>
      <c r="DV131" s="220">
        <f t="shared" ca="1" si="788"/>
        <v>11590.967826940485</v>
      </c>
      <c r="DW131" s="220">
        <f t="shared" ca="1" si="788"/>
        <v>11610.947127884312</v>
      </c>
      <c r="DX131" s="220">
        <f t="shared" ca="1" si="788"/>
        <v>11610.947127884312</v>
      </c>
      <c r="DY131" s="220">
        <f t="shared" ca="1" si="788"/>
        <v>11610.947127884312</v>
      </c>
      <c r="DZ131" s="220">
        <f t="shared" ca="1" si="788"/>
        <v>11610.947127884312</v>
      </c>
      <c r="EA131" s="220">
        <f t="shared" ca="1" si="788"/>
        <v>11610.947127884312</v>
      </c>
      <c r="EB131" s="220">
        <f t="shared" ca="1" si="788"/>
        <v>11610.947127884312</v>
      </c>
      <c r="EC131" s="220">
        <f t="shared" ca="1" si="788"/>
        <v>11610.947127884312</v>
      </c>
      <c r="ED131" s="220">
        <f t="shared" ca="1" si="788"/>
        <v>11610.947127884312</v>
      </c>
      <c r="EE131" s="220">
        <f t="shared" ca="1" si="788"/>
        <v>11610.947127884312</v>
      </c>
      <c r="EF131" s="220">
        <f t="shared" ca="1" si="788"/>
        <v>11610.947127884312</v>
      </c>
      <c r="EG131" s="220">
        <f t="shared" ca="1" si="788"/>
        <v>11820.300870472951</v>
      </c>
      <c r="EH131" s="220">
        <f t="shared" ca="1" si="788"/>
        <v>11840.879550445094</v>
      </c>
      <c r="EI131" s="220">
        <f t="shared" ca="1" si="788"/>
        <v>11861.458230417236</v>
      </c>
      <c r="EJ131" s="220">
        <f t="shared" ca="1" si="788"/>
        <v>11861.458230417236</v>
      </c>
      <c r="EK131" s="220">
        <f t="shared" ca="1" si="788"/>
        <v>11861.458230417236</v>
      </c>
      <c r="EL131" s="220">
        <f t="shared" ca="1" si="788"/>
        <v>11861.458230417236</v>
      </c>
      <c r="EM131" s="220">
        <f t="shared" ca="1" si="788"/>
        <v>11861.458230417236</v>
      </c>
      <c r="EN131" s="220">
        <f t="shared" ca="1" si="788"/>
        <v>11861.458230417236</v>
      </c>
      <c r="EO131" s="220">
        <f t="shared" ca="1" si="788"/>
        <v>11861.458230417236</v>
      </c>
      <c r="EP131" s="220">
        <f t="shared" ca="1" si="788"/>
        <v>11861.458230417236</v>
      </c>
      <c r="EQ131" s="220">
        <f ca="1">SUM(EQ121:EQ130)</f>
        <v>11861.458230417236</v>
      </c>
      <c r="ER131" s="220">
        <f ca="1">SUM(ER121:ER130)</f>
        <v>11861.458230417236</v>
      </c>
      <c r="ES131" s="220">
        <f ca="1">SUM(ES121:ES130)</f>
        <v>12075.136239057461</v>
      </c>
      <c r="EU131" s="153"/>
      <c r="EV131" s="153"/>
      <c r="EW131" s="153"/>
      <c r="EX131" s="153"/>
      <c r="EY131" s="153"/>
      <c r="EZ131" s="154"/>
      <c r="FA131" s="153"/>
      <c r="FB131" s="250">
        <f>SUM(FB121:FB130)</f>
        <v>0</v>
      </c>
      <c r="FC131" s="221">
        <f t="shared" ref="FC131:HN131" si="789">SUM(FC121:FC130)</f>
        <v>0</v>
      </c>
      <c r="FD131" s="221">
        <f t="shared" si="789"/>
        <v>0</v>
      </c>
      <c r="FE131" s="221">
        <f t="shared" si="789"/>
        <v>0</v>
      </c>
      <c r="FF131" s="221">
        <f t="shared" si="789"/>
        <v>0</v>
      </c>
      <c r="FG131" s="221">
        <f t="shared" si="789"/>
        <v>0</v>
      </c>
      <c r="FH131" s="221">
        <f t="shared" si="789"/>
        <v>0</v>
      </c>
      <c r="FI131" s="221">
        <f t="shared" si="789"/>
        <v>0</v>
      </c>
      <c r="FJ131" s="221">
        <f t="shared" si="789"/>
        <v>0</v>
      </c>
      <c r="FK131" s="221">
        <f t="shared" si="789"/>
        <v>0</v>
      </c>
      <c r="FL131" s="221">
        <f t="shared" si="789"/>
        <v>0</v>
      </c>
      <c r="FM131" s="221">
        <f t="shared" si="789"/>
        <v>5861.8066666666673</v>
      </c>
      <c r="FN131" s="221">
        <f t="shared" si="789"/>
        <v>5861.8066666666673</v>
      </c>
      <c r="FO131" s="221">
        <f t="shared" si="789"/>
        <v>5861.8066666666673</v>
      </c>
      <c r="FP131" s="221">
        <f t="shared" si="789"/>
        <v>5861.8066666666673</v>
      </c>
      <c r="FQ131" s="221">
        <f t="shared" si="789"/>
        <v>5861.8066666666673</v>
      </c>
      <c r="FR131" s="221">
        <f t="shared" si="789"/>
        <v>5861.8066666666673</v>
      </c>
      <c r="FS131" s="221">
        <f t="shared" si="789"/>
        <v>5861.8066666666673</v>
      </c>
      <c r="FT131" s="221">
        <f t="shared" si="789"/>
        <v>5861.8066666666673</v>
      </c>
      <c r="FU131" s="221">
        <f t="shared" si="789"/>
        <v>5861.8066666666673</v>
      </c>
      <c r="FV131" s="221">
        <f t="shared" si="789"/>
        <v>5861.8066666666673</v>
      </c>
      <c r="FW131" s="221">
        <f t="shared" si="789"/>
        <v>5861.8066666666673</v>
      </c>
      <c r="FX131" s="221">
        <f t="shared" si="789"/>
        <v>5861.8066666666673</v>
      </c>
      <c r="FY131" s="221">
        <f t="shared" si="789"/>
        <v>6886.46</v>
      </c>
      <c r="FZ131" s="221">
        <f t="shared" si="789"/>
        <v>6886.46</v>
      </c>
      <c r="GA131" s="221">
        <f t="shared" si="789"/>
        <v>6886.46</v>
      </c>
      <c r="GB131" s="221">
        <f t="shared" si="789"/>
        <v>6886.46</v>
      </c>
      <c r="GC131" s="221">
        <f t="shared" si="789"/>
        <v>6886.46</v>
      </c>
      <c r="GD131" s="221">
        <f t="shared" si="789"/>
        <v>6886.46</v>
      </c>
      <c r="GE131" s="221">
        <f t="shared" si="789"/>
        <v>6886.46</v>
      </c>
      <c r="GF131" s="221">
        <f t="shared" si="789"/>
        <v>6886.46</v>
      </c>
      <c r="GG131" s="221">
        <f t="shared" si="789"/>
        <v>6886.46</v>
      </c>
      <c r="GH131" s="221">
        <f t="shared" si="789"/>
        <v>6886.46</v>
      </c>
      <c r="GI131" s="221">
        <f t="shared" si="789"/>
        <v>6886.46</v>
      </c>
      <c r="GJ131" s="221">
        <f t="shared" si="789"/>
        <v>6886.46</v>
      </c>
      <c r="GK131" s="221">
        <f t="shared" si="789"/>
        <v>7911.1133333333337</v>
      </c>
      <c r="GL131" s="221">
        <f t="shared" si="789"/>
        <v>7911.1133333333337</v>
      </c>
      <c r="GM131" s="221">
        <f t="shared" si="789"/>
        <v>7911.1133333333337</v>
      </c>
      <c r="GN131" s="221">
        <f t="shared" si="789"/>
        <v>7911.1133333333337</v>
      </c>
      <c r="GO131" s="221">
        <f t="shared" si="789"/>
        <v>7911.1133333333337</v>
      </c>
      <c r="GP131" s="221">
        <f t="shared" si="789"/>
        <v>7911.1133333333337</v>
      </c>
      <c r="GQ131" s="221">
        <f t="shared" si="789"/>
        <v>7911.1133333333337</v>
      </c>
      <c r="GR131" s="221">
        <f t="shared" si="789"/>
        <v>7911.1133333333337</v>
      </c>
      <c r="GS131" s="221">
        <f t="shared" si="789"/>
        <v>7911.1133333333337</v>
      </c>
      <c r="GT131" s="221">
        <f t="shared" si="789"/>
        <v>7911.1133333333337</v>
      </c>
      <c r="GU131" s="221">
        <f t="shared" si="789"/>
        <v>7911.1133333333337</v>
      </c>
      <c r="GV131" s="221">
        <f t="shared" si="789"/>
        <v>7911.1133333333337</v>
      </c>
      <c r="GW131" s="221">
        <f t="shared" si="789"/>
        <v>7911.1133333333337</v>
      </c>
      <c r="GX131" s="221">
        <f t="shared" si="789"/>
        <v>7911.1133333333337</v>
      </c>
      <c r="GY131" s="221">
        <f t="shared" si="789"/>
        <v>7911.1133333333337</v>
      </c>
      <c r="GZ131" s="221">
        <f t="shared" si="789"/>
        <v>7911.1133333333337</v>
      </c>
      <c r="HA131" s="221">
        <f t="shared" si="789"/>
        <v>7911.1133333333337</v>
      </c>
      <c r="HB131" s="221">
        <f t="shared" si="789"/>
        <v>7911.1133333333337</v>
      </c>
      <c r="HC131" s="221">
        <f t="shared" si="789"/>
        <v>7911.1133333333337</v>
      </c>
      <c r="HD131" s="221">
        <f t="shared" si="789"/>
        <v>7911.1133333333337</v>
      </c>
      <c r="HE131" s="221">
        <f t="shared" si="789"/>
        <v>7911.1133333333337</v>
      </c>
      <c r="HF131" s="221">
        <f t="shared" si="789"/>
        <v>7911.1133333333337</v>
      </c>
      <c r="HG131" s="221">
        <f t="shared" si="789"/>
        <v>7911.1133333333337</v>
      </c>
      <c r="HH131" s="221">
        <f t="shared" si="789"/>
        <v>7911.1133333333337</v>
      </c>
      <c r="HI131" s="221">
        <f t="shared" si="789"/>
        <v>7911.1133333333337</v>
      </c>
      <c r="HJ131" s="221">
        <f t="shared" si="789"/>
        <v>7911.1133333333337</v>
      </c>
      <c r="HK131" s="221">
        <f t="shared" si="789"/>
        <v>7911.1133333333337</v>
      </c>
      <c r="HL131" s="221">
        <f t="shared" si="789"/>
        <v>7911.1133333333337</v>
      </c>
      <c r="HM131" s="221">
        <f t="shared" si="789"/>
        <v>7911.1133333333337</v>
      </c>
      <c r="HN131" s="221">
        <f t="shared" si="789"/>
        <v>7911.1133333333337</v>
      </c>
      <c r="HO131" s="221">
        <f t="shared" ref="HO131:JZ131" si="790">SUM(HO121:HO130)</f>
        <v>7911.1133333333337</v>
      </c>
      <c r="HP131" s="221">
        <f t="shared" si="790"/>
        <v>7911.1133333333337</v>
      </c>
      <c r="HQ131" s="221">
        <f t="shared" si="790"/>
        <v>7911.1133333333337</v>
      </c>
      <c r="HR131" s="221">
        <f t="shared" si="790"/>
        <v>7911.1133333333337</v>
      </c>
      <c r="HS131" s="221">
        <f t="shared" si="790"/>
        <v>7911.1133333333337</v>
      </c>
      <c r="HT131" s="221">
        <f t="shared" si="790"/>
        <v>7911.1133333333337</v>
      </c>
      <c r="HU131" s="221">
        <f t="shared" si="790"/>
        <v>7911.1133333333337</v>
      </c>
      <c r="HV131" s="221">
        <f t="shared" si="790"/>
        <v>7911.1133333333337</v>
      </c>
      <c r="HW131" s="221">
        <f t="shared" si="790"/>
        <v>7911.1133333333337</v>
      </c>
      <c r="HX131" s="221">
        <f t="shared" si="790"/>
        <v>7911.1133333333337</v>
      </c>
      <c r="HY131" s="221">
        <f t="shared" si="790"/>
        <v>7911.1133333333337</v>
      </c>
      <c r="HZ131" s="221">
        <f t="shared" si="790"/>
        <v>7911.1133333333337</v>
      </c>
      <c r="IA131" s="221">
        <f t="shared" si="790"/>
        <v>7911.1133333333337</v>
      </c>
      <c r="IB131" s="221">
        <f t="shared" si="790"/>
        <v>7911.1133333333337</v>
      </c>
      <c r="IC131" s="221">
        <f t="shared" si="790"/>
        <v>7911.1133333333337</v>
      </c>
      <c r="ID131" s="221">
        <f t="shared" si="790"/>
        <v>7911.1133333333337</v>
      </c>
      <c r="IE131" s="221">
        <f t="shared" si="790"/>
        <v>7911.1133333333337</v>
      </c>
      <c r="IF131" s="221">
        <f t="shared" si="790"/>
        <v>7911.1133333333337</v>
      </c>
      <c r="IG131" s="221">
        <f t="shared" si="790"/>
        <v>7911.1133333333337</v>
      </c>
      <c r="IH131" s="221">
        <f t="shared" si="790"/>
        <v>7911.1133333333337</v>
      </c>
      <c r="II131" s="221">
        <f t="shared" si="790"/>
        <v>7911.1133333333337</v>
      </c>
      <c r="IJ131" s="221">
        <f t="shared" si="790"/>
        <v>7911.1133333333337</v>
      </c>
      <c r="IK131" s="221">
        <f t="shared" si="790"/>
        <v>7911.1133333333337</v>
      </c>
      <c r="IL131" s="221">
        <f t="shared" si="790"/>
        <v>7911.1133333333337</v>
      </c>
      <c r="IM131" s="221">
        <f t="shared" si="790"/>
        <v>7911.1133333333337</v>
      </c>
      <c r="IN131" s="221">
        <f t="shared" si="790"/>
        <v>7911.1133333333337</v>
      </c>
      <c r="IO131" s="221">
        <f t="shared" si="790"/>
        <v>7911.1133333333337</v>
      </c>
      <c r="IP131" s="221">
        <f t="shared" si="790"/>
        <v>7911.1133333333337</v>
      </c>
      <c r="IQ131" s="221">
        <f t="shared" si="790"/>
        <v>7911.1133333333337</v>
      </c>
      <c r="IR131" s="221">
        <f t="shared" si="790"/>
        <v>7911.1133333333337</v>
      </c>
      <c r="IS131" s="221">
        <f t="shared" si="790"/>
        <v>7911.1133333333337</v>
      </c>
      <c r="IT131" s="221">
        <f t="shared" si="790"/>
        <v>7911.1133333333337</v>
      </c>
      <c r="IU131" s="221">
        <f t="shared" si="790"/>
        <v>7911.1133333333337</v>
      </c>
      <c r="IV131" s="221">
        <f t="shared" si="790"/>
        <v>7911.1133333333337</v>
      </c>
      <c r="IW131" s="221">
        <f t="shared" si="790"/>
        <v>7911.1133333333337</v>
      </c>
      <c r="IX131" s="221">
        <f t="shared" si="790"/>
        <v>7911.1133333333337</v>
      </c>
      <c r="IY131" s="221">
        <f t="shared" si="790"/>
        <v>7911.1133333333337</v>
      </c>
      <c r="IZ131" s="221">
        <f t="shared" si="790"/>
        <v>7911.1133333333337</v>
      </c>
      <c r="JA131" s="221">
        <f t="shared" si="790"/>
        <v>7911.1133333333337</v>
      </c>
      <c r="JB131" s="221">
        <f t="shared" si="790"/>
        <v>7911.1133333333337</v>
      </c>
      <c r="JC131" s="221">
        <f t="shared" si="790"/>
        <v>7911.1133333333337</v>
      </c>
      <c r="JD131" s="221">
        <f t="shared" si="790"/>
        <v>7911.1133333333337</v>
      </c>
      <c r="JE131" s="221">
        <f t="shared" si="790"/>
        <v>7911.1133333333337</v>
      </c>
      <c r="JF131" s="221">
        <f t="shared" si="790"/>
        <v>7911.1133333333337</v>
      </c>
      <c r="JG131" s="221">
        <f t="shared" si="790"/>
        <v>7911.1133333333337</v>
      </c>
      <c r="JH131" s="221">
        <f t="shared" si="790"/>
        <v>7911.1133333333337</v>
      </c>
      <c r="JI131" s="221">
        <f t="shared" si="790"/>
        <v>7911.1133333333337</v>
      </c>
      <c r="JJ131" s="221">
        <f t="shared" si="790"/>
        <v>7911.1133333333337</v>
      </c>
      <c r="JK131" s="221">
        <f t="shared" si="790"/>
        <v>7911.1133333333337</v>
      </c>
      <c r="JL131" s="221">
        <f t="shared" si="790"/>
        <v>7911.1133333333337</v>
      </c>
      <c r="JM131" s="221">
        <f t="shared" si="790"/>
        <v>7911.1133333333337</v>
      </c>
      <c r="JN131" s="221">
        <f t="shared" si="790"/>
        <v>7911.1133333333337</v>
      </c>
      <c r="JO131" s="221">
        <f t="shared" si="790"/>
        <v>7911.1133333333337</v>
      </c>
      <c r="JP131" s="221">
        <f t="shared" si="790"/>
        <v>7911.1133333333337</v>
      </c>
      <c r="JQ131" s="221">
        <f t="shared" si="790"/>
        <v>7911.1133333333337</v>
      </c>
      <c r="JR131" s="221">
        <f t="shared" si="790"/>
        <v>7911.1133333333337</v>
      </c>
      <c r="JS131" s="221">
        <f t="shared" si="790"/>
        <v>7911.1133333333337</v>
      </c>
      <c r="JT131" s="221">
        <f t="shared" si="790"/>
        <v>7911.1133333333337</v>
      </c>
      <c r="JU131" s="221">
        <f t="shared" si="790"/>
        <v>7911.1133333333337</v>
      </c>
      <c r="JV131" s="221">
        <f t="shared" si="790"/>
        <v>7911.1133333333337</v>
      </c>
      <c r="JW131" s="221">
        <f t="shared" si="790"/>
        <v>7911.1133333333337</v>
      </c>
      <c r="JX131" s="221">
        <f t="shared" si="790"/>
        <v>7911.1133333333337</v>
      </c>
      <c r="JY131" s="221">
        <f t="shared" si="790"/>
        <v>7911.1133333333337</v>
      </c>
      <c r="JZ131" s="221">
        <f t="shared" si="790"/>
        <v>7911.1133333333337</v>
      </c>
      <c r="KA131" s="221">
        <f>SUM(KA121:KA130)</f>
        <v>7911.1133333333337</v>
      </c>
      <c r="KB131" s="221">
        <f>SUM(KB121:KB130)</f>
        <v>7911.1133333333337</v>
      </c>
      <c r="KC131" s="221">
        <f>SUM(KC121:KC130)</f>
        <v>7911.1133333333337</v>
      </c>
    </row>
    <row r="132" spans="2:289" ht="4.9000000000000004" customHeight="1" x14ac:dyDescent="0.25">
      <c r="B132" s="180"/>
      <c r="C132" s="196"/>
      <c r="D132" s="196"/>
      <c r="E132" s="196"/>
      <c r="F132" s="196"/>
      <c r="G132" s="272"/>
      <c r="H132" s="218"/>
      <c r="I132" s="218"/>
      <c r="R132" s="220"/>
      <c r="S132" s="220"/>
      <c r="T132" s="220"/>
      <c r="U132" s="220"/>
      <c r="V132" s="220"/>
      <c r="W132" s="220"/>
      <c r="X132" s="220"/>
      <c r="Y132" s="220"/>
      <c r="Z132" s="220"/>
      <c r="AA132" s="220"/>
      <c r="AB132" s="220"/>
      <c r="AC132" s="220"/>
      <c r="AD132" s="220"/>
      <c r="AE132" s="220"/>
      <c r="AF132" s="220"/>
      <c r="AG132" s="220"/>
      <c r="AH132" s="220"/>
      <c r="AI132" s="220"/>
      <c r="AJ132" s="220"/>
      <c r="AK132" s="220"/>
      <c r="AL132" s="220"/>
      <c r="AM132" s="220"/>
      <c r="AN132" s="220"/>
      <c r="AO132" s="220"/>
      <c r="AP132" s="220"/>
      <c r="AQ132" s="220"/>
      <c r="AR132" s="220"/>
      <c r="AS132" s="220"/>
      <c r="AT132" s="220"/>
      <c r="AU132" s="220"/>
      <c r="AV132" s="220"/>
      <c r="AW132" s="220"/>
      <c r="AX132" s="220"/>
      <c r="AY132" s="220"/>
      <c r="AZ132" s="220"/>
      <c r="BA132" s="220"/>
      <c r="BB132" s="220"/>
      <c r="BC132" s="220"/>
      <c r="BD132" s="220"/>
      <c r="BE132" s="220"/>
      <c r="BF132" s="220"/>
      <c r="BG132" s="220"/>
      <c r="BH132" s="220"/>
      <c r="BI132" s="220"/>
      <c r="BJ132" s="220"/>
      <c r="BK132" s="220"/>
      <c r="BL132" s="220"/>
      <c r="BM132" s="220"/>
      <c r="BN132" s="220"/>
      <c r="BO132" s="220"/>
      <c r="BP132" s="220"/>
      <c r="BQ132" s="220"/>
      <c r="BR132" s="220"/>
      <c r="BS132" s="220"/>
      <c r="BT132" s="220"/>
      <c r="BU132" s="220"/>
      <c r="BV132" s="220"/>
      <c r="BW132" s="220"/>
      <c r="BX132" s="220"/>
      <c r="BY132" s="220"/>
      <c r="BZ132" s="220"/>
      <c r="CA132" s="220"/>
      <c r="CB132" s="220"/>
      <c r="CC132" s="220"/>
      <c r="CD132" s="220"/>
      <c r="CE132" s="220"/>
      <c r="CF132" s="220"/>
      <c r="CG132" s="220"/>
      <c r="CH132" s="220"/>
      <c r="CI132" s="220"/>
      <c r="CJ132" s="220"/>
      <c r="CK132" s="220"/>
      <c r="CL132" s="220"/>
      <c r="CM132" s="220"/>
      <c r="CN132" s="220"/>
      <c r="CO132" s="220"/>
      <c r="CP132" s="220"/>
      <c r="CQ132" s="220"/>
      <c r="CR132" s="220"/>
      <c r="CS132" s="220"/>
      <c r="CT132" s="220"/>
      <c r="CU132" s="220"/>
      <c r="CV132" s="220"/>
      <c r="CW132" s="220"/>
      <c r="CX132" s="220"/>
      <c r="CY132" s="220"/>
      <c r="CZ132" s="220"/>
      <c r="DA132" s="220"/>
      <c r="DB132" s="220"/>
      <c r="DC132" s="220"/>
      <c r="DD132" s="220"/>
      <c r="DE132" s="220"/>
      <c r="DF132" s="220"/>
      <c r="DG132" s="220"/>
      <c r="DH132" s="220"/>
      <c r="DI132" s="220"/>
      <c r="DJ132" s="220"/>
      <c r="DK132" s="220"/>
      <c r="DL132" s="220"/>
      <c r="DM132" s="220"/>
      <c r="DN132" s="220"/>
      <c r="DO132" s="220"/>
      <c r="DP132" s="220"/>
      <c r="DQ132" s="220"/>
      <c r="DR132" s="220"/>
      <c r="DS132" s="220"/>
      <c r="DT132" s="220"/>
      <c r="DU132" s="220"/>
      <c r="DV132" s="220"/>
      <c r="DW132" s="220"/>
      <c r="DX132" s="220"/>
      <c r="DY132" s="220"/>
      <c r="DZ132" s="220"/>
      <c r="EA132" s="220"/>
      <c r="EB132" s="220"/>
      <c r="EC132" s="220"/>
      <c r="ED132" s="220"/>
      <c r="EE132" s="220"/>
      <c r="EF132" s="220"/>
      <c r="EG132" s="220"/>
      <c r="EH132" s="220"/>
      <c r="EI132" s="220"/>
      <c r="EJ132" s="220"/>
      <c r="EK132" s="220"/>
      <c r="EL132" s="220"/>
      <c r="EM132" s="220"/>
      <c r="EN132" s="220"/>
      <c r="EO132" s="220"/>
      <c r="EP132" s="220"/>
      <c r="EQ132" s="220"/>
      <c r="ER132" s="220"/>
      <c r="ES132" s="220"/>
      <c r="EU132" s="153"/>
      <c r="EV132" s="153"/>
      <c r="EW132" s="153"/>
      <c r="EX132" s="153"/>
      <c r="EY132" s="153"/>
      <c r="EZ132" s="154"/>
      <c r="FA132" s="153"/>
      <c r="FB132" s="250"/>
      <c r="FC132" s="221"/>
      <c r="FD132" s="221"/>
      <c r="FE132" s="221"/>
      <c r="FF132" s="221"/>
      <c r="FG132" s="221"/>
      <c r="FH132" s="221"/>
      <c r="FI132" s="221"/>
      <c r="FJ132" s="221"/>
      <c r="FK132" s="221"/>
      <c r="FL132" s="221"/>
      <c r="FM132" s="221"/>
      <c r="FN132" s="221"/>
      <c r="FO132" s="221"/>
      <c r="FP132" s="221"/>
      <c r="FQ132" s="221"/>
      <c r="FR132" s="221"/>
      <c r="FS132" s="221"/>
      <c r="FT132" s="221"/>
      <c r="FU132" s="221"/>
      <c r="FV132" s="221"/>
      <c r="FW132" s="221"/>
      <c r="FX132" s="221"/>
      <c r="FY132" s="221"/>
      <c r="FZ132" s="221"/>
      <c r="GA132" s="221"/>
      <c r="GB132" s="221"/>
      <c r="GC132" s="221"/>
      <c r="GD132" s="221"/>
      <c r="GE132" s="221"/>
      <c r="GF132" s="221"/>
      <c r="GG132" s="221"/>
      <c r="GH132" s="221"/>
      <c r="GI132" s="221"/>
      <c r="GJ132" s="221"/>
      <c r="GK132" s="221"/>
      <c r="GL132" s="221"/>
      <c r="GM132" s="221"/>
      <c r="GN132" s="221"/>
      <c r="GO132" s="221"/>
      <c r="GP132" s="221"/>
      <c r="GQ132" s="221"/>
      <c r="GR132" s="221"/>
      <c r="GS132" s="221"/>
      <c r="GT132" s="221"/>
      <c r="GU132" s="221"/>
      <c r="GV132" s="221"/>
      <c r="GW132" s="221"/>
      <c r="GX132" s="221"/>
      <c r="GY132" s="221"/>
      <c r="GZ132" s="221"/>
      <c r="HA132" s="221"/>
      <c r="HB132" s="221"/>
      <c r="HC132" s="221"/>
      <c r="HD132" s="221"/>
      <c r="HE132" s="221"/>
      <c r="HF132" s="221"/>
      <c r="HG132" s="221"/>
      <c r="HH132" s="221"/>
      <c r="HI132" s="221"/>
      <c r="HJ132" s="221"/>
      <c r="HK132" s="221"/>
      <c r="HL132" s="221"/>
      <c r="HM132" s="221"/>
      <c r="HN132" s="221"/>
      <c r="HO132" s="221"/>
      <c r="HP132" s="221"/>
      <c r="HQ132" s="221"/>
      <c r="HR132" s="221"/>
      <c r="HS132" s="221"/>
      <c r="HT132" s="221"/>
      <c r="HU132" s="221"/>
      <c r="HV132" s="221"/>
      <c r="HW132" s="221"/>
      <c r="HX132" s="221"/>
      <c r="HY132" s="221"/>
      <c r="HZ132" s="221"/>
      <c r="IA132" s="221"/>
      <c r="IB132" s="221"/>
      <c r="IC132" s="221"/>
      <c r="ID132" s="221"/>
      <c r="IE132" s="221"/>
      <c r="IF132" s="221"/>
      <c r="IG132" s="221"/>
      <c r="IH132" s="221"/>
      <c r="II132" s="221"/>
      <c r="IJ132" s="221"/>
      <c r="IK132" s="221"/>
      <c r="IL132" s="221"/>
      <c r="IM132" s="221"/>
      <c r="IN132" s="221"/>
      <c r="IO132" s="221"/>
      <c r="IP132" s="221"/>
      <c r="IQ132" s="221"/>
      <c r="IR132" s="221"/>
      <c r="IS132" s="221"/>
      <c r="IT132" s="221"/>
      <c r="IU132" s="221"/>
      <c r="IV132" s="221"/>
      <c r="IW132" s="221"/>
      <c r="IX132" s="221"/>
      <c r="IY132" s="221"/>
      <c r="IZ132" s="221"/>
      <c r="JA132" s="221"/>
      <c r="JB132" s="221"/>
      <c r="JC132" s="221"/>
      <c r="JD132" s="221"/>
      <c r="JE132" s="221"/>
      <c r="JF132" s="221"/>
      <c r="JG132" s="221"/>
      <c r="JH132" s="221"/>
      <c r="JI132" s="221"/>
      <c r="JJ132" s="221"/>
      <c r="JK132" s="221"/>
      <c r="JL132" s="221"/>
      <c r="JM132" s="221"/>
      <c r="JN132" s="221"/>
      <c r="JO132" s="221"/>
      <c r="JP132" s="221"/>
      <c r="JQ132" s="221"/>
      <c r="JR132" s="221"/>
      <c r="JS132" s="221"/>
      <c r="JT132" s="221"/>
      <c r="JU132" s="221"/>
      <c r="JV132" s="221"/>
      <c r="JW132" s="221"/>
      <c r="JX132" s="221"/>
      <c r="JY132" s="221"/>
      <c r="JZ132" s="221"/>
      <c r="KA132" s="221"/>
      <c r="KB132" s="221"/>
      <c r="KC132" s="221"/>
    </row>
    <row r="133" spans="2:289" x14ac:dyDescent="0.25">
      <c r="B133" s="293" t="s">
        <v>154</v>
      </c>
      <c r="C133" s="294"/>
      <c r="D133" s="294"/>
      <c r="E133" s="294"/>
      <c r="F133" s="294"/>
      <c r="G133" s="363"/>
      <c r="H133" s="297"/>
      <c r="I133" s="297">
        <f>+I114-I131</f>
        <v>229048.64</v>
      </c>
      <c r="J133" s="264"/>
      <c r="K133" s="264"/>
      <c r="L133" s="264"/>
      <c r="M133" s="264"/>
      <c r="N133" s="264"/>
      <c r="O133" s="264"/>
      <c r="P133" s="264" t="s">
        <v>417</v>
      </c>
      <c r="Q133" s="264"/>
      <c r="R133" s="265">
        <f ca="1">+R114-R131</f>
        <v>0</v>
      </c>
      <c r="S133" s="265">
        <f t="shared" ref="S133:CD133" ca="1" si="791">+S114-S131</f>
        <v>0</v>
      </c>
      <c r="T133" s="265">
        <f t="shared" ca="1" si="791"/>
        <v>0</v>
      </c>
      <c r="U133" s="265">
        <f t="shared" ca="1" si="791"/>
        <v>0</v>
      </c>
      <c r="V133" s="265">
        <f t="shared" ca="1" si="791"/>
        <v>0</v>
      </c>
      <c r="W133" s="265">
        <f t="shared" ca="1" si="791"/>
        <v>0</v>
      </c>
      <c r="X133" s="265">
        <f t="shared" ca="1" si="791"/>
        <v>0</v>
      </c>
      <c r="Y133" s="265">
        <f t="shared" ca="1" si="791"/>
        <v>0</v>
      </c>
      <c r="Z133" s="265">
        <f t="shared" ca="1" si="791"/>
        <v>0</v>
      </c>
      <c r="AA133" s="265">
        <f t="shared" ca="1" si="791"/>
        <v>0</v>
      </c>
      <c r="AB133" s="265">
        <f t="shared" ca="1" si="791"/>
        <v>0</v>
      </c>
      <c r="AC133" s="265">
        <f t="shared" ca="1" si="791"/>
        <v>887.8183333333327</v>
      </c>
      <c r="AD133" s="265">
        <f t="shared" ca="1" si="791"/>
        <v>11012.255833333333</v>
      </c>
      <c r="AE133" s="265">
        <f t="shared" ca="1" si="791"/>
        <v>21136.693333333333</v>
      </c>
      <c r="AF133" s="265">
        <f t="shared" ca="1" si="791"/>
        <v>21136.693333333333</v>
      </c>
      <c r="AG133" s="265">
        <f t="shared" ca="1" si="791"/>
        <v>21136.693333333333</v>
      </c>
      <c r="AH133" s="265">
        <f t="shared" ca="1" si="791"/>
        <v>21136.693333333333</v>
      </c>
      <c r="AI133" s="265">
        <f t="shared" ca="1" si="791"/>
        <v>21136.693333333333</v>
      </c>
      <c r="AJ133" s="265">
        <f t="shared" ca="1" si="791"/>
        <v>21136.693333333333</v>
      </c>
      <c r="AK133" s="265">
        <f t="shared" ca="1" si="791"/>
        <v>21136.693333333333</v>
      </c>
      <c r="AL133" s="265">
        <f t="shared" ca="1" si="791"/>
        <v>21136.693333333333</v>
      </c>
      <c r="AM133" s="265">
        <f t="shared" ca="1" si="791"/>
        <v>21136.693333333333</v>
      </c>
      <c r="AN133" s="265">
        <f t="shared" ca="1" si="791"/>
        <v>21136.693333333333</v>
      </c>
      <c r="AO133" s="265">
        <f t="shared" ca="1" si="791"/>
        <v>20171.330799999996</v>
      </c>
      <c r="AP133" s="265">
        <f t="shared" ca="1" si="791"/>
        <v>20479.985800000002</v>
      </c>
      <c r="AQ133" s="265">
        <f t="shared" ca="1" si="791"/>
        <v>20788.640800000001</v>
      </c>
      <c r="AR133" s="265">
        <f t="shared" ca="1" si="791"/>
        <v>20788.640800000001</v>
      </c>
      <c r="AS133" s="265">
        <f t="shared" ca="1" si="791"/>
        <v>20788.640800000001</v>
      </c>
      <c r="AT133" s="265">
        <f t="shared" ca="1" si="791"/>
        <v>20788.640800000001</v>
      </c>
      <c r="AU133" s="265">
        <f t="shared" ca="1" si="791"/>
        <v>20788.640800000001</v>
      </c>
      <c r="AV133" s="265">
        <f t="shared" ca="1" si="791"/>
        <v>20788.640800000001</v>
      </c>
      <c r="AW133" s="265">
        <f t="shared" ca="1" si="791"/>
        <v>20788.640800000001</v>
      </c>
      <c r="AX133" s="265">
        <f t="shared" ca="1" si="791"/>
        <v>20788.640800000001</v>
      </c>
      <c r="AY133" s="265">
        <f t="shared" ca="1" si="791"/>
        <v>20788.640800000001</v>
      </c>
      <c r="AZ133" s="265">
        <f t="shared" ca="1" si="791"/>
        <v>20788.640800000001</v>
      </c>
      <c r="BA133" s="265">
        <f t="shared" ca="1" si="791"/>
        <v>19785.125787999998</v>
      </c>
      <c r="BB133" s="265">
        <f t="shared" ca="1" si="791"/>
        <v>20103.040437999996</v>
      </c>
      <c r="BC133" s="265">
        <f t="shared" ca="1" si="791"/>
        <v>20420.955088000002</v>
      </c>
      <c r="BD133" s="265">
        <f t="shared" ca="1" si="791"/>
        <v>20420.955088000002</v>
      </c>
      <c r="BE133" s="265">
        <f t="shared" ca="1" si="791"/>
        <v>20420.955088000002</v>
      </c>
      <c r="BF133" s="265">
        <f t="shared" ca="1" si="791"/>
        <v>20420.955088000002</v>
      </c>
      <c r="BG133" s="265">
        <f t="shared" ca="1" si="791"/>
        <v>20420.955088000002</v>
      </c>
      <c r="BH133" s="265">
        <f t="shared" ca="1" si="791"/>
        <v>20420.955088000002</v>
      </c>
      <c r="BI133" s="265">
        <f t="shared" ca="1" si="791"/>
        <v>20420.955088000002</v>
      </c>
      <c r="BJ133" s="265">
        <f t="shared" ca="1" si="791"/>
        <v>20420.955088000002</v>
      </c>
      <c r="BK133" s="265">
        <f t="shared" ca="1" si="791"/>
        <v>20420.955088000002</v>
      </c>
      <c r="BL133" s="265">
        <f t="shared" ca="1" si="791"/>
        <v>20420.955088000002</v>
      </c>
      <c r="BM133" s="265">
        <f t="shared" ca="1" si="791"/>
        <v>20465.538534760006</v>
      </c>
      <c r="BN133" s="265">
        <f t="shared" ca="1" si="791"/>
        <v>20792.990624260005</v>
      </c>
      <c r="BO133" s="265">
        <f t="shared" ca="1" si="791"/>
        <v>21120.442713760003</v>
      </c>
      <c r="BP133" s="265">
        <f t="shared" ca="1" si="791"/>
        <v>21120.442713760003</v>
      </c>
      <c r="BQ133" s="265">
        <f t="shared" ca="1" si="791"/>
        <v>21120.442713760003</v>
      </c>
      <c r="BR133" s="265">
        <f t="shared" ca="1" si="791"/>
        <v>21120.442713760003</v>
      </c>
      <c r="BS133" s="265">
        <f t="shared" ca="1" si="791"/>
        <v>21120.442713760003</v>
      </c>
      <c r="BT133" s="265">
        <f t="shared" ca="1" si="791"/>
        <v>21120.442713760003</v>
      </c>
      <c r="BU133" s="265">
        <f t="shared" ca="1" si="791"/>
        <v>21120.442713760003</v>
      </c>
      <c r="BV133" s="265">
        <f t="shared" ca="1" si="791"/>
        <v>21120.442713760003</v>
      </c>
      <c r="BW133" s="265">
        <f t="shared" ca="1" si="791"/>
        <v>21120.442713760003</v>
      </c>
      <c r="BX133" s="265">
        <f t="shared" ca="1" si="791"/>
        <v>21120.442713760003</v>
      </c>
      <c r="BY133" s="265">
        <f t="shared" ca="1" si="791"/>
        <v>21168.100843385193</v>
      </c>
      <c r="BZ133" s="265">
        <f t="shared" ca="1" si="791"/>
        <v>21505.376495570199</v>
      </c>
      <c r="CA133" s="265">
        <f t="shared" ca="1" si="791"/>
        <v>21842.652147755198</v>
      </c>
      <c r="CB133" s="265">
        <f t="shared" ca="1" si="791"/>
        <v>21842.652147755198</v>
      </c>
      <c r="CC133" s="265">
        <f t="shared" ca="1" si="791"/>
        <v>21842.652147755198</v>
      </c>
      <c r="CD133" s="265">
        <f t="shared" ca="1" si="791"/>
        <v>21842.652147755198</v>
      </c>
      <c r="CE133" s="265">
        <f t="shared" ref="CE133:EP133" ca="1" si="792">+CE114-CE131</f>
        <v>21842.652147755198</v>
      </c>
      <c r="CF133" s="265">
        <f t="shared" ca="1" si="792"/>
        <v>21842.652147755198</v>
      </c>
      <c r="CG133" s="265">
        <f t="shared" ca="1" si="792"/>
        <v>21842.652147755198</v>
      </c>
      <c r="CH133" s="265">
        <f t="shared" ca="1" si="792"/>
        <v>21842.652147755198</v>
      </c>
      <c r="CI133" s="265">
        <f t="shared" ca="1" si="792"/>
        <v>21842.652147755198</v>
      </c>
      <c r="CJ133" s="265">
        <f t="shared" ca="1" si="792"/>
        <v>21842.652147755198</v>
      </c>
      <c r="CK133" s="265">
        <f t="shared" ca="1" si="792"/>
        <v>21893.511944320802</v>
      </c>
      <c r="CL133" s="265">
        <f t="shared" ca="1" si="792"/>
        <v>22240.905866071353</v>
      </c>
      <c r="CM133" s="265">
        <f t="shared" ca="1" si="792"/>
        <v>22588.299787821896</v>
      </c>
      <c r="CN133" s="265">
        <f t="shared" ca="1" si="792"/>
        <v>22588.299787821896</v>
      </c>
      <c r="CO133" s="265">
        <f t="shared" ca="1" si="792"/>
        <v>22588.299787821896</v>
      </c>
      <c r="CP133" s="265">
        <f t="shared" ca="1" si="792"/>
        <v>22588.299787821896</v>
      </c>
      <c r="CQ133" s="265">
        <f t="shared" ca="1" si="792"/>
        <v>22588.299787821896</v>
      </c>
      <c r="CR133" s="265">
        <f t="shared" ca="1" si="792"/>
        <v>22588.299787821896</v>
      </c>
      <c r="CS133" s="265">
        <f t="shared" ca="1" si="792"/>
        <v>22588.299787821896</v>
      </c>
      <c r="CT133" s="265">
        <f t="shared" ca="1" si="792"/>
        <v>22588.299787821896</v>
      </c>
      <c r="CU133" s="265">
        <f t="shared" ca="1" si="792"/>
        <v>22588.299787821896</v>
      </c>
      <c r="CV133" s="265">
        <f t="shared" ca="1" si="792"/>
        <v>22588.299787821896</v>
      </c>
      <c r="CW133" s="265">
        <f t="shared" ca="1" si="792"/>
        <v>22642.492739797155</v>
      </c>
      <c r="CX133" s="265">
        <f t="shared" ca="1" si="792"/>
        <v>23000.308479200226</v>
      </c>
      <c r="CY133" s="265">
        <f t="shared" ca="1" si="792"/>
        <v>23358.124218603287</v>
      </c>
      <c r="CZ133" s="265">
        <f t="shared" ca="1" si="792"/>
        <v>23358.124218603287</v>
      </c>
      <c r="DA133" s="265">
        <f t="shared" ca="1" si="792"/>
        <v>23358.124218603287</v>
      </c>
      <c r="DB133" s="265">
        <f t="shared" ca="1" si="792"/>
        <v>23358.124218603287</v>
      </c>
      <c r="DC133" s="265">
        <f t="shared" ca="1" si="792"/>
        <v>23358.124218603287</v>
      </c>
      <c r="DD133" s="265">
        <f t="shared" ca="1" si="792"/>
        <v>23358.124218603287</v>
      </c>
      <c r="DE133" s="265">
        <f t="shared" ca="1" si="792"/>
        <v>23358.124218603287</v>
      </c>
      <c r="DF133" s="265">
        <f t="shared" ca="1" si="792"/>
        <v>23358.124218603287</v>
      </c>
      <c r="DG133" s="265">
        <f t="shared" ca="1" si="792"/>
        <v>23358.124218603287</v>
      </c>
      <c r="DH133" s="265">
        <f t="shared" ca="1" si="792"/>
        <v>23358.124218603287</v>
      </c>
      <c r="DI133" s="265">
        <f t="shared" ca="1" si="792"/>
        <v>23415.786467880735</v>
      </c>
      <c r="DJ133" s="265">
        <f t="shared" ca="1" si="792"/>
        <v>23784.336679465901</v>
      </c>
      <c r="DK133" s="265">
        <f t="shared" ca="1" si="792"/>
        <v>24152.886891051057</v>
      </c>
      <c r="DL133" s="265">
        <f t="shared" ca="1" si="792"/>
        <v>24152.886891051057</v>
      </c>
      <c r="DM133" s="265">
        <f t="shared" ca="1" si="792"/>
        <v>24152.886891051057</v>
      </c>
      <c r="DN133" s="265">
        <f t="shared" ca="1" si="792"/>
        <v>24152.886891051057</v>
      </c>
      <c r="DO133" s="265">
        <f t="shared" ca="1" si="792"/>
        <v>24152.886891051057</v>
      </c>
      <c r="DP133" s="265">
        <f t="shared" ca="1" si="792"/>
        <v>24152.886891051057</v>
      </c>
      <c r="DQ133" s="265">
        <f t="shared" ca="1" si="792"/>
        <v>24152.886891051057</v>
      </c>
      <c r="DR133" s="265">
        <f t="shared" ca="1" si="792"/>
        <v>24152.886891051057</v>
      </c>
      <c r="DS133" s="265">
        <f t="shared" ca="1" si="792"/>
        <v>24152.886891051057</v>
      </c>
      <c r="DT133" s="265">
        <f t="shared" ca="1" si="792"/>
        <v>24152.886891051057</v>
      </c>
      <c r="DU133" s="265">
        <f t="shared" ca="1" si="792"/>
        <v>24214.159386724623</v>
      </c>
      <c r="DV133" s="265">
        <f t="shared" ca="1" si="792"/>
        <v>24593.766104657327</v>
      </c>
      <c r="DW133" s="265">
        <f t="shared" ca="1" si="792"/>
        <v>24973.372822590041</v>
      </c>
      <c r="DX133" s="265">
        <f t="shared" ca="1" si="792"/>
        <v>24973.372822590041</v>
      </c>
      <c r="DY133" s="265">
        <f t="shared" ca="1" si="792"/>
        <v>24973.372822590041</v>
      </c>
      <c r="DZ133" s="265">
        <f t="shared" ca="1" si="792"/>
        <v>24973.372822590041</v>
      </c>
      <c r="EA133" s="265">
        <f t="shared" ca="1" si="792"/>
        <v>24973.372822590041</v>
      </c>
      <c r="EB133" s="265">
        <f t="shared" ca="1" si="792"/>
        <v>24973.372822590041</v>
      </c>
      <c r="EC133" s="265">
        <f t="shared" ca="1" si="792"/>
        <v>24973.372822590041</v>
      </c>
      <c r="ED133" s="265">
        <f t="shared" ca="1" si="792"/>
        <v>24973.372822590041</v>
      </c>
      <c r="EE133" s="265">
        <f t="shared" ca="1" si="792"/>
        <v>24973.372822590041</v>
      </c>
      <c r="EF133" s="265">
        <f t="shared" ca="1" si="792"/>
        <v>24973.372822590041</v>
      </c>
      <c r="EG133" s="265">
        <f t="shared" ca="1" si="792"/>
        <v>25038.401479629945</v>
      </c>
      <c r="EH133" s="265">
        <f t="shared" ca="1" si="792"/>
        <v>25429.396399100649</v>
      </c>
      <c r="EI133" s="265">
        <f t="shared" ca="1" si="792"/>
        <v>25820.391318571339</v>
      </c>
      <c r="EJ133" s="265">
        <f t="shared" ca="1" si="792"/>
        <v>25820.391318571339</v>
      </c>
      <c r="EK133" s="265">
        <f t="shared" ca="1" si="792"/>
        <v>25820.391318571339</v>
      </c>
      <c r="EL133" s="265">
        <f t="shared" ca="1" si="792"/>
        <v>25820.391318571339</v>
      </c>
      <c r="EM133" s="265">
        <f t="shared" ca="1" si="792"/>
        <v>25820.391318571339</v>
      </c>
      <c r="EN133" s="265">
        <f t="shared" ca="1" si="792"/>
        <v>25820.391318571339</v>
      </c>
      <c r="EO133" s="265">
        <f t="shared" ca="1" si="792"/>
        <v>25820.391318571339</v>
      </c>
      <c r="EP133" s="265">
        <f t="shared" ca="1" si="792"/>
        <v>25820.391318571339</v>
      </c>
      <c r="EQ133" s="265">
        <f ca="1">+EQ114-EQ131</f>
        <v>25820.391318571339</v>
      </c>
      <c r="ER133" s="265">
        <f ca="1">+ER114-ER131</f>
        <v>25820.391318571339</v>
      </c>
      <c r="ES133" s="265">
        <f ca="1">+ES114-ES131</f>
        <v>25889.327181548531</v>
      </c>
      <c r="EU133" s="153"/>
      <c r="EV133" s="153"/>
      <c r="EW133" s="153"/>
      <c r="EX133" s="153"/>
      <c r="EY133" s="153"/>
      <c r="EZ133" s="154"/>
      <c r="FA133" s="153"/>
      <c r="FB133" s="250"/>
      <c r="FC133" s="221"/>
      <c r="FD133" s="221"/>
      <c r="FE133" s="221"/>
      <c r="FF133" s="221"/>
      <c r="FG133" s="221"/>
      <c r="FH133" s="221"/>
      <c r="FI133" s="221"/>
      <c r="FJ133" s="221"/>
      <c r="FK133" s="221"/>
      <c r="FL133" s="221"/>
      <c r="FM133" s="221"/>
      <c r="FN133" s="221"/>
      <c r="FO133" s="221"/>
      <c r="FP133" s="221"/>
      <c r="FQ133" s="221"/>
      <c r="FR133" s="221"/>
      <c r="FS133" s="221"/>
      <c r="FT133" s="221"/>
      <c r="FU133" s="221"/>
      <c r="FV133" s="221"/>
      <c r="FW133" s="221"/>
      <c r="FX133" s="221"/>
      <c r="FY133" s="221"/>
      <c r="FZ133" s="221"/>
      <c r="GA133" s="221"/>
      <c r="GB133" s="221"/>
      <c r="GC133" s="221"/>
      <c r="GD133" s="221"/>
      <c r="GE133" s="221"/>
      <c r="GF133" s="221"/>
      <c r="GG133" s="221"/>
      <c r="GH133" s="221"/>
      <c r="GI133" s="221"/>
      <c r="GJ133" s="221"/>
      <c r="GK133" s="221"/>
      <c r="GL133" s="221"/>
      <c r="GM133" s="221"/>
      <c r="GN133" s="221"/>
      <c r="GO133" s="221"/>
      <c r="GP133" s="221"/>
      <c r="GQ133" s="221"/>
      <c r="GR133" s="221"/>
      <c r="GS133" s="221"/>
      <c r="GT133" s="221"/>
      <c r="GU133" s="221"/>
      <c r="GV133" s="221"/>
      <c r="GW133" s="221"/>
      <c r="GX133" s="221"/>
      <c r="GY133" s="221"/>
      <c r="GZ133" s="221"/>
      <c r="HA133" s="221"/>
      <c r="HB133" s="221"/>
      <c r="HC133" s="221"/>
      <c r="HD133" s="221"/>
      <c r="HE133" s="221"/>
      <c r="HF133" s="221"/>
      <c r="HG133" s="221"/>
      <c r="HH133" s="221"/>
      <c r="HI133" s="221"/>
      <c r="HJ133" s="221"/>
      <c r="HK133" s="221"/>
      <c r="HL133" s="221"/>
      <c r="HM133" s="221"/>
      <c r="HN133" s="221"/>
      <c r="HO133" s="221"/>
      <c r="HP133" s="221"/>
      <c r="HQ133" s="221"/>
      <c r="HR133" s="221"/>
      <c r="HS133" s="221"/>
      <c r="HT133" s="221"/>
      <c r="HU133" s="221"/>
      <c r="HV133" s="221"/>
      <c r="HW133" s="221"/>
      <c r="HX133" s="221"/>
      <c r="HY133" s="221"/>
      <c r="HZ133" s="221"/>
      <c r="IA133" s="221"/>
      <c r="IB133" s="221"/>
      <c r="IC133" s="221"/>
      <c r="ID133" s="221"/>
      <c r="IE133" s="221"/>
      <c r="IF133" s="221"/>
      <c r="IG133" s="221"/>
      <c r="IH133" s="221"/>
      <c r="II133" s="221"/>
      <c r="IJ133" s="221"/>
      <c r="IK133" s="221"/>
      <c r="IL133" s="221"/>
      <c r="IM133" s="221"/>
      <c r="IN133" s="221"/>
      <c r="IO133" s="221"/>
      <c r="IP133" s="221"/>
      <c r="IQ133" s="221"/>
      <c r="IR133" s="221"/>
      <c r="IS133" s="221"/>
      <c r="IT133" s="221"/>
      <c r="IU133" s="221"/>
      <c r="IV133" s="221"/>
      <c r="IW133" s="221"/>
      <c r="IX133" s="221"/>
      <c r="IY133" s="221"/>
      <c r="IZ133" s="221"/>
      <c r="JA133" s="221"/>
      <c r="JB133" s="221"/>
      <c r="JC133" s="221"/>
      <c r="JD133" s="221"/>
      <c r="JE133" s="221"/>
      <c r="JF133" s="221"/>
      <c r="JG133" s="221"/>
      <c r="JH133" s="221"/>
      <c r="JI133" s="221"/>
      <c r="JJ133" s="221"/>
      <c r="JK133" s="221"/>
      <c r="JL133" s="221"/>
      <c r="JM133" s="221"/>
      <c r="JN133" s="221"/>
      <c r="JO133" s="221"/>
      <c r="JP133" s="221"/>
      <c r="JQ133" s="221"/>
      <c r="JR133" s="221"/>
      <c r="JS133" s="221"/>
      <c r="JT133" s="221"/>
      <c r="JU133" s="221"/>
      <c r="JV133" s="221"/>
      <c r="JW133" s="221"/>
      <c r="JX133" s="221"/>
      <c r="JY133" s="221"/>
      <c r="JZ133" s="221"/>
      <c r="KA133" s="221"/>
      <c r="KB133" s="221"/>
      <c r="KC133" s="221"/>
    </row>
    <row r="134" spans="2:289" ht="4.9000000000000004" customHeight="1" x14ac:dyDescent="0.25">
      <c r="B134" s="180"/>
      <c r="C134" s="196"/>
      <c r="D134" s="196"/>
      <c r="E134" s="196"/>
      <c r="F134" s="196"/>
      <c r="G134" s="272"/>
      <c r="H134" s="218"/>
      <c r="I134" s="218"/>
      <c r="R134" s="220"/>
      <c r="S134" s="220"/>
      <c r="T134" s="220"/>
      <c r="U134" s="220"/>
      <c r="V134" s="220"/>
      <c r="W134" s="220"/>
      <c r="X134" s="220"/>
      <c r="Y134" s="220"/>
      <c r="Z134" s="220"/>
      <c r="AA134" s="220"/>
      <c r="AB134" s="220"/>
      <c r="AC134" s="220"/>
      <c r="AD134" s="220"/>
      <c r="AE134" s="220"/>
      <c r="AF134" s="220"/>
      <c r="AG134" s="220"/>
      <c r="AH134" s="220"/>
      <c r="AI134" s="220"/>
      <c r="AJ134" s="220"/>
      <c r="AK134" s="220"/>
      <c r="AL134" s="220"/>
      <c r="AM134" s="220"/>
      <c r="AN134" s="220"/>
      <c r="AO134" s="220"/>
      <c r="AP134" s="220"/>
      <c r="AQ134" s="220"/>
      <c r="AR134" s="220"/>
      <c r="AS134" s="220"/>
      <c r="AT134" s="220"/>
      <c r="AU134" s="220"/>
      <c r="AV134" s="220"/>
      <c r="AW134" s="220"/>
      <c r="AX134" s="220"/>
      <c r="AY134" s="220"/>
      <c r="AZ134" s="220"/>
      <c r="BA134" s="220"/>
      <c r="BB134" s="220"/>
      <c r="BC134" s="220"/>
      <c r="BD134" s="220"/>
      <c r="BE134" s="220"/>
      <c r="BF134" s="220"/>
      <c r="BG134" s="220"/>
      <c r="BH134" s="220"/>
      <c r="BI134" s="220"/>
      <c r="BJ134" s="220"/>
      <c r="BK134" s="220"/>
      <c r="BL134" s="220"/>
      <c r="BM134" s="220"/>
      <c r="BN134" s="220"/>
      <c r="BO134" s="220"/>
      <c r="BP134" s="220"/>
      <c r="BQ134" s="220"/>
      <c r="BR134" s="220"/>
      <c r="BS134" s="220"/>
      <c r="BT134" s="220"/>
      <c r="BU134" s="220"/>
      <c r="BV134" s="220"/>
      <c r="BW134" s="220"/>
      <c r="BX134" s="220"/>
      <c r="BY134" s="220"/>
      <c r="BZ134" s="220"/>
      <c r="CA134" s="220"/>
      <c r="CB134" s="220"/>
      <c r="CC134" s="220"/>
      <c r="CD134" s="220"/>
      <c r="CE134" s="220"/>
      <c r="CF134" s="220"/>
      <c r="CG134" s="220"/>
      <c r="CH134" s="220"/>
      <c r="CI134" s="220"/>
      <c r="CJ134" s="220"/>
      <c r="CK134" s="220"/>
      <c r="CL134" s="220"/>
      <c r="CM134" s="220"/>
      <c r="CN134" s="220"/>
      <c r="CO134" s="220"/>
      <c r="CP134" s="220"/>
      <c r="CQ134" s="220"/>
      <c r="CR134" s="220"/>
      <c r="CS134" s="220"/>
      <c r="CT134" s="220"/>
      <c r="CU134" s="220"/>
      <c r="CV134" s="220"/>
      <c r="CW134" s="220"/>
      <c r="CX134" s="220"/>
      <c r="CY134" s="220"/>
      <c r="CZ134" s="220"/>
      <c r="DA134" s="220"/>
      <c r="DB134" s="220"/>
      <c r="DC134" s="220"/>
      <c r="DD134" s="220"/>
      <c r="DE134" s="220"/>
      <c r="DF134" s="220"/>
      <c r="DG134" s="220"/>
      <c r="DH134" s="220"/>
      <c r="DI134" s="220"/>
      <c r="DJ134" s="220"/>
      <c r="DK134" s="220"/>
      <c r="DL134" s="220"/>
      <c r="DM134" s="220"/>
      <c r="DN134" s="220"/>
      <c r="DO134" s="220"/>
      <c r="DP134" s="220"/>
      <c r="DQ134" s="220"/>
      <c r="DR134" s="220"/>
      <c r="DS134" s="220"/>
      <c r="DT134" s="220"/>
      <c r="DU134" s="220"/>
      <c r="DV134" s="220"/>
      <c r="DW134" s="220"/>
      <c r="DX134" s="220"/>
      <c r="DY134" s="220"/>
      <c r="DZ134" s="220"/>
      <c r="EA134" s="220"/>
      <c r="EB134" s="220"/>
      <c r="EC134" s="220"/>
      <c r="ED134" s="220"/>
      <c r="EE134" s="220"/>
      <c r="EF134" s="220"/>
      <c r="EG134" s="220"/>
      <c r="EH134" s="220"/>
      <c r="EI134" s="220"/>
      <c r="EJ134" s="220"/>
      <c r="EK134" s="220"/>
      <c r="EL134" s="220"/>
      <c r="EM134" s="220"/>
      <c r="EN134" s="220"/>
      <c r="EO134" s="220"/>
      <c r="EP134" s="220"/>
      <c r="EQ134" s="220"/>
      <c r="ER134" s="220"/>
      <c r="ES134" s="220"/>
      <c r="EU134" s="153"/>
      <c r="EV134" s="153"/>
      <c r="EW134" s="153"/>
      <c r="EX134" s="153"/>
      <c r="EY134" s="153"/>
      <c r="EZ134" s="154"/>
      <c r="FA134" s="153"/>
      <c r="FB134" s="250"/>
      <c r="FC134" s="221"/>
      <c r="FD134" s="221"/>
      <c r="FE134" s="221"/>
      <c r="FF134" s="221"/>
      <c r="FG134" s="221"/>
      <c r="FH134" s="221"/>
      <c r="FI134" s="221"/>
      <c r="FJ134" s="221"/>
      <c r="FK134" s="221"/>
      <c r="FL134" s="221"/>
      <c r="FM134" s="221"/>
      <c r="FN134" s="221"/>
      <c r="FO134" s="221"/>
      <c r="FP134" s="221"/>
      <c r="FQ134" s="221"/>
      <c r="FR134" s="221"/>
      <c r="FS134" s="221"/>
      <c r="FT134" s="221"/>
      <c r="FU134" s="221"/>
      <c r="FV134" s="221"/>
      <c r="FW134" s="221"/>
      <c r="FX134" s="221"/>
      <c r="FY134" s="221"/>
      <c r="FZ134" s="221"/>
      <c r="GA134" s="221"/>
      <c r="GB134" s="221"/>
      <c r="GC134" s="221"/>
      <c r="GD134" s="221"/>
      <c r="GE134" s="221"/>
      <c r="GF134" s="221"/>
      <c r="GG134" s="221"/>
      <c r="GH134" s="221"/>
      <c r="GI134" s="221"/>
      <c r="GJ134" s="221"/>
      <c r="GK134" s="221"/>
      <c r="GL134" s="221"/>
      <c r="GM134" s="221"/>
      <c r="GN134" s="221"/>
      <c r="GO134" s="221"/>
      <c r="GP134" s="221"/>
      <c r="GQ134" s="221"/>
      <c r="GR134" s="221"/>
      <c r="GS134" s="221"/>
      <c r="GT134" s="221"/>
      <c r="GU134" s="221"/>
      <c r="GV134" s="221"/>
      <c r="GW134" s="221"/>
      <c r="GX134" s="221"/>
      <c r="GY134" s="221"/>
      <c r="GZ134" s="221"/>
      <c r="HA134" s="221"/>
      <c r="HB134" s="221"/>
      <c r="HC134" s="221"/>
      <c r="HD134" s="221"/>
      <c r="HE134" s="221"/>
      <c r="HF134" s="221"/>
      <c r="HG134" s="221"/>
      <c r="HH134" s="221"/>
      <c r="HI134" s="221"/>
      <c r="HJ134" s="221"/>
      <c r="HK134" s="221"/>
      <c r="HL134" s="221"/>
      <c r="HM134" s="221"/>
      <c r="HN134" s="221"/>
      <c r="HO134" s="221"/>
      <c r="HP134" s="221"/>
      <c r="HQ134" s="221"/>
      <c r="HR134" s="221"/>
      <c r="HS134" s="221"/>
      <c r="HT134" s="221"/>
      <c r="HU134" s="221"/>
      <c r="HV134" s="221"/>
      <c r="HW134" s="221"/>
      <c r="HX134" s="221"/>
      <c r="HY134" s="221"/>
      <c r="HZ134" s="221"/>
      <c r="IA134" s="221"/>
      <c r="IB134" s="221"/>
      <c r="IC134" s="221"/>
      <c r="ID134" s="221"/>
      <c r="IE134" s="221"/>
      <c r="IF134" s="221"/>
      <c r="IG134" s="221"/>
      <c r="IH134" s="221"/>
      <c r="II134" s="221"/>
      <c r="IJ134" s="221"/>
      <c r="IK134" s="221"/>
      <c r="IL134" s="221"/>
      <c r="IM134" s="221"/>
      <c r="IN134" s="221"/>
      <c r="IO134" s="221"/>
      <c r="IP134" s="221"/>
      <c r="IQ134" s="221"/>
      <c r="IR134" s="221"/>
      <c r="IS134" s="221"/>
      <c r="IT134" s="221"/>
      <c r="IU134" s="221"/>
      <c r="IV134" s="221"/>
      <c r="IW134" s="221"/>
      <c r="IX134" s="221"/>
      <c r="IY134" s="221"/>
      <c r="IZ134" s="221"/>
      <c r="JA134" s="221"/>
      <c r="JB134" s="221"/>
      <c r="JC134" s="221"/>
      <c r="JD134" s="221"/>
      <c r="JE134" s="221"/>
      <c r="JF134" s="221"/>
      <c r="JG134" s="221"/>
      <c r="JH134" s="221"/>
      <c r="JI134" s="221"/>
      <c r="JJ134" s="221"/>
      <c r="JK134" s="221"/>
      <c r="JL134" s="221"/>
      <c r="JM134" s="221"/>
      <c r="JN134" s="221"/>
      <c r="JO134" s="221"/>
      <c r="JP134" s="221"/>
      <c r="JQ134" s="221"/>
      <c r="JR134" s="221"/>
      <c r="JS134" s="221"/>
      <c r="JT134" s="221"/>
      <c r="JU134" s="221"/>
      <c r="JV134" s="221"/>
      <c r="JW134" s="221"/>
      <c r="JX134" s="221"/>
      <c r="JY134" s="221"/>
      <c r="JZ134" s="221"/>
      <c r="KA134" s="221"/>
      <c r="KB134" s="221"/>
      <c r="KC134" s="221"/>
    </row>
    <row r="135" spans="2:289" x14ac:dyDescent="0.25">
      <c r="B135" s="209" t="s">
        <v>151</v>
      </c>
      <c r="C135" s="196"/>
      <c r="D135" s="210" t="s">
        <v>764</v>
      </c>
      <c r="E135" s="210" t="s">
        <v>139</v>
      </c>
      <c r="F135" s="210"/>
      <c r="G135" s="210" t="s">
        <v>140</v>
      </c>
      <c r="H135" s="211" t="s">
        <v>120</v>
      </c>
      <c r="I135" s="210" t="s">
        <v>119</v>
      </c>
      <c r="AV135" s="364"/>
      <c r="EU135" s="153"/>
      <c r="EV135" s="153"/>
      <c r="EW135" s="153"/>
      <c r="EX135" s="153"/>
      <c r="EY135" s="153"/>
      <c r="EZ135" s="154"/>
      <c r="FA135" s="153"/>
      <c r="FB135" s="153"/>
      <c r="FC135" s="153"/>
      <c r="FD135" s="153"/>
      <c r="FE135" s="153"/>
      <c r="FF135" s="153"/>
      <c r="FG135" s="153"/>
      <c r="FH135" s="153"/>
      <c r="FI135" s="153"/>
      <c r="FJ135" s="153"/>
      <c r="FK135" s="153"/>
      <c r="FL135" s="153"/>
      <c r="FM135" s="153"/>
      <c r="FN135" s="153"/>
      <c r="FO135" s="153"/>
      <c r="FP135" s="153"/>
      <c r="FQ135" s="153"/>
      <c r="FR135" s="153"/>
      <c r="FS135" s="153"/>
      <c r="FT135" s="153"/>
      <c r="FU135" s="153"/>
      <c r="FV135" s="153"/>
      <c r="FW135" s="153"/>
      <c r="FX135" s="153"/>
      <c r="FY135" s="153"/>
      <c r="FZ135" s="153"/>
      <c r="GA135" s="153"/>
      <c r="GB135" s="153"/>
      <c r="GC135" s="153"/>
      <c r="GD135" s="153"/>
      <c r="GE135" s="153"/>
      <c r="GF135" s="153"/>
      <c r="GG135" s="153"/>
      <c r="GH135" s="153"/>
      <c r="GI135" s="153"/>
      <c r="GJ135" s="153"/>
      <c r="GK135" s="153"/>
      <c r="GL135" s="153"/>
      <c r="GM135" s="153"/>
      <c r="GN135" s="153"/>
      <c r="GO135" s="153"/>
      <c r="GP135" s="153"/>
      <c r="GQ135" s="153"/>
      <c r="GR135" s="153"/>
      <c r="GS135" s="153"/>
      <c r="GT135" s="153"/>
      <c r="GU135" s="153"/>
      <c r="GV135" s="153"/>
      <c r="GW135" s="153"/>
      <c r="GX135" s="153"/>
      <c r="GY135" s="153"/>
      <c r="GZ135" s="153"/>
      <c r="HA135" s="153"/>
      <c r="HB135" s="153"/>
      <c r="HC135" s="153"/>
      <c r="HD135" s="153"/>
      <c r="HE135" s="153"/>
      <c r="HF135" s="153"/>
      <c r="HG135" s="153"/>
      <c r="HH135" s="153"/>
      <c r="HI135" s="153"/>
      <c r="HJ135" s="153"/>
      <c r="HK135" s="153"/>
      <c r="HL135" s="153"/>
      <c r="HM135" s="153"/>
      <c r="HN135" s="153"/>
      <c r="HO135" s="153"/>
      <c r="HP135" s="153"/>
      <c r="HQ135" s="153"/>
      <c r="HR135" s="153"/>
      <c r="HS135" s="153"/>
      <c r="HT135" s="153"/>
      <c r="HU135" s="153"/>
      <c r="HV135" s="153"/>
      <c r="HW135" s="153"/>
      <c r="HX135" s="153"/>
      <c r="HY135" s="153"/>
      <c r="HZ135" s="153"/>
      <c r="IA135" s="153"/>
      <c r="IB135" s="153"/>
      <c r="IC135" s="153"/>
      <c r="ID135" s="153"/>
      <c r="IE135" s="153"/>
      <c r="IF135" s="153"/>
      <c r="IG135" s="153"/>
      <c r="IH135" s="153"/>
      <c r="II135" s="153"/>
      <c r="IJ135" s="153"/>
      <c r="IK135" s="153"/>
      <c r="IL135" s="153"/>
      <c r="IM135" s="153"/>
      <c r="IN135" s="153"/>
      <c r="IO135" s="153"/>
      <c r="IP135" s="153"/>
      <c r="IQ135" s="153"/>
      <c r="IR135" s="153"/>
      <c r="IS135" s="153"/>
      <c r="IT135" s="153"/>
      <c r="IU135" s="153"/>
      <c r="IV135" s="153"/>
      <c r="IW135" s="153"/>
      <c r="IX135" s="153"/>
      <c r="IY135" s="153"/>
      <c r="IZ135" s="153"/>
      <c r="JA135" s="153"/>
      <c r="JB135" s="153"/>
      <c r="JC135" s="153"/>
      <c r="JD135" s="153"/>
      <c r="JE135" s="153"/>
      <c r="JF135" s="153"/>
      <c r="JG135" s="153"/>
      <c r="JH135" s="153"/>
      <c r="JI135" s="153"/>
      <c r="JJ135" s="153"/>
      <c r="JK135" s="153"/>
      <c r="JL135" s="153"/>
      <c r="JM135" s="153"/>
      <c r="JN135" s="153"/>
      <c r="JO135" s="153"/>
      <c r="JP135" s="153"/>
      <c r="JQ135" s="153"/>
      <c r="JR135" s="153"/>
      <c r="JS135" s="153"/>
      <c r="JT135" s="153"/>
      <c r="JU135" s="153"/>
      <c r="JV135" s="153"/>
      <c r="JW135" s="153"/>
      <c r="JX135" s="153"/>
      <c r="JY135" s="153"/>
      <c r="JZ135" s="153"/>
      <c r="KA135" s="153"/>
      <c r="KB135" s="153"/>
      <c r="KC135" s="153"/>
    </row>
    <row r="136" spans="2:289" x14ac:dyDescent="0.25">
      <c r="B136" s="214" t="str">
        <f>IF(E118="Below NOI","Capital Reserves","Misc. Reserves")</f>
        <v>Capital Reserves</v>
      </c>
      <c r="C136" s="196"/>
      <c r="D136" s="310">
        <v>0.02</v>
      </c>
      <c r="E136" s="365">
        <v>0</v>
      </c>
      <c r="F136" s="365"/>
      <c r="G136" s="272">
        <f>I136/$I$114</f>
        <v>4.6168051708217915E-3</v>
      </c>
      <c r="H136" s="219">
        <v>100</v>
      </c>
      <c r="I136" s="229">
        <f>+H136*Units</f>
        <v>1600</v>
      </c>
      <c r="R136" s="220">
        <f t="shared" ref="R136:AW136" si="793">$I136/12*R$90*(1+$D$136)^(FB$116-1)</f>
        <v>0</v>
      </c>
      <c r="S136" s="220">
        <f t="shared" si="793"/>
        <v>0</v>
      </c>
      <c r="T136" s="220">
        <f t="shared" si="793"/>
        <v>0</v>
      </c>
      <c r="U136" s="220">
        <f t="shared" si="793"/>
        <v>0</v>
      </c>
      <c r="V136" s="220">
        <f t="shared" si="793"/>
        <v>0</v>
      </c>
      <c r="W136" s="220">
        <f t="shared" si="793"/>
        <v>0</v>
      </c>
      <c r="X136" s="220">
        <f t="shared" si="793"/>
        <v>0</v>
      </c>
      <c r="Y136" s="220">
        <f t="shared" si="793"/>
        <v>0</v>
      </c>
      <c r="Z136" s="220">
        <f t="shared" si="793"/>
        <v>0</v>
      </c>
      <c r="AA136" s="220">
        <f t="shared" si="793"/>
        <v>0</v>
      </c>
      <c r="AB136" s="220">
        <f t="shared" si="793"/>
        <v>0</v>
      </c>
      <c r="AC136" s="220">
        <f t="shared" si="793"/>
        <v>33.333333333333336</v>
      </c>
      <c r="AD136" s="220">
        <f t="shared" si="793"/>
        <v>83.333333333333343</v>
      </c>
      <c r="AE136" s="220">
        <f t="shared" si="793"/>
        <v>133.33333333333334</v>
      </c>
      <c r="AF136" s="220">
        <f t="shared" si="793"/>
        <v>133.33333333333334</v>
      </c>
      <c r="AG136" s="220">
        <f t="shared" si="793"/>
        <v>133.33333333333334</v>
      </c>
      <c r="AH136" s="220">
        <f t="shared" si="793"/>
        <v>133.33333333333334</v>
      </c>
      <c r="AI136" s="220">
        <f t="shared" si="793"/>
        <v>133.33333333333334</v>
      </c>
      <c r="AJ136" s="220">
        <f t="shared" si="793"/>
        <v>133.33333333333334</v>
      </c>
      <c r="AK136" s="220">
        <f t="shared" si="793"/>
        <v>133.33333333333334</v>
      </c>
      <c r="AL136" s="220">
        <f t="shared" si="793"/>
        <v>133.33333333333334</v>
      </c>
      <c r="AM136" s="220">
        <f t="shared" si="793"/>
        <v>133.33333333333334</v>
      </c>
      <c r="AN136" s="220">
        <f t="shared" si="793"/>
        <v>133.33333333333334</v>
      </c>
      <c r="AO136" s="220">
        <f t="shared" si="793"/>
        <v>136</v>
      </c>
      <c r="AP136" s="220">
        <f t="shared" si="793"/>
        <v>136</v>
      </c>
      <c r="AQ136" s="220">
        <f t="shared" si="793"/>
        <v>136</v>
      </c>
      <c r="AR136" s="220">
        <f t="shared" si="793"/>
        <v>136</v>
      </c>
      <c r="AS136" s="220">
        <f t="shared" si="793"/>
        <v>136</v>
      </c>
      <c r="AT136" s="220">
        <f t="shared" si="793"/>
        <v>136</v>
      </c>
      <c r="AU136" s="220">
        <f t="shared" si="793"/>
        <v>136</v>
      </c>
      <c r="AV136" s="220">
        <f t="shared" si="793"/>
        <v>136</v>
      </c>
      <c r="AW136" s="220">
        <f t="shared" si="793"/>
        <v>136</v>
      </c>
      <c r="AX136" s="220">
        <f t="shared" ref="AX136:CC136" si="794">$I136/12*AX$90*(1+$D$136)^(GH$116-1)</f>
        <v>136</v>
      </c>
      <c r="AY136" s="220">
        <f t="shared" si="794"/>
        <v>136</v>
      </c>
      <c r="AZ136" s="220">
        <f t="shared" si="794"/>
        <v>136</v>
      </c>
      <c r="BA136" s="220">
        <f t="shared" si="794"/>
        <v>138.72</v>
      </c>
      <c r="BB136" s="220">
        <f t="shared" si="794"/>
        <v>138.72</v>
      </c>
      <c r="BC136" s="220">
        <f t="shared" si="794"/>
        <v>138.72</v>
      </c>
      <c r="BD136" s="220">
        <f t="shared" si="794"/>
        <v>138.72</v>
      </c>
      <c r="BE136" s="220">
        <f t="shared" si="794"/>
        <v>138.72</v>
      </c>
      <c r="BF136" s="220">
        <f t="shared" si="794"/>
        <v>138.72</v>
      </c>
      <c r="BG136" s="220">
        <f t="shared" si="794"/>
        <v>138.72</v>
      </c>
      <c r="BH136" s="220">
        <f t="shared" si="794"/>
        <v>138.72</v>
      </c>
      <c r="BI136" s="220">
        <f t="shared" si="794"/>
        <v>138.72</v>
      </c>
      <c r="BJ136" s="220">
        <f t="shared" si="794"/>
        <v>138.72</v>
      </c>
      <c r="BK136" s="220">
        <f t="shared" si="794"/>
        <v>138.72</v>
      </c>
      <c r="BL136" s="220">
        <f t="shared" si="794"/>
        <v>138.72</v>
      </c>
      <c r="BM136" s="220">
        <f t="shared" si="794"/>
        <v>141.49440000000001</v>
      </c>
      <c r="BN136" s="220">
        <f t="shared" si="794"/>
        <v>141.49440000000001</v>
      </c>
      <c r="BO136" s="220">
        <f t="shared" si="794"/>
        <v>141.49440000000001</v>
      </c>
      <c r="BP136" s="220">
        <f t="shared" si="794"/>
        <v>141.49440000000001</v>
      </c>
      <c r="BQ136" s="220">
        <f t="shared" si="794"/>
        <v>141.49440000000001</v>
      </c>
      <c r="BR136" s="220">
        <f t="shared" si="794"/>
        <v>141.49440000000001</v>
      </c>
      <c r="BS136" s="220">
        <f t="shared" si="794"/>
        <v>141.49440000000001</v>
      </c>
      <c r="BT136" s="220">
        <f t="shared" si="794"/>
        <v>141.49440000000001</v>
      </c>
      <c r="BU136" s="220">
        <f t="shared" si="794"/>
        <v>141.49440000000001</v>
      </c>
      <c r="BV136" s="220">
        <f t="shared" si="794"/>
        <v>141.49440000000001</v>
      </c>
      <c r="BW136" s="220">
        <f t="shared" si="794"/>
        <v>141.49440000000001</v>
      </c>
      <c r="BX136" s="220">
        <f t="shared" si="794"/>
        <v>141.49440000000001</v>
      </c>
      <c r="BY136" s="220">
        <f t="shared" si="794"/>
        <v>144.324288</v>
      </c>
      <c r="BZ136" s="220">
        <f t="shared" si="794"/>
        <v>144.324288</v>
      </c>
      <c r="CA136" s="220">
        <f t="shared" si="794"/>
        <v>144.324288</v>
      </c>
      <c r="CB136" s="220">
        <f t="shared" si="794"/>
        <v>144.324288</v>
      </c>
      <c r="CC136" s="220">
        <f t="shared" si="794"/>
        <v>144.324288</v>
      </c>
      <c r="CD136" s="220">
        <f t="shared" ref="CD136:DI136" si="795">$I136/12*CD$90*(1+$D$136)^(HN$116-1)</f>
        <v>144.324288</v>
      </c>
      <c r="CE136" s="220">
        <f t="shared" si="795"/>
        <v>144.324288</v>
      </c>
      <c r="CF136" s="220">
        <f t="shared" si="795"/>
        <v>144.324288</v>
      </c>
      <c r="CG136" s="220">
        <f t="shared" si="795"/>
        <v>144.324288</v>
      </c>
      <c r="CH136" s="220">
        <f t="shared" si="795"/>
        <v>144.324288</v>
      </c>
      <c r="CI136" s="220">
        <f t="shared" si="795"/>
        <v>144.324288</v>
      </c>
      <c r="CJ136" s="220">
        <f t="shared" si="795"/>
        <v>144.324288</v>
      </c>
      <c r="CK136" s="220">
        <f t="shared" si="795"/>
        <v>147.21077376000002</v>
      </c>
      <c r="CL136" s="220">
        <f t="shared" si="795"/>
        <v>147.21077376000002</v>
      </c>
      <c r="CM136" s="220">
        <f t="shared" si="795"/>
        <v>147.21077376000002</v>
      </c>
      <c r="CN136" s="220">
        <f t="shared" si="795"/>
        <v>147.21077376000002</v>
      </c>
      <c r="CO136" s="220">
        <f t="shared" si="795"/>
        <v>147.21077376000002</v>
      </c>
      <c r="CP136" s="220">
        <f t="shared" si="795"/>
        <v>147.21077376000002</v>
      </c>
      <c r="CQ136" s="220">
        <f t="shared" si="795"/>
        <v>147.21077376000002</v>
      </c>
      <c r="CR136" s="220">
        <f t="shared" si="795"/>
        <v>147.21077376000002</v>
      </c>
      <c r="CS136" s="220">
        <f t="shared" si="795"/>
        <v>147.21077376000002</v>
      </c>
      <c r="CT136" s="220">
        <f t="shared" si="795"/>
        <v>147.21077376000002</v>
      </c>
      <c r="CU136" s="220">
        <f t="shared" si="795"/>
        <v>147.21077376000002</v>
      </c>
      <c r="CV136" s="220">
        <f t="shared" si="795"/>
        <v>147.21077376000002</v>
      </c>
      <c r="CW136" s="220">
        <f t="shared" si="795"/>
        <v>150.15498923520002</v>
      </c>
      <c r="CX136" s="220">
        <f t="shared" si="795"/>
        <v>150.15498923520002</v>
      </c>
      <c r="CY136" s="220">
        <f t="shared" si="795"/>
        <v>150.15498923520002</v>
      </c>
      <c r="CZ136" s="220">
        <f t="shared" si="795"/>
        <v>150.15498923520002</v>
      </c>
      <c r="DA136" s="220">
        <f t="shared" si="795"/>
        <v>150.15498923520002</v>
      </c>
      <c r="DB136" s="220">
        <f t="shared" si="795"/>
        <v>150.15498923520002</v>
      </c>
      <c r="DC136" s="220">
        <f t="shared" si="795"/>
        <v>150.15498923520002</v>
      </c>
      <c r="DD136" s="220">
        <f t="shared" si="795"/>
        <v>150.15498923520002</v>
      </c>
      <c r="DE136" s="220">
        <f t="shared" si="795"/>
        <v>150.15498923520002</v>
      </c>
      <c r="DF136" s="220">
        <f t="shared" si="795"/>
        <v>150.15498923520002</v>
      </c>
      <c r="DG136" s="220">
        <f t="shared" si="795"/>
        <v>150.15498923520002</v>
      </c>
      <c r="DH136" s="220">
        <f t="shared" si="795"/>
        <v>150.15498923520002</v>
      </c>
      <c r="DI136" s="220">
        <f t="shared" si="795"/>
        <v>153.158089019904</v>
      </c>
      <c r="DJ136" s="220">
        <f t="shared" ref="DJ136:EO136" si="796">$I136/12*DJ$90*(1+$D$136)^(IT$116-1)</f>
        <v>153.158089019904</v>
      </c>
      <c r="DK136" s="220">
        <f t="shared" si="796"/>
        <v>153.158089019904</v>
      </c>
      <c r="DL136" s="220">
        <f t="shared" si="796"/>
        <v>153.158089019904</v>
      </c>
      <c r="DM136" s="220">
        <f t="shared" si="796"/>
        <v>153.158089019904</v>
      </c>
      <c r="DN136" s="220">
        <f t="shared" si="796"/>
        <v>153.158089019904</v>
      </c>
      <c r="DO136" s="220">
        <f t="shared" si="796"/>
        <v>153.158089019904</v>
      </c>
      <c r="DP136" s="220">
        <f t="shared" si="796"/>
        <v>153.158089019904</v>
      </c>
      <c r="DQ136" s="220">
        <f t="shared" si="796"/>
        <v>153.158089019904</v>
      </c>
      <c r="DR136" s="220">
        <f t="shared" si="796"/>
        <v>153.158089019904</v>
      </c>
      <c r="DS136" s="220">
        <f t="shared" si="796"/>
        <v>153.158089019904</v>
      </c>
      <c r="DT136" s="220">
        <f t="shared" si="796"/>
        <v>153.158089019904</v>
      </c>
      <c r="DU136" s="220">
        <f t="shared" si="796"/>
        <v>156.22125080030207</v>
      </c>
      <c r="DV136" s="220">
        <f t="shared" si="796"/>
        <v>156.22125080030207</v>
      </c>
      <c r="DW136" s="220">
        <f t="shared" si="796"/>
        <v>156.22125080030207</v>
      </c>
      <c r="DX136" s="220">
        <f t="shared" si="796"/>
        <v>156.22125080030207</v>
      </c>
      <c r="DY136" s="220">
        <f t="shared" si="796"/>
        <v>156.22125080030207</v>
      </c>
      <c r="DZ136" s="220">
        <f t="shared" si="796"/>
        <v>156.22125080030207</v>
      </c>
      <c r="EA136" s="220">
        <f t="shared" si="796"/>
        <v>156.22125080030207</v>
      </c>
      <c r="EB136" s="220">
        <f t="shared" si="796"/>
        <v>156.22125080030207</v>
      </c>
      <c r="EC136" s="220">
        <f t="shared" si="796"/>
        <v>156.22125080030207</v>
      </c>
      <c r="ED136" s="220">
        <f t="shared" si="796"/>
        <v>156.22125080030207</v>
      </c>
      <c r="EE136" s="220">
        <f t="shared" si="796"/>
        <v>156.22125080030207</v>
      </c>
      <c r="EF136" s="220">
        <f t="shared" si="796"/>
        <v>156.22125080030207</v>
      </c>
      <c r="EG136" s="220">
        <f t="shared" si="796"/>
        <v>159.34567581630813</v>
      </c>
      <c r="EH136" s="220">
        <f t="shared" si="796"/>
        <v>159.34567581630813</v>
      </c>
      <c r="EI136" s="220">
        <f t="shared" si="796"/>
        <v>159.34567581630813</v>
      </c>
      <c r="EJ136" s="220">
        <f t="shared" si="796"/>
        <v>159.34567581630813</v>
      </c>
      <c r="EK136" s="220">
        <f t="shared" si="796"/>
        <v>159.34567581630813</v>
      </c>
      <c r="EL136" s="220">
        <f t="shared" si="796"/>
        <v>159.34567581630813</v>
      </c>
      <c r="EM136" s="220">
        <f t="shared" si="796"/>
        <v>159.34567581630813</v>
      </c>
      <c r="EN136" s="220">
        <f t="shared" si="796"/>
        <v>159.34567581630813</v>
      </c>
      <c r="EO136" s="220">
        <f t="shared" si="796"/>
        <v>159.34567581630813</v>
      </c>
      <c r="EP136" s="220">
        <f t="shared" ref="EP136:ES136" si="797">$I136/12*EP$90*(1+$D$136)^(JZ$116-1)</f>
        <v>159.34567581630813</v>
      </c>
      <c r="EQ136" s="220">
        <f t="shared" si="797"/>
        <v>159.34567581630813</v>
      </c>
      <c r="ER136" s="220">
        <f t="shared" si="797"/>
        <v>159.34567581630813</v>
      </c>
      <c r="ES136" s="220">
        <f t="shared" si="797"/>
        <v>162.5325893326343</v>
      </c>
      <c r="EU136" s="153"/>
      <c r="EV136" s="153"/>
      <c r="EW136" s="153"/>
      <c r="EX136" s="153"/>
      <c r="EY136" s="153"/>
      <c r="EZ136" s="154"/>
      <c r="FA136" s="153"/>
      <c r="FB136" s="153"/>
      <c r="FC136" s="153"/>
      <c r="FD136" s="153"/>
      <c r="FE136" s="153"/>
      <c r="FF136" s="153"/>
      <c r="FG136" s="153"/>
      <c r="FH136" s="153"/>
      <c r="FI136" s="153"/>
      <c r="FJ136" s="153"/>
      <c r="FK136" s="153"/>
      <c r="FL136" s="153"/>
      <c r="FM136" s="153"/>
      <c r="FN136" s="153"/>
      <c r="FO136" s="153"/>
      <c r="FP136" s="153"/>
      <c r="FQ136" s="153"/>
      <c r="FR136" s="153"/>
      <c r="FS136" s="153"/>
      <c r="FT136" s="153"/>
      <c r="FU136" s="153"/>
      <c r="FV136" s="153"/>
      <c r="FW136" s="153"/>
      <c r="FX136" s="153"/>
      <c r="FY136" s="153"/>
      <c r="FZ136" s="153"/>
      <c r="GA136" s="153"/>
      <c r="GB136" s="153"/>
      <c r="GC136" s="153"/>
      <c r="GD136" s="153"/>
      <c r="GE136" s="153"/>
      <c r="GF136" s="153"/>
      <c r="GG136" s="153"/>
      <c r="GH136" s="153"/>
      <c r="GI136" s="153"/>
      <c r="GJ136" s="153"/>
      <c r="GK136" s="153"/>
      <c r="GL136" s="153"/>
      <c r="GM136" s="153"/>
      <c r="GN136" s="153"/>
      <c r="GO136" s="153"/>
      <c r="GP136" s="153"/>
      <c r="GQ136" s="153"/>
      <c r="GR136" s="153"/>
      <c r="GS136" s="153"/>
      <c r="GT136" s="153"/>
      <c r="GU136" s="153"/>
      <c r="GV136" s="153"/>
      <c r="GW136" s="153"/>
      <c r="GX136" s="153"/>
      <c r="GY136" s="153"/>
      <c r="GZ136" s="153"/>
      <c r="HA136" s="153"/>
      <c r="HB136" s="153"/>
      <c r="HC136" s="153"/>
      <c r="HD136" s="153"/>
      <c r="HE136" s="153"/>
      <c r="HF136" s="153"/>
      <c r="HG136" s="153"/>
      <c r="HH136" s="153"/>
      <c r="HI136" s="153"/>
      <c r="HJ136" s="153"/>
      <c r="HK136" s="153"/>
      <c r="HL136" s="153"/>
      <c r="HM136" s="153"/>
      <c r="HN136" s="153"/>
      <c r="HO136" s="153"/>
      <c r="HP136" s="153"/>
      <c r="HQ136" s="153"/>
      <c r="HR136" s="153"/>
      <c r="HS136" s="153"/>
      <c r="HT136" s="153"/>
      <c r="HU136" s="153"/>
      <c r="HV136" s="153"/>
      <c r="HW136" s="153"/>
      <c r="HX136" s="153"/>
      <c r="HY136" s="153"/>
      <c r="HZ136" s="153"/>
      <c r="IA136" s="153"/>
      <c r="IB136" s="153"/>
      <c r="IC136" s="153"/>
      <c r="ID136" s="153"/>
      <c r="IE136" s="153"/>
      <c r="IF136" s="153"/>
      <c r="IG136" s="153"/>
      <c r="IH136" s="153"/>
      <c r="II136" s="153"/>
      <c r="IJ136" s="153"/>
      <c r="IK136" s="153"/>
      <c r="IL136" s="153"/>
      <c r="IM136" s="153"/>
      <c r="IN136" s="153"/>
      <c r="IO136" s="153"/>
      <c r="IP136" s="153"/>
      <c r="IQ136" s="153"/>
      <c r="IR136" s="153"/>
      <c r="IS136" s="153"/>
      <c r="IT136" s="153"/>
      <c r="IU136" s="153"/>
      <c r="IV136" s="153"/>
      <c r="IW136" s="153"/>
      <c r="IX136" s="153"/>
      <c r="IY136" s="153"/>
      <c r="IZ136" s="153"/>
      <c r="JA136" s="153"/>
      <c r="JB136" s="153"/>
      <c r="JC136" s="153"/>
      <c r="JD136" s="153"/>
      <c r="JE136" s="153"/>
      <c r="JF136" s="153"/>
      <c r="JG136" s="153"/>
      <c r="JH136" s="153"/>
      <c r="JI136" s="153"/>
      <c r="JJ136" s="153"/>
      <c r="JK136" s="153"/>
      <c r="JL136" s="153"/>
      <c r="JM136" s="153"/>
      <c r="JN136" s="153"/>
      <c r="JO136" s="153"/>
      <c r="JP136" s="153"/>
      <c r="JQ136" s="153"/>
      <c r="JR136" s="153"/>
      <c r="JS136" s="153"/>
      <c r="JT136" s="153"/>
      <c r="JU136" s="153"/>
      <c r="JV136" s="153"/>
      <c r="JW136" s="153"/>
      <c r="JX136" s="153"/>
      <c r="JY136" s="153"/>
      <c r="JZ136" s="153"/>
      <c r="KA136" s="153"/>
      <c r="KB136" s="153"/>
      <c r="KC136" s="153"/>
    </row>
    <row r="137" spans="2:289" ht="16.5" x14ac:dyDescent="0.35">
      <c r="B137" s="214" t="s">
        <v>152</v>
      </c>
      <c r="C137" s="196"/>
      <c r="D137" s="310">
        <f>$D$121</f>
        <v>0.02</v>
      </c>
      <c r="E137" s="365">
        <v>0</v>
      </c>
      <c r="F137" s="357" t="s">
        <v>26</v>
      </c>
      <c r="G137" s="272">
        <f>I137/$I$114</f>
        <v>0</v>
      </c>
      <c r="H137" s="218">
        <f>I137/Units</f>
        <v>0</v>
      </c>
      <c r="I137" s="225">
        <v>0</v>
      </c>
      <c r="R137" s="226">
        <f t="shared" ref="R137:AW137" si="798">$I137/12*R$90*(1+$D$137)^(FB$116-1)</f>
        <v>0</v>
      </c>
      <c r="S137" s="226">
        <f t="shared" si="798"/>
        <v>0</v>
      </c>
      <c r="T137" s="226">
        <f t="shared" si="798"/>
        <v>0</v>
      </c>
      <c r="U137" s="226">
        <f t="shared" si="798"/>
        <v>0</v>
      </c>
      <c r="V137" s="226">
        <f t="shared" si="798"/>
        <v>0</v>
      </c>
      <c r="W137" s="226">
        <f t="shared" si="798"/>
        <v>0</v>
      </c>
      <c r="X137" s="226">
        <f t="shared" si="798"/>
        <v>0</v>
      </c>
      <c r="Y137" s="226">
        <f t="shared" si="798"/>
        <v>0</v>
      </c>
      <c r="Z137" s="226">
        <f t="shared" si="798"/>
        <v>0</v>
      </c>
      <c r="AA137" s="226">
        <f t="shared" si="798"/>
        <v>0</v>
      </c>
      <c r="AB137" s="226">
        <f t="shared" si="798"/>
        <v>0</v>
      </c>
      <c r="AC137" s="226">
        <f t="shared" si="798"/>
        <v>0</v>
      </c>
      <c r="AD137" s="226">
        <f t="shared" si="798"/>
        <v>0</v>
      </c>
      <c r="AE137" s="226">
        <f t="shared" si="798"/>
        <v>0</v>
      </c>
      <c r="AF137" s="226">
        <f t="shared" si="798"/>
        <v>0</v>
      </c>
      <c r="AG137" s="226">
        <f t="shared" si="798"/>
        <v>0</v>
      </c>
      <c r="AH137" s="226">
        <f t="shared" si="798"/>
        <v>0</v>
      </c>
      <c r="AI137" s="226">
        <f t="shared" si="798"/>
        <v>0</v>
      </c>
      <c r="AJ137" s="226">
        <f t="shared" si="798"/>
        <v>0</v>
      </c>
      <c r="AK137" s="226">
        <f t="shared" si="798"/>
        <v>0</v>
      </c>
      <c r="AL137" s="226">
        <f t="shared" si="798"/>
        <v>0</v>
      </c>
      <c r="AM137" s="226">
        <f t="shared" si="798"/>
        <v>0</v>
      </c>
      <c r="AN137" s="226">
        <f t="shared" si="798"/>
        <v>0</v>
      </c>
      <c r="AO137" s="226">
        <f t="shared" si="798"/>
        <v>0</v>
      </c>
      <c r="AP137" s="226">
        <f t="shared" si="798"/>
        <v>0</v>
      </c>
      <c r="AQ137" s="226">
        <f t="shared" si="798"/>
        <v>0</v>
      </c>
      <c r="AR137" s="226">
        <f t="shared" si="798"/>
        <v>0</v>
      </c>
      <c r="AS137" s="226">
        <f t="shared" si="798"/>
        <v>0</v>
      </c>
      <c r="AT137" s="226">
        <f t="shared" si="798"/>
        <v>0</v>
      </c>
      <c r="AU137" s="226">
        <f t="shared" si="798"/>
        <v>0</v>
      </c>
      <c r="AV137" s="226">
        <f t="shared" si="798"/>
        <v>0</v>
      </c>
      <c r="AW137" s="226">
        <f t="shared" si="798"/>
        <v>0</v>
      </c>
      <c r="AX137" s="226">
        <f t="shared" ref="AX137:CC137" si="799">$I137/12*AX$90*(1+$D$137)^(GH$116-1)</f>
        <v>0</v>
      </c>
      <c r="AY137" s="226">
        <f t="shared" si="799"/>
        <v>0</v>
      </c>
      <c r="AZ137" s="226">
        <f t="shared" si="799"/>
        <v>0</v>
      </c>
      <c r="BA137" s="226">
        <f t="shared" si="799"/>
        <v>0</v>
      </c>
      <c r="BB137" s="226">
        <f t="shared" si="799"/>
        <v>0</v>
      </c>
      <c r="BC137" s="226">
        <f t="shared" si="799"/>
        <v>0</v>
      </c>
      <c r="BD137" s="226">
        <f t="shared" si="799"/>
        <v>0</v>
      </c>
      <c r="BE137" s="226">
        <f t="shared" si="799"/>
        <v>0</v>
      </c>
      <c r="BF137" s="226">
        <f t="shared" si="799"/>
        <v>0</v>
      </c>
      <c r="BG137" s="226">
        <f t="shared" si="799"/>
        <v>0</v>
      </c>
      <c r="BH137" s="226">
        <f t="shared" si="799"/>
        <v>0</v>
      </c>
      <c r="BI137" s="226">
        <f t="shared" si="799"/>
        <v>0</v>
      </c>
      <c r="BJ137" s="226">
        <f t="shared" si="799"/>
        <v>0</v>
      </c>
      <c r="BK137" s="226">
        <f t="shared" si="799"/>
        <v>0</v>
      </c>
      <c r="BL137" s="226">
        <f t="shared" si="799"/>
        <v>0</v>
      </c>
      <c r="BM137" s="226">
        <f t="shared" si="799"/>
        <v>0</v>
      </c>
      <c r="BN137" s="226">
        <f t="shared" si="799"/>
        <v>0</v>
      </c>
      <c r="BO137" s="226">
        <f t="shared" si="799"/>
        <v>0</v>
      </c>
      <c r="BP137" s="226">
        <f t="shared" si="799"/>
        <v>0</v>
      </c>
      <c r="BQ137" s="226">
        <f t="shared" si="799"/>
        <v>0</v>
      </c>
      <c r="BR137" s="226">
        <f t="shared" si="799"/>
        <v>0</v>
      </c>
      <c r="BS137" s="226">
        <f t="shared" si="799"/>
        <v>0</v>
      </c>
      <c r="BT137" s="226">
        <f t="shared" si="799"/>
        <v>0</v>
      </c>
      <c r="BU137" s="226">
        <f t="shared" si="799"/>
        <v>0</v>
      </c>
      <c r="BV137" s="226">
        <f t="shared" si="799"/>
        <v>0</v>
      </c>
      <c r="BW137" s="226">
        <f t="shared" si="799"/>
        <v>0</v>
      </c>
      <c r="BX137" s="226">
        <f t="shared" si="799"/>
        <v>0</v>
      </c>
      <c r="BY137" s="226">
        <f t="shared" si="799"/>
        <v>0</v>
      </c>
      <c r="BZ137" s="226">
        <f t="shared" si="799"/>
        <v>0</v>
      </c>
      <c r="CA137" s="226">
        <f t="shared" si="799"/>
        <v>0</v>
      </c>
      <c r="CB137" s="226">
        <f t="shared" si="799"/>
        <v>0</v>
      </c>
      <c r="CC137" s="226">
        <f t="shared" si="799"/>
        <v>0</v>
      </c>
      <c r="CD137" s="226">
        <f t="shared" ref="CD137:DI137" si="800">$I137/12*CD$90*(1+$D$137)^(HN$116-1)</f>
        <v>0</v>
      </c>
      <c r="CE137" s="226">
        <f t="shared" si="800"/>
        <v>0</v>
      </c>
      <c r="CF137" s="226">
        <f t="shared" si="800"/>
        <v>0</v>
      </c>
      <c r="CG137" s="226">
        <f t="shared" si="800"/>
        <v>0</v>
      </c>
      <c r="CH137" s="226">
        <f t="shared" si="800"/>
        <v>0</v>
      </c>
      <c r="CI137" s="226">
        <f t="shared" si="800"/>
        <v>0</v>
      </c>
      <c r="CJ137" s="226">
        <f t="shared" si="800"/>
        <v>0</v>
      </c>
      <c r="CK137" s="226">
        <f t="shared" si="800"/>
        <v>0</v>
      </c>
      <c r="CL137" s="226">
        <f t="shared" si="800"/>
        <v>0</v>
      </c>
      <c r="CM137" s="226">
        <f t="shared" si="800"/>
        <v>0</v>
      </c>
      <c r="CN137" s="226">
        <f t="shared" si="800"/>
        <v>0</v>
      </c>
      <c r="CO137" s="226">
        <f t="shared" si="800"/>
        <v>0</v>
      </c>
      <c r="CP137" s="226">
        <f t="shared" si="800"/>
        <v>0</v>
      </c>
      <c r="CQ137" s="226">
        <f t="shared" si="800"/>
        <v>0</v>
      </c>
      <c r="CR137" s="226">
        <f t="shared" si="800"/>
        <v>0</v>
      </c>
      <c r="CS137" s="226">
        <f t="shared" si="800"/>
        <v>0</v>
      </c>
      <c r="CT137" s="226">
        <f t="shared" si="800"/>
        <v>0</v>
      </c>
      <c r="CU137" s="226">
        <f t="shared" si="800"/>
        <v>0</v>
      </c>
      <c r="CV137" s="226">
        <f t="shared" si="800"/>
        <v>0</v>
      </c>
      <c r="CW137" s="226">
        <f t="shared" si="800"/>
        <v>0</v>
      </c>
      <c r="CX137" s="226">
        <f t="shared" si="800"/>
        <v>0</v>
      </c>
      <c r="CY137" s="226">
        <f t="shared" si="800"/>
        <v>0</v>
      </c>
      <c r="CZ137" s="226">
        <f t="shared" si="800"/>
        <v>0</v>
      </c>
      <c r="DA137" s="226">
        <f t="shared" si="800"/>
        <v>0</v>
      </c>
      <c r="DB137" s="226">
        <f t="shared" si="800"/>
        <v>0</v>
      </c>
      <c r="DC137" s="226">
        <f t="shared" si="800"/>
        <v>0</v>
      </c>
      <c r="DD137" s="226">
        <f t="shared" si="800"/>
        <v>0</v>
      </c>
      <c r="DE137" s="226">
        <f t="shared" si="800"/>
        <v>0</v>
      </c>
      <c r="DF137" s="226">
        <f t="shared" si="800"/>
        <v>0</v>
      </c>
      <c r="DG137" s="226">
        <f t="shared" si="800"/>
        <v>0</v>
      </c>
      <c r="DH137" s="226">
        <f t="shared" si="800"/>
        <v>0</v>
      </c>
      <c r="DI137" s="226">
        <f t="shared" si="800"/>
        <v>0</v>
      </c>
      <c r="DJ137" s="226">
        <f t="shared" ref="DJ137:EO137" si="801">$I137/12*DJ$90*(1+$D$137)^(IT$116-1)</f>
        <v>0</v>
      </c>
      <c r="DK137" s="226">
        <f t="shared" si="801"/>
        <v>0</v>
      </c>
      <c r="DL137" s="226">
        <f t="shared" si="801"/>
        <v>0</v>
      </c>
      <c r="DM137" s="226">
        <f t="shared" si="801"/>
        <v>0</v>
      </c>
      <c r="DN137" s="226">
        <f t="shared" si="801"/>
        <v>0</v>
      </c>
      <c r="DO137" s="226">
        <f t="shared" si="801"/>
        <v>0</v>
      </c>
      <c r="DP137" s="226">
        <f t="shared" si="801"/>
        <v>0</v>
      </c>
      <c r="DQ137" s="226">
        <f t="shared" si="801"/>
        <v>0</v>
      </c>
      <c r="DR137" s="226">
        <f t="shared" si="801"/>
        <v>0</v>
      </c>
      <c r="DS137" s="226">
        <f t="shared" si="801"/>
        <v>0</v>
      </c>
      <c r="DT137" s="226">
        <f t="shared" si="801"/>
        <v>0</v>
      </c>
      <c r="DU137" s="226">
        <f t="shared" si="801"/>
        <v>0</v>
      </c>
      <c r="DV137" s="226">
        <f t="shared" si="801"/>
        <v>0</v>
      </c>
      <c r="DW137" s="226">
        <f t="shared" si="801"/>
        <v>0</v>
      </c>
      <c r="DX137" s="226">
        <f t="shared" si="801"/>
        <v>0</v>
      </c>
      <c r="DY137" s="226">
        <f t="shared" si="801"/>
        <v>0</v>
      </c>
      <c r="DZ137" s="226">
        <f t="shared" si="801"/>
        <v>0</v>
      </c>
      <c r="EA137" s="226">
        <f t="shared" si="801"/>
        <v>0</v>
      </c>
      <c r="EB137" s="226">
        <f t="shared" si="801"/>
        <v>0</v>
      </c>
      <c r="EC137" s="226">
        <f t="shared" si="801"/>
        <v>0</v>
      </c>
      <c r="ED137" s="226">
        <f t="shared" si="801"/>
        <v>0</v>
      </c>
      <c r="EE137" s="226">
        <f t="shared" si="801"/>
        <v>0</v>
      </c>
      <c r="EF137" s="226">
        <f t="shared" si="801"/>
        <v>0</v>
      </c>
      <c r="EG137" s="226">
        <f t="shared" si="801"/>
        <v>0</v>
      </c>
      <c r="EH137" s="226">
        <f t="shared" si="801"/>
        <v>0</v>
      </c>
      <c r="EI137" s="226">
        <f t="shared" si="801"/>
        <v>0</v>
      </c>
      <c r="EJ137" s="226">
        <f t="shared" si="801"/>
        <v>0</v>
      </c>
      <c r="EK137" s="226">
        <f t="shared" si="801"/>
        <v>0</v>
      </c>
      <c r="EL137" s="226">
        <f t="shared" si="801"/>
        <v>0</v>
      </c>
      <c r="EM137" s="226">
        <f t="shared" si="801"/>
        <v>0</v>
      </c>
      <c r="EN137" s="226">
        <f t="shared" si="801"/>
        <v>0</v>
      </c>
      <c r="EO137" s="226">
        <f t="shared" si="801"/>
        <v>0</v>
      </c>
      <c r="EP137" s="226">
        <f t="shared" ref="EP137:ES137" si="802">$I137/12*EP$90*(1+$D$137)^(JZ$116-1)</f>
        <v>0</v>
      </c>
      <c r="EQ137" s="226">
        <f t="shared" si="802"/>
        <v>0</v>
      </c>
      <c r="ER137" s="226">
        <f t="shared" si="802"/>
        <v>0</v>
      </c>
      <c r="ES137" s="226">
        <f t="shared" si="802"/>
        <v>0</v>
      </c>
      <c r="EU137" s="153"/>
      <c r="EV137" s="153"/>
      <c r="EW137" s="153"/>
      <c r="EX137" s="153"/>
      <c r="EY137" s="153"/>
      <c r="EZ137" s="154"/>
      <c r="FA137" s="153"/>
      <c r="FB137" s="153"/>
      <c r="FC137" s="153"/>
      <c r="FD137" s="153"/>
      <c r="FE137" s="153"/>
      <c r="FF137" s="153"/>
      <c r="FG137" s="153"/>
      <c r="FH137" s="153"/>
      <c r="FI137" s="153"/>
      <c r="FJ137" s="153"/>
      <c r="FK137" s="153"/>
      <c r="FL137" s="153"/>
      <c r="FM137" s="153"/>
      <c r="FN137" s="153"/>
      <c r="FO137" s="153"/>
      <c r="FP137" s="153"/>
      <c r="FQ137" s="153"/>
      <c r="FR137" s="153"/>
      <c r="FS137" s="153"/>
      <c r="FT137" s="153"/>
      <c r="FU137" s="153"/>
      <c r="FV137" s="153"/>
      <c r="FW137" s="153"/>
      <c r="FX137" s="153"/>
      <c r="FY137" s="153"/>
      <c r="FZ137" s="153"/>
      <c r="GA137" s="153"/>
      <c r="GB137" s="153"/>
      <c r="GC137" s="153"/>
      <c r="GD137" s="153"/>
      <c r="GE137" s="153"/>
      <c r="GF137" s="153"/>
      <c r="GG137" s="153"/>
      <c r="GH137" s="153"/>
      <c r="GI137" s="153"/>
      <c r="GJ137" s="153"/>
      <c r="GK137" s="153"/>
      <c r="GL137" s="153"/>
      <c r="GM137" s="153"/>
      <c r="GN137" s="153"/>
      <c r="GO137" s="153"/>
      <c r="GP137" s="153"/>
      <c r="GQ137" s="153"/>
      <c r="GR137" s="153"/>
      <c r="GS137" s="153"/>
      <c r="GT137" s="153"/>
      <c r="GU137" s="153"/>
      <c r="GV137" s="153"/>
      <c r="GW137" s="153"/>
      <c r="GX137" s="153"/>
      <c r="GY137" s="153"/>
      <c r="GZ137" s="153"/>
      <c r="HA137" s="153"/>
      <c r="HB137" s="153"/>
      <c r="HC137" s="153"/>
      <c r="HD137" s="153"/>
      <c r="HE137" s="153"/>
      <c r="HF137" s="153"/>
      <c r="HG137" s="153"/>
      <c r="HH137" s="153"/>
      <c r="HI137" s="153"/>
      <c r="HJ137" s="153"/>
      <c r="HK137" s="153"/>
      <c r="HL137" s="153"/>
      <c r="HM137" s="153"/>
      <c r="HN137" s="153"/>
      <c r="HO137" s="153"/>
      <c r="HP137" s="153"/>
      <c r="HQ137" s="153"/>
      <c r="HR137" s="153"/>
      <c r="HS137" s="153"/>
      <c r="HT137" s="153"/>
      <c r="HU137" s="153"/>
      <c r="HV137" s="153"/>
      <c r="HW137" s="153"/>
      <c r="HX137" s="153"/>
      <c r="HY137" s="153"/>
      <c r="HZ137" s="153"/>
      <c r="IA137" s="153"/>
      <c r="IB137" s="153"/>
      <c r="IC137" s="153"/>
      <c r="ID137" s="153"/>
      <c r="IE137" s="153"/>
      <c r="IF137" s="153"/>
      <c r="IG137" s="153"/>
      <c r="IH137" s="153"/>
      <c r="II137" s="153"/>
      <c r="IJ137" s="153"/>
      <c r="IK137" s="153"/>
      <c r="IL137" s="153"/>
      <c r="IM137" s="153"/>
      <c r="IN137" s="153"/>
      <c r="IO137" s="153"/>
      <c r="IP137" s="153"/>
      <c r="IQ137" s="153"/>
      <c r="IR137" s="153"/>
      <c r="IS137" s="153"/>
      <c r="IT137" s="153"/>
      <c r="IU137" s="153"/>
      <c r="IV137" s="153"/>
      <c r="IW137" s="153"/>
      <c r="IX137" s="153"/>
      <c r="IY137" s="153"/>
      <c r="IZ137" s="153"/>
      <c r="JA137" s="153"/>
      <c r="JB137" s="153"/>
      <c r="JC137" s="153"/>
      <c r="JD137" s="153"/>
      <c r="JE137" s="153"/>
      <c r="JF137" s="153"/>
      <c r="JG137" s="153"/>
      <c r="JH137" s="153"/>
      <c r="JI137" s="153"/>
      <c r="JJ137" s="153"/>
      <c r="JK137" s="153"/>
      <c r="JL137" s="153"/>
      <c r="JM137" s="153"/>
      <c r="JN137" s="153"/>
      <c r="JO137" s="153"/>
      <c r="JP137" s="153"/>
      <c r="JQ137" s="153"/>
      <c r="JR137" s="153"/>
      <c r="JS137" s="153"/>
      <c r="JT137" s="153"/>
      <c r="JU137" s="153"/>
      <c r="JV137" s="153"/>
      <c r="JW137" s="153"/>
      <c r="JX137" s="153"/>
      <c r="JY137" s="153"/>
      <c r="JZ137" s="153"/>
      <c r="KA137" s="153"/>
      <c r="KB137" s="153"/>
      <c r="KC137" s="153"/>
    </row>
    <row r="138" spans="2:289" ht="0.6" customHeight="1" x14ac:dyDescent="0.35">
      <c r="B138" s="234" t="s">
        <v>290</v>
      </c>
      <c r="C138" s="196"/>
      <c r="D138" s="310">
        <f>$D$121</f>
        <v>0.02</v>
      </c>
      <c r="E138" s="351">
        <f>IF(Retail_Income_Include?=1,I138/Units_Retail,0)</f>
        <v>0</v>
      </c>
      <c r="F138" s="352" t="str">
        <f>F110</f>
        <v>/SF/YR</v>
      </c>
      <c r="G138" s="272">
        <f>I138/$I$114</f>
        <v>0</v>
      </c>
      <c r="H138" s="218">
        <f>I138/Units</f>
        <v>0</v>
      </c>
      <c r="I138" s="366">
        <f>(Retail_Income_Include?=1)*'Retail Income'!$I$45</f>
        <v>0</v>
      </c>
      <c r="R138" s="226">
        <f t="shared" ref="R138:AW138" si="803">$I138/12*R$90*(1+$D$138)^(FB$120-1)</f>
        <v>0</v>
      </c>
      <c r="S138" s="226">
        <f t="shared" si="803"/>
        <v>0</v>
      </c>
      <c r="T138" s="226">
        <f t="shared" si="803"/>
        <v>0</v>
      </c>
      <c r="U138" s="226">
        <f t="shared" si="803"/>
        <v>0</v>
      </c>
      <c r="V138" s="226">
        <f t="shared" si="803"/>
        <v>0</v>
      </c>
      <c r="W138" s="226">
        <f t="shared" si="803"/>
        <v>0</v>
      </c>
      <c r="X138" s="226">
        <f t="shared" si="803"/>
        <v>0</v>
      </c>
      <c r="Y138" s="226">
        <f t="shared" si="803"/>
        <v>0</v>
      </c>
      <c r="Z138" s="226">
        <f t="shared" si="803"/>
        <v>0</v>
      </c>
      <c r="AA138" s="226">
        <f t="shared" si="803"/>
        <v>0</v>
      </c>
      <c r="AB138" s="226">
        <f t="shared" si="803"/>
        <v>0</v>
      </c>
      <c r="AC138" s="226">
        <f t="shared" si="803"/>
        <v>0</v>
      </c>
      <c r="AD138" s="226">
        <f t="shared" si="803"/>
        <v>0</v>
      </c>
      <c r="AE138" s="226">
        <f t="shared" si="803"/>
        <v>0</v>
      </c>
      <c r="AF138" s="226">
        <f t="shared" si="803"/>
        <v>0</v>
      </c>
      <c r="AG138" s="226">
        <f t="shared" si="803"/>
        <v>0</v>
      </c>
      <c r="AH138" s="226">
        <f t="shared" si="803"/>
        <v>0</v>
      </c>
      <c r="AI138" s="226">
        <f t="shared" si="803"/>
        <v>0</v>
      </c>
      <c r="AJ138" s="226">
        <f t="shared" si="803"/>
        <v>0</v>
      </c>
      <c r="AK138" s="226">
        <f t="shared" si="803"/>
        <v>0</v>
      </c>
      <c r="AL138" s="226">
        <f t="shared" si="803"/>
        <v>0</v>
      </c>
      <c r="AM138" s="226">
        <f t="shared" si="803"/>
        <v>0</v>
      </c>
      <c r="AN138" s="226">
        <f t="shared" si="803"/>
        <v>0</v>
      </c>
      <c r="AO138" s="226">
        <f t="shared" si="803"/>
        <v>0</v>
      </c>
      <c r="AP138" s="226">
        <f t="shared" si="803"/>
        <v>0</v>
      </c>
      <c r="AQ138" s="226">
        <f t="shared" si="803"/>
        <v>0</v>
      </c>
      <c r="AR138" s="226">
        <f t="shared" si="803"/>
        <v>0</v>
      </c>
      <c r="AS138" s="226">
        <f t="shared" si="803"/>
        <v>0</v>
      </c>
      <c r="AT138" s="226">
        <f t="shared" si="803"/>
        <v>0</v>
      </c>
      <c r="AU138" s="226">
        <f t="shared" si="803"/>
        <v>0</v>
      </c>
      <c r="AV138" s="226">
        <f t="shared" si="803"/>
        <v>0</v>
      </c>
      <c r="AW138" s="226">
        <f t="shared" si="803"/>
        <v>0</v>
      </c>
      <c r="AX138" s="226">
        <f t="shared" ref="AX138:CC138" si="804">$I138/12*AX$90*(1+$D$138)^(GH$120-1)</f>
        <v>0</v>
      </c>
      <c r="AY138" s="226">
        <f t="shared" si="804"/>
        <v>0</v>
      </c>
      <c r="AZ138" s="226">
        <f t="shared" si="804"/>
        <v>0</v>
      </c>
      <c r="BA138" s="226">
        <f t="shared" si="804"/>
        <v>0</v>
      </c>
      <c r="BB138" s="226">
        <f t="shared" si="804"/>
        <v>0</v>
      </c>
      <c r="BC138" s="226">
        <f t="shared" si="804"/>
        <v>0</v>
      </c>
      <c r="BD138" s="226">
        <f t="shared" si="804"/>
        <v>0</v>
      </c>
      <c r="BE138" s="226">
        <f t="shared" si="804"/>
        <v>0</v>
      </c>
      <c r="BF138" s="226">
        <f t="shared" si="804"/>
        <v>0</v>
      </c>
      <c r="BG138" s="226">
        <f t="shared" si="804"/>
        <v>0</v>
      </c>
      <c r="BH138" s="226">
        <f t="shared" si="804"/>
        <v>0</v>
      </c>
      <c r="BI138" s="226">
        <f t="shared" si="804"/>
        <v>0</v>
      </c>
      <c r="BJ138" s="226">
        <f t="shared" si="804"/>
        <v>0</v>
      </c>
      <c r="BK138" s="226">
        <f t="shared" si="804"/>
        <v>0</v>
      </c>
      <c r="BL138" s="226">
        <f t="shared" si="804"/>
        <v>0</v>
      </c>
      <c r="BM138" s="226">
        <f t="shared" si="804"/>
        <v>0</v>
      </c>
      <c r="BN138" s="226">
        <f t="shared" si="804"/>
        <v>0</v>
      </c>
      <c r="BO138" s="226">
        <f t="shared" si="804"/>
        <v>0</v>
      </c>
      <c r="BP138" s="226">
        <f t="shared" si="804"/>
        <v>0</v>
      </c>
      <c r="BQ138" s="226">
        <f t="shared" si="804"/>
        <v>0</v>
      </c>
      <c r="BR138" s="226">
        <f t="shared" si="804"/>
        <v>0</v>
      </c>
      <c r="BS138" s="226">
        <f t="shared" si="804"/>
        <v>0</v>
      </c>
      <c r="BT138" s="226">
        <f t="shared" si="804"/>
        <v>0</v>
      </c>
      <c r="BU138" s="226">
        <f t="shared" si="804"/>
        <v>0</v>
      </c>
      <c r="BV138" s="226">
        <f t="shared" si="804"/>
        <v>0</v>
      </c>
      <c r="BW138" s="226">
        <f t="shared" si="804"/>
        <v>0</v>
      </c>
      <c r="BX138" s="226">
        <f t="shared" si="804"/>
        <v>0</v>
      </c>
      <c r="BY138" s="226">
        <f t="shared" si="804"/>
        <v>0</v>
      </c>
      <c r="BZ138" s="226">
        <f t="shared" si="804"/>
        <v>0</v>
      </c>
      <c r="CA138" s="226">
        <f t="shared" si="804"/>
        <v>0</v>
      </c>
      <c r="CB138" s="226">
        <f t="shared" si="804"/>
        <v>0</v>
      </c>
      <c r="CC138" s="226">
        <f t="shared" si="804"/>
        <v>0</v>
      </c>
      <c r="CD138" s="226">
        <f t="shared" ref="CD138:DI138" si="805">$I138/12*CD$90*(1+$D$138)^(HN$120-1)</f>
        <v>0</v>
      </c>
      <c r="CE138" s="226">
        <f t="shared" si="805"/>
        <v>0</v>
      </c>
      <c r="CF138" s="226">
        <f t="shared" si="805"/>
        <v>0</v>
      </c>
      <c r="CG138" s="226">
        <f t="shared" si="805"/>
        <v>0</v>
      </c>
      <c r="CH138" s="226">
        <f t="shared" si="805"/>
        <v>0</v>
      </c>
      <c r="CI138" s="226">
        <f t="shared" si="805"/>
        <v>0</v>
      </c>
      <c r="CJ138" s="226">
        <f t="shared" si="805"/>
        <v>0</v>
      </c>
      <c r="CK138" s="226">
        <f t="shared" si="805"/>
        <v>0</v>
      </c>
      <c r="CL138" s="226">
        <f t="shared" si="805"/>
        <v>0</v>
      </c>
      <c r="CM138" s="226">
        <f t="shared" si="805"/>
        <v>0</v>
      </c>
      <c r="CN138" s="226">
        <f t="shared" si="805"/>
        <v>0</v>
      </c>
      <c r="CO138" s="226">
        <f t="shared" si="805"/>
        <v>0</v>
      </c>
      <c r="CP138" s="226">
        <f t="shared" si="805"/>
        <v>0</v>
      </c>
      <c r="CQ138" s="226">
        <f t="shared" si="805"/>
        <v>0</v>
      </c>
      <c r="CR138" s="226">
        <f t="shared" si="805"/>
        <v>0</v>
      </c>
      <c r="CS138" s="226">
        <f t="shared" si="805"/>
        <v>0</v>
      </c>
      <c r="CT138" s="226">
        <f t="shared" si="805"/>
        <v>0</v>
      </c>
      <c r="CU138" s="226">
        <f t="shared" si="805"/>
        <v>0</v>
      </c>
      <c r="CV138" s="226">
        <f t="shared" si="805"/>
        <v>0</v>
      </c>
      <c r="CW138" s="226">
        <f t="shared" si="805"/>
        <v>0</v>
      </c>
      <c r="CX138" s="226">
        <f t="shared" si="805"/>
        <v>0</v>
      </c>
      <c r="CY138" s="226">
        <f t="shared" si="805"/>
        <v>0</v>
      </c>
      <c r="CZ138" s="226">
        <f t="shared" si="805"/>
        <v>0</v>
      </c>
      <c r="DA138" s="226">
        <f t="shared" si="805"/>
        <v>0</v>
      </c>
      <c r="DB138" s="226">
        <f t="shared" si="805"/>
        <v>0</v>
      </c>
      <c r="DC138" s="226">
        <f t="shared" si="805"/>
        <v>0</v>
      </c>
      <c r="DD138" s="226">
        <f t="shared" si="805"/>
        <v>0</v>
      </c>
      <c r="DE138" s="226">
        <f t="shared" si="805"/>
        <v>0</v>
      </c>
      <c r="DF138" s="226">
        <f t="shared" si="805"/>
        <v>0</v>
      </c>
      <c r="DG138" s="226">
        <f t="shared" si="805"/>
        <v>0</v>
      </c>
      <c r="DH138" s="226">
        <f t="shared" si="805"/>
        <v>0</v>
      </c>
      <c r="DI138" s="226">
        <f t="shared" si="805"/>
        <v>0</v>
      </c>
      <c r="DJ138" s="226">
        <f t="shared" ref="DJ138:EO138" si="806">$I138/12*DJ$90*(1+$D$138)^(IT$120-1)</f>
        <v>0</v>
      </c>
      <c r="DK138" s="226">
        <f t="shared" si="806"/>
        <v>0</v>
      </c>
      <c r="DL138" s="226">
        <f t="shared" si="806"/>
        <v>0</v>
      </c>
      <c r="DM138" s="226">
        <f t="shared" si="806"/>
        <v>0</v>
      </c>
      <c r="DN138" s="226">
        <f t="shared" si="806"/>
        <v>0</v>
      </c>
      <c r="DO138" s="226">
        <f t="shared" si="806"/>
        <v>0</v>
      </c>
      <c r="DP138" s="226">
        <f t="shared" si="806"/>
        <v>0</v>
      </c>
      <c r="DQ138" s="226">
        <f t="shared" si="806"/>
        <v>0</v>
      </c>
      <c r="DR138" s="226">
        <f t="shared" si="806"/>
        <v>0</v>
      </c>
      <c r="DS138" s="226">
        <f t="shared" si="806"/>
        <v>0</v>
      </c>
      <c r="DT138" s="226">
        <f t="shared" si="806"/>
        <v>0</v>
      </c>
      <c r="DU138" s="226">
        <f t="shared" si="806"/>
        <v>0</v>
      </c>
      <c r="DV138" s="226">
        <f t="shared" si="806"/>
        <v>0</v>
      </c>
      <c r="DW138" s="226">
        <f t="shared" si="806"/>
        <v>0</v>
      </c>
      <c r="DX138" s="226">
        <f t="shared" si="806"/>
        <v>0</v>
      </c>
      <c r="DY138" s="226">
        <f t="shared" si="806"/>
        <v>0</v>
      </c>
      <c r="DZ138" s="226">
        <f t="shared" si="806"/>
        <v>0</v>
      </c>
      <c r="EA138" s="226">
        <f t="shared" si="806"/>
        <v>0</v>
      </c>
      <c r="EB138" s="226">
        <f t="shared" si="806"/>
        <v>0</v>
      </c>
      <c r="EC138" s="226">
        <f t="shared" si="806"/>
        <v>0</v>
      </c>
      <c r="ED138" s="226">
        <f t="shared" si="806"/>
        <v>0</v>
      </c>
      <c r="EE138" s="226">
        <f t="shared" si="806"/>
        <v>0</v>
      </c>
      <c r="EF138" s="226">
        <f t="shared" si="806"/>
        <v>0</v>
      </c>
      <c r="EG138" s="226">
        <f t="shared" si="806"/>
        <v>0</v>
      </c>
      <c r="EH138" s="226">
        <f t="shared" si="806"/>
        <v>0</v>
      </c>
      <c r="EI138" s="226">
        <f t="shared" si="806"/>
        <v>0</v>
      </c>
      <c r="EJ138" s="226">
        <f t="shared" si="806"/>
        <v>0</v>
      </c>
      <c r="EK138" s="226">
        <f t="shared" si="806"/>
        <v>0</v>
      </c>
      <c r="EL138" s="226">
        <f t="shared" si="806"/>
        <v>0</v>
      </c>
      <c r="EM138" s="226">
        <f t="shared" si="806"/>
        <v>0</v>
      </c>
      <c r="EN138" s="226">
        <f t="shared" si="806"/>
        <v>0</v>
      </c>
      <c r="EO138" s="226">
        <f t="shared" si="806"/>
        <v>0</v>
      </c>
      <c r="EP138" s="226">
        <f t="shared" ref="EP138:ES138" si="807">$I138/12*EP$90*(1+$D$138)^(JZ$120-1)</f>
        <v>0</v>
      </c>
      <c r="EQ138" s="226">
        <f t="shared" si="807"/>
        <v>0</v>
      </c>
      <c r="ER138" s="226">
        <f t="shared" si="807"/>
        <v>0</v>
      </c>
      <c r="ES138" s="226">
        <f t="shared" si="807"/>
        <v>0</v>
      </c>
      <c r="EU138" s="153"/>
      <c r="EV138" s="153"/>
      <c r="EW138" s="153"/>
      <c r="EX138" s="153"/>
      <c r="EY138" s="153"/>
      <c r="EZ138" s="154"/>
      <c r="FA138" s="153"/>
      <c r="FB138" s="153"/>
      <c r="FC138" s="153"/>
      <c r="FD138" s="153"/>
      <c r="FE138" s="153"/>
      <c r="FF138" s="153"/>
      <c r="FG138" s="153"/>
      <c r="FH138" s="153"/>
      <c r="FI138" s="153"/>
      <c r="FJ138" s="153"/>
      <c r="FK138" s="153"/>
      <c r="FL138" s="153"/>
      <c r="FM138" s="153"/>
      <c r="FN138" s="153"/>
      <c r="FO138" s="153"/>
      <c r="FP138" s="153"/>
      <c r="FQ138" s="153"/>
      <c r="FR138" s="153"/>
      <c r="FS138" s="153"/>
      <c r="FT138" s="153"/>
      <c r="FU138" s="153"/>
      <c r="FV138" s="153"/>
      <c r="FW138" s="153"/>
      <c r="FX138" s="153"/>
      <c r="FY138" s="153"/>
      <c r="FZ138" s="153"/>
      <c r="GA138" s="153"/>
      <c r="GB138" s="153"/>
      <c r="GC138" s="153"/>
      <c r="GD138" s="153"/>
      <c r="GE138" s="153"/>
      <c r="GF138" s="153"/>
      <c r="GG138" s="153"/>
      <c r="GH138" s="153"/>
      <c r="GI138" s="153"/>
      <c r="GJ138" s="153"/>
      <c r="GK138" s="153"/>
      <c r="GL138" s="153"/>
      <c r="GM138" s="153"/>
      <c r="GN138" s="153"/>
      <c r="GO138" s="153"/>
      <c r="GP138" s="153"/>
      <c r="GQ138" s="153"/>
      <c r="GR138" s="153"/>
      <c r="GS138" s="153"/>
      <c r="GT138" s="153"/>
      <c r="GU138" s="153"/>
      <c r="GV138" s="153"/>
      <c r="GW138" s="153"/>
      <c r="GX138" s="153"/>
      <c r="GY138" s="153"/>
      <c r="GZ138" s="153"/>
      <c r="HA138" s="153"/>
      <c r="HB138" s="153"/>
      <c r="HC138" s="153"/>
      <c r="HD138" s="153"/>
      <c r="HE138" s="153"/>
      <c r="HF138" s="153"/>
      <c r="HG138" s="153"/>
      <c r="HH138" s="153"/>
      <c r="HI138" s="153"/>
      <c r="HJ138" s="153"/>
      <c r="HK138" s="153"/>
      <c r="HL138" s="153"/>
      <c r="HM138" s="153"/>
      <c r="HN138" s="153"/>
      <c r="HO138" s="153"/>
      <c r="HP138" s="153"/>
      <c r="HQ138" s="153"/>
      <c r="HR138" s="153"/>
      <c r="HS138" s="153"/>
      <c r="HT138" s="153"/>
      <c r="HU138" s="153"/>
      <c r="HV138" s="153"/>
      <c r="HW138" s="153"/>
      <c r="HX138" s="153"/>
      <c r="HY138" s="153"/>
      <c r="HZ138" s="153"/>
      <c r="IA138" s="153"/>
      <c r="IB138" s="153"/>
      <c r="IC138" s="153"/>
      <c r="ID138" s="153"/>
      <c r="IE138" s="153"/>
      <c r="IF138" s="153"/>
      <c r="IG138" s="153"/>
      <c r="IH138" s="153"/>
      <c r="II138" s="153"/>
      <c r="IJ138" s="153"/>
      <c r="IK138" s="153"/>
      <c r="IL138" s="153"/>
      <c r="IM138" s="153"/>
      <c r="IN138" s="153"/>
      <c r="IO138" s="153"/>
      <c r="IP138" s="153"/>
      <c r="IQ138" s="153"/>
      <c r="IR138" s="153"/>
      <c r="IS138" s="153"/>
      <c r="IT138" s="153"/>
      <c r="IU138" s="153"/>
      <c r="IV138" s="153"/>
      <c r="IW138" s="153"/>
      <c r="IX138" s="153"/>
      <c r="IY138" s="153"/>
      <c r="IZ138" s="153"/>
      <c r="JA138" s="153"/>
      <c r="JB138" s="153"/>
      <c r="JC138" s="153"/>
      <c r="JD138" s="153"/>
      <c r="JE138" s="153"/>
      <c r="JF138" s="153"/>
      <c r="JG138" s="153"/>
      <c r="JH138" s="153"/>
      <c r="JI138" s="153"/>
      <c r="JJ138" s="153"/>
      <c r="JK138" s="153"/>
      <c r="JL138" s="153"/>
      <c r="JM138" s="153"/>
      <c r="JN138" s="153"/>
      <c r="JO138" s="153"/>
      <c r="JP138" s="153"/>
      <c r="JQ138" s="153"/>
      <c r="JR138" s="153"/>
      <c r="JS138" s="153"/>
      <c r="JT138" s="153"/>
      <c r="JU138" s="153"/>
      <c r="JV138" s="153"/>
      <c r="JW138" s="153"/>
      <c r="JX138" s="153"/>
      <c r="JY138" s="153"/>
      <c r="JZ138" s="153"/>
      <c r="KA138" s="153"/>
      <c r="KB138" s="153"/>
      <c r="KC138" s="153"/>
    </row>
    <row r="139" spans="2:289" x14ac:dyDescent="0.25">
      <c r="B139" s="180" t="s">
        <v>153</v>
      </c>
      <c r="C139" s="196"/>
      <c r="D139" s="196"/>
      <c r="E139" s="196"/>
      <c r="F139" s="196"/>
      <c r="G139" s="272">
        <f>I139/$I$114</f>
        <v>4.6168051708217915E-3</v>
      </c>
      <c r="H139" s="218">
        <f>I139/Units</f>
        <v>100</v>
      </c>
      <c r="I139" s="218">
        <f>SUM(I136:I138)</f>
        <v>1600</v>
      </c>
      <c r="P139" s="152" t="s">
        <v>452</v>
      </c>
      <c r="R139" s="220">
        <f>SUM(R136:R138)</f>
        <v>0</v>
      </c>
      <c r="S139" s="220">
        <f t="shared" ref="S139:CD139" si="808">SUM(S136:S138)</f>
        <v>0</v>
      </c>
      <c r="T139" s="220">
        <f t="shared" si="808"/>
        <v>0</v>
      </c>
      <c r="U139" s="220">
        <f t="shared" si="808"/>
        <v>0</v>
      </c>
      <c r="V139" s="220">
        <f t="shared" si="808"/>
        <v>0</v>
      </c>
      <c r="W139" s="220">
        <f t="shared" si="808"/>
        <v>0</v>
      </c>
      <c r="X139" s="220">
        <f t="shared" si="808"/>
        <v>0</v>
      </c>
      <c r="Y139" s="220">
        <f t="shared" si="808"/>
        <v>0</v>
      </c>
      <c r="Z139" s="220">
        <f t="shared" si="808"/>
        <v>0</v>
      </c>
      <c r="AA139" s="220">
        <f t="shared" si="808"/>
        <v>0</v>
      </c>
      <c r="AB139" s="220">
        <f t="shared" si="808"/>
        <v>0</v>
      </c>
      <c r="AC139" s="220">
        <f t="shared" si="808"/>
        <v>33.333333333333336</v>
      </c>
      <c r="AD139" s="220">
        <f t="shared" si="808"/>
        <v>83.333333333333343</v>
      </c>
      <c r="AE139" s="220">
        <f t="shared" si="808"/>
        <v>133.33333333333334</v>
      </c>
      <c r="AF139" s="220">
        <f t="shared" si="808"/>
        <v>133.33333333333334</v>
      </c>
      <c r="AG139" s="220">
        <f t="shared" si="808"/>
        <v>133.33333333333334</v>
      </c>
      <c r="AH139" s="220">
        <f t="shared" si="808"/>
        <v>133.33333333333334</v>
      </c>
      <c r="AI139" s="220">
        <f t="shared" si="808"/>
        <v>133.33333333333334</v>
      </c>
      <c r="AJ139" s="220">
        <f t="shared" si="808"/>
        <v>133.33333333333334</v>
      </c>
      <c r="AK139" s="220">
        <f t="shared" si="808"/>
        <v>133.33333333333334</v>
      </c>
      <c r="AL139" s="220">
        <f t="shared" si="808"/>
        <v>133.33333333333334</v>
      </c>
      <c r="AM139" s="220">
        <f t="shared" si="808"/>
        <v>133.33333333333334</v>
      </c>
      <c r="AN139" s="220">
        <f t="shared" si="808"/>
        <v>133.33333333333334</v>
      </c>
      <c r="AO139" s="220">
        <f t="shared" si="808"/>
        <v>136</v>
      </c>
      <c r="AP139" s="220">
        <f t="shared" si="808"/>
        <v>136</v>
      </c>
      <c r="AQ139" s="220">
        <f t="shared" si="808"/>
        <v>136</v>
      </c>
      <c r="AR139" s="220">
        <f t="shared" si="808"/>
        <v>136</v>
      </c>
      <c r="AS139" s="220">
        <f t="shared" si="808"/>
        <v>136</v>
      </c>
      <c r="AT139" s="220">
        <f t="shared" si="808"/>
        <v>136</v>
      </c>
      <c r="AU139" s="220">
        <f t="shared" si="808"/>
        <v>136</v>
      </c>
      <c r="AV139" s="220">
        <f t="shared" si="808"/>
        <v>136</v>
      </c>
      <c r="AW139" s="220">
        <f t="shared" si="808"/>
        <v>136</v>
      </c>
      <c r="AX139" s="220">
        <f t="shared" si="808"/>
        <v>136</v>
      </c>
      <c r="AY139" s="220">
        <f t="shared" si="808"/>
        <v>136</v>
      </c>
      <c r="AZ139" s="220">
        <f t="shared" si="808"/>
        <v>136</v>
      </c>
      <c r="BA139" s="220">
        <f t="shared" si="808"/>
        <v>138.72</v>
      </c>
      <c r="BB139" s="220">
        <f t="shared" si="808"/>
        <v>138.72</v>
      </c>
      <c r="BC139" s="220">
        <f t="shared" si="808"/>
        <v>138.72</v>
      </c>
      <c r="BD139" s="220">
        <f t="shared" si="808"/>
        <v>138.72</v>
      </c>
      <c r="BE139" s="220">
        <f t="shared" si="808"/>
        <v>138.72</v>
      </c>
      <c r="BF139" s="220">
        <f t="shared" si="808"/>
        <v>138.72</v>
      </c>
      <c r="BG139" s="220">
        <f t="shared" si="808"/>
        <v>138.72</v>
      </c>
      <c r="BH139" s="220">
        <f t="shared" si="808"/>
        <v>138.72</v>
      </c>
      <c r="BI139" s="220">
        <f t="shared" si="808"/>
        <v>138.72</v>
      </c>
      <c r="BJ139" s="220">
        <f t="shared" si="808"/>
        <v>138.72</v>
      </c>
      <c r="BK139" s="220">
        <f t="shared" si="808"/>
        <v>138.72</v>
      </c>
      <c r="BL139" s="220">
        <f t="shared" si="808"/>
        <v>138.72</v>
      </c>
      <c r="BM139" s="220">
        <f t="shared" si="808"/>
        <v>141.49440000000001</v>
      </c>
      <c r="BN139" s="220">
        <f t="shared" si="808"/>
        <v>141.49440000000001</v>
      </c>
      <c r="BO139" s="220">
        <f t="shared" si="808"/>
        <v>141.49440000000001</v>
      </c>
      <c r="BP139" s="220">
        <f t="shared" si="808"/>
        <v>141.49440000000001</v>
      </c>
      <c r="BQ139" s="220">
        <f t="shared" si="808"/>
        <v>141.49440000000001</v>
      </c>
      <c r="BR139" s="220">
        <f t="shared" si="808"/>
        <v>141.49440000000001</v>
      </c>
      <c r="BS139" s="220">
        <f t="shared" si="808"/>
        <v>141.49440000000001</v>
      </c>
      <c r="BT139" s="220">
        <f t="shared" si="808"/>
        <v>141.49440000000001</v>
      </c>
      <c r="BU139" s="220">
        <f t="shared" si="808"/>
        <v>141.49440000000001</v>
      </c>
      <c r="BV139" s="220">
        <f t="shared" si="808"/>
        <v>141.49440000000001</v>
      </c>
      <c r="BW139" s="220">
        <f t="shared" si="808"/>
        <v>141.49440000000001</v>
      </c>
      <c r="BX139" s="220">
        <f t="shared" si="808"/>
        <v>141.49440000000001</v>
      </c>
      <c r="BY139" s="220">
        <f t="shared" si="808"/>
        <v>144.324288</v>
      </c>
      <c r="BZ139" s="220">
        <f t="shared" si="808"/>
        <v>144.324288</v>
      </c>
      <c r="CA139" s="220">
        <f t="shared" si="808"/>
        <v>144.324288</v>
      </c>
      <c r="CB139" s="220">
        <f t="shared" si="808"/>
        <v>144.324288</v>
      </c>
      <c r="CC139" s="220">
        <f t="shared" si="808"/>
        <v>144.324288</v>
      </c>
      <c r="CD139" s="220">
        <f t="shared" si="808"/>
        <v>144.324288</v>
      </c>
      <c r="CE139" s="220">
        <f t="shared" ref="CE139:EP139" si="809">SUM(CE136:CE138)</f>
        <v>144.324288</v>
      </c>
      <c r="CF139" s="220">
        <f t="shared" si="809"/>
        <v>144.324288</v>
      </c>
      <c r="CG139" s="220">
        <f t="shared" si="809"/>
        <v>144.324288</v>
      </c>
      <c r="CH139" s="220">
        <f t="shared" si="809"/>
        <v>144.324288</v>
      </c>
      <c r="CI139" s="220">
        <f t="shared" si="809"/>
        <v>144.324288</v>
      </c>
      <c r="CJ139" s="220">
        <f t="shared" si="809"/>
        <v>144.324288</v>
      </c>
      <c r="CK139" s="220">
        <f t="shared" si="809"/>
        <v>147.21077376000002</v>
      </c>
      <c r="CL139" s="220">
        <f t="shared" si="809"/>
        <v>147.21077376000002</v>
      </c>
      <c r="CM139" s="220">
        <f t="shared" si="809"/>
        <v>147.21077376000002</v>
      </c>
      <c r="CN139" s="220">
        <f t="shared" si="809"/>
        <v>147.21077376000002</v>
      </c>
      <c r="CO139" s="220">
        <f t="shared" si="809"/>
        <v>147.21077376000002</v>
      </c>
      <c r="CP139" s="220">
        <f t="shared" si="809"/>
        <v>147.21077376000002</v>
      </c>
      <c r="CQ139" s="220">
        <f t="shared" si="809"/>
        <v>147.21077376000002</v>
      </c>
      <c r="CR139" s="220">
        <f t="shared" si="809"/>
        <v>147.21077376000002</v>
      </c>
      <c r="CS139" s="220">
        <f t="shared" si="809"/>
        <v>147.21077376000002</v>
      </c>
      <c r="CT139" s="220">
        <f t="shared" si="809"/>
        <v>147.21077376000002</v>
      </c>
      <c r="CU139" s="220">
        <f t="shared" si="809"/>
        <v>147.21077376000002</v>
      </c>
      <c r="CV139" s="220">
        <f t="shared" si="809"/>
        <v>147.21077376000002</v>
      </c>
      <c r="CW139" s="220">
        <f t="shared" si="809"/>
        <v>150.15498923520002</v>
      </c>
      <c r="CX139" s="220">
        <f t="shared" si="809"/>
        <v>150.15498923520002</v>
      </c>
      <c r="CY139" s="220">
        <f t="shared" si="809"/>
        <v>150.15498923520002</v>
      </c>
      <c r="CZ139" s="220">
        <f t="shared" si="809"/>
        <v>150.15498923520002</v>
      </c>
      <c r="DA139" s="220">
        <f t="shared" si="809"/>
        <v>150.15498923520002</v>
      </c>
      <c r="DB139" s="220">
        <f t="shared" si="809"/>
        <v>150.15498923520002</v>
      </c>
      <c r="DC139" s="220">
        <f t="shared" si="809"/>
        <v>150.15498923520002</v>
      </c>
      <c r="DD139" s="220">
        <f t="shared" si="809"/>
        <v>150.15498923520002</v>
      </c>
      <c r="DE139" s="220">
        <f t="shared" si="809"/>
        <v>150.15498923520002</v>
      </c>
      <c r="DF139" s="220">
        <f t="shared" si="809"/>
        <v>150.15498923520002</v>
      </c>
      <c r="DG139" s="220">
        <f t="shared" si="809"/>
        <v>150.15498923520002</v>
      </c>
      <c r="DH139" s="220">
        <f t="shared" si="809"/>
        <v>150.15498923520002</v>
      </c>
      <c r="DI139" s="220">
        <f t="shared" si="809"/>
        <v>153.158089019904</v>
      </c>
      <c r="DJ139" s="220">
        <f t="shared" si="809"/>
        <v>153.158089019904</v>
      </c>
      <c r="DK139" s="220">
        <f t="shared" si="809"/>
        <v>153.158089019904</v>
      </c>
      <c r="DL139" s="220">
        <f t="shared" si="809"/>
        <v>153.158089019904</v>
      </c>
      <c r="DM139" s="220">
        <f t="shared" si="809"/>
        <v>153.158089019904</v>
      </c>
      <c r="DN139" s="220">
        <f t="shared" si="809"/>
        <v>153.158089019904</v>
      </c>
      <c r="DO139" s="220">
        <f t="shared" si="809"/>
        <v>153.158089019904</v>
      </c>
      <c r="DP139" s="220">
        <f t="shared" si="809"/>
        <v>153.158089019904</v>
      </c>
      <c r="DQ139" s="220">
        <f t="shared" si="809"/>
        <v>153.158089019904</v>
      </c>
      <c r="DR139" s="220">
        <f t="shared" si="809"/>
        <v>153.158089019904</v>
      </c>
      <c r="DS139" s="220">
        <f t="shared" si="809"/>
        <v>153.158089019904</v>
      </c>
      <c r="DT139" s="220">
        <f t="shared" si="809"/>
        <v>153.158089019904</v>
      </c>
      <c r="DU139" s="220">
        <f t="shared" si="809"/>
        <v>156.22125080030207</v>
      </c>
      <c r="DV139" s="220">
        <f t="shared" si="809"/>
        <v>156.22125080030207</v>
      </c>
      <c r="DW139" s="220">
        <f t="shared" si="809"/>
        <v>156.22125080030207</v>
      </c>
      <c r="DX139" s="220">
        <f t="shared" si="809"/>
        <v>156.22125080030207</v>
      </c>
      <c r="DY139" s="220">
        <f t="shared" si="809"/>
        <v>156.22125080030207</v>
      </c>
      <c r="DZ139" s="220">
        <f t="shared" si="809"/>
        <v>156.22125080030207</v>
      </c>
      <c r="EA139" s="220">
        <f t="shared" si="809"/>
        <v>156.22125080030207</v>
      </c>
      <c r="EB139" s="220">
        <f t="shared" si="809"/>
        <v>156.22125080030207</v>
      </c>
      <c r="EC139" s="220">
        <f t="shared" si="809"/>
        <v>156.22125080030207</v>
      </c>
      <c r="ED139" s="220">
        <f t="shared" si="809"/>
        <v>156.22125080030207</v>
      </c>
      <c r="EE139" s="220">
        <f t="shared" si="809"/>
        <v>156.22125080030207</v>
      </c>
      <c r="EF139" s="220">
        <f t="shared" si="809"/>
        <v>156.22125080030207</v>
      </c>
      <c r="EG139" s="220">
        <f t="shared" si="809"/>
        <v>159.34567581630813</v>
      </c>
      <c r="EH139" s="220">
        <f t="shared" si="809"/>
        <v>159.34567581630813</v>
      </c>
      <c r="EI139" s="220">
        <f t="shared" si="809"/>
        <v>159.34567581630813</v>
      </c>
      <c r="EJ139" s="220">
        <f t="shared" si="809"/>
        <v>159.34567581630813</v>
      </c>
      <c r="EK139" s="220">
        <f t="shared" si="809"/>
        <v>159.34567581630813</v>
      </c>
      <c r="EL139" s="220">
        <f t="shared" si="809"/>
        <v>159.34567581630813</v>
      </c>
      <c r="EM139" s="220">
        <f t="shared" si="809"/>
        <v>159.34567581630813</v>
      </c>
      <c r="EN139" s="220">
        <f t="shared" si="809"/>
        <v>159.34567581630813</v>
      </c>
      <c r="EO139" s="220">
        <f t="shared" si="809"/>
        <v>159.34567581630813</v>
      </c>
      <c r="EP139" s="220">
        <f t="shared" si="809"/>
        <v>159.34567581630813</v>
      </c>
      <c r="EQ139" s="220">
        <f>SUM(EQ136:EQ138)</f>
        <v>159.34567581630813</v>
      </c>
      <c r="ER139" s="220">
        <f>SUM(ER136:ER138)</f>
        <v>159.34567581630813</v>
      </c>
      <c r="ES139" s="220">
        <f>SUM(ES136:ES138)</f>
        <v>162.5325893326343</v>
      </c>
      <c r="EU139" s="153"/>
      <c r="EV139" s="153"/>
      <c r="EW139" s="153"/>
      <c r="EX139" s="153"/>
      <c r="EY139" s="153"/>
      <c r="EZ139" s="154"/>
      <c r="FA139" s="153"/>
      <c r="FB139" s="153"/>
      <c r="FC139" s="153"/>
      <c r="FD139" s="153"/>
      <c r="FE139" s="153"/>
      <c r="FF139" s="153"/>
      <c r="FG139" s="153"/>
      <c r="FH139" s="153"/>
      <c r="FI139" s="153"/>
      <c r="FJ139" s="153"/>
      <c r="FK139" s="153"/>
      <c r="FL139" s="153"/>
      <c r="FM139" s="153"/>
      <c r="FN139" s="153"/>
      <c r="FO139" s="153"/>
      <c r="FP139" s="153"/>
      <c r="FQ139" s="153"/>
      <c r="FR139" s="153"/>
      <c r="FS139" s="153"/>
      <c r="FT139" s="153"/>
      <c r="FU139" s="153"/>
      <c r="FV139" s="153"/>
      <c r="FW139" s="153"/>
      <c r="FX139" s="153"/>
      <c r="FY139" s="153"/>
      <c r="FZ139" s="153"/>
      <c r="GA139" s="153"/>
      <c r="GB139" s="153"/>
      <c r="GC139" s="153"/>
      <c r="GD139" s="153"/>
      <c r="GE139" s="153"/>
      <c r="GF139" s="153"/>
      <c r="GG139" s="153"/>
      <c r="GH139" s="153"/>
      <c r="GI139" s="153"/>
      <c r="GJ139" s="153"/>
      <c r="GK139" s="153"/>
      <c r="GL139" s="153"/>
      <c r="GM139" s="153"/>
      <c r="GN139" s="153"/>
      <c r="GO139" s="153"/>
      <c r="GP139" s="153"/>
      <c r="GQ139" s="153"/>
      <c r="GR139" s="153"/>
      <c r="GS139" s="153"/>
      <c r="GT139" s="153"/>
      <c r="GU139" s="153"/>
      <c r="GV139" s="153"/>
      <c r="GW139" s="153"/>
      <c r="GX139" s="153"/>
      <c r="GY139" s="153"/>
      <c r="GZ139" s="153"/>
      <c r="HA139" s="153"/>
      <c r="HB139" s="153"/>
      <c r="HC139" s="153"/>
      <c r="HD139" s="153"/>
      <c r="HE139" s="153"/>
      <c r="HF139" s="153"/>
      <c r="HG139" s="153"/>
      <c r="HH139" s="153"/>
      <c r="HI139" s="153"/>
      <c r="HJ139" s="153"/>
      <c r="HK139" s="153"/>
      <c r="HL139" s="153"/>
      <c r="HM139" s="153"/>
      <c r="HN139" s="153"/>
      <c r="HO139" s="153"/>
      <c r="HP139" s="153"/>
      <c r="HQ139" s="153"/>
      <c r="HR139" s="153"/>
      <c r="HS139" s="153"/>
      <c r="HT139" s="153"/>
      <c r="HU139" s="153"/>
      <c r="HV139" s="153"/>
      <c r="HW139" s="153"/>
      <c r="HX139" s="153"/>
      <c r="HY139" s="153"/>
      <c r="HZ139" s="153"/>
      <c r="IA139" s="153"/>
      <c r="IB139" s="153"/>
      <c r="IC139" s="153"/>
      <c r="ID139" s="153"/>
      <c r="IE139" s="153"/>
      <c r="IF139" s="153"/>
      <c r="IG139" s="153"/>
      <c r="IH139" s="153"/>
      <c r="II139" s="153"/>
      <c r="IJ139" s="153"/>
      <c r="IK139" s="153"/>
      <c r="IL139" s="153"/>
      <c r="IM139" s="153"/>
      <c r="IN139" s="153"/>
      <c r="IO139" s="153"/>
      <c r="IP139" s="153"/>
      <c r="IQ139" s="153"/>
      <c r="IR139" s="153"/>
      <c r="IS139" s="153"/>
      <c r="IT139" s="153"/>
      <c r="IU139" s="153"/>
      <c r="IV139" s="153"/>
      <c r="IW139" s="153"/>
      <c r="IX139" s="153"/>
      <c r="IY139" s="153"/>
      <c r="IZ139" s="153"/>
      <c r="JA139" s="153"/>
      <c r="JB139" s="153"/>
      <c r="JC139" s="153"/>
      <c r="JD139" s="153"/>
      <c r="JE139" s="153"/>
      <c r="JF139" s="153"/>
      <c r="JG139" s="153"/>
      <c r="JH139" s="153"/>
      <c r="JI139" s="153"/>
      <c r="JJ139" s="153"/>
      <c r="JK139" s="153"/>
      <c r="JL139" s="153"/>
      <c r="JM139" s="153"/>
      <c r="JN139" s="153"/>
      <c r="JO139" s="153"/>
      <c r="JP139" s="153"/>
      <c r="JQ139" s="153"/>
      <c r="JR139" s="153"/>
      <c r="JS139" s="153"/>
      <c r="JT139" s="153"/>
      <c r="JU139" s="153"/>
      <c r="JV139" s="153"/>
      <c r="JW139" s="153"/>
      <c r="JX139" s="153"/>
      <c r="JY139" s="153"/>
      <c r="JZ139" s="153"/>
      <c r="KA139" s="153"/>
      <c r="KB139" s="153"/>
      <c r="KC139" s="153"/>
    </row>
    <row r="140" spans="2:289" ht="4.9000000000000004" customHeight="1" x14ac:dyDescent="0.25">
      <c r="B140" s="180"/>
      <c r="C140" s="196"/>
      <c r="D140" s="196"/>
      <c r="E140" s="196"/>
      <c r="F140" s="196"/>
      <c r="G140" s="196"/>
      <c r="H140" s="196"/>
      <c r="I140" s="196"/>
      <c r="EU140" s="153"/>
      <c r="EV140" s="153"/>
      <c r="EW140" s="153"/>
      <c r="EX140" s="153"/>
      <c r="EY140" s="153"/>
      <c r="EZ140" s="154"/>
      <c r="FA140" s="153"/>
      <c r="FB140" s="153"/>
      <c r="FC140" s="153"/>
      <c r="FD140" s="153"/>
      <c r="FE140" s="153"/>
      <c r="FF140" s="153"/>
      <c r="FG140" s="153"/>
      <c r="FH140" s="153"/>
      <c r="FI140" s="153"/>
      <c r="FJ140" s="153"/>
      <c r="FK140" s="153"/>
      <c r="FL140" s="153"/>
      <c r="FM140" s="153"/>
      <c r="FN140" s="153"/>
      <c r="FO140" s="153"/>
      <c r="FP140" s="153"/>
      <c r="FQ140" s="153"/>
      <c r="FR140" s="153"/>
      <c r="FS140" s="153"/>
      <c r="FT140" s="153"/>
      <c r="FU140" s="153"/>
      <c r="FV140" s="153"/>
      <c r="FW140" s="153"/>
      <c r="FX140" s="153"/>
      <c r="FY140" s="153"/>
      <c r="FZ140" s="153"/>
      <c r="GA140" s="153"/>
      <c r="GB140" s="153"/>
      <c r="GC140" s="153"/>
      <c r="GD140" s="153"/>
      <c r="GE140" s="153"/>
      <c r="GF140" s="153"/>
      <c r="GG140" s="153"/>
      <c r="GH140" s="153"/>
      <c r="GI140" s="153"/>
      <c r="GJ140" s="153"/>
      <c r="GK140" s="153"/>
      <c r="GL140" s="153"/>
      <c r="GM140" s="153"/>
      <c r="GN140" s="153"/>
      <c r="GO140" s="153"/>
      <c r="GP140" s="153"/>
      <c r="GQ140" s="153"/>
      <c r="GR140" s="153"/>
      <c r="GS140" s="153"/>
      <c r="GT140" s="153"/>
      <c r="GU140" s="153"/>
      <c r="GV140" s="153"/>
      <c r="GW140" s="153"/>
      <c r="GX140" s="153"/>
      <c r="GY140" s="153"/>
      <c r="GZ140" s="153"/>
      <c r="HA140" s="153"/>
      <c r="HB140" s="153"/>
      <c r="HC140" s="153"/>
      <c r="HD140" s="153"/>
      <c r="HE140" s="153"/>
      <c r="HF140" s="153"/>
      <c r="HG140" s="153"/>
      <c r="HH140" s="153"/>
      <c r="HI140" s="153"/>
      <c r="HJ140" s="153"/>
      <c r="HK140" s="153"/>
      <c r="HL140" s="153"/>
      <c r="HM140" s="153"/>
      <c r="HN140" s="153"/>
      <c r="HO140" s="153"/>
      <c r="HP140" s="153"/>
      <c r="HQ140" s="153"/>
      <c r="HR140" s="153"/>
      <c r="HS140" s="153"/>
      <c r="HT140" s="153"/>
      <c r="HU140" s="153"/>
      <c r="HV140" s="153"/>
      <c r="HW140" s="153"/>
      <c r="HX140" s="153"/>
      <c r="HY140" s="153"/>
      <c r="HZ140" s="153"/>
      <c r="IA140" s="153"/>
      <c r="IB140" s="153"/>
      <c r="IC140" s="153"/>
      <c r="ID140" s="153"/>
      <c r="IE140" s="153"/>
      <c r="IF140" s="153"/>
      <c r="IG140" s="153"/>
      <c r="IH140" s="153"/>
      <c r="II140" s="153"/>
      <c r="IJ140" s="153"/>
      <c r="IK140" s="153"/>
      <c r="IL140" s="153"/>
      <c r="IM140" s="153"/>
      <c r="IN140" s="153"/>
      <c r="IO140" s="153"/>
      <c r="IP140" s="153"/>
      <c r="IQ140" s="153"/>
      <c r="IR140" s="153"/>
      <c r="IS140" s="153"/>
      <c r="IT140" s="153"/>
      <c r="IU140" s="153"/>
      <c r="IV140" s="153"/>
      <c r="IW140" s="153"/>
      <c r="IX140" s="153"/>
      <c r="IY140" s="153"/>
      <c r="IZ140" s="153"/>
      <c r="JA140" s="153"/>
      <c r="JB140" s="153"/>
      <c r="JC140" s="153"/>
      <c r="JD140" s="153"/>
      <c r="JE140" s="153"/>
      <c r="JF140" s="153"/>
      <c r="JG140" s="153"/>
      <c r="JH140" s="153"/>
      <c r="JI140" s="153"/>
      <c r="JJ140" s="153"/>
      <c r="JK140" s="153"/>
      <c r="JL140" s="153"/>
      <c r="JM140" s="153"/>
      <c r="JN140" s="153"/>
      <c r="JO140" s="153"/>
      <c r="JP140" s="153"/>
      <c r="JQ140" s="153"/>
      <c r="JR140" s="153"/>
      <c r="JS140" s="153"/>
      <c r="JT140" s="153"/>
      <c r="JU140" s="153"/>
      <c r="JV140" s="153"/>
      <c r="JW140" s="153"/>
      <c r="JX140" s="153"/>
      <c r="JY140" s="153"/>
      <c r="JZ140" s="153"/>
      <c r="KA140" s="153"/>
      <c r="KB140" s="153"/>
      <c r="KC140" s="153"/>
    </row>
    <row r="141" spans="2:289" x14ac:dyDescent="0.25">
      <c r="B141" s="180" t="s">
        <v>155</v>
      </c>
      <c r="C141" s="196"/>
      <c r="D141" s="196"/>
      <c r="E141" s="196"/>
      <c r="F141" s="196"/>
      <c r="G141" s="196"/>
      <c r="H141" s="196"/>
      <c r="I141" s="218">
        <f>+I133-I139</f>
        <v>227448.64</v>
      </c>
      <c r="P141" s="152" t="s">
        <v>177</v>
      </c>
      <c r="R141" s="220">
        <f ca="1">R133-R139</f>
        <v>0</v>
      </c>
      <c r="S141" s="220">
        <f t="shared" ref="S141:CD141" ca="1" si="810">S133-S139</f>
        <v>0</v>
      </c>
      <c r="T141" s="220">
        <f t="shared" ca="1" si="810"/>
        <v>0</v>
      </c>
      <c r="U141" s="220">
        <f t="shared" ca="1" si="810"/>
        <v>0</v>
      </c>
      <c r="V141" s="220">
        <f t="shared" ca="1" si="810"/>
        <v>0</v>
      </c>
      <c r="W141" s="220">
        <f t="shared" ca="1" si="810"/>
        <v>0</v>
      </c>
      <c r="X141" s="220">
        <f t="shared" ca="1" si="810"/>
        <v>0</v>
      </c>
      <c r="Y141" s="220">
        <f t="shared" ca="1" si="810"/>
        <v>0</v>
      </c>
      <c r="Z141" s="220">
        <f t="shared" ca="1" si="810"/>
        <v>0</v>
      </c>
      <c r="AA141" s="220">
        <f t="shared" ca="1" si="810"/>
        <v>0</v>
      </c>
      <c r="AB141" s="220">
        <f t="shared" ca="1" si="810"/>
        <v>0</v>
      </c>
      <c r="AC141" s="220">
        <f t="shared" ca="1" si="810"/>
        <v>854.48499999999933</v>
      </c>
      <c r="AD141" s="220">
        <f t="shared" ca="1" si="810"/>
        <v>10928.922499999999</v>
      </c>
      <c r="AE141" s="220">
        <f t="shared" ca="1" si="810"/>
        <v>21003.360000000001</v>
      </c>
      <c r="AF141" s="220">
        <f t="shared" ca="1" si="810"/>
        <v>21003.360000000001</v>
      </c>
      <c r="AG141" s="220">
        <f t="shared" ca="1" si="810"/>
        <v>21003.360000000001</v>
      </c>
      <c r="AH141" s="220">
        <f t="shared" ca="1" si="810"/>
        <v>21003.360000000001</v>
      </c>
      <c r="AI141" s="220">
        <f t="shared" ca="1" si="810"/>
        <v>21003.360000000001</v>
      </c>
      <c r="AJ141" s="220">
        <f t="shared" ca="1" si="810"/>
        <v>21003.360000000001</v>
      </c>
      <c r="AK141" s="220">
        <f t="shared" ca="1" si="810"/>
        <v>21003.360000000001</v>
      </c>
      <c r="AL141" s="220">
        <f t="shared" ca="1" si="810"/>
        <v>21003.360000000001</v>
      </c>
      <c r="AM141" s="220">
        <f t="shared" ca="1" si="810"/>
        <v>21003.360000000001</v>
      </c>
      <c r="AN141" s="220">
        <f t="shared" ca="1" si="810"/>
        <v>21003.360000000001</v>
      </c>
      <c r="AO141" s="220">
        <f t="shared" ca="1" si="810"/>
        <v>20035.330799999996</v>
      </c>
      <c r="AP141" s="220">
        <f t="shared" ca="1" si="810"/>
        <v>20343.985800000002</v>
      </c>
      <c r="AQ141" s="220">
        <f t="shared" ca="1" si="810"/>
        <v>20652.640800000001</v>
      </c>
      <c r="AR141" s="220">
        <f t="shared" ca="1" si="810"/>
        <v>20652.640800000001</v>
      </c>
      <c r="AS141" s="220">
        <f t="shared" ca="1" si="810"/>
        <v>20652.640800000001</v>
      </c>
      <c r="AT141" s="220">
        <f t="shared" ca="1" si="810"/>
        <v>20652.640800000001</v>
      </c>
      <c r="AU141" s="220">
        <f t="shared" ca="1" si="810"/>
        <v>20652.640800000001</v>
      </c>
      <c r="AV141" s="220">
        <f t="shared" ca="1" si="810"/>
        <v>20652.640800000001</v>
      </c>
      <c r="AW141" s="220">
        <f t="shared" ca="1" si="810"/>
        <v>20652.640800000001</v>
      </c>
      <c r="AX141" s="220">
        <f t="shared" ca="1" si="810"/>
        <v>20652.640800000001</v>
      </c>
      <c r="AY141" s="220">
        <f t="shared" ca="1" si="810"/>
        <v>20652.640800000001</v>
      </c>
      <c r="AZ141" s="220">
        <f t="shared" ca="1" si="810"/>
        <v>20652.640800000001</v>
      </c>
      <c r="BA141" s="220">
        <f t="shared" ca="1" si="810"/>
        <v>19646.405787999996</v>
      </c>
      <c r="BB141" s="220">
        <f t="shared" ca="1" si="810"/>
        <v>19964.320437999995</v>
      </c>
      <c r="BC141" s="220">
        <f t="shared" ca="1" si="810"/>
        <v>20282.235088000001</v>
      </c>
      <c r="BD141" s="220">
        <f t="shared" ca="1" si="810"/>
        <v>20282.235088000001</v>
      </c>
      <c r="BE141" s="220">
        <f t="shared" ca="1" si="810"/>
        <v>20282.235088000001</v>
      </c>
      <c r="BF141" s="220">
        <f t="shared" ca="1" si="810"/>
        <v>20282.235088000001</v>
      </c>
      <c r="BG141" s="220">
        <f t="shared" ca="1" si="810"/>
        <v>20282.235088000001</v>
      </c>
      <c r="BH141" s="220">
        <f t="shared" ca="1" si="810"/>
        <v>20282.235088000001</v>
      </c>
      <c r="BI141" s="220">
        <f t="shared" ca="1" si="810"/>
        <v>20282.235088000001</v>
      </c>
      <c r="BJ141" s="220">
        <f t="shared" ca="1" si="810"/>
        <v>20282.235088000001</v>
      </c>
      <c r="BK141" s="220">
        <f t="shared" ca="1" si="810"/>
        <v>20282.235088000001</v>
      </c>
      <c r="BL141" s="220">
        <f t="shared" ca="1" si="810"/>
        <v>20282.235088000001</v>
      </c>
      <c r="BM141" s="220">
        <f t="shared" ca="1" si="810"/>
        <v>20324.044134760006</v>
      </c>
      <c r="BN141" s="220">
        <f t="shared" ca="1" si="810"/>
        <v>20651.496224260005</v>
      </c>
      <c r="BO141" s="220">
        <f t="shared" ca="1" si="810"/>
        <v>20978.948313760004</v>
      </c>
      <c r="BP141" s="220">
        <f t="shared" ca="1" si="810"/>
        <v>20978.948313760004</v>
      </c>
      <c r="BQ141" s="220">
        <f t="shared" ca="1" si="810"/>
        <v>20978.948313760004</v>
      </c>
      <c r="BR141" s="220">
        <f t="shared" ca="1" si="810"/>
        <v>20978.948313760004</v>
      </c>
      <c r="BS141" s="220">
        <f t="shared" ca="1" si="810"/>
        <v>20978.948313760004</v>
      </c>
      <c r="BT141" s="220">
        <f t="shared" ca="1" si="810"/>
        <v>20978.948313760004</v>
      </c>
      <c r="BU141" s="220">
        <f t="shared" ca="1" si="810"/>
        <v>20978.948313760004</v>
      </c>
      <c r="BV141" s="220">
        <f t="shared" ca="1" si="810"/>
        <v>20978.948313760004</v>
      </c>
      <c r="BW141" s="220">
        <f t="shared" ca="1" si="810"/>
        <v>20978.948313760004</v>
      </c>
      <c r="BX141" s="220">
        <f t="shared" ca="1" si="810"/>
        <v>20978.948313760004</v>
      </c>
      <c r="BY141" s="220">
        <f t="shared" ca="1" si="810"/>
        <v>21023.776555385193</v>
      </c>
      <c r="BZ141" s="220">
        <f t="shared" ca="1" si="810"/>
        <v>21361.052207570199</v>
      </c>
      <c r="CA141" s="220">
        <f t="shared" ca="1" si="810"/>
        <v>21698.327859755198</v>
      </c>
      <c r="CB141" s="220">
        <f t="shared" ca="1" si="810"/>
        <v>21698.327859755198</v>
      </c>
      <c r="CC141" s="220">
        <f t="shared" ca="1" si="810"/>
        <v>21698.327859755198</v>
      </c>
      <c r="CD141" s="220">
        <f t="shared" ca="1" si="810"/>
        <v>21698.327859755198</v>
      </c>
      <c r="CE141" s="220">
        <f t="shared" ref="CE141:EP141" ca="1" si="811">CE133-CE139</f>
        <v>21698.327859755198</v>
      </c>
      <c r="CF141" s="220">
        <f t="shared" ca="1" si="811"/>
        <v>21698.327859755198</v>
      </c>
      <c r="CG141" s="220">
        <f t="shared" ca="1" si="811"/>
        <v>21698.327859755198</v>
      </c>
      <c r="CH141" s="220">
        <f t="shared" ca="1" si="811"/>
        <v>21698.327859755198</v>
      </c>
      <c r="CI141" s="220">
        <f t="shared" ca="1" si="811"/>
        <v>21698.327859755198</v>
      </c>
      <c r="CJ141" s="220">
        <f t="shared" ca="1" si="811"/>
        <v>21698.327859755198</v>
      </c>
      <c r="CK141" s="220">
        <f t="shared" ca="1" si="811"/>
        <v>21746.301170560801</v>
      </c>
      <c r="CL141" s="220">
        <f t="shared" ca="1" si="811"/>
        <v>22093.695092311351</v>
      </c>
      <c r="CM141" s="220">
        <f t="shared" ca="1" si="811"/>
        <v>22441.089014061894</v>
      </c>
      <c r="CN141" s="220">
        <f t="shared" ca="1" si="811"/>
        <v>22441.089014061894</v>
      </c>
      <c r="CO141" s="220">
        <f t="shared" ca="1" si="811"/>
        <v>22441.089014061894</v>
      </c>
      <c r="CP141" s="220">
        <f t="shared" ca="1" si="811"/>
        <v>22441.089014061894</v>
      </c>
      <c r="CQ141" s="220">
        <f t="shared" ca="1" si="811"/>
        <v>22441.089014061894</v>
      </c>
      <c r="CR141" s="220">
        <f t="shared" ca="1" si="811"/>
        <v>22441.089014061894</v>
      </c>
      <c r="CS141" s="220">
        <f t="shared" ca="1" si="811"/>
        <v>22441.089014061894</v>
      </c>
      <c r="CT141" s="220">
        <f t="shared" ca="1" si="811"/>
        <v>22441.089014061894</v>
      </c>
      <c r="CU141" s="220">
        <f t="shared" ca="1" si="811"/>
        <v>22441.089014061894</v>
      </c>
      <c r="CV141" s="220">
        <f t="shared" ca="1" si="811"/>
        <v>22441.089014061894</v>
      </c>
      <c r="CW141" s="220">
        <f t="shared" ca="1" si="811"/>
        <v>22492.337750561954</v>
      </c>
      <c r="CX141" s="220">
        <f t="shared" ca="1" si="811"/>
        <v>22850.153489965025</v>
      </c>
      <c r="CY141" s="220">
        <f t="shared" ca="1" si="811"/>
        <v>23207.969229368086</v>
      </c>
      <c r="CZ141" s="220">
        <f t="shared" ca="1" si="811"/>
        <v>23207.969229368086</v>
      </c>
      <c r="DA141" s="220">
        <f t="shared" ca="1" si="811"/>
        <v>23207.969229368086</v>
      </c>
      <c r="DB141" s="220">
        <f t="shared" ca="1" si="811"/>
        <v>23207.969229368086</v>
      </c>
      <c r="DC141" s="220">
        <f t="shared" ca="1" si="811"/>
        <v>23207.969229368086</v>
      </c>
      <c r="DD141" s="220">
        <f t="shared" ca="1" si="811"/>
        <v>23207.969229368086</v>
      </c>
      <c r="DE141" s="220">
        <f t="shared" ca="1" si="811"/>
        <v>23207.969229368086</v>
      </c>
      <c r="DF141" s="220">
        <f t="shared" ca="1" si="811"/>
        <v>23207.969229368086</v>
      </c>
      <c r="DG141" s="220">
        <f t="shared" ca="1" si="811"/>
        <v>23207.969229368086</v>
      </c>
      <c r="DH141" s="220">
        <f t="shared" ca="1" si="811"/>
        <v>23207.969229368086</v>
      </c>
      <c r="DI141" s="220">
        <f t="shared" ca="1" si="811"/>
        <v>23262.628378860831</v>
      </c>
      <c r="DJ141" s="220">
        <f t="shared" ca="1" si="811"/>
        <v>23631.178590445998</v>
      </c>
      <c r="DK141" s="220">
        <f t="shared" ca="1" si="811"/>
        <v>23999.728802031153</v>
      </c>
      <c r="DL141" s="220">
        <f t="shared" ca="1" si="811"/>
        <v>23999.728802031153</v>
      </c>
      <c r="DM141" s="220">
        <f t="shared" ca="1" si="811"/>
        <v>23999.728802031153</v>
      </c>
      <c r="DN141" s="220">
        <f t="shared" ca="1" si="811"/>
        <v>23999.728802031153</v>
      </c>
      <c r="DO141" s="220">
        <f t="shared" ca="1" si="811"/>
        <v>23999.728802031153</v>
      </c>
      <c r="DP141" s="220">
        <f t="shared" ca="1" si="811"/>
        <v>23999.728802031153</v>
      </c>
      <c r="DQ141" s="220">
        <f t="shared" ca="1" si="811"/>
        <v>23999.728802031153</v>
      </c>
      <c r="DR141" s="220">
        <f t="shared" ca="1" si="811"/>
        <v>23999.728802031153</v>
      </c>
      <c r="DS141" s="220">
        <f t="shared" ca="1" si="811"/>
        <v>23999.728802031153</v>
      </c>
      <c r="DT141" s="220">
        <f t="shared" ca="1" si="811"/>
        <v>23999.728802031153</v>
      </c>
      <c r="DU141" s="220">
        <f t="shared" ca="1" si="811"/>
        <v>24057.93813592432</v>
      </c>
      <c r="DV141" s="220">
        <f t="shared" ca="1" si="811"/>
        <v>24437.544853857024</v>
      </c>
      <c r="DW141" s="220">
        <f t="shared" ca="1" si="811"/>
        <v>24817.151571789738</v>
      </c>
      <c r="DX141" s="220">
        <f t="shared" ca="1" si="811"/>
        <v>24817.151571789738</v>
      </c>
      <c r="DY141" s="220">
        <f t="shared" ca="1" si="811"/>
        <v>24817.151571789738</v>
      </c>
      <c r="DZ141" s="220">
        <f t="shared" ca="1" si="811"/>
        <v>24817.151571789738</v>
      </c>
      <c r="EA141" s="220">
        <f t="shared" ca="1" si="811"/>
        <v>24817.151571789738</v>
      </c>
      <c r="EB141" s="220">
        <f t="shared" ca="1" si="811"/>
        <v>24817.151571789738</v>
      </c>
      <c r="EC141" s="220">
        <f t="shared" ca="1" si="811"/>
        <v>24817.151571789738</v>
      </c>
      <c r="ED141" s="220">
        <f t="shared" ca="1" si="811"/>
        <v>24817.151571789738</v>
      </c>
      <c r="EE141" s="220">
        <f t="shared" ca="1" si="811"/>
        <v>24817.151571789738</v>
      </c>
      <c r="EF141" s="220">
        <f t="shared" ca="1" si="811"/>
        <v>24817.151571789738</v>
      </c>
      <c r="EG141" s="220">
        <f t="shared" ca="1" si="811"/>
        <v>24879.055803813637</v>
      </c>
      <c r="EH141" s="220">
        <f t="shared" ca="1" si="811"/>
        <v>25270.050723284341</v>
      </c>
      <c r="EI141" s="220">
        <f t="shared" ca="1" si="811"/>
        <v>25661.045642755031</v>
      </c>
      <c r="EJ141" s="220">
        <f t="shared" ca="1" si="811"/>
        <v>25661.045642755031</v>
      </c>
      <c r="EK141" s="220">
        <f t="shared" ca="1" si="811"/>
        <v>25661.045642755031</v>
      </c>
      <c r="EL141" s="220">
        <f t="shared" ca="1" si="811"/>
        <v>25661.045642755031</v>
      </c>
      <c r="EM141" s="220">
        <f t="shared" ca="1" si="811"/>
        <v>25661.045642755031</v>
      </c>
      <c r="EN141" s="220">
        <f t="shared" ca="1" si="811"/>
        <v>25661.045642755031</v>
      </c>
      <c r="EO141" s="220">
        <f t="shared" ca="1" si="811"/>
        <v>25661.045642755031</v>
      </c>
      <c r="EP141" s="220">
        <f t="shared" ca="1" si="811"/>
        <v>25661.045642755031</v>
      </c>
      <c r="EQ141" s="220">
        <f ca="1">EQ133-EQ139</f>
        <v>25661.045642755031</v>
      </c>
      <c r="ER141" s="220">
        <f ca="1">ER133-ER139</f>
        <v>25661.045642755031</v>
      </c>
      <c r="ES141" s="220">
        <f ca="1">ES133-ES139</f>
        <v>25726.794592215898</v>
      </c>
      <c r="EU141" s="153"/>
      <c r="EV141" s="153"/>
      <c r="EW141" s="153"/>
      <c r="EX141" s="153"/>
      <c r="EY141" s="153"/>
      <c r="EZ141" s="154"/>
      <c r="FA141" s="153"/>
      <c r="FB141" s="153"/>
      <c r="FC141" s="153"/>
      <c r="FD141" s="153"/>
      <c r="FE141" s="153"/>
      <c r="FF141" s="153"/>
      <c r="FG141" s="153"/>
      <c r="FH141" s="153"/>
      <c r="FI141" s="153"/>
      <c r="FJ141" s="153"/>
      <c r="FK141" s="153"/>
      <c r="FL141" s="153"/>
      <c r="FM141" s="153"/>
      <c r="FN141" s="153"/>
      <c r="FO141" s="153"/>
      <c r="FP141" s="153"/>
      <c r="FQ141" s="153"/>
      <c r="FR141" s="153"/>
      <c r="FS141" s="153"/>
      <c r="FT141" s="153"/>
      <c r="FU141" s="153"/>
      <c r="FV141" s="153"/>
      <c r="FW141" s="153"/>
      <c r="FX141" s="153"/>
      <c r="FY141" s="153"/>
      <c r="FZ141" s="153"/>
      <c r="GA141" s="153"/>
      <c r="GB141" s="153"/>
      <c r="GC141" s="153"/>
      <c r="GD141" s="153"/>
      <c r="GE141" s="153"/>
      <c r="GF141" s="153"/>
      <c r="GG141" s="153"/>
      <c r="GH141" s="153"/>
      <c r="GI141" s="153"/>
      <c r="GJ141" s="153"/>
      <c r="GK141" s="153"/>
      <c r="GL141" s="153"/>
      <c r="GM141" s="153"/>
      <c r="GN141" s="153"/>
      <c r="GO141" s="153"/>
      <c r="GP141" s="153"/>
      <c r="GQ141" s="153"/>
      <c r="GR141" s="153"/>
      <c r="GS141" s="153"/>
      <c r="GT141" s="153"/>
      <c r="GU141" s="153"/>
      <c r="GV141" s="153"/>
      <c r="GW141" s="153"/>
      <c r="GX141" s="153"/>
      <c r="GY141" s="153"/>
      <c r="GZ141" s="153"/>
      <c r="HA141" s="153"/>
      <c r="HB141" s="153"/>
      <c r="HC141" s="153"/>
      <c r="HD141" s="153"/>
      <c r="HE141" s="153"/>
      <c r="HF141" s="153"/>
      <c r="HG141" s="153"/>
      <c r="HH141" s="153"/>
      <c r="HI141" s="153"/>
      <c r="HJ141" s="153"/>
      <c r="HK141" s="153"/>
      <c r="HL141" s="153"/>
      <c r="HM141" s="153"/>
      <c r="HN141" s="153"/>
      <c r="HO141" s="153"/>
      <c r="HP141" s="153"/>
      <c r="HQ141" s="153"/>
      <c r="HR141" s="153"/>
      <c r="HS141" s="153"/>
      <c r="HT141" s="153"/>
      <c r="HU141" s="153"/>
      <c r="HV141" s="153"/>
      <c r="HW141" s="153"/>
      <c r="HX141" s="153"/>
      <c r="HY141" s="153"/>
      <c r="HZ141" s="153"/>
      <c r="IA141" s="153"/>
      <c r="IB141" s="153"/>
      <c r="IC141" s="153"/>
      <c r="ID141" s="153"/>
      <c r="IE141" s="153"/>
      <c r="IF141" s="153"/>
      <c r="IG141" s="153"/>
      <c r="IH141" s="153"/>
      <c r="II141" s="153"/>
      <c r="IJ141" s="153"/>
      <c r="IK141" s="153"/>
      <c r="IL141" s="153"/>
      <c r="IM141" s="153"/>
      <c r="IN141" s="153"/>
      <c r="IO141" s="153"/>
      <c r="IP141" s="153"/>
      <c r="IQ141" s="153"/>
      <c r="IR141" s="153"/>
      <c r="IS141" s="153"/>
      <c r="IT141" s="153"/>
      <c r="IU141" s="153"/>
      <c r="IV141" s="153"/>
      <c r="IW141" s="153"/>
      <c r="IX141" s="153"/>
      <c r="IY141" s="153"/>
      <c r="IZ141" s="153"/>
      <c r="JA141" s="153"/>
      <c r="JB141" s="153"/>
      <c r="JC141" s="153"/>
      <c r="JD141" s="153"/>
      <c r="JE141" s="153"/>
      <c r="JF141" s="153"/>
      <c r="JG141" s="153"/>
      <c r="JH141" s="153"/>
      <c r="JI141" s="153"/>
      <c r="JJ141" s="153"/>
      <c r="JK141" s="153"/>
      <c r="JL141" s="153"/>
      <c r="JM141" s="153"/>
      <c r="JN141" s="153"/>
      <c r="JO141" s="153"/>
      <c r="JP141" s="153"/>
      <c r="JQ141" s="153"/>
      <c r="JR141" s="153"/>
      <c r="JS141" s="153"/>
      <c r="JT141" s="153"/>
      <c r="JU141" s="153"/>
      <c r="JV141" s="153"/>
      <c r="JW141" s="153"/>
      <c r="JX141" s="153"/>
      <c r="JY141" s="153"/>
      <c r="JZ141" s="153"/>
      <c r="KA141" s="153"/>
      <c r="KB141" s="153"/>
      <c r="KC141" s="153"/>
    </row>
    <row r="142" spans="2:289" ht="14.25" customHeight="1" x14ac:dyDescent="0.35">
      <c r="B142" s="267" t="s">
        <v>566</v>
      </c>
      <c r="C142" s="196"/>
      <c r="D142" s="196"/>
      <c r="E142" s="196"/>
      <c r="F142" s="196"/>
      <c r="G142" s="196"/>
      <c r="H142" s="196"/>
      <c r="I142" s="367">
        <f ca="1">H83*Perm_Debt?</f>
        <v>196402.40143838449</v>
      </c>
      <c r="R142" s="226">
        <f t="shared" ref="R142:AW142" ca="1" si="812">(R3&gt;PermDebt_Fund)*Perm_Debt?*$H$83/12</f>
        <v>0</v>
      </c>
      <c r="S142" s="226">
        <f t="shared" ca="1" si="812"/>
        <v>0</v>
      </c>
      <c r="T142" s="226">
        <f t="shared" ca="1" si="812"/>
        <v>0</v>
      </c>
      <c r="U142" s="226">
        <f t="shared" ca="1" si="812"/>
        <v>0</v>
      </c>
      <c r="V142" s="226">
        <f t="shared" ca="1" si="812"/>
        <v>0</v>
      </c>
      <c r="W142" s="226">
        <f t="shared" ca="1" si="812"/>
        <v>0</v>
      </c>
      <c r="X142" s="226">
        <f t="shared" ca="1" si="812"/>
        <v>0</v>
      </c>
      <c r="Y142" s="226">
        <f t="shared" ca="1" si="812"/>
        <v>0</v>
      </c>
      <c r="Z142" s="226">
        <f t="shared" ca="1" si="812"/>
        <v>0</v>
      </c>
      <c r="AA142" s="226">
        <f t="shared" ca="1" si="812"/>
        <v>0</v>
      </c>
      <c r="AB142" s="226">
        <f t="shared" ca="1" si="812"/>
        <v>0</v>
      </c>
      <c r="AC142" s="226">
        <f t="shared" ca="1" si="812"/>
        <v>0</v>
      </c>
      <c r="AD142" s="226">
        <f t="shared" ca="1" si="812"/>
        <v>0</v>
      </c>
      <c r="AE142" s="226">
        <f t="shared" ca="1" si="812"/>
        <v>0</v>
      </c>
      <c r="AF142" s="226">
        <f t="shared" ca="1" si="812"/>
        <v>16366.86678653204</v>
      </c>
      <c r="AG142" s="226">
        <f t="shared" ca="1" si="812"/>
        <v>16366.86678653204</v>
      </c>
      <c r="AH142" s="226">
        <f t="shared" ca="1" si="812"/>
        <v>16366.86678653204</v>
      </c>
      <c r="AI142" s="226">
        <f t="shared" ca="1" si="812"/>
        <v>16366.86678653204</v>
      </c>
      <c r="AJ142" s="226">
        <f t="shared" ca="1" si="812"/>
        <v>16366.86678653204</v>
      </c>
      <c r="AK142" s="226">
        <f t="shared" ca="1" si="812"/>
        <v>16366.86678653204</v>
      </c>
      <c r="AL142" s="226">
        <f t="shared" ca="1" si="812"/>
        <v>16366.86678653204</v>
      </c>
      <c r="AM142" s="226">
        <f t="shared" ca="1" si="812"/>
        <v>16366.86678653204</v>
      </c>
      <c r="AN142" s="226">
        <f t="shared" ca="1" si="812"/>
        <v>16366.86678653204</v>
      </c>
      <c r="AO142" s="226">
        <f t="shared" ca="1" si="812"/>
        <v>16366.86678653204</v>
      </c>
      <c r="AP142" s="226">
        <f t="shared" ca="1" si="812"/>
        <v>16366.86678653204</v>
      </c>
      <c r="AQ142" s="226">
        <f t="shared" ca="1" si="812"/>
        <v>16366.86678653204</v>
      </c>
      <c r="AR142" s="226">
        <f t="shared" ca="1" si="812"/>
        <v>16366.86678653204</v>
      </c>
      <c r="AS142" s="226">
        <f t="shared" ca="1" si="812"/>
        <v>16366.86678653204</v>
      </c>
      <c r="AT142" s="226">
        <f t="shared" ca="1" si="812"/>
        <v>16366.86678653204</v>
      </c>
      <c r="AU142" s="226">
        <f t="shared" ca="1" si="812"/>
        <v>16366.86678653204</v>
      </c>
      <c r="AV142" s="226">
        <f t="shared" ca="1" si="812"/>
        <v>16366.86678653204</v>
      </c>
      <c r="AW142" s="226">
        <f t="shared" ca="1" si="812"/>
        <v>16366.86678653204</v>
      </c>
      <c r="AX142" s="226">
        <f t="shared" ref="AX142:CC142" ca="1" si="813">(AX3&gt;PermDebt_Fund)*Perm_Debt?*$H$83/12</f>
        <v>16366.86678653204</v>
      </c>
      <c r="AY142" s="226">
        <f t="shared" ca="1" si="813"/>
        <v>16366.86678653204</v>
      </c>
      <c r="AZ142" s="226">
        <f t="shared" ca="1" si="813"/>
        <v>16366.86678653204</v>
      </c>
      <c r="BA142" s="226">
        <f t="shared" ca="1" si="813"/>
        <v>16366.86678653204</v>
      </c>
      <c r="BB142" s="226">
        <f t="shared" ca="1" si="813"/>
        <v>16366.86678653204</v>
      </c>
      <c r="BC142" s="226">
        <f t="shared" ca="1" si="813"/>
        <v>16366.86678653204</v>
      </c>
      <c r="BD142" s="226">
        <f t="shared" ca="1" si="813"/>
        <v>16366.86678653204</v>
      </c>
      <c r="BE142" s="226">
        <f t="shared" ca="1" si="813"/>
        <v>16366.86678653204</v>
      </c>
      <c r="BF142" s="226">
        <f t="shared" ca="1" si="813"/>
        <v>16366.86678653204</v>
      </c>
      <c r="BG142" s="226">
        <f t="shared" ca="1" si="813"/>
        <v>16366.86678653204</v>
      </c>
      <c r="BH142" s="226">
        <f t="shared" ca="1" si="813"/>
        <v>16366.86678653204</v>
      </c>
      <c r="BI142" s="226">
        <f t="shared" ca="1" si="813"/>
        <v>16366.86678653204</v>
      </c>
      <c r="BJ142" s="226">
        <f t="shared" ca="1" si="813"/>
        <v>16366.86678653204</v>
      </c>
      <c r="BK142" s="226">
        <f t="shared" ca="1" si="813"/>
        <v>16366.86678653204</v>
      </c>
      <c r="BL142" s="226">
        <f t="shared" ca="1" si="813"/>
        <v>16366.86678653204</v>
      </c>
      <c r="BM142" s="226">
        <f t="shared" ca="1" si="813"/>
        <v>16366.86678653204</v>
      </c>
      <c r="BN142" s="226">
        <f t="shared" ca="1" si="813"/>
        <v>16366.86678653204</v>
      </c>
      <c r="BO142" s="226">
        <f t="shared" ca="1" si="813"/>
        <v>16366.86678653204</v>
      </c>
      <c r="BP142" s="226">
        <f t="shared" ca="1" si="813"/>
        <v>16366.86678653204</v>
      </c>
      <c r="BQ142" s="226">
        <f t="shared" ca="1" si="813"/>
        <v>16366.86678653204</v>
      </c>
      <c r="BR142" s="226">
        <f t="shared" ca="1" si="813"/>
        <v>16366.86678653204</v>
      </c>
      <c r="BS142" s="226">
        <f t="shared" ca="1" si="813"/>
        <v>16366.86678653204</v>
      </c>
      <c r="BT142" s="226">
        <f t="shared" ca="1" si="813"/>
        <v>16366.86678653204</v>
      </c>
      <c r="BU142" s="226">
        <f t="shared" ca="1" si="813"/>
        <v>16366.86678653204</v>
      </c>
      <c r="BV142" s="226">
        <f t="shared" ca="1" si="813"/>
        <v>16366.86678653204</v>
      </c>
      <c r="BW142" s="226">
        <f t="shared" ca="1" si="813"/>
        <v>16366.86678653204</v>
      </c>
      <c r="BX142" s="226">
        <f t="shared" ca="1" si="813"/>
        <v>16366.86678653204</v>
      </c>
      <c r="BY142" s="226">
        <f t="shared" ca="1" si="813"/>
        <v>16366.86678653204</v>
      </c>
      <c r="BZ142" s="226">
        <f t="shared" ca="1" si="813"/>
        <v>16366.86678653204</v>
      </c>
      <c r="CA142" s="226">
        <f t="shared" ca="1" si="813"/>
        <v>16366.86678653204</v>
      </c>
      <c r="CB142" s="226">
        <f t="shared" ca="1" si="813"/>
        <v>16366.86678653204</v>
      </c>
      <c r="CC142" s="226">
        <f t="shared" ca="1" si="813"/>
        <v>16366.86678653204</v>
      </c>
      <c r="CD142" s="226">
        <f t="shared" ref="CD142:DI142" ca="1" si="814">(CD3&gt;PermDebt_Fund)*Perm_Debt?*$H$83/12</f>
        <v>16366.86678653204</v>
      </c>
      <c r="CE142" s="226">
        <f t="shared" ca="1" si="814"/>
        <v>16366.86678653204</v>
      </c>
      <c r="CF142" s="226">
        <f t="shared" ca="1" si="814"/>
        <v>16366.86678653204</v>
      </c>
      <c r="CG142" s="226">
        <f t="shared" ca="1" si="814"/>
        <v>16366.86678653204</v>
      </c>
      <c r="CH142" s="226">
        <f t="shared" ca="1" si="814"/>
        <v>16366.86678653204</v>
      </c>
      <c r="CI142" s="226">
        <f t="shared" ca="1" si="814"/>
        <v>16366.86678653204</v>
      </c>
      <c r="CJ142" s="226">
        <f t="shared" ca="1" si="814"/>
        <v>16366.86678653204</v>
      </c>
      <c r="CK142" s="226">
        <f t="shared" ca="1" si="814"/>
        <v>16366.86678653204</v>
      </c>
      <c r="CL142" s="226">
        <f t="shared" ca="1" si="814"/>
        <v>16366.86678653204</v>
      </c>
      <c r="CM142" s="226">
        <f t="shared" ca="1" si="814"/>
        <v>16366.86678653204</v>
      </c>
      <c r="CN142" s="226">
        <f t="shared" ca="1" si="814"/>
        <v>16366.86678653204</v>
      </c>
      <c r="CO142" s="226">
        <f t="shared" ca="1" si="814"/>
        <v>16366.86678653204</v>
      </c>
      <c r="CP142" s="226">
        <f t="shared" ca="1" si="814"/>
        <v>16366.86678653204</v>
      </c>
      <c r="CQ142" s="226">
        <f t="shared" ca="1" si="814"/>
        <v>16366.86678653204</v>
      </c>
      <c r="CR142" s="226">
        <f t="shared" ca="1" si="814"/>
        <v>16366.86678653204</v>
      </c>
      <c r="CS142" s="226">
        <f t="shared" ca="1" si="814"/>
        <v>16366.86678653204</v>
      </c>
      <c r="CT142" s="226">
        <f t="shared" ca="1" si="814"/>
        <v>16366.86678653204</v>
      </c>
      <c r="CU142" s="226">
        <f t="shared" ca="1" si="814"/>
        <v>16366.86678653204</v>
      </c>
      <c r="CV142" s="226">
        <f t="shared" ca="1" si="814"/>
        <v>16366.86678653204</v>
      </c>
      <c r="CW142" s="226">
        <f t="shared" ca="1" si="814"/>
        <v>16366.86678653204</v>
      </c>
      <c r="CX142" s="226">
        <f t="shared" ca="1" si="814"/>
        <v>16366.86678653204</v>
      </c>
      <c r="CY142" s="226">
        <f t="shared" ca="1" si="814"/>
        <v>16366.86678653204</v>
      </c>
      <c r="CZ142" s="226">
        <f t="shared" ca="1" si="814"/>
        <v>16366.86678653204</v>
      </c>
      <c r="DA142" s="226">
        <f t="shared" ca="1" si="814"/>
        <v>16366.86678653204</v>
      </c>
      <c r="DB142" s="226">
        <f t="shared" ca="1" si="814"/>
        <v>16366.86678653204</v>
      </c>
      <c r="DC142" s="226">
        <f t="shared" ca="1" si="814"/>
        <v>16366.86678653204</v>
      </c>
      <c r="DD142" s="226">
        <f t="shared" ca="1" si="814"/>
        <v>16366.86678653204</v>
      </c>
      <c r="DE142" s="226">
        <f t="shared" ca="1" si="814"/>
        <v>16366.86678653204</v>
      </c>
      <c r="DF142" s="226">
        <f t="shared" ca="1" si="814"/>
        <v>16366.86678653204</v>
      </c>
      <c r="DG142" s="226">
        <f t="shared" ca="1" si="814"/>
        <v>16366.86678653204</v>
      </c>
      <c r="DH142" s="226">
        <f t="shared" ca="1" si="814"/>
        <v>16366.86678653204</v>
      </c>
      <c r="DI142" s="226">
        <f t="shared" ca="1" si="814"/>
        <v>16366.86678653204</v>
      </c>
      <c r="DJ142" s="226">
        <f t="shared" ref="DJ142:ES142" ca="1" si="815">(DJ3&gt;PermDebt_Fund)*Perm_Debt?*$H$83/12</f>
        <v>16366.86678653204</v>
      </c>
      <c r="DK142" s="226">
        <f t="shared" ca="1" si="815"/>
        <v>16366.86678653204</v>
      </c>
      <c r="DL142" s="226">
        <f t="shared" ca="1" si="815"/>
        <v>16366.86678653204</v>
      </c>
      <c r="DM142" s="226">
        <f t="shared" ca="1" si="815"/>
        <v>16366.86678653204</v>
      </c>
      <c r="DN142" s="226">
        <f t="shared" ca="1" si="815"/>
        <v>16366.86678653204</v>
      </c>
      <c r="DO142" s="226">
        <f t="shared" ca="1" si="815"/>
        <v>16366.86678653204</v>
      </c>
      <c r="DP142" s="226">
        <f t="shared" ca="1" si="815"/>
        <v>16366.86678653204</v>
      </c>
      <c r="DQ142" s="226">
        <f t="shared" ca="1" si="815"/>
        <v>16366.86678653204</v>
      </c>
      <c r="DR142" s="226">
        <f t="shared" ca="1" si="815"/>
        <v>16366.86678653204</v>
      </c>
      <c r="DS142" s="226">
        <f t="shared" ca="1" si="815"/>
        <v>16366.86678653204</v>
      </c>
      <c r="DT142" s="226">
        <f t="shared" ca="1" si="815"/>
        <v>16366.86678653204</v>
      </c>
      <c r="DU142" s="226">
        <f t="shared" ca="1" si="815"/>
        <v>16366.86678653204</v>
      </c>
      <c r="DV142" s="226">
        <f t="shared" ca="1" si="815"/>
        <v>16366.86678653204</v>
      </c>
      <c r="DW142" s="226">
        <f t="shared" ca="1" si="815"/>
        <v>16366.86678653204</v>
      </c>
      <c r="DX142" s="226">
        <f t="shared" ca="1" si="815"/>
        <v>16366.86678653204</v>
      </c>
      <c r="DY142" s="226">
        <f t="shared" ca="1" si="815"/>
        <v>16366.86678653204</v>
      </c>
      <c r="DZ142" s="226">
        <f t="shared" ca="1" si="815"/>
        <v>16366.86678653204</v>
      </c>
      <c r="EA142" s="226">
        <f t="shared" ca="1" si="815"/>
        <v>16366.86678653204</v>
      </c>
      <c r="EB142" s="226">
        <f t="shared" ca="1" si="815"/>
        <v>16366.86678653204</v>
      </c>
      <c r="EC142" s="226">
        <f t="shared" ca="1" si="815"/>
        <v>16366.86678653204</v>
      </c>
      <c r="ED142" s="226">
        <f t="shared" ca="1" si="815"/>
        <v>16366.86678653204</v>
      </c>
      <c r="EE142" s="226">
        <f t="shared" ca="1" si="815"/>
        <v>16366.86678653204</v>
      </c>
      <c r="EF142" s="226">
        <f t="shared" ca="1" si="815"/>
        <v>16366.86678653204</v>
      </c>
      <c r="EG142" s="226">
        <f t="shared" ca="1" si="815"/>
        <v>16366.86678653204</v>
      </c>
      <c r="EH142" s="226">
        <f t="shared" ca="1" si="815"/>
        <v>16366.86678653204</v>
      </c>
      <c r="EI142" s="226">
        <f t="shared" ca="1" si="815"/>
        <v>16366.86678653204</v>
      </c>
      <c r="EJ142" s="226">
        <f t="shared" ca="1" si="815"/>
        <v>16366.86678653204</v>
      </c>
      <c r="EK142" s="226">
        <f t="shared" ca="1" si="815"/>
        <v>16366.86678653204</v>
      </c>
      <c r="EL142" s="226">
        <f t="shared" ca="1" si="815"/>
        <v>16366.86678653204</v>
      </c>
      <c r="EM142" s="226">
        <f t="shared" ca="1" si="815"/>
        <v>16366.86678653204</v>
      </c>
      <c r="EN142" s="226">
        <f t="shared" ca="1" si="815"/>
        <v>16366.86678653204</v>
      </c>
      <c r="EO142" s="226">
        <f t="shared" ca="1" si="815"/>
        <v>16366.86678653204</v>
      </c>
      <c r="EP142" s="226">
        <f t="shared" ca="1" si="815"/>
        <v>16366.86678653204</v>
      </c>
      <c r="EQ142" s="226">
        <f t="shared" ca="1" si="815"/>
        <v>16366.86678653204</v>
      </c>
      <c r="ER142" s="226">
        <f t="shared" ca="1" si="815"/>
        <v>16366.86678653204</v>
      </c>
      <c r="ES142" s="226">
        <f t="shared" ca="1" si="815"/>
        <v>16366.86678653204</v>
      </c>
      <c r="EU142" s="153"/>
      <c r="EV142" s="153"/>
      <c r="EW142" s="153"/>
      <c r="EX142" s="153"/>
      <c r="EY142" s="153"/>
      <c r="EZ142" s="154"/>
      <c r="FA142" s="153"/>
      <c r="FB142" s="153"/>
      <c r="FC142" s="153"/>
      <c r="FD142" s="153"/>
      <c r="FE142" s="153"/>
      <c r="FF142" s="153"/>
      <c r="FG142" s="153"/>
      <c r="FH142" s="153"/>
      <c r="FI142" s="153"/>
      <c r="FJ142" s="153"/>
      <c r="FK142" s="153"/>
      <c r="FL142" s="153"/>
      <c r="FM142" s="153"/>
      <c r="FN142" s="153"/>
      <c r="FO142" s="153"/>
      <c r="FP142" s="153"/>
      <c r="FQ142" s="153"/>
      <c r="FR142" s="153"/>
      <c r="FS142" s="153"/>
      <c r="FT142" s="153"/>
      <c r="FU142" s="153"/>
      <c r="FV142" s="153"/>
      <c r="FW142" s="153"/>
      <c r="FX142" s="153"/>
      <c r="FY142" s="153"/>
      <c r="FZ142" s="153"/>
      <c r="GA142" s="153"/>
      <c r="GB142" s="153"/>
      <c r="GC142" s="153"/>
      <c r="GD142" s="153"/>
      <c r="GE142" s="153"/>
      <c r="GF142" s="153"/>
      <c r="GG142" s="153"/>
      <c r="GH142" s="153"/>
      <c r="GI142" s="153"/>
      <c r="GJ142" s="153"/>
      <c r="GK142" s="153"/>
      <c r="GL142" s="153"/>
      <c r="GM142" s="153"/>
      <c r="GN142" s="153"/>
      <c r="GO142" s="153"/>
      <c r="GP142" s="153"/>
      <c r="GQ142" s="153"/>
      <c r="GR142" s="153"/>
      <c r="GS142" s="153"/>
      <c r="GT142" s="153"/>
      <c r="GU142" s="153"/>
      <c r="GV142" s="153"/>
      <c r="GW142" s="153"/>
      <c r="GX142" s="153"/>
      <c r="GY142" s="153"/>
      <c r="GZ142" s="153"/>
      <c r="HA142" s="153"/>
      <c r="HB142" s="153"/>
      <c r="HC142" s="153"/>
      <c r="HD142" s="153"/>
      <c r="HE142" s="153"/>
      <c r="HF142" s="153"/>
      <c r="HG142" s="153"/>
      <c r="HH142" s="153"/>
      <c r="HI142" s="153"/>
      <c r="HJ142" s="153"/>
      <c r="HK142" s="153"/>
      <c r="HL142" s="153"/>
      <c r="HM142" s="153"/>
      <c r="HN142" s="153"/>
      <c r="HO142" s="153"/>
      <c r="HP142" s="153"/>
      <c r="HQ142" s="153"/>
      <c r="HR142" s="153"/>
      <c r="HS142" s="153"/>
      <c r="HT142" s="153"/>
      <c r="HU142" s="153"/>
      <c r="HV142" s="153"/>
      <c r="HW142" s="153"/>
      <c r="HX142" s="153"/>
      <c r="HY142" s="153"/>
      <c r="HZ142" s="153"/>
      <c r="IA142" s="153"/>
      <c r="IB142" s="153"/>
      <c r="IC142" s="153"/>
      <c r="ID142" s="153"/>
      <c r="IE142" s="153"/>
      <c r="IF142" s="153"/>
      <c r="IG142" s="153"/>
      <c r="IH142" s="153"/>
      <c r="II142" s="153"/>
      <c r="IJ142" s="153"/>
      <c r="IK142" s="153"/>
      <c r="IL142" s="153"/>
      <c r="IM142" s="153"/>
      <c r="IN142" s="153"/>
      <c r="IO142" s="153"/>
      <c r="IP142" s="153"/>
      <c r="IQ142" s="153"/>
      <c r="IR142" s="153"/>
      <c r="IS142" s="153"/>
      <c r="IT142" s="153"/>
      <c r="IU142" s="153"/>
      <c r="IV142" s="153"/>
      <c r="IW142" s="153"/>
      <c r="IX142" s="153"/>
      <c r="IY142" s="153"/>
      <c r="IZ142" s="153"/>
      <c r="JA142" s="153"/>
      <c r="JB142" s="153"/>
      <c r="JC142" s="153"/>
      <c r="JD142" s="153"/>
      <c r="JE142" s="153"/>
      <c r="JF142" s="153"/>
      <c r="JG142" s="153"/>
      <c r="JH142" s="153"/>
      <c r="JI142" s="153"/>
      <c r="JJ142" s="153"/>
      <c r="JK142" s="153"/>
      <c r="JL142" s="153"/>
      <c r="JM142" s="153"/>
      <c r="JN142" s="153"/>
      <c r="JO142" s="153"/>
      <c r="JP142" s="153"/>
      <c r="JQ142" s="153"/>
      <c r="JR142" s="153"/>
      <c r="JS142" s="153"/>
      <c r="JT142" s="153"/>
      <c r="JU142" s="153"/>
      <c r="JV142" s="153"/>
      <c r="JW142" s="153"/>
      <c r="JX142" s="153"/>
      <c r="JY142" s="153"/>
      <c r="JZ142" s="153"/>
      <c r="KA142" s="153"/>
      <c r="KB142" s="153"/>
      <c r="KC142" s="153"/>
    </row>
    <row r="143" spans="2:289" ht="14.25" customHeight="1" x14ac:dyDescent="0.25">
      <c r="B143" s="180" t="s">
        <v>567</v>
      </c>
      <c r="C143" s="196"/>
      <c r="D143" s="196"/>
      <c r="E143" s="196" t="str">
        <f>IF(Perm_Debt?=0,"","Cash-on-Cash Return (Month "&amp;PermDebt_Fund+1&amp;")")</f>
        <v>Cash-on-Cash Return (Month 15)</v>
      </c>
      <c r="F143" s="368">
        <f ca="1">SUM(OFFSET(INDEX(R143:ES143,1,PermDebt_Fund+1),0,0,1,12))/I71</f>
        <v>3.321682734923969E-2</v>
      </c>
      <c r="G143" s="196"/>
      <c r="H143" s="196"/>
      <c r="I143" s="218">
        <f ca="1">+I141-I142</f>
        <v>31046.238561615522</v>
      </c>
      <c r="P143" s="152" t="s">
        <v>568</v>
      </c>
      <c r="R143" s="220">
        <f ca="1">R141-R142</f>
        <v>0</v>
      </c>
      <c r="S143" s="220">
        <f t="shared" ref="S143:CD143" ca="1" si="816">S141-S142</f>
        <v>0</v>
      </c>
      <c r="T143" s="220">
        <f t="shared" ca="1" si="816"/>
        <v>0</v>
      </c>
      <c r="U143" s="220">
        <f t="shared" ca="1" si="816"/>
        <v>0</v>
      </c>
      <c r="V143" s="220">
        <f t="shared" ca="1" si="816"/>
        <v>0</v>
      </c>
      <c r="W143" s="220">
        <f t="shared" ca="1" si="816"/>
        <v>0</v>
      </c>
      <c r="X143" s="220">
        <f t="shared" ca="1" si="816"/>
        <v>0</v>
      </c>
      <c r="Y143" s="220">
        <f t="shared" ca="1" si="816"/>
        <v>0</v>
      </c>
      <c r="Z143" s="220">
        <f t="shared" ca="1" si="816"/>
        <v>0</v>
      </c>
      <c r="AA143" s="220">
        <f t="shared" ca="1" si="816"/>
        <v>0</v>
      </c>
      <c r="AB143" s="220">
        <f t="shared" ca="1" si="816"/>
        <v>0</v>
      </c>
      <c r="AC143" s="220">
        <f t="shared" ca="1" si="816"/>
        <v>854.48499999999933</v>
      </c>
      <c r="AD143" s="220">
        <f t="shared" ca="1" si="816"/>
        <v>10928.922499999999</v>
      </c>
      <c r="AE143" s="220">
        <f t="shared" ca="1" si="816"/>
        <v>21003.360000000001</v>
      </c>
      <c r="AF143" s="220">
        <f t="shared" ca="1" si="816"/>
        <v>4636.4932134679602</v>
      </c>
      <c r="AG143" s="220">
        <f t="shared" ca="1" si="816"/>
        <v>4636.4932134679602</v>
      </c>
      <c r="AH143" s="220">
        <f t="shared" ca="1" si="816"/>
        <v>4636.4932134679602</v>
      </c>
      <c r="AI143" s="220">
        <f t="shared" ca="1" si="816"/>
        <v>4636.4932134679602</v>
      </c>
      <c r="AJ143" s="220">
        <f t="shared" ca="1" si="816"/>
        <v>4636.4932134679602</v>
      </c>
      <c r="AK143" s="220">
        <f t="shared" ca="1" si="816"/>
        <v>4636.4932134679602</v>
      </c>
      <c r="AL143" s="220">
        <f t="shared" ca="1" si="816"/>
        <v>4636.4932134679602</v>
      </c>
      <c r="AM143" s="220">
        <f t="shared" ca="1" si="816"/>
        <v>4636.4932134679602</v>
      </c>
      <c r="AN143" s="220">
        <f t="shared" ca="1" si="816"/>
        <v>4636.4932134679602</v>
      </c>
      <c r="AO143" s="220">
        <f t="shared" ca="1" si="816"/>
        <v>3668.4640134679557</v>
      </c>
      <c r="AP143" s="220">
        <f t="shared" ca="1" si="816"/>
        <v>3977.1190134679618</v>
      </c>
      <c r="AQ143" s="220">
        <f t="shared" ca="1" si="816"/>
        <v>4285.7740134679607</v>
      </c>
      <c r="AR143" s="220">
        <f t="shared" ca="1" si="816"/>
        <v>4285.7740134679607</v>
      </c>
      <c r="AS143" s="220">
        <f t="shared" ca="1" si="816"/>
        <v>4285.7740134679607</v>
      </c>
      <c r="AT143" s="220">
        <f t="shared" ca="1" si="816"/>
        <v>4285.7740134679607</v>
      </c>
      <c r="AU143" s="220">
        <f t="shared" ca="1" si="816"/>
        <v>4285.7740134679607</v>
      </c>
      <c r="AV143" s="220">
        <f t="shared" ca="1" si="816"/>
        <v>4285.7740134679607</v>
      </c>
      <c r="AW143" s="220">
        <f t="shared" ca="1" si="816"/>
        <v>4285.7740134679607</v>
      </c>
      <c r="AX143" s="220">
        <f t="shared" ca="1" si="816"/>
        <v>4285.7740134679607</v>
      </c>
      <c r="AY143" s="220">
        <f t="shared" ca="1" si="816"/>
        <v>4285.7740134679607</v>
      </c>
      <c r="AZ143" s="220">
        <f t="shared" ca="1" si="816"/>
        <v>4285.7740134679607</v>
      </c>
      <c r="BA143" s="220">
        <f t="shared" ca="1" si="816"/>
        <v>3279.539001467956</v>
      </c>
      <c r="BB143" s="220">
        <f t="shared" ca="1" si="816"/>
        <v>3597.4536514679548</v>
      </c>
      <c r="BC143" s="220">
        <f t="shared" ca="1" si="816"/>
        <v>3915.3683014679609</v>
      </c>
      <c r="BD143" s="220">
        <f t="shared" ca="1" si="816"/>
        <v>3915.3683014679609</v>
      </c>
      <c r="BE143" s="220">
        <f t="shared" ca="1" si="816"/>
        <v>3915.3683014679609</v>
      </c>
      <c r="BF143" s="220">
        <f t="shared" ca="1" si="816"/>
        <v>3915.3683014679609</v>
      </c>
      <c r="BG143" s="220">
        <f t="shared" ca="1" si="816"/>
        <v>3915.3683014679609</v>
      </c>
      <c r="BH143" s="220">
        <f t="shared" ca="1" si="816"/>
        <v>3915.3683014679609</v>
      </c>
      <c r="BI143" s="220">
        <f t="shared" ca="1" si="816"/>
        <v>3915.3683014679609</v>
      </c>
      <c r="BJ143" s="220">
        <f t="shared" ca="1" si="816"/>
        <v>3915.3683014679609</v>
      </c>
      <c r="BK143" s="220">
        <f t="shared" ca="1" si="816"/>
        <v>3915.3683014679609</v>
      </c>
      <c r="BL143" s="220">
        <f t="shared" ca="1" si="816"/>
        <v>3915.3683014679609</v>
      </c>
      <c r="BM143" s="220">
        <f t="shared" ca="1" si="816"/>
        <v>3957.1773482279659</v>
      </c>
      <c r="BN143" s="220">
        <f t="shared" ca="1" si="816"/>
        <v>4284.6294377279646</v>
      </c>
      <c r="BO143" s="220">
        <f t="shared" ca="1" si="816"/>
        <v>4612.0815272279633</v>
      </c>
      <c r="BP143" s="220">
        <f t="shared" ca="1" si="816"/>
        <v>4612.0815272279633</v>
      </c>
      <c r="BQ143" s="220">
        <f t="shared" ca="1" si="816"/>
        <v>4612.0815272279633</v>
      </c>
      <c r="BR143" s="220">
        <f t="shared" ca="1" si="816"/>
        <v>4612.0815272279633</v>
      </c>
      <c r="BS143" s="220">
        <f t="shared" ca="1" si="816"/>
        <v>4612.0815272279633</v>
      </c>
      <c r="BT143" s="220">
        <f t="shared" ca="1" si="816"/>
        <v>4612.0815272279633</v>
      </c>
      <c r="BU143" s="220">
        <f t="shared" ca="1" si="816"/>
        <v>4612.0815272279633</v>
      </c>
      <c r="BV143" s="220">
        <f t="shared" ca="1" si="816"/>
        <v>4612.0815272279633</v>
      </c>
      <c r="BW143" s="220">
        <f t="shared" ca="1" si="816"/>
        <v>4612.0815272279633</v>
      </c>
      <c r="BX143" s="220">
        <f t="shared" ca="1" si="816"/>
        <v>4612.0815272279633</v>
      </c>
      <c r="BY143" s="220">
        <f t="shared" ca="1" si="816"/>
        <v>4656.9097688531529</v>
      </c>
      <c r="BZ143" s="220">
        <f t="shared" ca="1" si="816"/>
        <v>4994.1854210381589</v>
      </c>
      <c r="CA143" s="220">
        <f t="shared" ca="1" si="816"/>
        <v>5331.4610732231577</v>
      </c>
      <c r="CB143" s="220">
        <f t="shared" ca="1" si="816"/>
        <v>5331.4610732231577</v>
      </c>
      <c r="CC143" s="220">
        <f t="shared" ca="1" si="816"/>
        <v>5331.4610732231577</v>
      </c>
      <c r="CD143" s="220">
        <f t="shared" ca="1" si="816"/>
        <v>5331.4610732231577</v>
      </c>
      <c r="CE143" s="220">
        <f t="shared" ref="CE143:EP143" ca="1" si="817">CE141-CE142</f>
        <v>5331.4610732231577</v>
      </c>
      <c r="CF143" s="220">
        <f t="shared" ca="1" si="817"/>
        <v>5331.4610732231577</v>
      </c>
      <c r="CG143" s="220">
        <f t="shared" ca="1" si="817"/>
        <v>5331.4610732231577</v>
      </c>
      <c r="CH143" s="220">
        <f t="shared" ca="1" si="817"/>
        <v>5331.4610732231577</v>
      </c>
      <c r="CI143" s="220">
        <f t="shared" ca="1" si="817"/>
        <v>5331.4610732231577</v>
      </c>
      <c r="CJ143" s="220">
        <f t="shared" ca="1" si="817"/>
        <v>5331.4610732231577</v>
      </c>
      <c r="CK143" s="220">
        <f t="shared" ca="1" si="817"/>
        <v>5379.4343840287602</v>
      </c>
      <c r="CL143" s="220">
        <f t="shared" ca="1" si="817"/>
        <v>5726.8283057793105</v>
      </c>
      <c r="CM143" s="220">
        <f t="shared" ca="1" si="817"/>
        <v>6074.2222275298536</v>
      </c>
      <c r="CN143" s="220">
        <f t="shared" ca="1" si="817"/>
        <v>6074.2222275298536</v>
      </c>
      <c r="CO143" s="220">
        <f t="shared" ca="1" si="817"/>
        <v>6074.2222275298536</v>
      </c>
      <c r="CP143" s="220">
        <f t="shared" ca="1" si="817"/>
        <v>6074.2222275298536</v>
      </c>
      <c r="CQ143" s="220">
        <f t="shared" ca="1" si="817"/>
        <v>6074.2222275298536</v>
      </c>
      <c r="CR143" s="220">
        <f t="shared" ca="1" si="817"/>
        <v>6074.2222275298536</v>
      </c>
      <c r="CS143" s="220">
        <f t="shared" ca="1" si="817"/>
        <v>6074.2222275298536</v>
      </c>
      <c r="CT143" s="220">
        <f t="shared" ca="1" si="817"/>
        <v>6074.2222275298536</v>
      </c>
      <c r="CU143" s="220">
        <f t="shared" ca="1" si="817"/>
        <v>6074.2222275298536</v>
      </c>
      <c r="CV143" s="220">
        <f t="shared" ca="1" si="817"/>
        <v>6074.2222275298536</v>
      </c>
      <c r="CW143" s="220">
        <f t="shared" ca="1" si="817"/>
        <v>6125.4709640299134</v>
      </c>
      <c r="CX143" s="220">
        <f t="shared" ca="1" si="817"/>
        <v>6483.2867034329847</v>
      </c>
      <c r="CY143" s="220">
        <f t="shared" ca="1" si="817"/>
        <v>6841.1024428360452</v>
      </c>
      <c r="CZ143" s="220">
        <f t="shared" ca="1" si="817"/>
        <v>6841.1024428360452</v>
      </c>
      <c r="DA143" s="220">
        <f t="shared" ca="1" si="817"/>
        <v>6841.1024428360452</v>
      </c>
      <c r="DB143" s="220">
        <f t="shared" ca="1" si="817"/>
        <v>6841.1024428360452</v>
      </c>
      <c r="DC143" s="220">
        <f t="shared" ca="1" si="817"/>
        <v>6841.1024428360452</v>
      </c>
      <c r="DD143" s="220">
        <f t="shared" ca="1" si="817"/>
        <v>6841.1024428360452</v>
      </c>
      <c r="DE143" s="220">
        <f t="shared" ca="1" si="817"/>
        <v>6841.1024428360452</v>
      </c>
      <c r="DF143" s="220">
        <f t="shared" ca="1" si="817"/>
        <v>6841.1024428360452</v>
      </c>
      <c r="DG143" s="220">
        <f t="shared" ca="1" si="817"/>
        <v>6841.1024428360452</v>
      </c>
      <c r="DH143" s="220">
        <f t="shared" ca="1" si="817"/>
        <v>6841.1024428360452</v>
      </c>
      <c r="DI143" s="220">
        <f t="shared" ca="1" si="817"/>
        <v>6895.7615923287904</v>
      </c>
      <c r="DJ143" s="220">
        <f t="shared" ca="1" si="817"/>
        <v>7264.3118039139572</v>
      </c>
      <c r="DK143" s="220">
        <f t="shared" ca="1" si="817"/>
        <v>7632.8620154991131</v>
      </c>
      <c r="DL143" s="220">
        <f t="shared" ca="1" si="817"/>
        <v>7632.8620154991131</v>
      </c>
      <c r="DM143" s="220">
        <f t="shared" ca="1" si="817"/>
        <v>7632.8620154991131</v>
      </c>
      <c r="DN143" s="220">
        <f t="shared" ca="1" si="817"/>
        <v>7632.8620154991131</v>
      </c>
      <c r="DO143" s="220">
        <f t="shared" ca="1" si="817"/>
        <v>7632.8620154991131</v>
      </c>
      <c r="DP143" s="220">
        <f t="shared" ca="1" si="817"/>
        <v>7632.8620154991131</v>
      </c>
      <c r="DQ143" s="220">
        <f t="shared" ca="1" si="817"/>
        <v>7632.8620154991131</v>
      </c>
      <c r="DR143" s="220">
        <f t="shared" ca="1" si="817"/>
        <v>7632.8620154991131</v>
      </c>
      <c r="DS143" s="220">
        <f t="shared" ca="1" si="817"/>
        <v>7632.8620154991131</v>
      </c>
      <c r="DT143" s="220">
        <f t="shared" ca="1" si="817"/>
        <v>7632.8620154991131</v>
      </c>
      <c r="DU143" s="220">
        <f t="shared" ca="1" si="817"/>
        <v>7691.0713493922794</v>
      </c>
      <c r="DV143" s="220">
        <f t="shared" ca="1" si="817"/>
        <v>8070.6780673249832</v>
      </c>
      <c r="DW143" s="220">
        <f t="shared" ca="1" si="817"/>
        <v>8450.2847852576979</v>
      </c>
      <c r="DX143" s="220">
        <f t="shared" ca="1" si="817"/>
        <v>8450.2847852576979</v>
      </c>
      <c r="DY143" s="220">
        <f t="shared" ca="1" si="817"/>
        <v>8450.2847852576979</v>
      </c>
      <c r="DZ143" s="220">
        <f t="shared" ca="1" si="817"/>
        <v>8450.2847852576979</v>
      </c>
      <c r="EA143" s="220">
        <f t="shared" ca="1" si="817"/>
        <v>8450.2847852576979</v>
      </c>
      <c r="EB143" s="220">
        <f t="shared" ca="1" si="817"/>
        <v>8450.2847852576979</v>
      </c>
      <c r="EC143" s="220">
        <f t="shared" ca="1" si="817"/>
        <v>8450.2847852576979</v>
      </c>
      <c r="ED143" s="220">
        <f t="shared" ca="1" si="817"/>
        <v>8450.2847852576979</v>
      </c>
      <c r="EE143" s="220">
        <f t="shared" ca="1" si="817"/>
        <v>8450.2847852576979</v>
      </c>
      <c r="EF143" s="220">
        <f t="shared" ca="1" si="817"/>
        <v>8450.2847852576979</v>
      </c>
      <c r="EG143" s="220">
        <f t="shared" ca="1" si="817"/>
        <v>8512.1890172815965</v>
      </c>
      <c r="EH143" s="220">
        <f t="shared" ca="1" si="817"/>
        <v>8903.1839367523007</v>
      </c>
      <c r="EI143" s="220">
        <f t="shared" ca="1" si="817"/>
        <v>9294.1788562229904</v>
      </c>
      <c r="EJ143" s="220">
        <f t="shared" ca="1" si="817"/>
        <v>9294.1788562229904</v>
      </c>
      <c r="EK143" s="220">
        <f t="shared" ca="1" si="817"/>
        <v>9294.1788562229904</v>
      </c>
      <c r="EL143" s="220">
        <f t="shared" ca="1" si="817"/>
        <v>9294.1788562229904</v>
      </c>
      <c r="EM143" s="220">
        <f t="shared" ca="1" si="817"/>
        <v>9294.1788562229904</v>
      </c>
      <c r="EN143" s="220">
        <f t="shared" ca="1" si="817"/>
        <v>9294.1788562229904</v>
      </c>
      <c r="EO143" s="220">
        <f t="shared" ca="1" si="817"/>
        <v>9294.1788562229904</v>
      </c>
      <c r="EP143" s="220">
        <f t="shared" ca="1" si="817"/>
        <v>9294.1788562229904</v>
      </c>
      <c r="EQ143" s="220">
        <f t="shared" ref="EQ143:ES143" ca="1" si="818">EQ141-EQ142</f>
        <v>9294.1788562229904</v>
      </c>
      <c r="ER143" s="220">
        <f t="shared" ca="1" si="818"/>
        <v>9294.1788562229904</v>
      </c>
      <c r="ES143" s="220">
        <f t="shared" ca="1" si="818"/>
        <v>9359.9278056838575</v>
      </c>
      <c r="EU143" s="153"/>
      <c r="EV143" s="153"/>
      <c r="EW143" s="153"/>
      <c r="EX143" s="153"/>
      <c r="EY143" s="153"/>
      <c r="EZ143" s="154"/>
      <c r="FA143" s="153"/>
      <c r="FB143" s="153"/>
      <c r="FC143" s="153"/>
      <c r="FD143" s="153"/>
      <c r="FE143" s="153"/>
      <c r="FF143" s="153"/>
      <c r="FG143" s="153"/>
      <c r="FH143" s="153"/>
      <c r="FI143" s="153"/>
      <c r="FJ143" s="153"/>
      <c r="FK143" s="153"/>
      <c r="FL143" s="153"/>
      <c r="FM143" s="153"/>
      <c r="FN143" s="153"/>
      <c r="FO143" s="153"/>
      <c r="FP143" s="153"/>
      <c r="FQ143" s="153"/>
      <c r="FR143" s="153"/>
      <c r="FS143" s="153"/>
      <c r="FT143" s="153"/>
      <c r="FU143" s="153"/>
      <c r="FV143" s="153"/>
      <c r="FW143" s="153"/>
      <c r="FX143" s="153"/>
      <c r="FY143" s="153"/>
      <c r="FZ143" s="153"/>
      <c r="GA143" s="153"/>
      <c r="GB143" s="153"/>
      <c r="GC143" s="153"/>
      <c r="GD143" s="153"/>
      <c r="GE143" s="153"/>
      <c r="GF143" s="153"/>
      <c r="GG143" s="153"/>
      <c r="GH143" s="153"/>
      <c r="GI143" s="153"/>
      <c r="GJ143" s="153"/>
      <c r="GK143" s="153"/>
      <c r="GL143" s="153"/>
      <c r="GM143" s="153"/>
      <c r="GN143" s="153"/>
      <c r="GO143" s="153"/>
      <c r="GP143" s="153"/>
      <c r="GQ143" s="153"/>
      <c r="GR143" s="153"/>
      <c r="GS143" s="153"/>
      <c r="GT143" s="153"/>
      <c r="GU143" s="153"/>
      <c r="GV143" s="153"/>
      <c r="GW143" s="153"/>
      <c r="GX143" s="153"/>
      <c r="GY143" s="153"/>
      <c r="GZ143" s="153"/>
      <c r="HA143" s="153"/>
      <c r="HB143" s="153"/>
      <c r="HC143" s="153"/>
      <c r="HD143" s="153"/>
      <c r="HE143" s="153"/>
      <c r="HF143" s="153"/>
      <c r="HG143" s="153"/>
      <c r="HH143" s="153"/>
      <c r="HI143" s="153"/>
      <c r="HJ143" s="153"/>
      <c r="HK143" s="153"/>
      <c r="HL143" s="153"/>
      <c r="HM143" s="153"/>
      <c r="HN143" s="153"/>
      <c r="HO143" s="153"/>
      <c r="HP143" s="153"/>
      <c r="HQ143" s="153"/>
      <c r="HR143" s="153"/>
      <c r="HS143" s="153"/>
      <c r="HT143" s="153"/>
      <c r="HU143" s="153"/>
      <c r="HV143" s="153"/>
      <c r="HW143" s="153"/>
      <c r="HX143" s="153"/>
      <c r="HY143" s="153"/>
      <c r="HZ143" s="153"/>
      <c r="IA143" s="153"/>
      <c r="IB143" s="153"/>
      <c r="IC143" s="153"/>
      <c r="ID143" s="153"/>
      <c r="IE143" s="153"/>
      <c r="IF143" s="153"/>
      <c r="IG143" s="153"/>
      <c r="IH143" s="153"/>
      <c r="II143" s="153"/>
      <c r="IJ143" s="153"/>
      <c r="IK143" s="153"/>
      <c r="IL143" s="153"/>
      <c r="IM143" s="153"/>
      <c r="IN143" s="153"/>
      <c r="IO143" s="153"/>
      <c r="IP143" s="153"/>
      <c r="IQ143" s="153"/>
      <c r="IR143" s="153"/>
      <c r="IS143" s="153"/>
      <c r="IT143" s="153"/>
      <c r="IU143" s="153"/>
      <c r="IV143" s="153"/>
      <c r="IW143" s="153"/>
      <c r="IX143" s="153"/>
      <c r="IY143" s="153"/>
      <c r="IZ143" s="153"/>
      <c r="JA143" s="153"/>
      <c r="JB143" s="153"/>
      <c r="JC143" s="153"/>
      <c r="JD143" s="153"/>
      <c r="JE143" s="153"/>
      <c r="JF143" s="153"/>
      <c r="JG143" s="153"/>
      <c r="JH143" s="153"/>
      <c r="JI143" s="153"/>
      <c r="JJ143" s="153"/>
      <c r="JK143" s="153"/>
      <c r="JL143" s="153"/>
      <c r="JM143" s="153"/>
      <c r="JN143" s="153"/>
      <c r="JO143" s="153"/>
      <c r="JP143" s="153"/>
      <c r="JQ143" s="153"/>
      <c r="JR143" s="153"/>
      <c r="JS143" s="153"/>
      <c r="JT143" s="153"/>
      <c r="JU143" s="153"/>
      <c r="JV143" s="153"/>
      <c r="JW143" s="153"/>
      <c r="JX143" s="153"/>
      <c r="JY143" s="153"/>
      <c r="JZ143" s="153"/>
      <c r="KA143" s="153"/>
      <c r="KB143" s="153"/>
      <c r="KC143" s="153"/>
    </row>
    <row r="144" spans="2:289" ht="14.25" customHeight="1" x14ac:dyDescent="0.25">
      <c r="B144" s="549"/>
      <c r="C144" s="550"/>
      <c r="D144" s="550"/>
      <c r="E144" s="550"/>
      <c r="F144" s="550"/>
      <c r="G144" s="550"/>
      <c r="H144" s="550"/>
      <c r="I144" s="550"/>
      <c r="J144" s="546"/>
      <c r="K144" s="546"/>
      <c r="L144" s="546"/>
      <c r="M144" s="546"/>
      <c r="N144" s="546"/>
      <c r="O144" s="546"/>
      <c r="P144" s="546"/>
      <c r="Q144" s="546"/>
      <c r="R144" s="546"/>
      <c r="S144" s="546"/>
      <c r="T144" s="546"/>
      <c r="U144" s="546"/>
      <c r="V144" s="546"/>
      <c r="W144" s="546"/>
      <c r="X144" s="546"/>
      <c r="Y144" s="546"/>
      <c r="Z144" s="546"/>
      <c r="AA144" s="546"/>
      <c r="AB144" s="546"/>
      <c r="AC144" s="546"/>
      <c r="AD144" s="546"/>
      <c r="AE144" s="546"/>
      <c r="AF144" s="546"/>
      <c r="AG144" s="546"/>
      <c r="AH144" s="546"/>
      <c r="AI144" s="546"/>
      <c r="AJ144" s="546"/>
      <c r="AK144" s="546"/>
      <c r="AL144" s="546"/>
      <c r="AM144" s="546"/>
      <c r="AN144" s="546"/>
      <c r="AO144" s="546"/>
      <c r="AP144" s="546"/>
      <c r="AQ144" s="546"/>
      <c r="AR144" s="546"/>
      <c r="AS144" s="546"/>
      <c r="AT144" s="546"/>
      <c r="AU144" s="546"/>
      <c r="AV144" s="546"/>
      <c r="AW144" s="546"/>
      <c r="AX144" s="546"/>
      <c r="AY144" s="546"/>
      <c r="AZ144" s="546"/>
      <c r="BA144" s="546"/>
      <c r="BB144" s="546"/>
      <c r="BC144" s="546"/>
      <c r="BD144" s="546"/>
      <c r="BE144" s="546"/>
      <c r="BF144" s="546"/>
      <c r="BG144" s="546"/>
      <c r="BH144" s="546"/>
      <c r="BI144" s="546"/>
      <c r="BJ144" s="546"/>
      <c r="BK144" s="546"/>
      <c r="BL144" s="546"/>
      <c r="BM144" s="546"/>
      <c r="BN144" s="546"/>
      <c r="BO144" s="546"/>
      <c r="BP144" s="546"/>
      <c r="BQ144" s="546"/>
      <c r="BR144" s="546"/>
      <c r="BS144" s="546"/>
      <c r="BT144" s="546"/>
      <c r="BU144" s="546"/>
      <c r="BV144" s="546"/>
      <c r="BW144" s="546"/>
      <c r="BX144" s="546"/>
      <c r="BY144" s="546"/>
      <c r="BZ144" s="546"/>
      <c r="CA144" s="546"/>
      <c r="CB144" s="546"/>
      <c r="CC144" s="546"/>
      <c r="CD144" s="546"/>
      <c r="CE144" s="546"/>
      <c r="CF144" s="546"/>
      <c r="CG144" s="546"/>
      <c r="CH144" s="546"/>
      <c r="CI144" s="546"/>
      <c r="CJ144" s="546"/>
      <c r="CK144" s="546"/>
      <c r="CL144" s="546"/>
      <c r="CM144" s="546"/>
      <c r="CN144" s="546"/>
      <c r="CO144" s="546"/>
      <c r="CP144" s="546"/>
      <c r="CQ144" s="546"/>
      <c r="CR144" s="546"/>
      <c r="CS144" s="546"/>
      <c r="CT144" s="546"/>
      <c r="CU144" s="546"/>
      <c r="CV144" s="546"/>
      <c r="CW144" s="546"/>
      <c r="CX144" s="546"/>
      <c r="CY144" s="546"/>
      <c r="CZ144" s="546"/>
      <c r="DA144" s="546"/>
      <c r="DB144" s="546"/>
      <c r="DC144" s="546"/>
      <c r="DD144" s="546"/>
      <c r="DE144" s="546"/>
      <c r="DF144" s="546"/>
      <c r="DG144" s="546"/>
      <c r="DH144" s="546"/>
      <c r="DI144" s="546"/>
      <c r="DJ144" s="546"/>
      <c r="DK144" s="546"/>
      <c r="DL144" s="546"/>
      <c r="DM144" s="546"/>
      <c r="DN144" s="546"/>
      <c r="DO144" s="546"/>
      <c r="DP144" s="546"/>
      <c r="DQ144" s="546"/>
      <c r="DR144" s="546"/>
      <c r="DS144" s="546"/>
      <c r="DT144" s="546"/>
      <c r="DU144" s="546"/>
      <c r="DV144" s="546"/>
      <c r="DW144" s="546"/>
      <c r="DX144" s="546"/>
      <c r="DY144" s="546"/>
      <c r="DZ144" s="546"/>
      <c r="EA144" s="546"/>
      <c r="EB144" s="546"/>
      <c r="EC144" s="546"/>
      <c r="ED144" s="546"/>
      <c r="EE144" s="546"/>
      <c r="EF144" s="546"/>
      <c r="EG144" s="546"/>
      <c r="EH144" s="546"/>
      <c r="EI144" s="546"/>
      <c r="EJ144" s="546"/>
      <c r="EK144" s="546"/>
      <c r="EL144" s="546"/>
      <c r="EM144" s="546"/>
      <c r="EN144" s="546"/>
      <c r="EO144" s="546"/>
      <c r="EP144" s="546"/>
      <c r="EQ144" s="546"/>
      <c r="ER144" s="546"/>
      <c r="ES144" s="546"/>
      <c r="ET144" s="546"/>
      <c r="EU144" s="546"/>
      <c r="EV144" s="546"/>
      <c r="EW144" s="546"/>
      <c r="EX144" s="546"/>
      <c r="EY144" s="546"/>
      <c r="EZ144" s="550"/>
      <c r="FA144" s="546"/>
      <c r="FB144" s="546"/>
      <c r="FC144" s="546"/>
      <c r="FD144" s="546"/>
      <c r="FE144" s="546"/>
      <c r="FF144" s="546"/>
      <c r="FG144" s="546"/>
      <c r="FH144" s="546"/>
      <c r="FI144" s="546"/>
      <c r="FJ144" s="546"/>
      <c r="FK144" s="546"/>
      <c r="FL144" s="546"/>
      <c r="FM144" s="546"/>
      <c r="FN144" s="546"/>
      <c r="FO144" s="546"/>
      <c r="FP144" s="546"/>
      <c r="FQ144" s="546"/>
      <c r="FR144" s="546"/>
      <c r="FS144" s="546"/>
      <c r="FT144" s="546"/>
      <c r="FU144" s="546"/>
      <c r="FV144" s="546"/>
      <c r="FW144" s="546"/>
      <c r="FX144" s="546"/>
      <c r="FY144" s="546"/>
      <c r="FZ144" s="546"/>
      <c r="GA144" s="546"/>
      <c r="GB144" s="546"/>
      <c r="GC144" s="546"/>
      <c r="GD144" s="546"/>
      <c r="GE144" s="546"/>
      <c r="GF144" s="546"/>
      <c r="GG144" s="546"/>
      <c r="GH144" s="546"/>
      <c r="GI144" s="546"/>
      <c r="GJ144" s="546"/>
      <c r="GK144" s="546"/>
      <c r="GL144" s="546"/>
      <c r="GM144" s="546"/>
      <c r="GN144" s="546"/>
      <c r="GO144" s="546"/>
      <c r="GP144" s="546"/>
      <c r="GQ144" s="546"/>
      <c r="GR144" s="546"/>
      <c r="GS144" s="546"/>
      <c r="GT144" s="546"/>
      <c r="GU144" s="546"/>
      <c r="GV144" s="546"/>
      <c r="GW144" s="546"/>
      <c r="GX144" s="546"/>
      <c r="GY144" s="546"/>
      <c r="GZ144" s="546"/>
      <c r="HA144" s="546"/>
      <c r="HB144" s="546"/>
      <c r="HC144" s="546"/>
      <c r="HD144" s="546"/>
      <c r="HE144" s="546"/>
      <c r="HF144" s="546"/>
      <c r="HG144" s="546"/>
      <c r="HH144" s="546"/>
      <c r="HI144" s="546"/>
      <c r="HJ144" s="546"/>
      <c r="HK144" s="546"/>
      <c r="HL144" s="546"/>
      <c r="HM144" s="546"/>
      <c r="HN144" s="546"/>
      <c r="HO144" s="546"/>
      <c r="HP144" s="546"/>
      <c r="HQ144" s="546"/>
      <c r="HR144" s="546"/>
      <c r="HS144" s="546"/>
      <c r="HT144" s="546"/>
      <c r="HU144" s="546"/>
      <c r="HV144" s="546"/>
      <c r="HW144" s="546"/>
      <c r="HX144" s="546"/>
      <c r="HY144" s="546"/>
      <c r="HZ144" s="546"/>
      <c r="IA144" s="546"/>
      <c r="IB144" s="546"/>
      <c r="IC144" s="546"/>
      <c r="ID144" s="546"/>
      <c r="IE144" s="546"/>
      <c r="IF144" s="546"/>
      <c r="IG144" s="546"/>
      <c r="IH144" s="546"/>
      <c r="II144" s="546"/>
      <c r="IJ144" s="546"/>
      <c r="IK144" s="546"/>
      <c r="IL144" s="546"/>
      <c r="IM144" s="546"/>
      <c r="IN144" s="546"/>
      <c r="IO144" s="546"/>
      <c r="IP144" s="546"/>
      <c r="IQ144" s="546"/>
      <c r="IR144" s="546"/>
      <c r="IS144" s="546"/>
      <c r="IT144" s="546"/>
      <c r="IU144" s="546"/>
      <c r="IV144" s="546"/>
      <c r="IW144" s="546"/>
      <c r="IX144" s="546"/>
      <c r="IY144" s="546"/>
      <c r="IZ144" s="546"/>
      <c r="JA144" s="546"/>
      <c r="JB144" s="546"/>
      <c r="JC144" s="546"/>
      <c r="JD144" s="546"/>
      <c r="JE144" s="546"/>
      <c r="JF144" s="546"/>
      <c r="JG144" s="546"/>
      <c r="JH144" s="546"/>
      <c r="JI144" s="546"/>
      <c r="JJ144" s="546"/>
      <c r="JK144" s="546"/>
      <c r="JL144" s="546"/>
      <c r="JM144" s="546"/>
      <c r="JN144" s="546"/>
      <c r="JO144" s="546"/>
      <c r="JP144" s="546"/>
      <c r="JQ144" s="546"/>
      <c r="JR144" s="546"/>
      <c r="JS144" s="546"/>
      <c r="JT144" s="546"/>
      <c r="JU144" s="546"/>
      <c r="JV144" s="546"/>
      <c r="JW144" s="546"/>
      <c r="JX144" s="546"/>
      <c r="JY144" s="546"/>
      <c r="JZ144" s="546"/>
      <c r="KA144" s="546"/>
      <c r="KB144" s="546"/>
      <c r="KC144" s="546"/>
    </row>
    <row r="145" spans="2:289" ht="14.25" customHeight="1" x14ac:dyDescent="0.25">
      <c r="B145" s="547" t="s">
        <v>3</v>
      </c>
      <c r="C145" s="550"/>
      <c r="D145" s="550"/>
      <c r="E145" s="550"/>
      <c r="F145" s="550"/>
      <c r="G145" s="550"/>
      <c r="H145" s="550"/>
      <c r="I145" s="550"/>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c r="CX145" s="179"/>
      <c r="CY145" s="179"/>
      <c r="CZ145" s="179"/>
      <c r="DA145" s="179"/>
      <c r="DB145" s="179"/>
      <c r="DC145" s="179"/>
      <c r="DD145" s="179"/>
      <c r="DE145" s="179"/>
      <c r="DF145" s="179"/>
      <c r="DG145" s="179"/>
      <c r="DH145" s="179"/>
      <c r="DI145" s="179"/>
      <c r="DJ145" s="179"/>
      <c r="DK145" s="179"/>
      <c r="DL145" s="179"/>
      <c r="DM145" s="179"/>
      <c r="DN145" s="179"/>
      <c r="DO145" s="179"/>
      <c r="DP145" s="179"/>
      <c r="DQ145" s="179"/>
      <c r="DR145" s="179"/>
      <c r="DS145" s="179"/>
      <c r="DT145" s="179"/>
      <c r="DU145" s="179"/>
      <c r="DV145" s="179"/>
      <c r="DW145" s="179"/>
      <c r="DX145" s="179"/>
      <c r="DY145" s="179"/>
      <c r="DZ145" s="179"/>
      <c r="EA145" s="179"/>
      <c r="EB145" s="179"/>
      <c r="EC145" s="179"/>
      <c r="ED145" s="179"/>
      <c r="EE145" s="179"/>
      <c r="EF145" s="179"/>
      <c r="EG145" s="179"/>
      <c r="EH145" s="179"/>
      <c r="EI145" s="179"/>
      <c r="EJ145" s="179"/>
      <c r="EK145" s="179"/>
      <c r="EL145" s="179"/>
      <c r="EM145" s="179"/>
      <c r="EN145" s="179"/>
      <c r="EO145" s="179"/>
      <c r="EP145" s="179"/>
      <c r="EQ145" s="179"/>
      <c r="ER145" s="179"/>
      <c r="ES145" s="179"/>
      <c r="ET145" s="179"/>
      <c r="EU145" s="153"/>
      <c r="EV145" s="153"/>
      <c r="EW145" s="153"/>
      <c r="EX145" s="153"/>
      <c r="EY145" s="153"/>
      <c r="EZ145" s="154"/>
      <c r="FA145" s="153"/>
      <c r="FB145" s="153"/>
      <c r="FC145" s="153"/>
      <c r="FD145" s="153"/>
      <c r="FE145" s="153"/>
      <c r="FF145" s="153"/>
      <c r="FG145" s="153"/>
      <c r="FH145" s="153"/>
      <c r="FI145" s="153"/>
      <c r="FJ145" s="153"/>
      <c r="FK145" s="153"/>
      <c r="FL145" s="153"/>
      <c r="FM145" s="153"/>
      <c r="FN145" s="153"/>
      <c r="FO145" s="153"/>
      <c r="FP145" s="153"/>
      <c r="FQ145" s="153"/>
      <c r="FR145" s="153"/>
      <c r="FS145" s="153"/>
      <c r="FT145" s="153"/>
      <c r="FU145" s="153"/>
      <c r="FV145" s="153"/>
      <c r="FW145" s="153"/>
      <c r="FX145" s="153"/>
      <c r="FY145" s="153"/>
      <c r="FZ145" s="153"/>
      <c r="GA145" s="153"/>
      <c r="GB145" s="153"/>
      <c r="GC145" s="153"/>
      <c r="GD145" s="153"/>
      <c r="GE145" s="153"/>
      <c r="GF145" s="153"/>
      <c r="GG145" s="153"/>
      <c r="GH145" s="153"/>
      <c r="GI145" s="153"/>
      <c r="GJ145" s="153"/>
      <c r="GK145" s="153"/>
      <c r="GL145" s="153"/>
      <c r="GM145" s="153"/>
      <c r="GN145" s="153"/>
      <c r="GO145" s="153"/>
      <c r="GP145" s="153"/>
      <c r="GQ145" s="153"/>
      <c r="GR145" s="153"/>
      <c r="GS145" s="153"/>
      <c r="GT145" s="153"/>
      <c r="GU145" s="153"/>
      <c r="GV145" s="153"/>
      <c r="GW145" s="153"/>
      <c r="GX145" s="153"/>
      <c r="GY145" s="153"/>
      <c r="GZ145" s="153"/>
      <c r="HA145" s="153"/>
      <c r="HB145" s="153"/>
      <c r="HC145" s="153"/>
      <c r="HD145" s="153"/>
      <c r="HE145" s="153"/>
      <c r="HF145" s="153"/>
      <c r="HG145" s="153"/>
      <c r="HH145" s="153"/>
      <c r="HI145" s="153"/>
      <c r="HJ145" s="153"/>
      <c r="HK145" s="153"/>
      <c r="HL145" s="153"/>
      <c r="HM145" s="153"/>
      <c r="HN145" s="153"/>
      <c r="HO145" s="153"/>
      <c r="HP145" s="153"/>
      <c r="HQ145" s="153"/>
      <c r="HR145" s="153"/>
      <c r="HS145" s="153"/>
      <c r="HT145" s="153"/>
      <c r="HU145" s="153"/>
      <c r="HV145" s="153"/>
      <c r="HW145" s="153"/>
      <c r="HX145" s="153"/>
      <c r="HY145" s="153"/>
      <c r="HZ145" s="153"/>
      <c r="IA145" s="153"/>
      <c r="IB145" s="153"/>
      <c r="IC145" s="153"/>
      <c r="ID145" s="153"/>
      <c r="IE145" s="153"/>
      <c r="IF145" s="153"/>
      <c r="IG145" s="153"/>
      <c r="IH145" s="153"/>
      <c r="II145" s="153"/>
      <c r="IJ145" s="153"/>
      <c r="IK145" s="153"/>
      <c r="IL145" s="153"/>
      <c r="IM145" s="153"/>
      <c r="IN145" s="153"/>
      <c r="IO145" s="153"/>
      <c r="IP145" s="153"/>
      <c r="IQ145" s="153"/>
      <c r="IR145" s="153"/>
      <c r="IS145" s="153"/>
      <c r="IT145" s="153"/>
      <c r="IU145" s="153"/>
      <c r="IV145" s="153"/>
      <c r="IW145" s="153"/>
      <c r="IX145" s="153"/>
      <c r="IY145" s="153"/>
      <c r="IZ145" s="153"/>
      <c r="JA145" s="153"/>
      <c r="JB145" s="153"/>
      <c r="JC145" s="153"/>
      <c r="JD145" s="153"/>
      <c r="JE145" s="153"/>
      <c r="JF145" s="153"/>
      <c r="JG145" s="153"/>
      <c r="JH145" s="153"/>
      <c r="JI145" s="153"/>
      <c r="JJ145" s="153"/>
      <c r="JK145" s="153"/>
      <c r="JL145" s="153"/>
      <c r="JM145" s="153"/>
      <c r="JN145" s="153"/>
      <c r="JO145" s="153"/>
      <c r="JP145" s="153"/>
      <c r="JQ145" s="153"/>
      <c r="JR145" s="153"/>
      <c r="JS145" s="153"/>
      <c r="JT145" s="153"/>
      <c r="JU145" s="153"/>
      <c r="JV145" s="153"/>
      <c r="JW145" s="153"/>
      <c r="JX145" s="153"/>
      <c r="JY145" s="153"/>
      <c r="JZ145" s="153"/>
      <c r="KA145" s="153"/>
      <c r="KB145" s="153"/>
      <c r="KC145" s="153"/>
    </row>
    <row r="146" spans="2:289" ht="14.25" customHeight="1" x14ac:dyDescent="0.25">
      <c r="B146" s="369" t="s">
        <v>160</v>
      </c>
      <c r="C146" s="369"/>
      <c r="D146" s="369"/>
      <c r="E146" s="370"/>
      <c r="F146" s="370"/>
      <c r="G146" s="371" t="s">
        <v>161</v>
      </c>
      <c r="H146" s="370"/>
      <c r="I146" s="370"/>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c r="CX146" s="179"/>
      <c r="CY146" s="179"/>
      <c r="CZ146" s="179"/>
      <c r="DA146" s="179"/>
      <c r="DB146" s="179"/>
      <c r="DC146" s="179"/>
      <c r="DD146" s="179"/>
      <c r="DE146" s="179"/>
      <c r="DF146" s="179"/>
      <c r="DG146" s="179"/>
      <c r="DH146" s="179"/>
      <c r="DI146" s="179"/>
      <c r="DJ146" s="179"/>
      <c r="DK146" s="179"/>
      <c r="DL146" s="179"/>
      <c r="DM146" s="179"/>
      <c r="DN146" s="179"/>
      <c r="DO146" s="179"/>
      <c r="DP146" s="179"/>
      <c r="DQ146" s="179"/>
      <c r="DR146" s="179"/>
      <c r="DS146" s="179"/>
      <c r="DT146" s="179"/>
      <c r="DU146" s="179"/>
      <c r="DV146" s="179"/>
      <c r="DW146" s="179"/>
      <c r="DX146" s="179"/>
      <c r="DY146" s="179"/>
      <c r="DZ146" s="179"/>
      <c r="EA146" s="179"/>
      <c r="EB146" s="179"/>
      <c r="EC146" s="179"/>
      <c r="ED146" s="179"/>
      <c r="EE146" s="179"/>
      <c r="EF146" s="179"/>
      <c r="EG146" s="179"/>
      <c r="EH146" s="179"/>
      <c r="EI146" s="179"/>
      <c r="EJ146" s="179"/>
      <c r="EK146" s="179"/>
      <c r="EL146" s="179"/>
      <c r="EM146" s="179"/>
      <c r="EN146" s="179"/>
      <c r="EO146" s="179"/>
      <c r="EP146" s="179"/>
      <c r="EQ146" s="179"/>
      <c r="ER146" s="179"/>
      <c r="ES146" s="179"/>
      <c r="ET146" s="179"/>
      <c r="EU146" s="202" t="s">
        <v>102</v>
      </c>
      <c r="EV146" s="153"/>
      <c r="EW146" s="154" t="s">
        <v>103</v>
      </c>
      <c r="EX146" s="153"/>
      <c r="EY146" s="153"/>
      <c r="EZ146" s="162"/>
      <c r="FA146" s="162"/>
      <c r="FB146" s="162">
        <f t="shared" ref="FB146:GG146" si="819">FB92</f>
        <v>0</v>
      </c>
      <c r="FC146" s="162">
        <f t="shared" si="819"/>
        <v>0</v>
      </c>
      <c r="FD146" s="162">
        <f t="shared" si="819"/>
        <v>0</v>
      </c>
      <c r="FE146" s="162">
        <f t="shared" si="819"/>
        <v>0</v>
      </c>
      <c r="FF146" s="162">
        <f t="shared" si="819"/>
        <v>0</v>
      </c>
      <c r="FG146" s="162">
        <f t="shared" si="819"/>
        <v>0</v>
      </c>
      <c r="FH146" s="162">
        <f t="shared" si="819"/>
        <v>0</v>
      </c>
      <c r="FI146" s="162">
        <f t="shared" si="819"/>
        <v>0</v>
      </c>
      <c r="FJ146" s="162">
        <f t="shared" si="819"/>
        <v>0</v>
      </c>
      <c r="FK146" s="162">
        <f t="shared" si="819"/>
        <v>0</v>
      </c>
      <c r="FL146" s="162">
        <f t="shared" si="819"/>
        <v>0</v>
      </c>
      <c r="FM146" s="162">
        <f t="shared" si="819"/>
        <v>0</v>
      </c>
      <c r="FN146" s="162">
        <f t="shared" si="819"/>
        <v>0</v>
      </c>
      <c r="FO146" s="162">
        <f t="shared" si="819"/>
        <v>1</v>
      </c>
      <c r="FP146" s="162">
        <f t="shared" si="819"/>
        <v>2</v>
      </c>
      <c r="FQ146" s="162">
        <f t="shared" si="819"/>
        <v>3</v>
      </c>
      <c r="FR146" s="162">
        <f t="shared" si="819"/>
        <v>4</v>
      </c>
      <c r="FS146" s="162">
        <f t="shared" si="819"/>
        <v>5</v>
      </c>
      <c r="FT146" s="162">
        <f t="shared" si="819"/>
        <v>6</v>
      </c>
      <c r="FU146" s="162">
        <f t="shared" si="819"/>
        <v>7</v>
      </c>
      <c r="FV146" s="162">
        <f t="shared" si="819"/>
        <v>8</v>
      </c>
      <c r="FW146" s="162">
        <f t="shared" si="819"/>
        <v>9</v>
      </c>
      <c r="FX146" s="162">
        <f t="shared" si="819"/>
        <v>10</v>
      </c>
      <c r="FY146" s="162">
        <f t="shared" si="819"/>
        <v>11</v>
      </c>
      <c r="FZ146" s="162">
        <f t="shared" si="819"/>
        <v>12</v>
      </c>
      <c r="GA146" s="162">
        <f t="shared" si="819"/>
        <v>13</v>
      </c>
      <c r="GB146" s="162">
        <f t="shared" si="819"/>
        <v>14</v>
      </c>
      <c r="GC146" s="162">
        <f t="shared" si="819"/>
        <v>15</v>
      </c>
      <c r="GD146" s="162">
        <f t="shared" si="819"/>
        <v>16</v>
      </c>
      <c r="GE146" s="162">
        <f t="shared" si="819"/>
        <v>17</v>
      </c>
      <c r="GF146" s="162">
        <f t="shared" si="819"/>
        <v>18</v>
      </c>
      <c r="GG146" s="162">
        <f t="shared" si="819"/>
        <v>19</v>
      </c>
      <c r="GH146" s="162">
        <f t="shared" ref="GH146:HM146" si="820">GH92</f>
        <v>20</v>
      </c>
      <c r="GI146" s="162">
        <f t="shared" si="820"/>
        <v>21</v>
      </c>
      <c r="GJ146" s="162">
        <f t="shared" si="820"/>
        <v>22</v>
      </c>
      <c r="GK146" s="162">
        <f t="shared" si="820"/>
        <v>23</v>
      </c>
      <c r="GL146" s="162">
        <f t="shared" si="820"/>
        <v>24</v>
      </c>
      <c r="GM146" s="162">
        <f t="shared" si="820"/>
        <v>25</v>
      </c>
      <c r="GN146" s="162">
        <f t="shared" si="820"/>
        <v>26</v>
      </c>
      <c r="GO146" s="162">
        <f t="shared" si="820"/>
        <v>27</v>
      </c>
      <c r="GP146" s="162">
        <f t="shared" si="820"/>
        <v>28</v>
      </c>
      <c r="GQ146" s="162">
        <f t="shared" si="820"/>
        <v>29</v>
      </c>
      <c r="GR146" s="162">
        <f t="shared" si="820"/>
        <v>30</v>
      </c>
      <c r="GS146" s="162">
        <f t="shared" si="820"/>
        <v>31</v>
      </c>
      <c r="GT146" s="162">
        <f t="shared" si="820"/>
        <v>32</v>
      </c>
      <c r="GU146" s="162">
        <f t="shared" si="820"/>
        <v>33</v>
      </c>
      <c r="GV146" s="162">
        <f t="shared" si="820"/>
        <v>34</v>
      </c>
      <c r="GW146" s="162">
        <f t="shared" si="820"/>
        <v>35</v>
      </c>
      <c r="GX146" s="162">
        <f t="shared" si="820"/>
        <v>36</v>
      </c>
      <c r="GY146" s="162">
        <f t="shared" si="820"/>
        <v>37</v>
      </c>
      <c r="GZ146" s="162">
        <f t="shared" si="820"/>
        <v>38</v>
      </c>
      <c r="HA146" s="162">
        <f t="shared" si="820"/>
        <v>39</v>
      </c>
      <c r="HB146" s="162">
        <f t="shared" si="820"/>
        <v>40</v>
      </c>
      <c r="HC146" s="162">
        <f t="shared" si="820"/>
        <v>41</v>
      </c>
      <c r="HD146" s="162">
        <f t="shared" si="820"/>
        <v>42</v>
      </c>
      <c r="HE146" s="162">
        <f t="shared" si="820"/>
        <v>43</v>
      </c>
      <c r="HF146" s="162">
        <f t="shared" si="820"/>
        <v>44</v>
      </c>
      <c r="HG146" s="162">
        <f t="shared" si="820"/>
        <v>45</v>
      </c>
      <c r="HH146" s="162">
        <f t="shared" si="820"/>
        <v>46</v>
      </c>
      <c r="HI146" s="162">
        <f t="shared" si="820"/>
        <v>47</v>
      </c>
      <c r="HJ146" s="162">
        <f t="shared" si="820"/>
        <v>48</v>
      </c>
      <c r="HK146" s="162">
        <f t="shared" si="820"/>
        <v>49</v>
      </c>
      <c r="HL146" s="162">
        <f t="shared" si="820"/>
        <v>50</v>
      </c>
      <c r="HM146" s="162">
        <f t="shared" si="820"/>
        <v>51</v>
      </c>
      <c r="HN146" s="162">
        <f t="shared" ref="HN146:IS146" si="821">HN92</f>
        <v>52</v>
      </c>
      <c r="HO146" s="162">
        <f t="shared" si="821"/>
        <v>53</v>
      </c>
      <c r="HP146" s="162">
        <f t="shared" si="821"/>
        <v>54</v>
      </c>
      <c r="HQ146" s="162">
        <f t="shared" si="821"/>
        <v>55</v>
      </c>
      <c r="HR146" s="162">
        <f t="shared" si="821"/>
        <v>56</v>
      </c>
      <c r="HS146" s="162">
        <f t="shared" si="821"/>
        <v>57</v>
      </c>
      <c r="HT146" s="162">
        <f t="shared" si="821"/>
        <v>58</v>
      </c>
      <c r="HU146" s="162">
        <f t="shared" si="821"/>
        <v>59</v>
      </c>
      <c r="HV146" s="162">
        <f t="shared" si="821"/>
        <v>60</v>
      </c>
      <c r="HW146" s="162">
        <f t="shared" si="821"/>
        <v>61</v>
      </c>
      <c r="HX146" s="162">
        <f t="shared" si="821"/>
        <v>62</v>
      </c>
      <c r="HY146" s="162">
        <f t="shared" si="821"/>
        <v>63</v>
      </c>
      <c r="HZ146" s="162">
        <f t="shared" si="821"/>
        <v>64</v>
      </c>
      <c r="IA146" s="162">
        <f t="shared" si="821"/>
        <v>65</v>
      </c>
      <c r="IB146" s="162">
        <f t="shared" si="821"/>
        <v>66</v>
      </c>
      <c r="IC146" s="162">
        <f t="shared" si="821"/>
        <v>67</v>
      </c>
      <c r="ID146" s="162">
        <f t="shared" si="821"/>
        <v>68</v>
      </c>
      <c r="IE146" s="162">
        <f t="shared" si="821"/>
        <v>69</v>
      </c>
      <c r="IF146" s="162">
        <f t="shared" si="821"/>
        <v>70</v>
      </c>
      <c r="IG146" s="162">
        <f t="shared" si="821"/>
        <v>71</v>
      </c>
      <c r="IH146" s="162">
        <f t="shared" si="821"/>
        <v>72</v>
      </c>
      <c r="II146" s="162">
        <f t="shared" si="821"/>
        <v>73</v>
      </c>
      <c r="IJ146" s="162">
        <f t="shared" si="821"/>
        <v>74</v>
      </c>
      <c r="IK146" s="162">
        <f t="shared" si="821"/>
        <v>75</v>
      </c>
      <c r="IL146" s="162">
        <f t="shared" si="821"/>
        <v>76</v>
      </c>
      <c r="IM146" s="162">
        <f t="shared" si="821"/>
        <v>77</v>
      </c>
      <c r="IN146" s="162">
        <f t="shared" si="821"/>
        <v>78</v>
      </c>
      <c r="IO146" s="162">
        <f t="shared" si="821"/>
        <v>79</v>
      </c>
      <c r="IP146" s="162">
        <f t="shared" si="821"/>
        <v>80</v>
      </c>
      <c r="IQ146" s="162">
        <f t="shared" si="821"/>
        <v>81</v>
      </c>
      <c r="IR146" s="162">
        <f t="shared" si="821"/>
        <v>82</v>
      </c>
      <c r="IS146" s="162">
        <f t="shared" si="821"/>
        <v>83</v>
      </c>
      <c r="IT146" s="162">
        <f t="shared" ref="IT146:KC146" si="822">IT92</f>
        <v>84</v>
      </c>
      <c r="IU146" s="162">
        <f t="shared" si="822"/>
        <v>85</v>
      </c>
      <c r="IV146" s="162">
        <f t="shared" si="822"/>
        <v>86</v>
      </c>
      <c r="IW146" s="162">
        <f t="shared" si="822"/>
        <v>87</v>
      </c>
      <c r="IX146" s="162">
        <f t="shared" si="822"/>
        <v>88</v>
      </c>
      <c r="IY146" s="162">
        <f t="shared" si="822"/>
        <v>89</v>
      </c>
      <c r="IZ146" s="162">
        <f t="shared" si="822"/>
        <v>90</v>
      </c>
      <c r="JA146" s="162">
        <f t="shared" si="822"/>
        <v>91</v>
      </c>
      <c r="JB146" s="162">
        <f t="shared" si="822"/>
        <v>92</v>
      </c>
      <c r="JC146" s="162">
        <f t="shared" si="822"/>
        <v>93</v>
      </c>
      <c r="JD146" s="162">
        <f t="shared" si="822"/>
        <v>94</v>
      </c>
      <c r="JE146" s="162">
        <f t="shared" si="822"/>
        <v>95</v>
      </c>
      <c r="JF146" s="162">
        <f t="shared" si="822"/>
        <v>96</v>
      </c>
      <c r="JG146" s="162">
        <f t="shared" si="822"/>
        <v>97</v>
      </c>
      <c r="JH146" s="162">
        <f t="shared" si="822"/>
        <v>98</v>
      </c>
      <c r="JI146" s="162">
        <f t="shared" si="822"/>
        <v>99</v>
      </c>
      <c r="JJ146" s="162">
        <f t="shared" si="822"/>
        <v>100</v>
      </c>
      <c r="JK146" s="162">
        <f t="shared" si="822"/>
        <v>101</v>
      </c>
      <c r="JL146" s="162">
        <f t="shared" si="822"/>
        <v>102</v>
      </c>
      <c r="JM146" s="162">
        <f t="shared" si="822"/>
        <v>103</v>
      </c>
      <c r="JN146" s="162">
        <f t="shared" si="822"/>
        <v>104</v>
      </c>
      <c r="JO146" s="162">
        <f t="shared" si="822"/>
        <v>105</v>
      </c>
      <c r="JP146" s="162">
        <f t="shared" si="822"/>
        <v>106</v>
      </c>
      <c r="JQ146" s="162">
        <f t="shared" si="822"/>
        <v>107</v>
      </c>
      <c r="JR146" s="162">
        <f t="shared" si="822"/>
        <v>108</v>
      </c>
      <c r="JS146" s="162">
        <f t="shared" si="822"/>
        <v>109</v>
      </c>
      <c r="JT146" s="162">
        <f t="shared" si="822"/>
        <v>110</v>
      </c>
      <c r="JU146" s="162">
        <f t="shared" si="822"/>
        <v>111</v>
      </c>
      <c r="JV146" s="162">
        <f t="shared" si="822"/>
        <v>112</v>
      </c>
      <c r="JW146" s="162">
        <f t="shared" si="822"/>
        <v>113</v>
      </c>
      <c r="JX146" s="162">
        <f t="shared" si="822"/>
        <v>114</v>
      </c>
      <c r="JY146" s="162">
        <f t="shared" si="822"/>
        <v>115</v>
      </c>
      <c r="JZ146" s="162">
        <f t="shared" si="822"/>
        <v>116</v>
      </c>
      <c r="KA146" s="162">
        <f t="shared" si="822"/>
        <v>117</v>
      </c>
      <c r="KB146" s="162">
        <f t="shared" si="822"/>
        <v>118</v>
      </c>
      <c r="KC146" s="162">
        <f t="shared" si="822"/>
        <v>119</v>
      </c>
    </row>
    <row r="147" spans="2:289" x14ac:dyDescent="0.25">
      <c r="B147" s="180" t="s">
        <v>403</v>
      </c>
      <c r="C147" s="196"/>
      <c r="D147" s="372">
        <f>Timing_Construction_End</f>
        <v>14</v>
      </c>
      <c r="E147" s="196"/>
      <c r="F147" s="196"/>
      <c r="G147" s="345" t="s">
        <v>162</v>
      </c>
      <c r="H147" s="196"/>
      <c r="I147" s="286">
        <v>5.5E-2</v>
      </c>
      <c r="J147" s="179"/>
      <c r="K147" s="179"/>
      <c r="L147" s="179"/>
      <c r="M147" s="179"/>
      <c r="N147" s="179"/>
      <c r="O147" s="179"/>
      <c r="P147" s="179"/>
      <c r="Q147" s="179"/>
      <c r="R147" s="179"/>
      <c r="S147" s="179"/>
      <c r="T147" s="179"/>
      <c r="U147" s="179"/>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c r="CX147" s="179"/>
      <c r="CY147" s="179"/>
      <c r="CZ147" s="179"/>
      <c r="DA147" s="179"/>
      <c r="DB147" s="179"/>
      <c r="DC147" s="179"/>
      <c r="DD147" s="179"/>
      <c r="DE147" s="179"/>
      <c r="DF147" s="179"/>
      <c r="DG147" s="179"/>
      <c r="DH147" s="179"/>
      <c r="DI147" s="179"/>
      <c r="DJ147" s="179"/>
      <c r="DK147" s="179"/>
      <c r="DL147" s="179"/>
      <c r="DM147" s="179"/>
      <c r="DN147" s="179"/>
      <c r="DO147" s="179"/>
      <c r="DP147" s="179"/>
      <c r="DQ147" s="179"/>
      <c r="DR147" s="179"/>
      <c r="DS147" s="179"/>
      <c r="DT147" s="179"/>
      <c r="DU147" s="179"/>
      <c r="DV147" s="179"/>
      <c r="DW147" s="179"/>
      <c r="DX147" s="179"/>
      <c r="DY147" s="179"/>
      <c r="DZ147" s="179"/>
      <c r="EA147" s="179"/>
      <c r="EB147" s="179"/>
      <c r="EC147" s="179"/>
      <c r="ED147" s="179"/>
      <c r="EE147" s="179"/>
      <c r="EF147" s="179"/>
      <c r="EG147" s="179"/>
      <c r="EH147" s="179"/>
      <c r="EI147" s="179"/>
      <c r="EJ147" s="179"/>
      <c r="EK147" s="179"/>
      <c r="EL147" s="179"/>
      <c r="EM147" s="179"/>
      <c r="EN147" s="179"/>
      <c r="EO147" s="179"/>
      <c r="EP147" s="179"/>
      <c r="EQ147" s="179"/>
      <c r="ER147" s="179"/>
      <c r="ES147" s="179"/>
      <c r="ET147" s="179"/>
      <c r="EU147" s="153"/>
      <c r="EV147" s="153"/>
      <c r="EW147" s="154" t="s">
        <v>104</v>
      </c>
      <c r="EX147" s="153"/>
      <c r="EY147" s="153"/>
      <c r="EZ147" s="316"/>
      <c r="FA147" s="316"/>
      <c r="FB147" s="316">
        <f t="shared" ref="FB147:HM147" si="823">ROUNDUP(FB146/12,0)</f>
        <v>0</v>
      </c>
      <c r="FC147" s="316">
        <f t="shared" si="823"/>
        <v>0</v>
      </c>
      <c r="FD147" s="316">
        <f t="shared" si="823"/>
        <v>0</v>
      </c>
      <c r="FE147" s="316">
        <f t="shared" si="823"/>
        <v>0</v>
      </c>
      <c r="FF147" s="316">
        <f t="shared" si="823"/>
        <v>0</v>
      </c>
      <c r="FG147" s="316">
        <f t="shared" si="823"/>
        <v>0</v>
      </c>
      <c r="FH147" s="316">
        <f t="shared" si="823"/>
        <v>0</v>
      </c>
      <c r="FI147" s="316">
        <f t="shared" si="823"/>
        <v>0</v>
      </c>
      <c r="FJ147" s="316">
        <f t="shared" si="823"/>
        <v>0</v>
      </c>
      <c r="FK147" s="316">
        <f t="shared" si="823"/>
        <v>0</v>
      </c>
      <c r="FL147" s="316">
        <f t="shared" si="823"/>
        <v>0</v>
      </c>
      <c r="FM147" s="316">
        <f t="shared" si="823"/>
        <v>0</v>
      </c>
      <c r="FN147" s="316">
        <f t="shared" si="823"/>
        <v>0</v>
      </c>
      <c r="FO147" s="316">
        <f t="shared" si="823"/>
        <v>1</v>
      </c>
      <c r="FP147" s="316">
        <f t="shared" si="823"/>
        <v>1</v>
      </c>
      <c r="FQ147" s="316">
        <f t="shared" si="823"/>
        <v>1</v>
      </c>
      <c r="FR147" s="316">
        <f t="shared" si="823"/>
        <v>1</v>
      </c>
      <c r="FS147" s="316">
        <f t="shared" si="823"/>
        <v>1</v>
      </c>
      <c r="FT147" s="316">
        <f t="shared" si="823"/>
        <v>1</v>
      </c>
      <c r="FU147" s="316">
        <f t="shared" si="823"/>
        <v>1</v>
      </c>
      <c r="FV147" s="316">
        <f t="shared" si="823"/>
        <v>1</v>
      </c>
      <c r="FW147" s="316">
        <f t="shared" si="823"/>
        <v>1</v>
      </c>
      <c r="FX147" s="316">
        <f t="shared" si="823"/>
        <v>1</v>
      </c>
      <c r="FY147" s="316">
        <f t="shared" si="823"/>
        <v>1</v>
      </c>
      <c r="FZ147" s="316">
        <f t="shared" si="823"/>
        <v>1</v>
      </c>
      <c r="GA147" s="316">
        <f t="shared" si="823"/>
        <v>2</v>
      </c>
      <c r="GB147" s="316">
        <f t="shared" si="823"/>
        <v>2</v>
      </c>
      <c r="GC147" s="316">
        <f t="shared" si="823"/>
        <v>2</v>
      </c>
      <c r="GD147" s="316">
        <f t="shared" si="823"/>
        <v>2</v>
      </c>
      <c r="GE147" s="316">
        <f t="shared" si="823"/>
        <v>2</v>
      </c>
      <c r="GF147" s="316">
        <f t="shared" si="823"/>
        <v>2</v>
      </c>
      <c r="GG147" s="316">
        <f t="shared" si="823"/>
        <v>2</v>
      </c>
      <c r="GH147" s="316">
        <f t="shared" si="823"/>
        <v>2</v>
      </c>
      <c r="GI147" s="316">
        <f t="shared" si="823"/>
        <v>2</v>
      </c>
      <c r="GJ147" s="316">
        <f t="shared" si="823"/>
        <v>2</v>
      </c>
      <c r="GK147" s="316">
        <f t="shared" si="823"/>
        <v>2</v>
      </c>
      <c r="GL147" s="316">
        <f t="shared" si="823"/>
        <v>2</v>
      </c>
      <c r="GM147" s="316">
        <f t="shared" si="823"/>
        <v>3</v>
      </c>
      <c r="GN147" s="316">
        <f t="shared" si="823"/>
        <v>3</v>
      </c>
      <c r="GO147" s="316">
        <f t="shared" si="823"/>
        <v>3</v>
      </c>
      <c r="GP147" s="316">
        <f t="shared" si="823"/>
        <v>3</v>
      </c>
      <c r="GQ147" s="316">
        <f t="shared" si="823"/>
        <v>3</v>
      </c>
      <c r="GR147" s="316">
        <f t="shared" si="823"/>
        <v>3</v>
      </c>
      <c r="GS147" s="316">
        <f t="shared" si="823"/>
        <v>3</v>
      </c>
      <c r="GT147" s="316">
        <f t="shared" si="823"/>
        <v>3</v>
      </c>
      <c r="GU147" s="316">
        <f t="shared" si="823"/>
        <v>3</v>
      </c>
      <c r="GV147" s="316">
        <f t="shared" si="823"/>
        <v>3</v>
      </c>
      <c r="GW147" s="316">
        <f t="shared" si="823"/>
        <v>3</v>
      </c>
      <c r="GX147" s="316">
        <f t="shared" si="823"/>
        <v>3</v>
      </c>
      <c r="GY147" s="316">
        <f t="shared" si="823"/>
        <v>4</v>
      </c>
      <c r="GZ147" s="316">
        <f t="shared" si="823"/>
        <v>4</v>
      </c>
      <c r="HA147" s="316">
        <f t="shared" si="823"/>
        <v>4</v>
      </c>
      <c r="HB147" s="316">
        <f t="shared" si="823"/>
        <v>4</v>
      </c>
      <c r="HC147" s="316">
        <f t="shared" si="823"/>
        <v>4</v>
      </c>
      <c r="HD147" s="316">
        <f t="shared" si="823"/>
        <v>4</v>
      </c>
      <c r="HE147" s="316">
        <f t="shared" si="823"/>
        <v>4</v>
      </c>
      <c r="HF147" s="316">
        <f t="shared" si="823"/>
        <v>4</v>
      </c>
      <c r="HG147" s="316">
        <f t="shared" si="823"/>
        <v>4</v>
      </c>
      <c r="HH147" s="316">
        <f t="shared" si="823"/>
        <v>4</v>
      </c>
      <c r="HI147" s="316">
        <f t="shared" si="823"/>
        <v>4</v>
      </c>
      <c r="HJ147" s="316">
        <f t="shared" si="823"/>
        <v>4</v>
      </c>
      <c r="HK147" s="316">
        <f t="shared" si="823"/>
        <v>5</v>
      </c>
      <c r="HL147" s="316">
        <f t="shared" si="823"/>
        <v>5</v>
      </c>
      <c r="HM147" s="316">
        <f t="shared" si="823"/>
        <v>5</v>
      </c>
      <c r="HN147" s="316">
        <f t="shared" ref="HN147:JY147" si="824">ROUNDUP(HN146/12,0)</f>
        <v>5</v>
      </c>
      <c r="HO147" s="316">
        <f t="shared" si="824"/>
        <v>5</v>
      </c>
      <c r="HP147" s="316">
        <f t="shared" si="824"/>
        <v>5</v>
      </c>
      <c r="HQ147" s="316">
        <f t="shared" si="824"/>
        <v>5</v>
      </c>
      <c r="HR147" s="316">
        <f t="shared" si="824"/>
        <v>5</v>
      </c>
      <c r="HS147" s="316">
        <f t="shared" si="824"/>
        <v>5</v>
      </c>
      <c r="HT147" s="316">
        <f t="shared" si="824"/>
        <v>5</v>
      </c>
      <c r="HU147" s="316">
        <f t="shared" si="824"/>
        <v>5</v>
      </c>
      <c r="HV147" s="316">
        <f t="shared" si="824"/>
        <v>5</v>
      </c>
      <c r="HW147" s="316">
        <f t="shared" si="824"/>
        <v>6</v>
      </c>
      <c r="HX147" s="316">
        <f t="shared" si="824"/>
        <v>6</v>
      </c>
      <c r="HY147" s="316">
        <f t="shared" si="824"/>
        <v>6</v>
      </c>
      <c r="HZ147" s="316">
        <f t="shared" si="824"/>
        <v>6</v>
      </c>
      <c r="IA147" s="316">
        <f t="shared" si="824"/>
        <v>6</v>
      </c>
      <c r="IB147" s="316">
        <f t="shared" si="824"/>
        <v>6</v>
      </c>
      <c r="IC147" s="316">
        <f t="shared" si="824"/>
        <v>6</v>
      </c>
      <c r="ID147" s="316">
        <f t="shared" si="824"/>
        <v>6</v>
      </c>
      <c r="IE147" s="316">
        <f t="shared" si="824"/>
        <v>6</v>
      </c>
      <c r="IF147" s="316">
        <f t="shared" si="824"/>
        <v>6</v>
      </c>
      <c r="IG147" s="316">
        <f t="shared" si="824"/>
        <v>6</v>
      </c>
      <c r="IH147" s="316">
        <f t="shared" si="824"/>
        <v>6</v>
      </c>
      <c r="II147" s="316">
        <f t="shared" si="824"/>
        <v>7</v>
      </c>
      <c r="IJ147" s="316">
        <f t="shared" si="824"/>
        <v>7</v>
      </c>
      <c r="IK147" s="316">
        <f t="shared" si="824"/>
        <v>7</v>
      </c>
      <c r="IL147" s="316">
        <f t="shared" si="824"/>
        <v>7</v>
      </c>
      <c r="IM147" s="316">
        <f t="shared" si="824"/>
        <v>7</v>
      </c>
      <c r="IN147" s="316">
        <f t="shared" si="824"/>
        <v>7</v>
      </c>
      <c r="IO147" s="316">
        <f t="shared" si="824"/>
        <v>7</v>
      </c>
      <c r="IP147" s="316">
        <f t="shared" si="824"/>
        <v>7</v>
      </c>
      <c r="IQ147" s="316">
        <f t="shared" si="824"/>
        <v>7</v>
      </c>
      <c r="IR147" s="316">
        <f t="shared" si="824"/>
        <v>7</v>
      </c>
      <c r="IS147" s="316">
        <f t="shared" si="824"/>
        <v>7</v>
      </c>
      <c r="IT147" s="316">
        <f t="shared" si="824"/>
        <v>7</v>
      </c>
      <c r="IU147" s="316">
        <f t="shared" si="824"/>
        <v>8</v>
      </c>
      <c r="IV147" s="316">
        <f t="shared" si="824"/>
        <v>8</v>
      </c>
      <c r="IW147" s="316">
        <f t="shared" si="824"/>
        <v>8</v>
      </c>
      <c r="IX147" s="316">
        <f t="shared" si="824"/>
        <v>8</v>
      </c>
      <c r="IY147" s="316">
        <f t="shared" si="824"/>
        <v>8</v>
      </c>
      <c r="IZ147" s="316">
        <f t="shared" si="824"/>
        <v>8</v>
      </c>
      <c r="JA147" s="316">
        <f t="shared" si="824"/>
        <v>8</v>
      </c>
      <c r="JB147" s="316">
        <f t="shared" si="824"/>
        <v>8</v>
      </c>
      <c r="JC147" s="316">
        <f t="shared" si="824"/>
        <v>8</v>
      </c>
      <c r="JD147" s="316">
        <f t="shared" si="824"/>
        <v>8</v>
      </c>
      <c r="JE147" s="316">
        <f t="shared" si="824"/>
        <v>8</v>
      </c>
      <c r="JF147" s="316">
        <f t="shared" si="824"/>
        <v>8</v>
      </c>
      <c r="JG147" s="316">
        <f t="shared" si="824"/>
        <v>9</v>
      </c>
      <c r="JH147" s="316">
        <f t="shared" si="824"/>
        <v>9</v>
      </c>
      <c r="JI147" s="316">
        <f t="shared" si="824"/>
        <v>9</v>
      </c>
      <c r="JJ147" s="316">
        <f t="shared" si="824"/>
        <v>9</v>
      </c>
      <c r="JK147" s="316">
        <f t="shared" si="824"/>
        <v>9</v>
      </c>
      <c r="JL147" s="316">
        <f t="shared" si="824"/>
        <v>9</v>
      </c>
      <c r="JM147" s="316">
        <f t="shared" si="824"/>
        <v>9</v>
      </c>
      <c r="JN147" s="316">
        <f t="shared" si="824"/>
        <v>9</v>
      </c>
      <c r="JO147" s="316">
        <f t="shared" si="824"/>
        <v>9</v>
      </c>
      <c r="JP147" s="316">
        <f t="shared" si="824"/>
        <v>9</v>
      </c>
      <c r="JQ147" s="316">
        <f t="shared" si="824"/>
        <v>9</v>
      </c>
      <c r="JR147" s="316">
        <f t="shared" si="824"/>
        <v>9</v>
      </c>
      <c r="JS147" s="316">
        <f t="shared" si="824"/>
        <v>10</v>
      </c>
      <c r="JT147" s="316">
        <f t="shared" si="824"/>
        <v>10</v>
      </c>
      <c r="JU147" s="316">
        <f t="shared" si="824"/>
        <v>10</v>
      </c>
      <c r="JV147" s="316">
        <f t="shared" si="824"/>
        <v>10</v>
      </c>
      <c r="JW147" s="316">
        <f t="shared" si="824"/>
        <v>10</v>
      </c>
      <c r="JX147" s="316">
        <f t="shared" si="824"/>
        <v>10</v>
      </c>
      <c r="JY147" s="316">
        <f t="shared" si="824"/>
        <v>10</v>
      </c>
      <c r="JZ147" s="316">
        <f>ROUNDUP(JZ146/12,0)</f>
        <v>10</v>
      </c>
      <c r="KA147" s="316">
        <f>ROUNDUP(KA146/12,0)</f>
        <v>10</v>
      </c>
      <c r="KB147" s="316">
        <f>ROUNDUP(KB146/12,0)</f>
        <v>10</v>
      </c>
      <c r="KC147" s="316">
        <f>ROUNDUP(KC146/12,0)</f>
        <v>10</v>
      </c>
    </row>
    <row r="148" spans="2:289" x14ac:dyDescent="0.25">
      <c r="B148" s="180" t="s">
        <v>547</v>
      </c>
      <c r="C148" s="196"/>
      <c r="D148" s="373">
        <f>Timing_Operation_Begin_Month</f>
        <v>12</v>
      </c>
      <c r="E148" s="345"/>
      <c r="F148" s="345"/>
      <c r="G148" s="345" t="s">
        <v>163</v>
      </c>
      <c r="H148" s="196"/>
      <c r="I148" s="286">
        <v>5.5E-2</v>
      </c>
      <c r="J148" s="179"/>
      <c r="K148" s="179"/>
      <c r="L148" s="179"/>
      <c r="M148" s="179"/>
      <c r="N148" s="179"/>
      <c r="O148" s="179"/>
      <c r="P148" s="179"/>
      <c r="Q148" s="179"/>
      <c r="R148" s="179"/>
      <c r="S148" s="179"/>
      <c r="T148" s="179"/>
      <c r="U148" s="179"/>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c r="CX148" s="179"/>
      <c r="CY148" s="179"/>
      <c r="CZ148" s="179"/>
      <c r="DA148" s="179"/>
      <c r="DB148" s="179"/>
      <c r="DC148" s="179"/>
      <c r="DD148" s="179"/>
      <c r="DE148" s="179"/>
      <c r="DF148" s="179"/>
      <c r="DG148" s="179"/>
      <c r="DH148" s="179"/>
      <c r="DI148" s="179"/>
      <c r="DJ148" s="179"/>
      <c r="DK148" s="179"/>
      <c r="DL148" s="179"/>
      <c r="DM148" s="179"/>
      <c r="DN148" s="179"/>
      <c r="DO148" s="179"/>
      <c r="DP148" s="179"/>
      <c r="DQ148" s="179"/>
      <c r="DR148" s="179"/>
      <c r="DS148" s="179"/>
      <c r="DT148" s="179"/>
      <c r="DU148" s="179"/>
      <c r="DV148" s="179"/>
      <c r="DW148" s="179"/>
      <c r="DX148" s="179"/>
      <c r="DY148" s="179"/>
      <c r="DZ148" s="179"/>
      <c r="EA148" s="179"/>
      <c r="EB148" s="179"/>
      <c r="EC148" s="179"/>
      <c r="ED148" s="179"/>
      <c r="EE148" s="179"/>
      <c r="EF148" s="179"/>
      <c r="EG148" s="179"/>
      <c r="EH148" s="179"/>
      <c r="EI148" s="179"/>
      <c r="EJ148" s="179"/>
      <c r="EK148" s="179"/>
      <c r="EL148" s="179"/>
      <c r="EM148" s="179"/>
      <c r="EN148" s="179"/>
      <c r="EO148" s="179"/>
      <c r="EP148" s="179"/>
      <c r="EQ148" s="179"/>
      <c r="ER148" s="179"/>
      <c r="ES148" s="179"/>
      <c r="ET148" s="179"/>
      <c r="EU148" s="153"/>
      <c r="EV148" s="153"/>
      <c r="EW148" s="154" t="s">
        <v>105</v>
      </c>
      <c r="EX148" s="153"/>
      <c r="EY148" s="153"/>
      <c r="EZ148" s="162"/>
      <c r="FA148" s="162"/>
      <c r="FB148" s="162">
        <f t="shared" ref="FB148:HM148" si="825">IF(FB147=0,0,12-((FB147*12)-FB146))</f>
        <v>0</v>
      </c>
      <c r="FC148" s="162">
        <f t="shared" si="825"/>
        <v>0</v>
      </c>
      <c r="FD148" s="162">
        <f t="shared" si="825"/>
        <v>0</v>
      </c>
      <c r="FE148" s="162">
        <f t="shared" si="825"/>
        <v>0</v>
      </c>
      <c r="FF148" s="162">
        <f t="shared" si="825"/>
        <v>0</v>
      </c>
      <c r="FG148" s="162">
        <f t="shared" si="825"/>
        <v>0</v>
      </c>
      <c r="FH148" s="162">
        <f t="shared" si="825"/>
        <v>0</v>
      </c>
      <c r="FI148" s="162">
        <f t="shared" si="825"/>
        <v>0</v>
      </c>
      <c r="FJ148" s="162">
        <f t="shared" si="825"/>
        <v>0</v>
      </c>
      <c r="FK148" s="162">
        <f t="shared" si="825"/>
        <v>0</v>
      </c>
      <c r="FL148" s="162">
        <f t="shared" si="825"/>
        <v>0</v>
      </c>
      <c r="FM148" s="162">
        <f t="shared" si="825"/>
        <v>0</v>
      </c>
      <c r="FN148" s="162">
        <f t="shared" si="825"/>
        <v>0</v>
      </c>
      <c r="FO148" s="162">
        <f t="shared" si="825"/>
        <v>1</v>
      </c>
      <c r="FP148" s="162">
        <f t="shared" si="825"/>
        <v>2</v>
      </c>
      <c r="FQ148" s="162">
        <f t="shared" si="825"/>
        <v>3</v>
      </c>
      <c r="FR148" s="162">
        <f t="shared" si="825"/>
        <v>4</v>
      </c>
      <c r="FS148" s="162">
        <f t="shared" si="825"/>
        <v>5</v>
      </c>
      <c r="FT148" s="162">
        <f t="shared" si="825"/>
        <v>6</v>
      </c>
      <c r="FU148" s="162">
        <f t="shared" si="825"/>
        <v>7</v>
      </c>
      <c r="FV148" s="162">
        <f t="shared" si="825"/>
        <v>8</v>
      </c>
      <c r="FW148" s="162">
        <f t="shared" si="825"/>
        <v>9</v>
      </c>
      <c r="FX148" s="162">
        <f t="shared" si="825"/>
        <v>10</v>
      </c>
      <c r="FY148" s="162">
        <f t="shared" si="825"/>
        <v>11</v>
      </c>
      <c r="FZ148" s="162">
        <f t="shared" si="825"/>
        <v>12</v>
      </c>
      <c r="GA148" s="162">
        <f t="shared" si="825"/>
        <v>1</v>
      </c>
      <c r="GB148" s="162">
        <f t="shared" si="825"/>
        <v>2</v>
      </c>
      <c r="GC148" s="162">
        <f t="shared" si="825"/>
        <v>3</v>
      </c>
      <c r="GD148" s="162">
        <f t="shared" si="825"/>
        <v>4</v>
      </c>
      <c r="GE148" s="162">
        <f t="shared" si="825"/>
        <v>5</v>
      </c>
      <c r="GF148" s="162">
        <f t="shared" si="825"/>
        <v>6</v>
      </c>
      <c r="GG148" s="162">
        <f t="shared" si="825"/>
        <v>7</v>
      </c>
      <c r="GH148" s="162">
        <f t="shared" si="825"/>
        <v>8</v>
      </c>
      <c r="GI148" s="162">
        <f t="shared" si="825"/>
        <v>9</v>
      </c>
      <c r="GJ148" s="162">
        <f t="shared" si="825"/>
        <v>10</v>
      </c>
      <c r="GK148" s="162">
        <f t="shared" si="825"/>
        <v>11</v>
      </c>
      <c r="GL148" s="162">
        <f t="shared" si="825"/>
        <v>12</v>
      </c>
      <c r="GM148" s="162">
        <f t="shared" si="825"/>
        <v>1</v>
      </c>
      <c r="GN148" s="162">
        <f t="shared" si="825"/>
        <v>2</v>
      </c>
      <c r="GO148" s="162">
        <f t="shared" si="825"/>
        <v>3</v>
      </c>
      <c r="GP148" s="162">
        <f t="shared" si="825"/>
        <v>4</v>
      </c>
      <c r="GQ148" s="162">
        <f t="shared" si="825"/>
        <v>5</v>
      </c>
      <c r="GR148" s="162">
        <f t="shared" si="825"/>
        <v>6</v>
      </c>
      <c r="GS148" s="162">
        <f t="shared" si="825"/>
        <v>7</v>
      </c>
      <c r="GT148" s="162">
        <f t="shared" si="825"/>
        <v>8</v>
      </c>
      <c r="GU148" s="162">
        <f t="shared" si="825"/>
        <v>9</v>
      </c>
      <c r="GV148" s="162">
        <f t="shared" si="825"/>
        <v>10</v>
      </c>
      <c r="GW148" s="162">
        <f t="shared" si="825"/>
        <v>11</v>
      </c>
      <c r="GX148" s="162">
        <f t="shared" si="825"/>
        <v>12</v>
      </c>
      <c r="GY148" s="162">
        <f t="shared" si="825"/>
        <v>1</v>
      </c>
      <c r="GZ148" s="162">
        <f t="shared" si="825"/>
        <v>2</v>
      </c>
      <c r="HA148" s="162">
        <f t="shared" si="825"/>
        <v>3</v>
      </c>
      <c r="HB148" s="162">
        <f t="shared" si="825"/>
        <v>4</v>
      </c>
      <c r="HC148" s="162">
        <f t="shared" si="825"/>
        <v>5</v>
      </c>
      <c r="HD148" s="162">
        <f t="shared" si="825"/>
        <v>6</v>
      </c>
      <c r="HE148" s="162">
        <f t="shared" si="825"/>
        <v>7</v>
      </c>
      <c r="HF148" s="162">
        <f t="shared" si="825"/>
        <v>8</v>
      </c>
      <c r="HG148" s="162">
        <f t="shared" si="825"/>
        <v>9</v>
      </c>
      <c r="HH148" s="162">
        <f t="shared" si="825"/>
        <v>10</v>
      </c>
      <c r="HI148" s="162">
        <f t="shared" si="825"/>
        <v>11</v>
      </c>
      <c r="HJ148" s="162">
        <f t="shared" si="825"/>
        <v>12</v>
      </c>
      <c r="HK148" s="162">
        <f t="shared" si="825"/>
        <v>1</v>
      </c>
      <c r="HL148" s="162">
        <f t="shared" si="825"/>
        <v>2</v>
      </c>
      <c r="HM148" s="162">
        <f t="shared" si="825"/>
        <v>3</v>
      </c>
      <c r="HN148" s="162">
        <f t="shared" ref="HN148:JY148" si="826">IF(HN147=0,0,12-((HN147*12)-HN146))</f>
        <v>4</v>
      </c>
      <c r="HO148" s="162">
        <f t="shared" si="826"/>
        <v>5</v>
      </c>
      <c r="HP148" s="162">
        <f t="shared" si="826"/>
        <v>6</v>
      </c>
      <c r="HQ148" s="162">
        <f t="shared" si="826"/>
        <v>7</v>
      </c>
      <c r="HR148" s="162">
        <f t="shared" si="826"/>
        <v>8</v>
      </c>
      <c r="HS148" s="162">
        <f t="shared" si="826"/>
        <v>9</v>
      </c>
      <c r="HT148" s="162">
        <f t="shared" si="826"/>
        <v>10</v>
      </c>
      <c r="HU148" s="162">
        <f t="shared" si="826"/>
        <v>11</v>
      </c>
      <c r="HV148" s="162">
        <f t="shared" si="826"/>
        <v>12</v>
      </c>
      <c r="HW148" s="162">
        <f t="shared" si="826"/>
        <v>1</v>
      </c>
      <c r="HX148" s="162">
        <f t="shared" si="826"/>
        <v>2</v>
      </c>
      <c r="HY148" s="162">
        <f t="shared" si="826"/>
        <v>3</v>
      </c>
      <c r="HZ148" s="162">
        <f t="shared" si="826"/>
        <v>4</v>
      </c>
      <c r="IA148" s="162">
        <f t="shared" si="826"/>
        <v>5</v>
      </c>
      <c r="IB148" s="162">
        <f t="shared" si="826"/>
        <v>6</v>
      </c>
      <c r="IC148" s="162">
        <f t="shared" si="826"/>
        <v>7</v>
      </c>
      <c r="ID148" s="162">
        <f t="shared" si="826"/>
        <v>8</v>
      </c>
      <c r="IE148" s="162">
        <f t="shared" si="826"/>
        <v>9</v>
      </c>
      <c r="IF148" s="162">
        <f t="shared" si="826"/>
        <v>10</v>
      </c>
      <c r="IG148" s="162">
        <f t="shared" si="826"/>
        <v>11</v>
      </c>
      <c r="IH148" s="162">
        <f t="shared" si="826"/>
        <v>12</v>
      </c>
      <c r="II148" s="162">
        <f t="shared" si="826"/>
        <v>1</v>
      </c>
      <c r="IJ148" s="162">
        <f t="shared" si="826"/>
        <v>2</v>
      </c>
      <c r="IK148" s="162">
        <f t="shared" si="826"/>
        <v>3</v>
      </c>
      <c r="IL148" s="162">
        <f t="shared" si="826"/>
        <v>4</v>
      </c>
      <c r="IM148" s="162">
        <f t="shared" si="826"/>
        <v>5</v>
      </c>
      <c r="IN148" s="162">
        <f t="shared" si="826"/>
        <v>6</v>
      </c>
      <c r="IO148" s="162">
        <f t="shared" si="826"/>
        <v>7</v>
      </c>
      <c r="IP148" s="162">
        <f t="shared" si="826"/>
        <v>8</v>
      </c>
      <c r="IQ148" s="162">
        <f t="shared" si="826"/>
        <v>9</v>
      </c>
      <c r="IR148" s="162">
        <f t="shared" si="826"/>
        <v>10</v>
      </c>
      <c r="IS148" s="162">
        <f t="shared" si="826"/>
        <v>11</v>
      </c>
      <c r="IT148" s="162">
        <f t="shared" si="826"/>
        <v>12</v>
      </c>
      <c r="IU148" s="162">
        <f t="shared" si="826"/>
        <v>1</v>
      </c>
      <c r="IV148" s="162">
        <f t="shared" si="826"/>
        <v>2</v>
      </c>
      <c r="IW148" s="162">
        <f t="shared" si="826"/>
        <v>3</v>
      </c>
      <c r="IX148" s="162">
        <f t="shared" si="826"/>
        <v>4</v>
      </c>
      <c r="IY148" s="162">
        <f t="shared" si="826"/>
        <v>5</v>
      </c>
      <c r="IZ148" s="162">
        <f t="shared" si="826"/>
        <v>6</v>
      </c>
      <c r="JA148" s="162">
        <f t="shared" si="826"/>
        <v>7</v>
      </c>
      <c r="JB148" s="162">
        <f t="shared" si="826"/>
        <v>8</v>
      </c>
      <c r="JC148" s="162">
        <f t="shared" si="826"/>
        <v>9</v>
      </c>
      <c r="JD148" s="162">
        <f t="shared" si="826"/>
        <v>10</v>
      </c>
      <c r="JE148" s="162">
        <f t="shared" si="826"/>
        <v>11</v>
      </c>
      <c r="JF148" s="162">
        <f t="shared" si="826"/>
        <v>12</v>
      </c>
      <c r="JG148" s="162">
        <f t="shared" si="826"/>
        <v>1</v>
      </c>
      <c r="JH148" s="162">
        <f t="shared" si="826"/>
        <v>2</v>
      </c>
      <c r="JI148" s="162">
        <f t="shared" si="826"/>
        <v>3</v>
      </c>
      <c r="JJ148" s="162">
        <f t="shared" si="826"/>
        <v>4</v>
      </c>
      <c r="JK148" s="162">
        <f t="shared" si="826"/>
        <v>5</v>
      </c>
      <c r="JL148" s="162">
        <f t="shared" si="826"/>
        <v>6</v>
      </c>
      <c r="JM148" s="162">
        <f t="shared" si="826"/>
        <v>7</v>
      </c>
      <c r="JN148" s="162">
        <f t="shared" si="826"/>
        <v>8</v>
      </c>
      <c r="JO148" s="162">
        <f t="shared" si="826"/>
        <v>9</v>
      </c>
      <c r="JP148" s="162">
        <f t="shared" si="826"/>
        <v>10</v>
      </c>
      <c r="JQ148" s="162">
        <f t="shared" si="826"/>
        <v>11</v>
      </c>
      <c r="JR148" s="162">
        <f t="shared" si="826"/>
        <v>12</v>
      </c>
      <c r="JS148" s="162">
        <f t="shared" si="826"/>
        <v>1</v>
      </c>
      <c r="JT148" s="162">
        <f t="shared" si="826"/>
        <v>2</v>
      </c>
      <c r="JU148" s="162">
        <f t="shared" si="826"/>
        <v>3</v>
      </c>
      <c r="JV148" s="162">
        <f t="shared" si="826"/>
        <v>4</v>
      </c>
      <c r="JW148" s="162">
        <f t="shared" si="826"/>
        <v>5</v>
      </c>
      <c r="JX148" s="162">
        <f t="shared" si="826"/>
        <v>6</v>
      </c>
      <c r="JY148" s="162">
        <f t="shared" si="826"/>
        <v>7</v>
      </c>
      <c r="JZ148" s="162">
        <f>IF(JZ147=0,0,12-((JZ147*12)-JZ146))</f>
        <v>8</v>
      </c>
      <c r="KA148" s="162">
        <f>IF(KA147=0,0,12-((KA147*12)-KA146))</f>
        <v>9</v>
      </c>
      <c r="KB148" s="162">
        <f>IF(KB147=0,0,12-((KB147*12)-KB146))</f>
        <v>10</v>
      </c>
      <c r="KC148" s="162">
        <f>IF(KC147=0,0,12-((KC147*12)-KC146))</f>
        <v>11</v>
      </c>
    </row>
    <row r="149" spans="2:289" x14ac:dyDescent="0.25">
      <c r="B149" s="180" t="s">
        <v>158</v>
      </c>
      <c r="C149" s="196"/>
      <c r="D149" s="373">
        <f>Stabilization_1st_Month</f>
        <v>14</v>
      </c>
      <c r="E149" s="345"/>
      <c r="F149" s="345"/>
      <c r="G149" s="345" t="s">
        <v>164</v>
      </c>
      <c r="H149" s="196"/>
      <c r="I149" s="286">
        <v>4.4999999999999998E-2</v>
      </c>
      <c r="J149" s="179"/>
      <c r="K149" s="179"/>
      <c r="L149" s="179"/>
      <c r="M149" s="179"/>
      <c r="N149" s="179"/>
      <c r="O149" s="179"/>
      <c r="P149" s="179"/>
      <c r="Q149" s="179"/>
      <c r="R149" s="179"/>
      <c r="S149" s="179"/>
      <c r="T149" s="179"/>
      <c r="U149" s="179"/>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c r="CX149" s="179"/>
      <c r="CY149" s="179"/>
      <c r="CZ149" s="179"/>
      <c r="DA149" s="179"/>
      <c r="DB149" s="179"/>
      <c r="DC149" s="179"/>
      <c r="DD149" s="179"/>
      <c r="DE149" s="179"/>
      <c r="DF149" s="179"/>
      <c r="DG149" s="179"/>
      <c r="DH149" s="179"/>
      <c r="DI149" s="179"/>
      <c r="DJ149" s="179"/>
      <c r="DK149" s="179"/>
      <c r="DL149" s="179"/>
      <c r="DM149" s="179"/>
      <c r="DN149" s="179"/>
      <c r="DO149" s="179"/>
      <c r="DP149" s="179"/>
      <c r="DQ149" s="179"/>
      <c r="DR149" s="179"/>
      <c r="DS149" s="179"/>
      <c r="DT149" s="179"/>
      <c r="DU149" s="179"/>
      <c r="DV149" s="179"/>
      <c r="DW149" s="179"/>
      <c r="DX149" s="179"/>
      <c r="DY149" s="179"/>
      <c r="DZ149" s="179"/>
      <c r="EA149" s="179"/>
      <c r="EB149" s="179"/>
      <c r="EC149" s="179"/>
      <c r="ED149" s="179"/>
      <c r="EE149" s="179"/>
      <c r="EF149" s="179"/>
      <c r="EG149" s="179"/>
      <c r="EH149" s="179"/>
      <c r="EI149" s="179"/>
      <c r="EJ149" s="179"/>
      <c r="EK149" s="179"/>
      <c r="EL149" s="179"/>
      <c r="EM149" s="179"/>
      <c r="EN149" s="179"/>
      <c r="EO149" s="179"/>
      <c r="EP149" s="179"/>
      <c r="EQ149" s="179"/>
      <c r="ER149" s="179"/>
      <c r="ES149" s="179"/>
      <c r="ET149" s="179"/>
      <c r="EU149" s="153"/>
      <c r="EV149" s="153"/>
      <c r="EW149" s="154" t="s">
        <v>106</v>
      </c>
      <c r="EX149" s="153"/>
      <c r="EY149" s="153"/>
      <c r="EZ149" s="304"/>
      <c r="FA149" s="304"/>
      <c r="FB149" s="304">
        <f t="shared" ref="FB149:HM149" si="827">FB148/12</f>
        <v>0</v>
      </c>
      <c r="FC149" s="304">
        <f t="shared" si="827"/>
        <v>0</v>
      </c>
      <c r="FD149" s="304">
        <f t="shared" si="827"/>
        <v>0</v>
      </c>
      <c r="FE149" s="304">
        <f t="shared" si="827"/>
        <v>0</v>
      </c>
      <c r="FF149" s="304">
        <f t="shared" si="827"/>
        <v>0</v>
      </c>
      <c r="FG149" s="304">
        <f t="shared" si="827"/>
        <v>0</v>
      </c>
      <c r="FH149" s="304">
        <f t="shared" si="827"/>
        <v>0</v>
      </c>
      <c r="FI149" s="304">
        <f t="shared" si="827"/>
        <v>0</v>
      </c>
      <c r="FJ149" s="304">
        <f t="shared" si="827"/>
        <v>0</v>
      </c>
      <c r="FK149" s="304">
        <f t="shared" si="827"/>
        <v>0</v>
      </c>
      <c r="FL149" s="304">
        <f t="shared" si="827"/>
        <v>0</v>
      </c>
      <c r="FM149" s="304">
        <f t="shared" si="827"/>
        <v>0</v>
      </c>
      <c r="FN149" s="304">
        <f t="shared" si="827"/>
        <v>0</v>
      </c>
      <c r="FO149" s="304">
        <f t="shared" si="827"/>
        <v>8.3333333333333329E-2</v>
      </c>
      <c r="FP149" s="304">
        <f t="shared" si="827"/>
        <v>0.16666666666666666</v>
      </c>
      <c r="FQ149" s="304">
        <f t="shared" si="827"/>
        <v>0.25</v>
      </c>
      <c r="FR149" s="304">
        <f t="shared" si="827"/>
        <v>0.33333333333333331</v>
      </c>
      <c r="FS149" s="304">
        <f t="shared" si="827"/>
        <v>0.41666666666666669</v>
      </c>
      <c r="FT149" s="304">
        <f t="shared" si="827"/>
        <v>0.5</v>
      </c>
      <c r="FU149" s="304">
        <f t="shared" si="827"/>
        <v>0.58333333333333337</v>
      </c>
      <c r="FV149" s="304">
        <f t="shared" si="827"/>
        <v>0.66666666666666663</v>
      </c>
      <c r="FW149" s="304">
        <f t="shared" si="827"/>
        <v>0.75</v>
      </c>
      <c r="FX149" s="304">
        <f t="shared" si="827"/>
        <v>0.83333333333333337</v>
      </c>
      <c r="FY149" s="304">
        <f t="shared" si="827"/>
        <v>0.91666666666666663</v>
      </c>
      <c r="FZ149" s="304">
        <f t="shared" si="827"/>
        <v>1</v>
      </c>
      <c r="GA149" s="304">
        <f t="shared" si="827"/>
        <v>8.3333333333333329E-2</v>
      </c>
      <c r="GB149" s="304">
        <f t="shared" si="827"/>
        <v>0.16666666666666666</v>
      </c>
      <c r="GC149" s="304">
        <f t="shared" si="827"/>
        <v>0.25</v>
      </c>
      <c r="GD149" s="304">
        <f t="shared" si="827"/>
        <v>0.33333333333333331</v>
      </c>
      <c r="GE149" s="304">
        <f t="shared" si="827"/>
        <v>0.41666666666666669</v>
      </c>
      <c r="GF149" s="304">
        <f t="shared" si="827"/>
        <v>0.5</v>
      </c>
      <c r="GG149" s="304">
        <f t="shared" si="827"/>
        <v>0.58333333333333337</v>
      </c>
      <c r="GH149" s="304">
        <f t="shared" si="827"/>
        <v>0.66666666666666663</v>
      </c>
      <c r="GI149" s="304">
        <f t="shared" si="827"/>
        <v>0.75</v>
      </c>
      <c r="GJ149" s="304">
        <f t="shared" si="827"/>
        <v>0.83333333333333337</v>
      </c>
      <c r="GK149" s="304">
        <f t="shared" si="827"/>
        <v>0.91666666666666663</v>
      </c>
      <c r="GL149" s="304">
        <f t="shared" si="827"/>
        <v>1</v>
      </c>
      <c r="GM149" s="304">
        <f t="shared" si="827"/>
        <v>8.3333333333333329E-2</v>
      </c>
      <c r="GN149" s="304">
        <f t="shared" si="827"/>
        <v>0.16666666666666666</v>
      </c>
      <c r="GO149" s="304">
        <f t="shared" si="827"/>
        <v>0.25</v>
      </c>
      <c r="GP149" s="304">
        <f t="shared" si="827"/>
        <v>0.33333333333333331</v>
      </c>
      <c r="GQ149" s="304">
        <f t="shared" si="827"/>
        <v>0.41666666666666669</v>
      </c>
      <c r="GR149" s="304">
        <f t="shared" si="827"/>
        <v>0.5</v>
      </c>
      <c r="GS149" s="304">
        <f t="shared" si="827"/>
        <v>0.58333333333333337</v>
      </c>
      <c r="GT149" s="304">
        <f t="shared" si="827"/>
        <v>0.66666666666666663</v>
      </c>
      <c r="GU149" s="304">
        <f t="shared" si="827"/>
        <v>0.75</v>
      </c>
      <c r="GV149" s="304">
        <f t="shared" si="827"/>
        <v>0.83333333333333337</v>
      </c>
      <c r="GW149" s="304">
        <f t="shared" si="827"/>
        <v>0.91666666666666663</v>
      </c>
      <c r="GX149" s="304">
        <f t="shared" si="827"/>
        <v>1</v>
      </c>
      <c r="GY149" s="304">
        <f t="shared" si="827"/>
        <v>8.3333333333333329E-2</v>
      </c>
      <c r="GZ149" s="304">
        <f t="shared" si="827"/>
        <v>0.16666666666666666</v>
      </c>
      <c r="HA149" s="304">
        <f t="shared" si="827"/>
        <v>0.25</v>
      </c>
      <c r="HB149" s="304">
        <f t="shared" si="827"/>
        <v>0.33333333333333331</v>
      </c>
      <c r="HC149" s="304">
        <f t="shared" si="827"/>
        <v>0.41666666666666669</v>
      </c>
      <c r="HD149" s="304">
        <f t="shared" si="827"/>
        <v>0.5</v>
      </c>
      <c r="HE149" s="304">
        <f t="shared" si="827"/>
        <v>0.58333333333333337</v>
      </c>
      <c r="HF149" s="304">
        <f t="shared" si="827"/>
        <v>0.66666666666666663</v>
      </c>
      <c r="HG149" s="304">
        <f t="shared" si="827"/>
        <v>0.75</v>
      </c>
      <c r="HH149" s="304">
        <f t="shared" si="827"/>
        <v>0.83333333333333337</v>
      </c>
      <c r="HI149" s="304">
        <f t="shared" si="827"/>
        <v>0.91666666666666663</v>
      </c>
      <c r="HJ149" s="304">
        <f t="shared" si="827"/>
        <v>1</v>
      </c>
      <c r="HK149" s="304">
        <f t="shared" si="827"/>
        <v>8.3333333333333329E-2</v>
      </c>
      <c r="HL149" s="304">
        <f t="shared" si="827"/>
        <v>0.16666666666666666</v>
      </c>
      <c r="HM149" s="304">
        <f t="shared" si="827"/>
        <v>0.25</v>
      </c>
      <c r="HN149" s="304">
        <f t="shared" ref="HN149:JY149" si="828">HN148/12</f>
        <v>0.33333333333333331</v>
      </c>
      <c r="HO149" s="304">
        <f t="shared" si="828"/>
        <v>0.41666666666666669</v>
      </c>
      <c r="HP149" s="304">
        <f t="shared" si="828"/>
        <v>0.5</v>
      </c>
      <c r="HQ149" s="304">
        <f t="shared" si="828"/>
        <v>0.58333333333333337</v>
      </c>
      <c r="HR149" s="304">
        <f t="shared" si="828"/>
        <v>0.66666666666666663</v>
      </c>
      <c r="HS149" s="304">
        <f t="shared" si="828"/>
        <v>0.75</v>
      </c>
      <c r="HT149" s="304">
        <f t="shared" si="828"/>
        <v>0.83333333333333337</v>
      </c>
      <c r="HU149" s="304">
        <f t="shared" si="828"/>
        <v>0.91666666666666663</v>
      </c>
      <c r="HV149" s="304">
        <f t="shared" si="828"/>
        <v>1</v>
      </c>
      <c r="HW149" s="304">
        <f t="shared" si="828"/>
        <v>8.3333333333333329E-2</v>
      </c>
      <c r="HX149" s="304">
        <f t="shared" si="828"/>
        <v>0.16666666666666666</v>
      </c>
      <c r="HY149" s="304">
        <f t="shared" si="828"/>
        <v>0.25</v>
      </c>
      <c r="HZ149" s="304">
        <f t="shared" si="828"/>
        <v>0.33333333333333331</v>
      </c>
      <c r="IA149" s="304">
        <f t="shared" si="828"/>
        <v>0.41666666666666669</v>
      </c>
      <c r="IB149" s="304">
        <f t="shared" si="828"/>
        <v>0.5</v>
      </c>
      <c r="IC149" s="304">
        <f t="shared" si="828"/>
        <v>0.58333333333333337</v>
      </c>
      <c r="ID149" s="304">
        <f t="shared" si="828"/>
        <v>0.66666666666666663</v>
      </c>
      <c r="IE149" s="304">
        <f t="shared" si="828"/>
        <v>0.75</v>
      </c>
      <c r="IF149" s="304">
        <f t="shared" si="828"/>
        <v>0.83333333333333337</v>
      </c>
      <c r="IG149" s="304">
        <f t="shared" si="828"/>
        <v>0.91666666666666663</v>
      </c>
      <c r="IH149" s="304">
        <f t="shared" si="828"/>
        <v>1</v>
      </c>
      <c r="II149" s="304">
        <f t="shared" si="828"/>
        <v>8.3333333333333329E-2</v>
      </c>
      <c r="IJ149" s="304">
        <f t="shared" si="828"/>
        <v>0.16666666666666666</v>
      </c>
      <c r="IK149" s="304">
        <f t="shared" si="828"/>
        <v>0.25</v>
      </c>
      <c r="IL149" s="304">
        <f t="shared" si="828"/>
        <v>0.33333333333333331</v>
      </c>
      <c r="IM149" s="304">
        <f t="shared" si="828"/>
        <v>0.41666666666666669</v>
      </c>
      <c r="IN149" s="304">
        <f t="shared" si="828"/>
        <v>0.5</v>
      </c>
      <c r="IO149" s="304">
        <f t="shared" si="828"/>
        <v>0.58333333333333337</v>
      </c>
      <c r="IP149" s="304">
        <f t="shared" si="828"/>
        <v>0.66666666666666663</v>
      </c>
      <c r="IQ149" s="304">
        <f t="shared" si="828"/>
        <v>0.75</v>
      </c>
      <c r="IR149" s="304">
        <f t="shared" si="828"/>
        <v>0.83333333333333337</v>
      </c>
      <c r="IS149" s="304">
        <f t="shared" si="828"/>
        <v>0.91666666666666663</v>
      </c>
      <c r="IT149" s="304">
        <f t="shared" si="828"/>
        <v>1</v>
      </c>
      <c r="IU149" s="304">
        <f t="shared" si="828"/>
        <v>8.3333333333333329E-2</v>
      </c>
      <c r="IV149" s="304">
        <f t="shared" si="828"/>
        <v>0.16666666666666666</v>
      </c>
      <c r="IW149" s="304">
        <f t="shared" si="828"/>
        <v>0.25</v>
      </c>
      <c r="IX149" s="304">
        <f t="shared" si="828"/>
        <v>0.33333333333333331</v>
      </c>
      <c r="IY149" s="304">
        <f t="shared" si="828"/>
        <v>0.41666666666666669</v>
      </c>
      <c r="IZ149" s="304">
        <f t="shared" si="828"/>
        <v>0.5</v>
      </c>
      <c r="JA149" s="304">
        <f t="shared" si="828"/>
        <v>0.58333333333333337</v>
      </c>
      <c r="JB149" s="304">
        <f t="shared" si="828"/>
        <v>0.66666666666666663</v>
      </c>
      <c r="JC149" s="304">
        <f t="shared" si="828"/>
        <v>0.75</v>
      </c>
      <c r="JD149" s="304">
        <f t="shared" si="828"/>
        <v>0.83333333333333337</v>
      </c>
      <c r="JE149" s="304">
        <f t="shared" si="828"/>
        <v>0.91666666666666663</v>
      </c>
      <c r="JF149" s="304">
        <f t="shared" si="828"/>
        <v>1</v>
      </c>
      <c r="JG149" s="304">
        <f t="shared" si="828"/>
        <v>8.3333333333333329E-2</v>
      </c>
      <c r="JH149" s="304">
        <f t="shared" si="828"/>
        <v>0.16666666666666666</v>
      </c>
      <c r="JI149" s="304">
        <f t="shared" si="828"/>
        <v>0.25</v>
      </c>
      <c r="JJ149" s="304">
        <f t="shared" si="828"/>
        <v>0.33333333333333331</v>
      </c>
      <c r="JK149" s="304">
        <f t="shared" si="828"/>
        <v>0.41666666666666669</v>
      </c>
      <c r="JL149" s="304">
        <f t="shared" si="828"/>
        <v>0.5</v>
      </c>
      <c r="JM149" s="304">
        <f t="shared" si="828"/>
        <v>0.58333333333333337</v>
      </c>
      <c r="JN149" s="304">
        <f t="shared" si="828"/>
        <v>0.66666666666666663</v>
      </c>
      <c r="JO149" s="304">
        <f t="shared" si="828"/>
        <v>0.75</v>
      </c>
      <c r="JP149" s="304">
        <f t="shared" si="828"/>
        <v>0.83333333333333337</v>
      </c>
      <c r="JQ149" s="304">
        <f t="shared" si="828"/>
        <v>0.91666666666666663</v>
      </c>
      <c r="JR149" s="304">
        <f t="shared" si="828"/>
        <v>1</v>
      </c>
      <c r="JS149" s="304">
        <f t="shared" si="828"/>
        <v>8.3333333333333329E-2</v>
      </c>
      <c r="JT149" s="304">
        <f t="shared" si="828"/>
        <v>0.16666666666666666</v>
      </c>
      <c r="JU149" s="304">
        <f t="shared" si="828"/>
        <v>0.25</v>
      </c>
      <c r="JV149" s="304">
        <f t="shared" si="828"/>
        <v>0.33333333333333331</v>
      </c>
      <c r="JW149" s="304">
        <f t="shared" si="828"/>
        <v>0.41666666666666669</v>
      </c>
      <c r="JX149" s="304">
        <f t="shared" si="828"/>
        <v>0.5</v>
      </c>
      <c r="JY149" s="304">
        <f t="shared" si="828"/>
        <v>0.58333333333333337</v>
      </c>
      <c r="JZ149" s="304">
        <f>JZ148/12</f>
        <v>0.66666666666666663</v>
      </c>
      <c r="KA149" s="304">
        <f>KA148/12</f>
        <v>0.75</v>
      </c>
      <c r="KB149" s="304">
        <f>KB148/12</f>
        <v>0.83333333333333337</v>
      </c>
      <c r="KC149" s="304">
        <f>KC148/12</f>
        <v>0.91666666666666663</v>
      </c>
    </row>
    <row r="150" spans="2:289" x14ac:dyDescent="0.25">
      <c r="B150" s="180" t="s">
        <v>159</v>
      </c>
      <c r="C150" s="196"/>
      <c r="D150" s="374">
        <v>36</v>
      </c>
      <c r="E150" s="345"/>
      <c r="F150" s="345"/>
      <c r="G150" s="375" t="s">
        <v>170</v>
      </c>
      <c r="H150" s="375" t="str">
        <f>"Month "&amp;Stabilization_1st_Month&amp;" - "&amp;Stabilization_1st_Month+11</f>
        <v>Month 14 - 25</v>
      </c>
      <c r="I150" s="375" t="str">
        <f>"Month "&amp;Timing_Reversion_Month&amp;" - "&amp;Timing_Reversion_Month+11</f>
        <v>Month 36 - 47</v>
      </c>
      <c r="J150" s="179"/>
      <c r="K150" s="179"/>
      <c r="L150" s="179"/>
      <c r="M150" s="179"/>
      <c r="N150" s="179"/>
      <c r="O150" s="179"/>
      <c r="P150" s="179"/>
      <c r="Q150" s="179"/>
      <c r="R150" s="179"/>
      <c r="S150" s="179"/>
      <c r="T150" s="179"/>
      <c r="U150" s="179"/>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c r="CX150" s="179"/>
      <c r="CY150" s="179"/>
      <c r="CZ150" s="179"/>
      <c r="DA150" s="179"/>
      <c r="DB150" s="179"/>
      <c r="DC150" s="179"/>
      <c r="DD150" s="179"/>
      <c r="DE150" s="179"/>
      <c r="DF150" s="179"/>
      <c r="DG150" s="179"/>
      <c r="DH150" s="179"/>
      <c r="DI150" s="179"/>
      <c r="DJ150" s="179"/>
      <c r="DK150" s="179"/>
      <c r="DL150" s="179"/>
      <c r="DM150" s="179"/>
      <c r="DN150" s="179"/>
      <c r="DO150" s="179"/>
      <c r="DP150" s="179"/>
      <c r="DQ150" s="179"/>
      <c r="DR150" s="179"/>
      <c r="DS150" s="179"/>
      <c r="DT150" s="179"/>
      <c r="DU150" s="179"/>
      <c r="DV150" s="179"/>
      <c r="DW150" s="179"/>
      <c r="DX150" s="179"/>
      <c r="DY150" s="179"/>
      <c r="DZ150" s="179"/>
      <c r="EA150" s="179"/>
      <c r="EB150" s="179"/>
      <c r="EC150" s="179"/>
      <c r="ED150" s="179"/>
      <c r="EE150" s="179"/>
      <c r="EF150" s="179"/>
      <c r="EG150" s="179"/>
      <c r="EH150" s="179"/>
      <c r="EI150" s="179"/>
      <c r="EJ150" s="179"/>
      <c r="EK150" s="179"/>
      <c r="EL150" s="179"/>
      <c r="EM150" s="179"/>
      <c r="EN150" s="179"/>
      <c r="EO150" s="179"/>
      <c r="EP150" s="179"/>
      <c r="EQ150" s="179"/>
      <c r="ER150" s="179"/>
      <c r="ES150" s="179"/>
      <c r="ET150" s="179"/>
      <c r="EU150" s="153"/>
      <c r="EV150" s="154" t="s">
        <v>197</v>
      </c>
      <c r="EW150" s="154" t="s">
        <v>97</v>
      </c>
      <c r="EX150" s="153"/>
      <c r="EY150" s="153"/>
      <c r="EZ150" s="221"/>
      <c r="FA150" s="221"/>
      <c r="FB150" s="221">
        <f t="shared" ref="FB150:GG150" si="829">R99</f>
        <v>0</v>
      </c>
      <c r="FC150" s="221">
        <f t="shared" si="829"/>
        <v>0</v>
      </c>
      <c r="FD150" s="221">
        <f t="shared" si="829"/>
        <v>0</v>
      </c>
      <c r="FE150" s="221">
        <f t="shared" si="829"/>
        <v>0</v>
      </c>
      <c r="FF150" s="221">
        <f t="shared" si="829"/>
        <v>0</v>
      </c>
      <c r="FG150" s="221">
        <f t="shared" si="829"/>
        <v>0</v>
      </c>
      <c r="FH150" s="221">
        <f t="shared" si="829"/>
        <v>0</v>
      </c>
      <c r="FI150" s="221">
        <f t="shared" si="829"/>
        <v>0</v>
      </c>
      <c r="FJ150" s="221">
        <f t="shared" si="829"/>
        <v>0</v>
      </c>
      <c r="FK150" s="221">
        <f t="shared" si="829"/>
        <v>0</v>
      </c>
      <c r="FL150" s="221">
        <f t="shared" si="829"/>
        <v>0</v>
      </c>
      <c r="FM150" s="221">
        <f t="shared" si="829"/>
        <v>30400</v>
      </c>
      <c r="FN150" s="221">
        <f t="shared" si="829"/>
        <v>30400</v>
      </c>
      <c r="FO150" s="221">
        <f t="shared" si="829"/>
        <v>30400</v>
      </c>
      <c r="FP150" s="221">
        <f t="shared" si="829"/>
        <v>30400</v>
      </c>
      <c r="FQ150" s="221">
        <f t="shared" si="829"/>
        <v>30400</v>
      </c>
      <c r="FR150" s="221">
        <f t="shared" si="829"/>
        <v>30400</v>
      </c>
      <c r="FS150" s="221">
        <f t="shared" si="829"/>
        <v>30400</v>
      </c>
      <c r="FT150" s="221">
        <f t="shared" si="829"/>
        <v>30400</v>
      </c>
      <c r="FU150" s="221">
        <f t="shared" si="829"/>
        <v>30400</v>
      </c>
      <c r="FV150" s="221">
        <f t="shared" si="829"/>
        <v>30400</v>
      </c>
      <c r="FW150" s="221">
        <f t="shared" si="829"/>
        <v>30400</v>
      </c>
      <c r="FX150" s="221">
        <f t="shared" si="829"/>
        <v>30400</v>
      </c>
      <c r="FY150" s="221">
        <f t="shared" si="829"/>
        <v>31312</v>
      </c>
      <c r="FZ150" s="221">
        <f t="shared" si="829"/>
        <v>31312</v>
      </c>
      <c r="GA150" s="221">
        <f t="shared" si="829"/>
        <v>31312</v>
      </c>
      <c r="GB150" s="221">
        <f t="shared" si="829"/>
        <v>31312</v>
      </c>
      <c r="GC150" s="221">
        <f t="shared" si="829"/>
        <v>31312</v>
      </c>
      <c r="GD150" s="221">
        <f t="shared" si="829"/>
        <v>31312</v>
      </c>
      <c r="GE150" s="221">
        <f t="shared" si="829"/>
        <v>31312</v>
      </c>
      <c r="GF150" s="221">
        <f t="shared" si="829"/>
        <v>31312</v>
      </c>
      <c r="GG150" s="221">
        <f t="shared" si="829"/>
        <v>31312</v>
      </c>
      <c r="GH150" s="221">
        <f t="shared" ref="GH150:HM150" si="830">AX99</f>
        <v>31312</v>
      </c>
      <c r="GI150" s="221">
        <f t="shared" si="830"/>
        <v>31312</v>
      </c>
      <c r="GJ150" s="221">
        <f t="shared" si="830"/>
        <v>31312</v>
      </c>
      <c r="GK150" s="221">
        <f t="shared" si="830"/>
        <v>32251.360000000001</v>
      </c>
      <c r="GL150" s="221">
        <f t="shared" si="830"/>
        <v>32251.360000000001</v>
      </c>
      <c r="GM150" s="221">
        <f t="shared" si="830"/>
        <v>32251.360000000001</v>
      </c>
      <c r="GN150" s="221">
        <f t="shared" si="830"/>
        <v>32251.360000000001</v>
      </c>
      <c r="GO150" s="221">
        <f t="shared" si="830"/>
        <v>32251.360000000001</v>
      </c>
      <c r="GP150" s="221">
        <f t="shared" si="830"/>
        <v>32251.360000000001</v>
      </c>
      <c r="GQ150" s="221">
        <f t="shared" si="830"/>
        <v>32251.360000000001</v>
      </c>
      <c r="GR150" s="221">
        <f t="shared" si="830"/>
        <v>32251.360000000001</v>
      </c>
      <c r="GS150" s="221">
        <f t="shared" si="830"/>
        <v>32251.360000000001</v>
      </c>
      <c r="GT150" s="221">
        <f t="shared" si="830"/>
        <v>32251.360000000001</v>
      </c>
      <c r="GU150" s="221">
        <f t="shared" si="830"/>
        <v>32251.360000000001</v>
      </c>
      <c r="GV150" s="221">
        <f t="shared" si="830"/>
        <v>32251.360000000001</v>
      </c>
      <c r="GW150" s="221">
        <f t="shared" si="830"/>
        <v>33218.900800000003</v>
      </c>
      <c r="GX150" s="221">
        <f t="shared" si="830"/>
        <v>33218.900800000003</v>
      </c>
      <c r="GY150" s="221">
        <f t="shared" si="830"/>
        <v>33218.900800000003</v>
      </c>
      <c r="GZ150" s="221">
        <f t="shared" si="830"/>
        <v>33218.900800000003</v>
      </c>
      <c r="HA150" s="221">
        <f t="shared" si="830"/>
        <v>33218.900800000003</v>
      </c>
      <c r="HB150" s="221">
        <f t="shared" si="830"/>
        <v>33218.900800000003</v>
      </c>
      <c r="HC150" s="221">
        <f t="shared" si="830"/>
        <v>33218.900800000003</v>
      </c>
      <c r="HD150" s="221">
        <f t="shared" si="830"/>
        <v>33218.900800000003</v>
      </c>
      <c r="HE150" s="221">
        <f t="shared" si="830"/>
        <v>33218.900800000003</v>
      </c>
      <c r="HF150" s="221">
        <f t="shared" si="830"/>
        <v>33218.900800000003</v>
      </c>
      <c r="HG150" s="221">
        <f t="shared" si="830"/>
        <v>33218.900800000003</v>
      </c>
      <c r="HH150" s="221">
        <f t="shared" si="830"/>
        <v>33218.900800000003</v>
      </c>
      <c r="HI150" s="221">
        <f t="shared" si="830"/>
        <v>34215.467823999999</v>
      </c>
      <c r="HJ150" s="221">
        <f t="shared" si="830"/>
        <v>34215.467823999999</v>
      </c>
      <c r="HK150" s="221">
        <f t="shared" si="830"/>
        <v>34215.467823999999</v>
      </c>
      <c r="HL150" s="221">
        <f t="shared" si="830"/>
        <v>34215.467823999999</v>
      </c>
      <c r="HM150" s="221">
        <f t="shared" si="830"/>
        <v>34215.467823999999</v>
      </c>
      <c r="HN150" s="221">
        <f t="shared" ref="HN150:IS150" si="831">CD99</f>
        <v>34215.467823999999</v>
      </c>
      <c r="HO150" s="221">
        <f t="shared" si="831"/>
        <v>34215.467823999999</v>
      </c>
      <c r="HP150" s="221">
        <f t="shared" si="831"/>
        <v>34215.467823999999</v>
      </c>
      <c r="HQ150" s="221">
        <f t="shared" si="831"/>
        <v>34215.467823999999</v>
      </c>
      <c r="HR150" s="221">
        <f t="shared" si="831"/>
        <v>34215.467823999999</v>
      </c>
      <c r="HS150" s="221">
        <f t="shared" si="831"/>
        <v>34215.467823999999</v>
      </c>
      <c r="HT150" s="221">
        <f t="shared" si="831"/>
        <v>34215.467823999999</v>
      </c>
      <c r="HU150" s="221">
        <f t="shared" si="831"/>
        <v>35241.931858719996</v>
      </c>
      <c r="HV150" s="221">
        <f t="shared" si="831"/>
        <v>35241.931858719996</v>
      </c>
      <c r="HW150" s="221">
        <f t="shared" si="831"/>
        <v>35241.931858719996</v>
      </c>
      <c r="HX150" s="221">
        <f t="shared" si="831"/>
        <v>35241.931858719996</v>
      </c>
      <c r="HY150" s="221">
        <f t="shared" si="831"/>
        <v>35241.931858719996</v>
      </c>
      <c r="HZ150" s="221">
        <f t="shared" si="831"/>
        <v>35241.931858719996</v>
      </c>
      <c r="IA150" s="221">
        <f t="shared" si="831"/>
        <v>35241.931858719996</v>
      </c>
      <c r="IB150" s="221">
        <f t="shared" si="831"/>
        <v>35241.931858719996</v>
      </c>
      <c r="IC150" s="221">
        <f t="shared" si="831"/>
        <v>35241.931858719996</v>
      </c>
      <c r="ID150" s="221">
        <f t="shared" si="831"/>
        <v>35241.931858719996</v>
      </c>
      <c r="IE150" s="221">
        <f t="shared" si="831"/>
        <v>35241.931858719996</v>
      </c>
      <c r="IF150" s="221">
        <f t="shared" si="831"/>
        <v>35241.931858719996</v>
      </c>
      <c r="IG150" s="221">
        <f t="shared" si="831"/>
        <v>36299.1898144816</v>
      </c>
      <c r="IH150" s="221">
        <f t="shared" si="831"/>
        <v>36299.1898144816</v>
      </c>
      <c r="II150" s="221">
        <f t="shared" si="831"/>
        <v>36299.1898144816</v>
      </c>
      <c r="IJ150" s="221">
        <f t="shared" si="831"/>
        <v>36299.1898144816</v>
      </c>
      <c r="IK150" s="221">
        <f t="shared" si="831"/>
        <v>36299.1898144816</v>
      </c>
      <c r="IL150" s="221">
        <f t="shared" si="831"/>
        <v>36299.1898144816</v>
      </c>
      <c r="IM150" s="221">
        <f t="shared" si="831"/>
        <v>36299.1898144816</v>
      </c>
      <c r="IN150" s="221">
        <f t="shared" si="831"/>
        <v>36299.1898144816</v>
      </c>
      <c r="IO150" s="221">
        <f t="shared" si="831"/>
        <v>36299.1898144816</v>
      </c>
      <c r="IP150" s="221">
        <f t="shared" si="831"/>
        <v>36299.1898144816</v>
      </c>
      <c r="IQ150" s="221">
        <f t="shared" si="831"/>
        <v>36299.1898144816</v>
      </c>
      <c r="IR150" s="221">
        <f t="shared" si="831"/>
        <v>36299.1898144816</v>
      </c>
      <c r="IS150" s="221">
        <f t="shared" si="831"/>
        <v>37388.165508916049</v>
      </c>
      <c r="IT150" s="221">
        <f t="shared" ref="IT150:JY150" si="832">DJ99</f>
        <v>37388.165508916049</v>
      </c>
      <c r="IU150" s="221">
        <f t="shared" si="832"/>
        <v>37388.165508916049</v>
      </c>
      <c r="IV150" s="221">
        <f t="shared" si="832"/>
        <v>37388.165508916049</v>
      </c>
      <c r="IW150" s="221">
        <f t="shared" si="832"/>
        <v>37388.165508916049</v>
      </c>
      <c r="IX150" s="221">
        <f t="shared" si="832"/>
        <v>37388.165508916049</v>
      </c>
      <c r="IY150" s="221">
        <f t="shared" si="832"/>
        <v>37388.165508916049</v>
      </c>
      <c r="IZ150" s="221">
        <f t="shared" si="832"/>
        <v>37388.165508916049</v>
      </c>
      <c r="JA150" s="221">
        <f t="shared" si="832"/>
        <v>37388.165508916049</v>
      </c>
      <c r="JB150" s="221">
        <f t="shared" si="832"/>
        <v>37388.165508916049</v>
      </c>
      <c r="JC150" s="221">
        <f t="shared" si="832"/>
        <v>37388.165508916049</v>
      </c>
      <c r="JD150" s="221">
        <f t="shared" si="832"/>
        <v>37388.165508916049</v>
      </c>
      <c r="JE150" s="221">
        <f t="shared" si="832"/>
        <v>38509.810474183527</v>
      </c>
      <c r="JF150" s="221">
        <f t="shared" si="832"/>
        <v>38509.810474183527</v>
      </c>
      <c r="JG150" s="221">
        <f t="shared" si="832"/>
        <v>38509.810474183527</v>
      </c>
      <c r="JH150" s="221">
        <f t="shared" si="832"/>
        <v>38509.810474183527</v>
      </c>
      <c r="JI150" s="221">
        <f t="shared" si="832"/>
        <v>38509.810474183527</v>
      </c>
      <c r="JJ150" s="221">
        <f t="shared" si="832"/>
        <v>38509.810474183527</v>
      </c>
      <c r="JK150" s="221">
        <f t="shared" si="832"/>
        <v>38509.810474183527</v>
      </c>
      <c r="JL150" s="221">
        <f t="shared" si="832"/>
        <v>38509.810474183527</v>
      </c>
      <c r="JM150" s="221">
        <f t="shared" si="832"/>
        <v>38509.810474183527</v>
      </c>
      <c r="JN150" s="221">
        <f t="shared" si="832"/>
        <v>38509.810474183527</v>
      </c>
      <c r="JO150" s="221">
        <f t="shared" si="832"/>
        <v>38509.810474183527</v>
      </c>
      <c r="JP150" s="221">
        <f t="shared" si="832"/>
        <v>38509.810474183527</v>
      </c>
      <c r="JQ150" s="221">
        <f t="shared" si="832"/>
        <v>39665.104788409029</v>
      </c>
      <c r="JR150" s="221">
        <f t="shared" si="832"/>
        <v>39665.104788409029</v>
      </c>
      <c r="JS150" s="221">
        <f t="shared" si="832"/>
        <v>39665.104788409029</v>
      </c>
      <c r="JT150" s="221">
        <f t="shared" si="832"/>
        <v>39665.104788409029</v>
      </c>
      <c r="JU150" s="221">
        <f t="shared" si="832"/>
        <v>39665.104788409029</v>
      </c>
      <c r="JV150" s="221">
        <f t="shared" si="832"/>
        <v>39665.104788409029</v>
      </c>
      <c r="JW150" s="221">
        <f t="shared" si="832"/>
        <v>39665.104788409029</v>
      </c>
      <c r="JX150" s="221">
        <f t="shared" si="832"/>
        <v>39665.104788409029</v>
      </c>
      <c r="JY150" s="221">
        <f t="shared" si="832"/>
        <v>39665.104788409029</v>
      </c>
      <c r="JZ150" s="221">
        <f t="shared" ref="JZ150:KC150" si="833">EP99</f>
        <v>39665.104788409029</v>
      </c>
      <c r="KA150" s="221">
        <f t="shared" si="833"/>
        <v>39665.104788409029</v>
      </c>
      <c r="KB150" s="221">
        <f t="shared" si="833"/>
        <v>39665.104788409029</v>
      </c>
      <c r="KC150" s="221">
        <f t="shared" si="833"/>
        <v>40855.057932061303</v>
      </c>
    </row>
    <row r="151" spans="2:289" x14ac:dyDescent="0.25">
      <c r="B151" s="369" t="s">
        <v>157</v>
      </c>
      <c r="C151" s="369"/>
      <c r="D151" s="369"/>
      <c r="E151" s="370"/>
      <c r="F151" s="370"/>
      <c r="G151" s="370" t="s">
        <v>167</v>
      </c>
      <c r="H151" s="370" t="s">
        <v>168</v>
      </c>
      <c r="I151" s="370" t="s">
        <v>169</v>
      </c>
      <c r="J151" s="179"/>
      <c r="K151" s="179"/>
      <c r="L151" s="179"/>
      <c r="M151" s="179"/>
      <c r="N151" s="179"/>
      <c r="O151" s="179"/>
      <c r="P151" s="179"/>
      <c r="Q151" s="179"/>
      <c r="R151" s="179"/>
      <c r="S151" s="179"/>
      <c r="T151" s="179"/>
      <c r="U151" s="179"/>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c r="CX151" s="179"/>
      <c r="CY151" s="179"/>
      <c r="CZ151" s="179"/>
      <c r="DA151" s="179"/>
      <c r="DB151" s="179"/>
      <c r="DC151" s="179"/>
      <c r="DD151" s="179"/>
      <c r="DE151" s="179"/>
      <c r="DF151" s="179"/>
      <c r="DG151" s="179"/>
      <c r="DH151" s="179"/>
      <c r="DI151" s="179"/>
      <c r="DJ151" s="179"/>
      <c r="DK151" s="179"/>
      <c r="DL151" s="179"/>
      <c r="DM151" s="179"/>
      <c r="DN151" s="179"/>
      <c r="DO151" s="179"/>
      <c r="DP151" s="179"/>
      <c r="DQ151" s="179"/>
      <c r="DR151" s="179"/>
      <c r="DS151" s="179"/>
      <c r="DT151" s="179"/>
      <c r="DU151" s="179"/>
      <c r="DV151" s="179"/>
      <c r="DW151" s="179"/>
      <c r="DX151" s="179"/>
      <c r="DY151" s="179"/>
      <c r="DZ151" s="179"/>
      <c r="EA151" s="179"/>
      <c r="EB151" s="179"/>
      <c r="EC151" s="179"/>
      <c r="ED151" s="179"/>
      <c r="EE151" s="179"/>
      <c r="EF151" s="179"/>
      <c r="EG151" s="179"/>
      <c r="EH151" s="179"/>
      <c r="EI151" s="179"/>
      <c r="EJ151" s="179"/>
      <c r="EK151" s="179"/>
      <c r="EL151" s="179"/>
      <c r="EM151" s="179"/>
      <c r="EN151" s="179"/>
      <c r="EO151" s="179"/>
      <c r="EP151" s="179"/>
      <c r="EQ151" s="179"/>
      <c r="ER151" s="179"/>
      <c r="ES151" s="179"/>
      <c r="ET151" s="179"/>
      <c r="EU151" s="153"/>
      <c r="EV151" s="153"/>
      <c r="EW151" s="154" t="s">
        <v>701</v>
      </c>
      <c r="EX151" s="153"/>
      <c r="EY151" s="153"/>
      <c r="EZ151" s="221"/>
      <c r="FA151" s="221"/>
      <c r="FB151" s="221">
        <f t="shared" ref="FB151:GG151" si="834">(FB89&gt;0)*($I$99*(1+$D$91)^(FB93-1))/12</f>
        <v>0</v>
      </c>
      <c r="FC151" s="221">
        <f t="shared" si="834"/>
        <v>0</v>
      </c>
      <c r="FD151" s="221">
        <f t="shared" si="834"/>
        <v>0</v>
      </c>
      <c r="FE151" s="221">
        <f t="shared" si="834"/>
        <v>0</v>
      </c>
      <c r="FF151" s="221">
        <f t="shared" si="834"/>
        <v>0</v>
      </c>
      <c r="FG151" s="221">
        <f t="shared" si="834"/>
        <v>0</v>
      </c>
      <c r="FH151" s="221">
        <f t="shared" si="834"/>
        <v>0</v>
      </c>
      <c r="FI151" s="221">
        <f t="shared" si="834"/>
        <v>0</v>
      </c>
      <c r="FJ151" s="221">
        <f t="shared" si="834"/>
        <v>0</v>
      </c>
      <c r="FK151" s="221">
        <f t="shared" si="834"/>
        <v>0</v>
      </c>
      <c r="FL151" s="221">
        <f t="shared" si="834"/>
        <v>0</v>
      </c>
      <c r="FM151" s="221">
        <f t="shared" si="834"/>
        <v>30400</v>
      </c>
      <c r="FN151" s="221">
        <f t="shared" si="834"/>
        <v>30400</v>
      </c>
      <c r="FO151" s="221">
        <f t="shared" si="834"/>
        <v>30400</v>
      </c>
      <c r="FP151" s="221">
        <f t="shared" si="834"/>
        <v>30400</v>
      </c>
      <c r="FQ151" s="221">
        <f t="shared" si="834"/>
        <v>30400</v>
      </c>
      <c r="FR151" s="221">
        <f t="shared" si="834"/>
        <v>30400</v>
      </c>
      <c r="FS151" s="221">
        <f t="shared" si="834"/>
        <v>30400</v>
      </c>
      <c r="FT151" s="221">
        <f t="shared" si="834"/>
        <v>30400</v>
      </c>
      <c r="FU151" s="221">
        <f t="shared" si="834"/>
        <v>30400</v>
      </c>
      <c r="FV151" s="221">
        <f t="shared" si="834"/>
        <v>30400</v>
      </c>
      <c r="FW151" s="221">
        <f t="shared" si="834"/>
        <v>30400</v>
      </c>
      <c r="FX151" s="221">
        <f t="shared" si="834"/>
        <v>30400</v>
      </c>
      <c r="FY151" s="221">
        <f t="shared" si="834"/>
        <v>31312</v>
      </c>
      <c r="FZ151" s="221">
        <f t="shared" si="834"/>
        <v>31312</v>
      </c>
      <c r="GA151" s="221">
        <f t="shared" si="834"/>
        <v>31312</v>
      </c>
      <c r="GB151" s="221">
        <f t="shared" si="834"/>
        <v>31312</v>
      </c>
      <c r="GC151" s="221">
        <f t="shared" si="834"/>
        <v>31312</v>
      </c>
      <c r="GD151" s="221">
        <f t="shared" si="834"/>
        <v>31312</v>
      </c>
      <c r="GE151" s="221">
        <f t="shared" si="834"/>
        <v>31312</v>
      </c>
      <c r="GF151" s="221">
        <f t="shared" si="834"/>
        <v>31312</v>
      </c>
      <c r="GG151" s="221">
        <f t="shared" si="834"/>
        <v>31312</v>
      </c>
      <c r="GH151" s="221">
        <f t="shared" ref="GH151:HM151" si="835">(GH89&gt;0)*($I$99*(1+$D$91)^(GH93-1))/12</f>
        <v>31312</v>
      </c>
      <c r="GI151" s="221">
        <f t="shared" si="835"/>
        <v>31312</v>
      </c>
      <c r="GJ151" s="221">
        <f t="shared" si="835"/>
        <v>31312</v>
      </c>
      <c r="GK151" s="221">
        <f t="shared" si="835"/>
        <v>32251.360000000001</v>
      </c>
      <c r="GL151" s="221">
        <f t="shared" si="835"/>
        <v>32251.360000000001</v>
      </c>
      <c r="GM151" s="221">
        <f t="shared" si="835"/>
        <v>32251.360000000001</v>
      </c>
      <c r="GN151" s="221">
        <f t="shared" si="835"/>
        <v>32251.360000000001</v>
      </c>
      <c r="GO151" s="221">
        <f t="shared" si="835"/>
        <v>32251.360000000001</v>
      </c>
      <c r="GP151" s="221">
        <f t="shared" si="835"/>
        <v>32251.360000000001</v>
      </c>
      <c r="GQ151" s="221">
        <f t="shared" si="835"/>
        <v>32251.360000000001</v>
      </c>
      <c r="GR151" s="221">
        <f t="shared" si="835"/>
        <v>32251.360000000001</v>
      </c>
      <c r="GS151" s="221">
        <f t="shared" si="835"/>
        <v>32251.360000000001</v>
      </c>
      <c r="GT151" s="221">
        <f t="shared" si="835"/>
        <v>32251.360000000001</v>
      </c>
      <c r="GU151" s="221">
        <f t="shared" si="835"/>
        <v>32251.360000000001</v>
      </c>
      <c r="GV151" s="221">
        <f t="shared" si="835"/>
        <v>32251.360000000001</v>
      </c>
      <c r="GW151" s="221">
        <f t="shared" si="835"/>
        <v>33218.900799999996</v>
      </c>
      <c r="GX151" s="221">
        <f t="shared" si="835"/>
        <v>33218.900799999996</v>
      </c>
      <c r="GY151" s="221">
        <f t="shared" si="835"/>
        <v>33218.900799999996</v>
      </c>
      <c r="GZ151" s="221">
        <f t="shared" si="835"/>
        <v>33218.900799999996</v>
      </c>
      <c r="HA151" s="221">
        <f t="shared" si="835"/>
        <v>33218.900799999996</v>
      </c>
      <c r="HB151" s="221">
        <f t="shared" si="835"/>
        <v>33218.900799999996</v>
      </c>
      <c r="HC151" s="221">
        <f t="shared" si="835"/>
        <v>33218.900799999996</v>
      </c>
      <c r="HD151" s="221">
        <f t="shared" si="835"/>
        <v>33218.900799999996</v>
      </c>
      <c r="HE151" s="221">
        <f t="shared" si="835"/>
        <v>33218.900799999996</v>
      </c>
      <c r="HF151" s="221">
        <f t="shared" si="835"/>
        <v>33218.900799999996</v>
      </c>
      <c r="HG151" s="221">
        <f t="shared" si="835"/>
        <v>33218.900799999996</v>
      </c>
      <c r="HH151" s="221">
        <f t="shared" si="835"/>
        <v>33218.900799999996</v>
      </c>
      <c r="HI151" s="221">
        <f t="shared" si="835"/>
        <v>34215.467823999999</v>
      </c>
      <c r="HJ151" s="221">
        <f t="shared" si="835"/>
        <v>34215.467823999999</v>
      </c>
      <c r="HK151" s="221">
        <f t="shared" si="835"/>
        <v>34215.467823999999</v>
      </c>
      <c r="HL151" s="221">
        <f t="shared" si="835"/>
        <v>34215.467823999999</v>
      </c>
      <c r="HM151" s="221">
        <f t="shared" si="835"/>
        <v>34215.467823999999</v>
      </c>
      <c r="HN151" s="221">
        <f t="shared" ref="HN151:IS151" si="836">(HN89&gt;0)*($I$99*(1+$D$91)^(HN93-1))/12</f>
        <v>34215.467823999999</v>
      </c>
      <c r="HO151" s="221">
        <f t="shared" si="836"/>
        <v>34215.467823999999</v>
      </c>
      <c r="HP151" s="221">
        <f t="shared" si="836"/>
        <v>34215.467823999999</v>
      </c>
      <c r="HQ151" s="221">
        <f t="shared" si="836"/>
        <v>34215.467823999999</v>
      </c>
      <c r="HR151" s="221">
        <f t="shared" si="836"/>
        <v>34215.467823999999</v>
      </c>
      <c r="HS151" s="221">
        <f t="shared" si="836"/>
        <v>34215.467823999999</v>
      </c>
      <c r="HT151" s="221">
        <f t="shared" si="836"/>
        <v>34215.467823999999</v>
      </c>
      <c r="HU151" s="221">
        <f t="shared" si="836"/>
        <v>35241.931858719996</v>
      </c>
      <c r="HV151" s="221">
        <f t="shared" si="836"/>
        <v>35241.931858719996</v>
      </c>
      <c r="HW151" s="221">
        <f t="shared" si="836"/>
        <v>35241.931858719996</v>
      </c>
      <c r="HX151" s="221">
        <f t="shared" si="836"/>
        <v>35241.931858719996</v>
      </c>
      <c r="HY151" s="221">
        <f t="shared" si="836"/>
        <v>35241.931858719996</v>
      </c>
      <c r="HZ151" s="221">
        <f t="shared" si="836"/>
        <v>35241.931858719996</v>
      </c>
      <c r="IA151" s="221">
        <f t="shared" si="836"/>
        <v>35241.931858719996</v>
      </c>
      <c r="IB151" s="221">
        <f t="shared" si="836"/>
        <v>35241.931858719996</v>
      </c>
      <c r="IC151" s="221">
        <f t="shared" si="836"/>
        <v>35241.931858719996</v>
      </c>
      <c r="ID151" s="221">
        <f t="shared" si="836"/>
        <v>35241.931858719996</v>
      </c>
      <c r="IE151" s="221">
        <f t="shared" si="836"/>
        <v>35241.931858719996</v>
      </c>
      <c r="IF151" s="221">
        <f t="shared" si="836"/>
        <v>35241.931858719996</v>
      </c>
      <c r="IG151" s="221">
        <f t="shared" si="836"/>
        <v>36299.1898144816</v>
      </c>
      <c r="IH151" s="221">
        <f t="shared" si="836"/>
        <v>36299.1898144816</v>
      </c>
      <c r="II151" s="221">
        <f t="shared" si="836"/>
        <v>36299.1898144816</v>
      </c>
      <c r="IJ151" s="221">
        <f t="shared" si="836"/>
        <v>36299.1898144816</v>
      </c>
      <c r="IK151" s="221">
        <f t="shared" si="836"/>
        <v>36299.1898144816</v>
      </c>
      <c r="IL151" s="221">
        <f t="shared" si="836"/>
        <v>36299.1898144816</v>
      </c>
      <c r="IM151" s="221">
        <f t="shared" si="836"/>
        <v>36299.1898144816</v>
      </c>
      <c r="IN151" s="221">
        <f t="shared" si="836"/>
        <v>36299.1898144816</v>
      </c>
      <c r="IO151" s="221">
        <f t="shared" si="836"/>
        <v>36299.1898144816</v>
      </c>
      <c r="IP151" s="221">
        <f t="shared" si="836"/>
        <v>36299.1898144816</v>
      </c>
      <c r="IQ151" s="221">
        <f t="shared" si="836"/>
        <v>36299.1898144816</v>
      </c>
      <c r="IR151" s="221">
        <f t="shared" si="836"/>
        <v>36299.1898144816</v>
      </c>
      <c r="IS151" s="221">
        <f t="shared" si="836"/>
        <v>37388.165508916049</v>
      </c>
      <c r="IT151" s="221">
        <f t="shared" ref="IT151:KC151" si="837">(IT89&gt;0)*($I$99*(1+$D$91)^(IT93-1))/12</f>
        <v>37388.165508916049</v>
      </c>
      <c r="IU151" s="221">
        <f t="shared" si="837"/>
        <v>37388.165508916049</v>
      </c>
      <c r="IV151" s="221">
        <f t="shared" si="837"/>
        <v>37388.165508916049</v>
      </c>
      <c r="IW151" s="221">
        <f t="shared" si="837"/>
        <v>37388.165508916049</v>
      </c>
      <c r="IX151" s="221">
        <f t="shared" si="837"/>
        <v>37388.165508916049</v>
      </c>
      <c r="IY151" s="221">
        <f t="shared" si="837"/>
        <v>37388.165508916049</v>
      </c>
      <c r="IZ151" s="221">
        <f t="shared" si="837"/>
        <v>37388.165508916049</v>
      </c>
      <c r="JA151" s="221">
        <f t="shared" si="837"/>
        <v>37388.165508916049</v>
      </c>
      <c r="JB151" s="221">
        <f t="shared" si="837"/>
        <v>37388.165508916049</v>
      </c>
      <c r="JC151" s="221">
        <f t="shared" si="837"/>
        <v>37388.165508916049</v>
      </c>
      <c r="JD151" s="221">
        <f t="shared" si="837"/>
        <v>37388.165508916049</v>
      </c>
      <c r="JE151" s="221">
        <f t="shared" si="837"/>
        <v>38509.81047418352</v>
      </c>
      <c r="JF151" s="221">
        <f t="shared" si="837"/>
        <v>38509.81047418352</v>
      </c>
      <c r="JG151" s="221">
        <f t="shared" si="837"/>
        <v>38509.81047418352</v>
      </c>
      <c r="JH151" s="221">
        <f t="shared" si="837"/>
        <v>38509.81047418352</v>
      </c>
      <c r="JI151" s="221">
        <f t="shared" si="837"/>
        <v>38509.81047418352</v>
      </c>
      <c r="JJ151" s="221">
        <f t="shared" si="837"/>
        <v>38509.81047418352</v>
      </c>
      <c r="JK151" s="221">
        <f t="shared" si="837"/>
        <v>38509.81047418352</v>
      </c>
      <c r="JL151" s="221">
        <f t="shared" si="837"/>
        <v>38509.81047418352</v>
      </c>
      <c r="JM151" s="221">
        <f t="shared" si="837"/>
        <v>38509.81047418352</v>
      </c>
      <c r="JN151" s="221">
        <f t="shared" si="837"/>
        <v>38509.81047418352</v>
      </c>
      <c r="JO151" s="221">
        <f t="shared" si="837"/>
        <v>38509.81047418352</v>
      </c>
      <c r="JP151" s="221">
        <f t="shared" si="837"/>
        <v>38509.81047418352</v>
      </c>
      <c r="JQ151" s="221">
        <f t="shared" si="837"/>
        <v>39665.104788409029</v>
      </c>
      <c r="JR151" s="221">
        <f t="shared" si="837"/>
        <v>39665.104788409029</v>
      </c>
      <c r="JS151" s="221">
        <f t="shared" si="837"/>
        <v>39665.104788409029</v>
      </c>
      <c r="JT151" s="221">
        <f t="shared" si="837"/>
        <v>39665.104788409029</v>
      </c>
      <c r="JU151" s="221">
        <f t="shared" si="837"/>
        <v>39665.104788409029</v>
      </c>
      <c r="JV151" s="221">
        <f t="shared" si="837"/>
        <v>39665.104788409029</v>
      </c>
      <c r="JW151" s="221">
        <f t="shared" si="837"/>
        <v>39665.104788409029</v>
      </c>
      <c r="JX151" s="221">
        <f t="shared" si="837"/>
        <v>39665.104788409029</v>
      </c>
      <c r="JY151" s="221">
        <f t="shared" si="837"/>
        <v>39665.104788409029</v>
      </c>
      <c r="JZ151" s="221">
        <f t="shared" si="837"/>
        <v>39665.104788409029</v>
      </c>
      <c r="KA151" s="221">
        <f t="shared" si="837"/>
        <v>39665.104788409029</v>
      </c>
      <c r="KB151" s="221">
        <f t="shared" si="837"/>
        <v>39665.104788409029</v>
      </c>
      <c r="KC151" s="221">
        <f t="shared" si="837"/>
        <v>40855.057932061303</v>
      </c>
    </row>
    <row r="152" spans="2:289" x14ac:dyDescent="0.25">
      <c r="B152" s="180" t="str">
        <f t="shared" ref="B152:B161" si="838">B99</f>
        <v>GROSS RENT</v>
      </c>
      <c r="C152" s="196"/>
      <c r="D152" s="196"/>
      <c r="E152" s="345"/>
      <c r="F152" s="345"/>
      <c r="G152" s="218">
        <f>I99</f>
        <v>364800</v>
      </c>
      <c r="H152" s="218">
        <f ca="1">SUM(OFFSET($Q99,0,Stabilization_1st_Month,1,12))</f>
        <v>366624</v>
      </c>
      <c r="I152" s="219">
        <f ca="1">MAX(SUM(OFFSET($Q99,0,Timing_Reversion_Month,1,12)))</f>
        <v>387016.31999999989</v>
      </c>
      <c r="J152" s="179"/>
      <c r="K152" s="179"/>
      <c r="L152" s="179"/>
      <c r="M152" s="179"/>
      <c r="N152" s="179"/>
      <c r="O152" s="179"/>
      <c r="P152" s="179"/>
      <c r="Q152" s="179"/>
      <c r="R152" s="179"/>
      <c r="S152" s="179"/>
      <c r="T152" s="179"/>
      <c r="U152" s="179"/>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c r="CX152" s="179"/>
      <c r="CY152" s="179"/>
      <c r="CZ152" s="179"/>
      <c r="DA152" s="179"/>
      <c r="DB152" s="179"/>
      <c r="DC152" s="179"/>
      <c r="DD152" s="179"/>
      <c r="DE152" s="179"/>
      <c r="DF152" s="179"/>
      <c r="DG152" s="179"/>
      <c r="DH152" s="179"/>
      <c r="DI152" s="179"/>
      <c r="DJ152" s="179"/>
      <c r="DK152" s="179"/>
      <c r="DL152" s="179"/>
      <c r="DM152" s="179"/>
      <c r="DN152" s="179"/>
      <c r="DO152" s="179"/>
      <c r="DP152" s="179"/>
      <c r="DQ152" s="179"/>
      <c r="DR152" s="179"/>
      <c r="DS152" s="179"/>
      <c r="DT152" s="179"/>
      <c r="DU152" s="179"/>
      <c r="DV152" s="179"/>
      <c r="DW152" s="179"/>
      <c r="DX152" s="179"/>
      <c r="DY152" s="179"/>
      <c r="DZ152" s="179"/>
      <c r="EA152" s="179"/>
      <c r="EB152" s="179"/>
      <c r="EC152" s="179"/>
      <c r="ED152" s="179"/>
      <c r="EE152" s="179"/>
      <c r="EF152" s="179"/>
      <c r="EG152" s="179"/>
      <c r="EH152" s="179"/>
      <c r="EI152" s="179"/>
      <c r="EJ152" s="179"/>
      <c r="EK152" s="179"/>
      <c r="EL152" s="179"/>
      <c r="EM152" s="179"/>
      <c r="EN152" s="179"/>
      <c r="EO152" s="179"/>
      <c r="EP152" s="179"/>
      <c r="EQ152" s="179"/>
      <c r="ER152" s="179"/>
      <c r="ES152" s="179"/>
      <c r="ET152" s="179"/>
      <c r="EU152" s="153"/>
      <c r="EV152" s="153"/>
      <c r="EW152" s="154" t="s">
        <v>704</v>
      </c>
      <c r="EX152" s="153"/>
      <c r="EY152" s="153"/>
      <c r="EZ152" s="153"/>
      <c r="FA152" s="153"/>
      <c r="FB152" s="327">
        <f t="shared" ref="FB152:GG152" ca="1" si="839">IF(FB89=0,0,R90-Q90+OFFSET(FB152,0,MAX(-FB3,-$I$93)))</f>
        <v>0</v>
      </c>
      <c r="FC152" s="327">
        <f t="shared" ca="1" si="839"/>
        <v>0</v>
      </c>
      <c r="FD152" s="327">
        <f t="shared" ca="1" si="839"/>
        <v>0</v>
      </c>
      <c r="FE152" s="327">
        <f t="shared" ca="1" si="839"/>
        <v>0</v>
      </c>
      <c r="FF152" s="327">
        <f t="shared" ca="1" si="839"/>
        <v>0</v>
      </c>
      <c r="FG152" s="327">
        <f t="shared" ca="1" si="839"/>
        <v>0</v>
      </c>
      <c r="FH152" s="327">
        <f t="shared" ca="1" si="839"/>
        <v>0</v>
      </c>
      <c r="FI152" s="327">
        <f t="shared" ca="1" si="839"/>
        <v>0</v>
      </c>
      <c r="FJ152" s="327">
        <f t="shared" ca="1" si="839"/>
        <v>0</v>
      </c>
      <c r="FK152" s="327">
        <f t="shared" ca="1" si="839"/>
        <v>0</v>
      </c>
      <c r="FL152" s="327">
        <f t="shared" ca="1" si="839"/>
        <v>0</v>
      </c>
      <c r="FM152" s="327">
        <f t="shared" ca="1" si="839"/>
        <v>0.25</v>
      </c>
      <c r="FN152" s="327">
        <f t="shared" ca="1" si="839"/>
        <v>0.375</v>
      </c>
      <c r="FO152" s="327">
        <f t="shared" ca="1" si="839"/>
        <v>0.375</v>
      </c>
      <c r="FP152" s="327">
        <f t="shared" ca="1" si="839"/>
        <v>0</v>
      </c>
      <c r="FQ152" s="327">
        <f t="shared" ca="1" si="839"/>
        <v>0</v>
      </c>
      <c r="FR152" s="327">
        <f t="shared" ca="1" si="839"/>
        <v>0</v>
      </c>
      <c r="FS152" s="327">
        <f t="shared" ca="1" si="839"/>
        <v>0</v>
      </c>
      <c r="FT152" s="327">
        <f t="shared" ca="1" si="839"/>
        <v>0</v>
      </c>
      <c r="FU152" s="327">
        <f t="shared" ca="1" si="839"/>
        <v>0</v>
      </c>
      <c r="FV152" s="327">
        <f t="shared" ca="1" si="839"/>
        <v>0</v>
      </c>
      <c r="FW152" s="327">
        <f t="shared" ca="1" si="839"/>
        <v>0</v>
      </c>
      <c r="FX152" s="327">
        <f t="shared" ca="1" si="839"/>
        <v>0</v>
      </c>
      <c r="FY152" s="327">
        <f t="shared" ca="1" si="839"/>
        <v>0.25</v>
      </c>
      <c r="FZ152" s="327">
        <f t="shared" ca="1" si="839"/>
        <v>0.375</v>
      </c>
      <c r="GA152" s="327">
        <f t="shared" ca="1" si="839"/>
        <v>0.375</v>
      </c>
      <c r="GB152" s="327">
        <f t="shared" ca="1" si="839"/>
        <v>0</v>
      </c>
      <c r="GC152" s="327">
        <f t="shared" ca="1" si="839"/>
        <v>0</v>
      </c>
      <c r="GD152" s="327">
        <f t="shared" ca="1" si="839"/>
        <v>0</v>
      </c>
      <c r="GE152" s="327">
        <f t="shared" ca="1" si="839"/>
        <v>0</v>
      </c>
      <c r="GF152" s="327">
        <f t="shared" ca="1" si="839"/>
        <v>0</v>
      </c>
      <c r="GG152" s="327">
        <f t="shared" ca="1" si="839"/>
        <v>0</v>
      </c>
      <c r="GH152" s="327">
        <f t="shared" ref="GH152:HM152" ca="1" si="840">IF(GH89=0,0,AX90-AW90+OFFSET(GH152,0,MAX(-GH3,-$I$93)))</f>
        <v>0</v>
      </c>
      <c r="GI152" s="327">
        <f t="shared" ca="1" si="840"/>
        <v>0</v>
      </c>
      <c r="GJ152" s="327">
        <f t="shared" ca="1" si="840"/>
        <v>0</v>
      </c>
      <c r="GK152" s="327">
        <f t="shared" ca="1" si="840"/>
        <v>0.25</v>
      </c>
      <c r="GL152" s="327">
        <f t="shared" ca="1" si="840"/>
        <v>0.375</v>
      </c>
      <c r="GM152" s="327">
        <f t="shared" ca="1" si="840"/>
        <v>0.375</v>
      </c>
      <c r="GN152" s="327">
        <f t="shared" ca="1" si="840"/>
        <v>0</v>
      </c>
      <c r="GO152" s="327">
        <f t="shared" ca="1" si="840"/>
        <v>0</v>
      </c>
      <c r="GP152" s="327">
        <f t="shared" ca="1" si="840"/>
        <v>0</v>
      </c>
      <c r="GQ152" s="327">
        <f t="shared" ca="1" si="840"/>
        <v>0</v>
      </c>
      <c r="GR152" s="327">
        <f t="shared" ca="1" si="840"/>
        <v>0</v>
      </c>
      <c r="GS152" s="327">
        <f t="shared" ca="1" si="840"/>
        <v>0</v>
      </c>
      <c r="GT152" s="327">
        <f t="shared" ca="1" si="840"/>
        <v>0</v>
      </c>
      <c r="GU152" s="327">
        <f t="shared" ca="1" si="840"/>
        <v>0</v>
      </c>
      <c r="GV152" s="327">
        <f t="shared" ca="1" si="840"/>
        <v>0</v>
      </c>
      <c r="GW152" s="327">
        <f t="shared" ca="1" si="840"/>
        <v>0.25</v>
      </c>
      <c r="GX152" s="327">
        <f t="shared" ca="1" si="840"/>
        <v>0.375</v>
      </c>
      <c r="GY152" s="327">
        <f t="shared" ca="1" si="840"/>
        <v>0.375</v>
      </c>
      <c r="GZ152" s="327">
        <f t="shared" ca="1" si="840"/>
        <v>0</v>
      </c>
      <c r="HA152" s="327">
        <f t="shared" ca="1" si="840"/>
        <v>0</v>
      </c>
      <c r="HB152" s="327">
        <f t="shared" ca="1" si="840"/>
        <v>0</v>
      </c>
      <c r="HC152" s="327">
        <f t="shared" ca="1" si="840"/>
        <v>0</v>
      </c>
      <c r="HD152" s="327">
        <f t="shared" ca="1" si="840"/>
        <v>0</v>
      </c>
      <c r="HE152" s="327">
        <f t="shared" ca="1" si="840"/>
        <v>0</v>
      </c>
      <c r="HF152" s="327">
        <f t="shared" ca="1" si="840"/>
        <v>0</v>
      </c>
      <c r="HG152" s="327">
        <f t="shared" ca="1" si="840"/>
        <v>0</v>
      </c>
      <c r="HH152" s="327">
        <f t="shared" ca="1" si="840"/>
        <v>0</v>
      </c>
      <c r="HI152" s="327">
        <f t="shared" ca="1" si="840"/>
        <v>0.25</v>
      </c>
      <c r="HJ152" s="327">
        <f t="shared" ca="1" si="840"/>
        <v>0.375</v>
      </c>
      <c r="HK152" s="327">
        <f t="shared" ca="1" si="840"/>
        <v>0.375</v>
      </c>
      <c r="HL152" s="327">
        <f t="shared" ca="1" si="840"/>
        <v>0</v>
      </c>
      <c r="HM152" s="327">
        <f t="shared" ca="1" si="840"/>
        <v>0</v>
      </c>
      <c r="HN152" s="327">
        <f t="shared" ref="HN152:IS152" ca="1" si="841">IF(HN89=0,0,CD90-CC90+OFFSET(HN152,0,MAX(-HN3,-$I$93)))</f>
        <v>0</v>
      </c>
      <c r="HO152" s="327">
        <f t="shared" ca="1" si="841"/>
        <v>0</v>
      </c>
      <c r="HP152" s="327">
        <f t="shared" ca="1" si="841"/>
        <v>0</v>
      </c>
      <c r="HQ152" s="327">
        <f t="shared" ca="1" si="841"/>
        <v>0</v>
      </c>
      <c r="HR152" s="327">
        <f t="shared" ca="1" si="841"/>
        <v>0</v>
      </c>
      <c r="HS152" s="327">
        <f t="shared" ca="1" si="841"/>
        <v>0</v>
      </c>
      <c r="HT152" s="327">
        <f t="shared" ca="1" si="841"/>
        <v>0</v>
      </c>
      <c r="HU152" s="327">
        <f t="shared" ca="1" si="841"/>
        <v>0.25</v>
      </c>
      <c r="HV152" s="327">
        <f t="shared" ca="1" si="841"/>
        <v>0.375</v>
      </c>
      <c r="HW152" s="327">
        <f t="shared" ca="1" si="841"/>
        <v>0.375</v>
      </c>
      <c r="HX152" s="327">
        <f t="shared" ca="1" si="841"/>
        <v>0</v>
      </c>
      <c r="HY152" s="327">
        <f t="shared" ca="1" si="841"/>
        <v>0</v>
      </c>
      <c r="HZ152" s="327">
        <f t="shared" ca="1" si="841"/>
        <v>0</v>
      </c>
      <c r="IA152" s="327">
        <f t="shared" ca="1" si="841"/>
        <v>0</v>
      </c>
      <c r="IB152" s="327">
        <f t="shared" ca="1" si="841"/>
        <v>0</v>
      </c>
      <c r="IC152" s="327">
        <f t="shared" ca="1" si="841"/>
        <v>0</v>
      </c>
      <c r="ID152" s="327">
        <f t="shared" ca="1" si="841"/>
        <v>0</v>
      </c>
      <c r="IE152" s="327">
        <f t="shared" ca="1" si="841"/>
        <v>0</v>
      </c>
      <c r="IF152" s="327">
        <f t="shared" ca="1" si="841"/>
        <v>0</v>
      </c>
      <c r="IG152" s="327">
        <f t="shared" ca="1" si="841"/>
        <v>0.25</v>
      </c>
      <c r="IH152" s="327">
        <f t="shared" ca="1" si="841"/>
        <v>0.375</v>
      </c>
      <c r="II152" s="327">
        <f t="shared" ca="1" si="841"/>
        <v>0.375</v>
      </c>
      <c r="IJ152" s="327">
        <f t="shared" ca="1" si="841"/>
        <v>0</v>
      </c>
      <c r="IK152" s="327">
        <f t="shared" ca="1" si="841"/>
        <v>0</v>
      </c>
      <c r="IL152" s="327">
        <f t="shared" ca="1" si="841"/>
        <v>0</v>
      </c>
      <c r="IM152" s="327">
        <f t="shared" ca="1" si="841"/>
        <v>0</v>
      </c>
      <c r="IN152" s="327">
        <f t="shared" ca="1" si="841"/>
        <v>0</v>
      </c>
      <c r="IO152" s="327">
        <f t="shared" ca="1" si="841"/>
        <v>0</v>
      </c>
      <c r="IP152" s="327">
        <f t="shared" ca="1" si="841"/>
        <v>0</v>
      </c>
      <c r="IQ152" s="327">
        <f t="shared" ca="1" si="841"/>
        <v>0</v>
      </c>
      <c r="IR152" s="327">
        <f t="shared" ca="1" si="841"/>
        <v>0</v>
      </c>
      <c r="IS152" s="327">
        <f t="shared" ca="1" si="841"/>
        <v>0.25</v>
      </c>
      <c r="IT152" s="327">
        <f t="shared" ref="IT152:JY152" ca="1" si="842">IF(IT89=0,0,DJ90-DI90+OFFSET(IT152,0,MAX(-IT3,-$I$93)))</f>
        <v>0.375</v>
      </c>
      <c r="IU152" s="327">
        <f t="shared" ca="1" si="842"/>
        <v>0.375</v>
      </c>
      <c r="IV152" s="327">
        <f t="shared" ca="1" si="842"/>
        <v>0</v>
      </c>
      <c r="IW152" s="327">
        <f t="shared" ca="1" si="842"/>
        <v>0</v>
      </c>
      <c r="IX152" s="327">
        <f t="shared" ca="1" si="842"/>
        <v>0</v>
      </c>
      <c r="IY152" s="327">
        <f t="shared" ca="1" si="842"/>
        <v>0</v>
      </c>
      <c r="IZ152" s="327">
        <f t="shared" ca="1" si="842"/>
        <v>0</v>
      </c>
      <c r="JA152" s="327">
        <f t="shared" ca="1" si="842"/>
        <v>0</v>
      </c>
      <c r="JB152" s="327">
        <f t="shared" ca="1" si="842"/>
        <v>0</v>
      </c>
      <c r="JC152" s="327">
        <f t="shared" ca="1" si="842"/>
        <v>0</v>
      </c>
      <c r="JD152" s="327">
        <f t="shared" ca="1" si="842"/>
        <v>0</v>
      </c>
      <c r="JE152" s="327">
        <f t="shared" ca="1" si="842"/>
        <v>0.25</v>
      </c>
      <c r="JF152" s="327">
        <f t="shared" ca="1" si="842"/>
        <v>0.375</v>
      </c>
      <c r="JG152" s="327">
        <f t="shared" ca="1" si="842"/>
        <v>0.375</v>
      </c>
      <c r="JH152" s="327">
        <f t="shared" ca="1" si="842"/>
        <v>0</v>
      </c>
      <c r="JI152" s="327">
        <f t="shared" ca="1" si="842"/>
        <v>0</v>
      </c>
      <c r="JJ152" s="327">
        <f t="shared" ca="1" si="842"/>
        <v>0</v>
      </c>
      <c r="JK152" s="327">
        <f t="shared" ca="1" si="842"/>
        <v>0</v>
      </c>
      <c r="JL152" s="327">
        <f t="shared" ca="1" si="842"/>
        <v>0</v>
      </c>
      <c r="JM152" s="327">
        <f t="shared" ca="1" si="842"/>
        <v>0</v>
      </c>
      <c r="JN152" s="327">
        <f t="shared" ca="1" si="842"/>
        <v>0</v>
      </c>
      <c r="JO152" s="327">
        <f t="shared" ca="1" si="842"/>
        <v>0</v>
      </c>
      <c r="JP152" s="327">
        <f t="shared" ca="1" si="842"/>
        <v>0</v>
      </c>
      <c r="JQ152" s="327">
        <f t="shared" ca="1" si="842"/>
        <v>0.25</v>
      </c>
      <c r="JR152" s="327">
        <f t="shared" ca="1" si="842"/>
        <v>0.375</v>
      </c>
      <c r="JS152" s="327">
        <f t="shared" ca="1" si="842"/>
        <v>0.375</v>
      </c>
      <c r="JT152" s="327">
        <f t="shared" ca="1" si="842"/>
        <v>0</v>
      </c>
      <c r="JU152" s="327">
        <f t="shared" ca="1" si="842"/>
        <v>0</v>
      </c>
      <c r="JV152" s="327">
        <f t="shared" ca="1" si="842"/>
        <v>0</v>
      </c>
      <c r="JW152" s="327">
        <f t="shared" ca="1" si="842"/>
        <v>0</v>
      </c>
      <c r="JX152" s="327">
        <f t="shared" ca="1" si="842"/>
        <v>0</v>
      </c>
      <c r="JY152" s="327">
        <f t="shared" ca="1" si="842"/>
        <v>0</v>
      </c>
      <c r="JZ152" s="327">
        <f t="shared" ref="JZ152:KC152" ca="1" si="843">IF(JZ89=0,0,EP90-EO90+OFFSET(JZ152,0,MAX(-JZ3,-$I$93)))</f>
        <v>0</v>
      </c>
      <c r="KA152" s="327">
        <f t="shared" ca="1" si="843"/>
        <v>0</v>
      </c>
      <c r="KB152" s="327">
        <f t="shared" ca="1" si="843"/>
        <v>0</v>
      </c>
      <c r="KC152" s="327">
        <f t="shared" ca="1" si="843"/>
        <v>0.25</v>
      </c>
    </row>
    <row r="153" spans="2:289" x14ac:dyDescent="0.25">
      <c r="B153" s="267" t="str">
        <f t="shared" si="838"/>
        <v>- Concessions (Free Rent)</v>
      </c>
      <c r="C153" s="196"/>
      <c r="D153" s="196"/>
      <c r="E153" s="345"/>
      <c r="F153" s="345"/>
      <c r="G153" s="218">
        <f>I100</f>
        <v>0</v>
      </c>
      <c r="H153" s="218">
        <f ca="1">SUM(OFFSET($Q100,0,Stabilization_1st_Month,1,12))</f>
        <v>0</v>
      </c>
      <c r="I153" s="219">
        <f ca="1">MIN(SUM(OFFSET($Q100,0,Timing_Reversion_Month,1,12)),H153)</f>
        <v>0</v>
      </c>
      <c r="J153" s="179"/>
      <c r="K153" s="179"/>
      <c r="L153" s="179"/>
      <c r="M153" s="179"/>
      <c r="N153" s="179"/>
      <c r="O153" s="179"/>
      <c r="P153" s="179"/>
      <c r="Q153" s="179"/>
      <c r="R153" s="179"/>
      <c r="S153" s="179"/>
      <c r="T153" s="179"/>
      <c r="U153" s="179"/>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c r="CX153" s="179"/>
      <c r="CY153" s="179"/>
      <c r="CZ153" s="179"/>
      <c r="DA153" s="179"/>
      <c r="DB153" s="179"/>
      <c r="DC153" s="179"/>
      <c r="DD153" s="179"/>
      <c r="DE153" s="179"/>
      <c r="DF153" s="179"/>
      <c r="DG153" s="179"/>
      <c r="DH153" s="179"/>
      <c r="DI153" s="179"/>
      <c r="DJ153" s="179"/>
      <c r="DK153" s="179"/>
      <c r="DL153" s="179"/>
      <c r="DM153" s="179"/>
      <c r="DN153" s="179"/>
      <c r="DO153" s="179"/>
      <c r="DP153" s="179"/>
      <c r="DQ153" s="179"/>
      <c r="DR153" s="179"/>
      <c r="DS153" s="179"/>
      <c r="DT153" s="179"/>
      <c r="DU153" s="179"/>
      <c r="DV153" s="179"/>
      <c r="DW153" s="179"/>
      <c r="DX153" s="179"/>
      <c r="DY153" s="179"/>
      <c r="DZ153" s="179"/>
      <c r="EA153" s="179"/>
      <c r="EB153" s="179"/>
      <c r="EC153" s="179"/>
      <c r="ED153" s="179"/>
      <c r="EE153" s="179"/>
      <c r="EF153" s="179"/>
      <c r="EG153" s="179"/>
      <c r="EH153" s="179"/>
      <c r="EI153" s="179"/>
      <c r="EJ153" s="179"/>
      <c r="EK153" s="179"/>
      <c r="EL153" s="179"/>
      <c r="EM153" s="179"/>
      <c r="EN153" s="179"/>
      <c r="EO153" s="179"/>
      <c r="EP153" s="179"/>
      <c r="EQ153" s="179"/>
      <c r="ER153" s="179"/>
      <c r="ES153" s="179"/>
      <c r="ET153" s="179"/>
      <c r="EU153" s="153"/>
      <c r="EV153" s="153"/>
      <c r="EW153" s="154" t="s">
        <v>705</v>
      </c>
      <c r="EX153" s="153"/>
      <c r="EY153" s="153"/>
      <c r="EZ153" s="153"/>
      <c r="FA153" s="153"/>
      <c r="FB153" s="221">
        <f ca="1">FB152*FB151</f>
        <v>0</v>
      </c>
      <c r="FC153" s="221">
        <f t="shared" ref="FC153:HN153" ca="1" si="844">FC152*FC151</f>
        <v>0</v>
      </c>
      <c r="FD153" s="221">
        <f t="shared" ca="1" si="844"/>
        <v>0</v>
      </c>
      <c r="FE153" s="221">
        <f t="shared" ca="1" si="844"/>
        <v>0</v>
      </c>
      <c r="FF153" s="221">
        <f t="shared" ca="1" si="844"/>
        <v>0</v>
      </c>
      <c r="FG153" s="221">
        <f t="shared" ca="1" si="844"/>
        <v>0</v>
      </c>
      <c r="FH153" s="221">
        <f t="shared" ca="1" si="844"/>
        <v>0</v>
      </c>
      <c r="FI153" s="221">
        <f t="shared" ca="1" si="844"/>
        <v>0</v>
      </c>
      <c r="FJ153" s="221">
        <f t="shared" ca="1" si="844"/>
        <v>0</v>
      </c>
      <c r="FK153" s="221">
        <f t="shared" ca="1" si="844"/>
        <v>0</v>
      </c>
      <c r="FL153" s="221">
        <f t="shared" ca="1" si="844"/>
        <v>0</v>
      </c>
      <c r="FM153" s="221">
        <f t="shared" ca="1" si="844"/>
        <v>7600</v>
      </c>
      <c r="FN153" s="221">
        <f t="shared" ca="1" si="844"/>
        <v>11400</v>
      </c>
      <c r="FO153" s="221">
        <f t="shared" ca="1" si="844"/>
        <v>11400</v>
      </c>
      <c r="FP153" s="221">
        <f t="shared" ca="1" si="844"/>
        <v>0</v>
      </c>
      <c r="FQ153" s="221">
        <f t="shared" ca="1" si="844"/>
        <v>0</v>
      </c>
      <c r="FR153" s="221">
        <f t="shared" ca="1" si="844"/>
        <v>0</v>
      </c>
      <c r="FS153" s="221">
        <f t="shared" ca="1" si="844"/>
        <v>0</v>
      </c>
      <c r="FT153" s="221">
        <f t="shared" ca="1" si="844"/>
        <v>0</v>
      </c>
      <c r="FU153" s="221">
        <f t="shared" ca="1" si="844"/>
        <v>0</v>
      </c>
      <c r="FV153" s="221">
        <f t="shared" ca="1" si="844"/>
        <v>0</v>
      </c>
      <c r="FW153" s="221">
        <f t="shared" ca="1" si="844"/>
        <v>0</v>
      </c>
      <c r="FX153" s="221">
        <f t="shared" ca="1" si="844"/>
        <v>0</v>
      </c>
      <c r="FY153" s="221">
        <f t="shared" ca="1" si="844"/>
        <v>7828</v>
      </c>
      <c r="FZ153" s="221">
        <f t="shared" ca="1" si="844"/>
        <v>11742</v>
      </c>
      <c r="GA153" s="221">
        <f t="shared" ca="1" si="844"/>
        <v>11742</v>
      </c>
      <c r="GB153" s="221">
        <f t="shared" ca="1" si="844"/>
        <v>0</v>
      </c>
      <c r="GC153" s="221">
        <f t="shared" ca="1" si="844"/>
        <v>0</v>
      </c>
      <c r="GD153" s="221">
        <f t="shared" ca="1" si="844"/>
        <v>0</v>
      </c>
      <c r="GE153" s="221">
        <f t="shared" ca="1" si="844"/>
        <v>0</v>
      </c>
      <c r="GF153" s="221">
        <f t="shared" ca="1" si="844"/>
        <v>0</v>
      </c>
      <c r="GG153" s="221">
        <f t="shared" ca="1" si="844"/>
        <v>0</v>
      </c>
      <c r="GH153" s="221">
        <f t="shared" ca="1" si="844"/>
        <v>0</v>
      </c>
      <c r="GI153" s="221">
        <f t="shared" ca="1" si="844"/>
        <v>0</v>
      </c>
      <c r="GJ153" s="221">
        <f t="shared" ca="1" si="844"/>
        <v>0</v>
      </c>
      <c r="GK153" s="221">
        <f t="shared" ca="1" si="844"/>
        <v>8062.84</v>
      </c>
      <c r="GL153" s="221">
        <f t="shared" ca="1" si="844"/>
        <v>12094.26</v>
      </c>
      <c r="GM153" s="221">
        <f t="shared" ca="1" si="844"/>
        <v>12094.26</v>
      </c>
      <c r="GN153" s="221">
        <f t="shared" ca="1" si="844"/>
        <v>0</v>
      </c>
      <c r="GO153" s="221">
        <f t="shared" ca="1" si="844"/>
        <v>0</v>
      </c>
      <c r="GP153" s="221">
        <f t="shared" ca="1" si="844"/>
        <v>0</v>
      </c>
      <c r="GQ153" s="221">
        <f t="shared" ca="1" si="844"/>
        <v>0</v>
      </c>
      <c r="GR153" s="221">
        <f t="shared" ca="1" si="844"/>
        <v>0</v>
      </c>
      <c r="GS153" s="221">
        <f t="shared" ca="1" si="844"/>
        <v>0</v>
      </c>
      <c r="GT153" s="221">
        <f t="shared" ca="1" si="844"/>
        <v>0</v>
      </c>
      <c r="GU153" s="221">
        <f t="shared" ca="1" si="844"/>
        <v>0</v>
      </c>
      <c r="GV153" s="221">
        <f t="shared" ca="1" si="844"/>
        <v>0</v>
      </c>
      <c r="GW153" s="221">
        <f t="shared" ca="1" si="844"/>
        <v>8304.7251999999989</v>
      </c>
      <c r="GX153" s="221">
        <f t="shared" ca="1" si="844"/>
        <v>12457.087799999998</v>
      </c>
      <c r="GY153" s="221">
        <f t="shared" ca="1" si="844"/>
        <v>12457.087799999998</v>
      </c>
      <c r="GZ153" s="221">
        <f t="shared" ca="1" si="844"/>
        <v>0</v>
      </c>
      <c r="HA153" s="221">
        <f t="shared" ca="1" si="844"/>
        <v>0</v>
      </c>
      <c r="HB153" s="221">
        <f t="shared" ca="1" si="844"/>
        <v>0</v>
      </c>
      <c r="HC153" s="221">
        <f t="shared" ca="1" si="844"/>
        <v>0</v>
      </c>
      <c r="HD153" s="221">
        <f t="shared" ca="1" si="844"/>
        <v>0</v>
      </c>
      <c r="HE153" s="221">
        <f t="shared" ca="1" si="844"/>
        <v>0</v>
      </c>
      <c r="HF153" s="221">
        <f t="shared" ca="1" si="844"/>
        <v>0</v>
      </c>
      <c r="HG153" s="221">
        <f t="shared" ca="1" si="844"/>
        <v>0</v>
      </c>
      <c r="HH153" s="221">
        <f t="shared" ca="1" si="844"/>
        <v>0</v>
      </c>
      <c r="HI153" s="221">
        <f t="shared" ca="1" si="844"/>
        <v>8553.8669559999998</v>
      </c>
      <c r="HJ153" s="221">
        <f t="shared" ca="1" si="844"/>
        <v>12830.800434000001</v>
      </c>
      <c r="HK153" s="221">
        <f t="shared" ca="1" si="844"/>
        <v>12830.800434000001</v>
      </c>
      <c r="HL153" s="221">
        <f t="shared" ca="1" si="844"/>
        <v>0</v>
      </c>
      <c r="HM153" s="221">
        <f t="shared" ca="1" si="844"/>
        <v>0</v>
      </c>
      <c r="HN153" s="221">
        <f t="shared" ca="1" si="844"/>
        <v>0</v>
      </c>
      <c r="HO153" s="221">
        <f t="shared" ref="HO153:JZ153" ca="1" si="845">HO152*HO151</f>
        <v>0</v>
      </c>
      <c r="HP153" s="221">
        <f t="shared" ca="1" si="845"/>
        <v>0</v>
      </c>
      <c r="HQ153" s="221">
        <f t="shared" ca="1" si="845"/>
        <v>0</v>
      </c>
      <c r="HR153" s="221">
        <f t="shared" ca="1" si="845"/>
        <v>0</v>
      </c>
      <c r="HS153" s="221">
        <f t="shared" ca="1" si="845"/>
        <v>0</v>
      </c>
      <c r="HT153" s="221">
        <f t="shared" ca="1" si="845"/>
        <v>0</v>
      </c>
      <c r="HU153" s="221">
        <f t="shared" ca="1" si="845"/>
        <v>8810.482964679999</v>
      </c>
      <c r="HV153" s="221">
        <f t="shared" ca="1" si="845"/>
        <v>13215.724447019998</v>
      </c>
      <c r="HW153" s="221">
        <f t="shared" ca="1" si="845"/>
        <v>13215.724447019998</v>
      </c>
      <c r="HX153" s="221">
        <f t="shared" ca="1" si="845"/>
        <v>0</v>
      </c>
      <c r="HY153" s="221">
        <f t="shared" ca="1" si="845"/>
        <v>0</v>
      </c>
      <c r="HZ153" s="221">
        <f t="shared" ca="1" si="845"/>
        <v>0</v>
      </c>
      <c r="IA153" s="221">
        <f t="shared" ca="1" si="845"/>
        <v>0</v>
      </c>
      <c r="IB153" s="221">
        <f t="shared" ca="1" si="845"/>
        <v>0</v>
      </c>
      <c r="IC153" s="221">
        <f t="shared" ca="1" si="845"/>
        <v>0</v>
      </c>
      <c r="ID153" s="221">
        <f t="shared" ca="1" si="845"/>
        <v>0</v>
      </c>
      <c r="IE153" s="221">
        <f t="shared" ca="1" si="845"/>
        <v>0</v>
      </c>
      <c r="IF153" s="221">
        <f t="shared" ca="1" si="845"/>
        <v>0</v>
      </c>
      <c r="IG153" s="221">
        <f t="shared" ca="1" si="845"/>
        <v>9074.7974536204001</v>
      </c>
      <c r="IH153" s="221">
        <f t="shared" ca="1" si="845"/>
        <v>13612.196180430601</v>
      </c>
      <c r="II153" s="221">
        <f t="shared" ca="1" si="845"/>
        <v>13612.196180430601</v>
      </c>
      <c r="IJ153" s="221">
        <f t="shared" ca="1" si="845"/>
        <v>0</v>
      </c>
      <c r="IK153" s="221">
        <f t="shared" ca="1" si="845"/>
        <v>0</v>
      </c>
      <c r="IL153" s="221">
        <f t="shared" ca="1" si="845"/>
        <v>0</v>
      </c>
      <c r="IM153" s="221">
        <f t="shared" ca="1" si="845"/>
        <v>0</v>
      </c>
      <c r="IN153" s="221">
        <f t="shared" ca="1" si="845"/>
        <v>0</v>
      </c>
      <c r="IO153" s="221">
        <f t="shared" ca="1" si="845"/>
        <v>0</v>
      </c>
      <c r="IP153" s="221">
        <f t="shared" ca="1" si="845"/>
        <v>0</v>
      </c>
      <c r="IQ153" s="221">
        <f t="shared" ca="1" si="845"/>
        <v>0</v>
      </c>
      <c r="IR153" s="221">
        <f t="shared" ca="1" si="845"/>
        <v>0</v>
      </c>
      <c r="IS153" s="221">
        <f t="shared" ca="1" si="845"/>
        <v>9347.0413772290121</v>
      </c>
      <c r="IT153" s="221">
        <f t="shared" ca="1" si="845"/>
        <v>14020.562065843518</v>
      </c>
      <c r="IU153" s="221">
        <f t="shared" ca="1" si="845"/>
        <v>14020.562065843518</v>
      </c>
      <c r="IV153" s="221">
        <f t="shared" ca="1" si="845"/>
        <v>0</v>
      </c>
      <c r="IW153" s="221">
        <f t="shared" ca="1" si="845"/>
        <v>0</v>
      </c>
      <c r="IX153" s="221">
        <f t="shared" ca="1" si="845"/>
        <v>0</v>
      </c>
      <c r="IY153" s="221">
        <f t="shared" ca="1" si="845"/>
        <v>0</v>
      </c>
      <c r="IZ153" s="221">
        <f t="shared" ca="1" si="845"/>
        <v>0</v>
      </c>
      <c r="JA153" s="221">
        <f t="shared" ca="1" si="845"/>
        <v>0</v>
      </c>
      <c r="JB153" s="221">
        <f t="shared" ca="1" si="845"/>
        <v>0</v>
      </c>
      <c r="JC153" s="221">
        <f t="shared" ca="1" si="845"/>
        <v>0</v>
      </c>
      <c r="JD153" s="221">
        <f t="shared" ca="1" si="845"/>
        <v>0</v>
      </c>
      <c r="JE153" s="221">
        <f t="shared" ca="1" si="845"/>
        <v>9627.4526185458799</v>
      </c>
      <c r="JF153" s="221">
        <f t="shared" ca="1" si="845"/>
        <v>14441.178927818819</v>
      </c>
      <c r="JG153" s="221">
        <f t="shared" ca="1" si="845"/>
        <v>14441.178927818819</v>
      </c>
      <c r="JH153" s="221">
        <f t="shared" ca="1" si="845"/>
        <v>0</v>
      </c>
      <c r="JI153" s="221">
        <f t="shared" ca="1" si="845"/>
        <v>0</v>
      </c>
      <c r="JJ153" s="221">
        <f t="shared" ca="1" si="845"/>
        <v>0</v>
      </c>
      <c r="JK153" s="221">
        <f t="shared" ca="1" si="845"/>
        <v>0</v>
      </c>
      <c r="JL153" s="221">
        <f t="shared" ca="1" si="845"/>
        <v>0</v>
      </c>
      <c r="JM153" s="221">
        <f t="shared" ca="1" si="845"/>
        <v>0</v>
      </c>
      <c r="JN153" s="221">
        <f t="shared" ca="1" si="845"/>
        <v>0</v>
      </c>
      <c r="JO153" s="221">
        <f t="shared" ca="1" si="845"/>
        <v>0</v>
      </c>
      <c r="JP153" s="221">
        <f t="shared" ca="1" si="845"/>
        <v>0</v>
      </c>
      <c r="JQ153" s="221">
        <f t="shared" ca="1" si="845"/>
        <v>9916.2761971022574</v>
      </c>
      <c r="JR153" s="221">
        <f t="shared" ca="1" si="845"/>
        <v>14874.414295653387</v>
      </c>
      <c r="JS153" s="221">
        <f t="shared" ca="1" si="845"/>
        <v>14874.414295653387</v>
      </c>
      <c r="JT153" s="221">
        <f t="shared" ca="1" si="845"/>
        <v>0</v>
      </c>
      <c r="JU153" s="221">
        <f t="shared" ca="1" si="845"/>
        <v>0</v>
      </c>
      <c r="JV153" s="221">
        <f t="shared" ca="1" si="845"/>
        <v>0</v>
      </c>
      <c r="JW153" s="221">
        <f t="shared" ca="1" si="845"/>
        <v>0</v>
      </c>
      <c r="JX153" s="221">
        <f t="shared" ca="1" si="845"/>
        <v>0</v>
      </c>
      <c r="JY153" s="221">
        <f t="shared" ca="1" si="845"/>
        <v>0</v>
      </c>
      <c r="JZ153" s="221">
        <f t="shared" ca="1" si="845"/>
        <v>0</v>
      </c>
      <c r="KA153" s="221">
        <f t="shared" ref="KA153:KC153" ca="1" si="846">KA152*KA151</f>
        <v>0</v>
      </c>
      <c r="KB153" s="221">
        <f t="shared" ca="1" si="846"/>
        <v>0</v>
      </c>
      <c r="KC153" s="221">
        <f t="shared" ca="1" si="846"/>
        <v>10213.764483015326</v>
      </c>
    </row>
    <row r="154" spans="2:289" x14ac:dyDescent="0.25">
      <c r="B154" s="267" t="str">
        <f t="shared" si="838"/>
        <v>- Gain/Loss-to-Lease</v>
      </c>
      <c r="C154" s="196"/>
      <c r="D154" s="196"/>
      <c r="E154" s="345"/>
      <c r="F154" s="345"/>
      <c r="G154" s="218">
        <f>I101</f>
        <v>0</v>
      </c>
      <c r="H154" s="218">
        <f ca="1">SUM(OFFSET($Q101,0,Stabilization_1st_Month,1,12))</f>
        <v>-1026</v>
      </c>
      <c r="I154" s="219">
        <f ca="1">MIN(SUM(OFFSET($Q101,0,Timing_Reversion_Month,1,12)),H154)</f>
        <v>-1056.7800000000025</v>
      </c>
      <c r="J154" s="179"/>
      <c r="K154" s="179"/>
      <c r="L154" s="179"/>
      <c r="M154" s="179"/>
      <c r="N154" s="179"/>
      <c r="O154" s="179"/>
      <c r="P154" s="179"/>
      <c r="Q154" s="179"/>
      <c r="R154" s="179"/>
      <c r="S154" s="179"/>
      <c r="T154" s="179"/>
      <c r="U154" s="179"/>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c r="CX154" s="179"/>
      <c r="CY154" s="179"/>
      <c r="CZ154" s="179"/>
      <c r="DA154" s="179"/>
      <c r="DB154" s="179"/>
      <c r="DC154" s="179"/>
      <c r="DD154" s="179"/>
      <c r="DE154" s="179"/>
      <c r="DF154" s="179"/>
      <c r="DG154" s="179"/>
      <c r="DH154" s="179"/>
      <c r="DI154" s="179"/>
      <c r="DJ154" s="179"/>
      <c r="DK154" s="179"/>
      <c r="DL154" s="179"/>
      <c r="DM154" s="179"/>
      <c r="DN154" s="179"/>
      <c r="DO154" s="179"/>
      <c r="DP154" s="179"/>
      <c r="DQ154" s="179"/>
      <c r="DR154" s="179"/>
      <c r="DS154" s="179"/>
      <c r="DT154" s="179"/>
      <c r="DU154" s="179"/>
      <c r="DV154" s="179"/>
      <c r="DW154" s="179"/>
      <c r="DX154" s="179"/>
      <c r="DY154" s="179"/>
      <c r="DZ154" s="179"/>
      <c r="EA154" s="179"/>
      <c r="EB154" s="179"/>
      <c r="EC154" s="179"/>
      <c r="ED154" s="179"/>
      <c r="EE154" s="179"/>
      <c r="EF154" s="179"/>
      <c r="EG154" s="179"/>
      <c r="EH154" s="179"/>
      <c r="EI154" s="179"/>
      <c r="EJ154" s="179"/>
      <c r="EK154" s="179"/>
      <c r="EL154" s="179"/>
      <c r="EM154" s="179"/>
      <c r="EN154" s="179"/>
      <c r="EO154" s="179"/>
      <c r="EP154" s="179"/>
      <c r="EQ154" s="179"/>
      <c r="ER154" s="179"/>
      <c r="ES154" s="179"/>
      <c r="ET154" s="179"/>
      <c r="EU154" s="153"/>
      <c r="EV154" s="153"/>
      <c r="EW154" s="154" t="s">
        <v>702</v>
      </c>
      <c r="EX154" s="153"/>
      <c r="EY154" s="153"/>
      <c r="EZ154" s="153"/>
      <c r="FA154" s="153"/>
      <c r="FB154" s="327">
        <f t="shared" ref="FB154:GG154" ca="1" si="847">IF(FB89=0,0,OFFSET(FB152,0,MAX(-FB3,-$I$93)))</f>
        <v>0</v>
      </c>
      <c r="FC154" s="327">
        <f t="shared" ca="1" si="847"/>
        <v>0</v>
      </c>
      <c r="FD154" s="327">
        <f t="shared" ca="1" si="847"/>
        <v>0</v>
      </c>
      <c r="FE154" s="327">
        <f t="shared" ca="1" si="847"/>
        <v>0</v>
      </c>
      <c r="FF154" s="327">
        <f t="shared" ca="1" si="847"/>
        <v>0</v>
      </c>
      <c r="FG154" s="327">
        <f t="shared" ca="1" si="847"/>
        <v>0</v>
      </c>
      <c r="FH154" s="327">
        <f t="shared" ca="1" si="847"/>
        <v>0</v>
      </c>
      <c r="FI154" s="327">
        <f t="shared" ca="1" si="847"/>
        <v>0</v>
      </c>
      <c r="FJ154" s="327">
        <f t="shared" ca="1" si="847"/>
        <v>0</v>
      </c>
      <c r="FK154" s="327">
        <f t="shared" ca="1" si="847"/>
        <v>0</v>
      </c>
      <c r="FL154" s="327">
        <f t="shared" ca="1" si="847"/>
        <v>0</v>
      </c>
      <c r="FM154" s="327">
        <f t="shared" ca="1" si="847"/>
        <v>0</v>
      </c>
      <c r="FN154" s="327">
        <f t="shared" ca="1" si="847"/>
        <v>0</v>
      </c>
      <c r="FO154" s="327">
        <f t="shared" ca="1" si="847"/>
        <v>0</v>
      </c>
      <c r="FP154" s="327">
        <f t="shared" ca="1" si="847"/>
        <v>0</v>
      </c>
      <c r="FQ154" s="327">
        <f t="shared" ca="1" si="847"/>
        <v>0</v>
      </c>
      <c r="FR154" s="327">
        <f t="shared" ca="1" si="847"/>
        <v>0</v>
      </c>
      <c r="FS154" s="327">
        <f t="shared" ca="1" si="847"/>
        <v>0</v>
      </c>
      <c r="FT154" s="327">
        <f t="shared" ca="1" si="847"/>
        <v>0</v>
      </c>
      <c r="FU154" s="327">
        <f t="shared" ca="1" si="847"/>
        <v>0</v>
      </c>
      <c r="FV154" s="327">
        <f t="shared" ca="1" si="847"/>
        <v>0</v>
      </c>
      <c r="FW154" s="327">
        <f t="shared" ca="1" si="847"/>
        <v>0</v>
      </c>
      <c r="FX154" s="327">
        <f t="shared" ca="1" si="847"/>
        <v>0</v>
      </c>
      <c r="FY154" s="327">
        <f t="shared" ca="1" si="847"/>
        <v>0.25</v>
      </c>
      <c r="FZ154" s="327">
        <f t="shared" ca="1" si="847"/>
        <v>0.375</v>
      </c>
      <c r="GA154" s="327">
        <f t="shared" ca="1" si="847"/>
        <v>0.375</v>
      </c>
      <c r="GB154" s="327">
        <f t="shared" ca="1" si="847"/>
        <v>0</v>
      </c>
      <c r="GC154" s="327">
        <f t="shared" ca="1" si="847"/>
        <v>0</v>
      </c>
      <c r="GD154" s="327">
        <f t="shared" ca="1" si="847"/>
        <v>0</v>
      </c>
      <c r="GE154" s="327">
        <f t="shared" ca="1" si="847"/>
        <v>0</v>
      </c>
      <c r="GF154" s="327">
        <f t="shared" ca="1" si="847"/>
        <v>0</v>
      </c>
      <c r="GG154" s="327">
        <f t="shared" ca="1" si="847"/>
        <v>0</v>
      </c>
      <c r="GH154" s="327">
        <f t="shared" ref="GH154:HM154" ca="1" si="848">IF(GH89=0,0,OFFSET(GH152,0,MAX(-GH3,-$I$93)))</f>
        <v>0</v>
      </c>
      <c r="GI154" s="327">
        <f t="shared" ca="1" si="848"/>
        <v>0</v>
      </c>
      <c r="GJ154" s="327">
        <f t="shared" ca="1" si="848"/>
        <v>0</v>
      </c>
      <c r="GK154" s="327">
        <f t="shared" ca="1" si="848"/>
        <v>0.25</v>
      </c>
      <c r="GL154" s="327">
        <f t="shared" ca="1" si="848"/>
        <v>0.375</v>
      </c>
      <c r="GM154" s="327">
        <f t="shared" ca="1" si="848"/>
        <v>0.375</v>
      </c>
      <c r="GN154" s="327">
        <f t="shared" ca="1" si="848"/>
        <v>0</v>
      </c>
      <c r="GO154" s="327">
        <f t="shared" ca="1" si="848"/>
        <v>0</v>
      </c>
      <c r="GP154" s="327">
        <f t="shared" ca="1" si="848"/>
        <v>0</v>
      </c>
      <c r="GQ154" s="327">
        <f t="shared" ca="1" si="848"/>
        <v>0</v>
      </c>
      <c r="GR154" s="327">
        <f t="shared" ca="1" si="848"/>
        <v>0</v>
      </c>
      <c r="GS154" s="327">
        <f t="shared" ca="1" si="848"/>
        <v>0</v>
      </c>
      <c r="GT154" s="327">
        <f t="shared" ca="1" si="848"/>
        <v>0</v>
      </c>
      <c r="GU154" s="327">
        <f t="shared" ca="1" si="848"/>
        <v>0</v>
      </c>
      <c r="GV154" s="327">
        <f t="shared" ca="1" si="848"/>
        <v>0</v>
      </c>
      <c r="GW154" s="327">
        <f t="shared" ca="1" si="848"/>
        <v>0.25</v>
      </c>
      <c r="GX154" s="327">
        <f t="shared" ca="1" si="848"/>
        <v>0.375</v>
      </c>
      <c r="GY154" s="327">
        <f t="shared" ca="1" si="848"/>
        <v>0.375</v>
      </c>
      <c r="GZ154" s="327">
        <f t="shared" ca="1" si="848"/>
        <v>0</v>
      </c>
      <c r="HA154" s="327">
        <f t="shared" ca="1" si="848"/>
        <v>0</v>
      </c>
      <c r="HB154" s="327">
        <f t="shared" ca="1" si="848"/>
        <v>0</v>
      </c>
      <c r="HC154" s="327">
        <f t="shared" ca="1" si="848"/>
        <v>0</v>
      </c>
      <c r="HD154" s="327">
        <f t="shared" ca="1" si="848"/>
        <v>0</v>
      </c>
      <c r="HE154" s="327">
        <f t="shared" ca="1" si="848"/>
        <v>0</v>
      </c>
      <c r="HF154" s="327">
        <f t="shared" ca="1" si="848"/>
        <v>0</v>
      </c>
      <c r="HG154" s="327">
        <f t="shared" ca="1" si="848"/>
        <v>0</v>
      </c>
      <c r="HH154" s="327">
        <f t="shared" ca="1" si="848"/>
        <v>0</v>
      </c>
      <c r="HI154" s="327">
        <f t="shared" ca="1" si="848"/>
        <v>0.25</v>
      </c>
      <c r="HJ154" s="327">
        <f t="shared" ca="1" si="848"/>
        <v>0.375</v>
      </c>
      <c r="HK154" s="327">
        <f t="shared" ca="1" si="848"/>
        <v>0.375</v>
      </c>
      <c r="HL154" s="327">
        <f t="shared" ca="1" si="848"/>
        <v>0</v>
      </c>
      <c r="HM154" s="327">
        <f t="shared" ca="1" si="848"/>
        <v>0</v>
      </c>
      <c r="HN154" s="327">
        <f t="shared" ref="HN154:IS154" ca="1" si="849">IF(HN89=0,0,OFFSET(HN152,0,MAX(-HN3,-$I$93)))</f>
        <v>0</v>
      </c>
      <c r="HO154" s="327">
        <f t="shared" ca="1" si="849"/>
        <v>0</v>
      </c>
      <c r="HP154" s="327">
        <f t="shared" ca="1" si="849"/>
        <v>0</v>
      </c>
      <c r="HQ154" s="327">
        <f t="shared" ca="1" si="849"/>
        <v>0</v>
      </c>
      <c r="HR154" s="327">
        <f t="shared" ca="1" si="849"/>
        <v>0</v>
      </c>
      <c r="HS154" s="327">
        <f t="shared" ca="1" si="849"/>
        <v>0</v>
      </c>
      <c r="HT154" s="327">
        <f t="shared" ca="1" si="849"/>
        <v>0</v>
      </c>
      <c r="HU154" s="327">
        <f t="shared" ca="1" si="849"/>
        <v>0.25</v>
      </c>
      <c r="HV154" s="327">
        <f t="shared" ca="1" si="849"/>
        <v>0.375</v>
      </c>
      <c r="HW154" s="327">
        <f t="shared" ca="1" si="849"/>
        <v>0.375</v>
      </c>
      <c r="HX154" s="327">
        <f t="shared" ca="1" si="849"/>
        <v>0</v>
      </c>
      <c r="HY154" s="327">
        <f t="shared" ca="1" si="849"/>
        <v>0</v>
      </c>
      <c r="HZ154" s="327">
        <f t="shared" ca="1" si="849"/>
        <v>0</v>
      </c>
      <c r="IA154" s="327">
        <f t="shared" ca="1" si="849"/>
        <v>0</v>
      </c>
      <c r="IB154" s="327">
        <f t="shared" ca="1" si="849"/>
        <v>0</v>
      </c>
      <c r="IC154" s="327">
        <f t="shared" ca="1" si="849"/>
        <v>0</v>
      </c>
      <c r="ID154" s="327">
        <f t="shared" ca="1" si="849"/>
        <v>0</v>
      </c>
      <c r="IE154" s="327">
        <f t="shared" ca="1" si="849"/>
        <v>0</v>
      </c>
      <c r="IF154" s="327">
        <f t="shared" ca="1" si="849"/>
        <v>0</v>
      </c>
      <c r="IG154" s="327">
        <f t="shared" ca="1" si="849"/>
        <v>0.25</v>
      </c>
      <c r="IH154" s="327">
        <f t="shared" ca="1" si="849"/>
        <v>0.375</v>
      </c>
      <c r="II154" s="327">
        <f t="shared" ca="1" si="849"/>
        <v>0.375</v>
      </c>
      <c r="IJ154" s="327">
        <f t="shared" ca="1" si="849"/>
        <v>0</v>
      </c>
      <c r="IK154" s="327">
        <f t="shared" ca="1" si="849"/>
        <v>0</v>
      </c>
      <c r="IL154" s="327">
        <f t="shared" ca="1" si="849"/>
        <v>0</v>
      </c>
      <c r="IM154" s="327">
        <f t="shared" ca="1" si="849"/>
        <v>0</v>
      </c>
      <c r="IN154" s="327">
        <f t="shared" ca="1" si="849"/>
        <v>0</v>
      </c>
      <c r="IO154" s="327">
        <f t="shared" ca="1" si="849"/>
        <v>0</v>
      </c>
      <c r="IP154" s="327">
        <f t="shared" ca="1" si="849"/>
        <v>0</v>
      </c>
      <c r="IQ154" s="327">
        <f t="shared" ca="1" si="849"/>
        <v>0</v>
      </c>
      <c r="IR154" s="327">
        <f t="shared" ca="1" si="849"/>
        <v>0</v>
      </c>
      <c r="IS154" s="327">
        <f t="shared" ca="1" si="849"/>
        <v>0.25</v>
      </c>
      <c r="IT154" s="327">
        <f t="shared" ref="IT154:KC154" ca="1" si="850">IF(IT89=0,0,OFFSET(IT152,0,MAX(-IT3,-$I$93)))</f>
        <v>0.375</v>
      </c>
      <c r="IU154" s="327">
        <f t="shared" ca="1" si="850"/>
        <v>0.375</v>
      </c>
      <c r="IV154" s="327">
        <f t="shared" ca="1" si="850"/>
        <v>0</v>
      </c>
      <c r="IW154" s="327">
        <f t="shared" ca="1" si="850"/>
        <v>0</v>
      </c>
      <c r="IX154" s="327">
        <f t="shared" ca="1" si="850"/>
        <v>0</v>
      </c>
      <c r="IY154" s="327">
        <f t="shared" ca="1" si="850"/>
        <v>0</v>
      </c>
      <c r="IZ154" s="327">
        <f t="shared" ca="1" si="850"/>
        <v>0</v>
      </c>
      <c r="JA154" s="327">
        <f t="shared" ca="1" si="850"/>
        <v>0</v>
      </c>
      <c r="JB154" s="327">
        <f t="shared" ca="1" si="850"/>
        <v>0</v>
      </c>
      <c r="JC154" s="327">
        <f t="shared" ca="1" si="850"/>
        <v>0</v>
      </c>
      <c r="JD154" s="327">
        <f t="shared" ca="1" si="850"/>
        <v>0</v>
      </c>
      <c r="JE154" s="327">
        <f t="shared" ca="1" si="850"/>
        <v>0.25</v>
      </c>
      <c r="JF154" s="327">
        <f t="shared" ca="1" si="850"/>
        <v>0.375</v>
      </c>
      <c r="JG154" s="327">
        <f t="shared" ca="1" si="850"/>
        <v>0.375</v>
      </c>
      <c r="JH154" s="327">
        <f t="shared" ca="1" si="850"/>
        <v>0</v>
      </c>
      <c r="JI154" s="327">
        <f t="shared" ca="1" si="850"/>
        <v>0</v>
      </c>
      <c r="JJ154" s="327">
        <f t="shared" ca="1" si="850"/>
        <v>0</v>
      </c>
      <c r="JK154" s="327">
        <f t="shared" ca="1" si="850"/>
        <v>0</v>
      </c>
      <c r="JL154" s="327">
        <f t="shared" ca="1" si="850"/>
        <v>0</v>
      </c>
      <c r="JM154" s="327">
        <f t="shared" ca="1" si="850"/>
        <v>0</v>
      </c>
      <c r="JN154" s="327">
        <f t="shared" ca="1" si="850"/>
        <v>0</v>
      </c>
      <c r="JO154" s="327">
        <f t="shared" ca="1" si="850"/>
        <v>0</v>
      </c>
      <c r="JP154" s="327">
        <f t="shared" ca="1" si="850"/>
        <v>0</v>
      </c>
      <c r="JQ154" s="327">
        <f t="shared" ca="1" si="850"/>
        <v>0.25</v>
      </c>
      <c r="JR154" s="327">
        <f t="shared" ca="1" si="850"/>
        <v>0.375</v>
      </c>
      <c r="JS154" s="327">
        <f t="shared" ca="1" si="850"/>
        <v>0.375</v>
      </c>
      <c r="JT154" s="327">
        <f t="shared" ca="1" si="850"/>
        <v>0</v>
      </c>
      <c r="JU154" s="327">
        <f t="shared" ca="1" si="850"/>
        <v>0</v>
      </c>
      <c r="JV154" s="327">
        <f t="shared" ca="1" si="850"/>
        <v>0</v>
      </c>
      <c r="JW154" s="327">
        <f t="shared" ca="1" si="850"/>
        <v>0</v>
      </c>
      <c r="JX154" s="327">
        <f t="shared" ca="1" si="850"/>
        <v>0</v>
      </c>
      <c r="JY154" s="327">
        <f t="shared" ca="1" si="850"/>
        <v>0</v>
      </c>
      <c r="JZ154" s="327">
        <f t="shared" ca="1" si="850"/>
        <v>0</v>
      </c>
      <c r="KA154" s="327">
        <f t="shared" ca="1" si="850"/>
        <v>0</v>
      </c>
      <c r="KB154" s="327">
        <f t="shared" ca="1" si="850"/>
        <v>0</v>
      </c>
      <c r="KC154" s="327">
        <f t="shared" ca="1" si="850"/>
        <v>0.25</v>
      </c>
    </row>
    <row r="155" spans="2:289" ht="16.5" x14ac:dyDescent="0.35">
      <c r="B155" s="267" t="str">
        <f t="shared" si="838"/>
        <v>- Non-Revenue (Model) Units</v>
      </c>
      <c r="C155" s="196"/>
      <c r="D155" s="196"/>
      <c r="E155" s="345"/>
      <c r="F155" s="345"/>
      <c r="G155" s="341">
        <f>I102</f>
        <v>0</v>
      </c>
      <c r="H155" s="341">
        <f ca="1">SUM(OFFSET($Q102,0,Stabilization_1st_Month,1,12))</f>
        <v>0</v>
      </c>
      <c r="I155" s="225">
        <f ca="1">MIN(SUM(OFFSET($Q102,0,Timing_Reversion_Month,1,12)),H155)</f>
        <v>0</v>
      </c>
      <c r="J155" s="179"/>
      <c r="K155" s="179"/>
      <c r="L155" s="179"/>
      <c r="M155" s="179"/>
      <c r="N155" s="179"/>
      <c r="O155" s="179"/>
      <c r="P155" s="179"/>
      <c r="Q155" s="179"/>
      <c r="R155" s="179"/>
      <c r="S155" s="179"/>
      <c r="T155" s="179"/>
      <c r="U155" s="179"/>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c r="CX155" s="179"/>
      <c r="CY155" s="179"/>
      <c r="CZ155" s="179"/>
      <c r="DA155" s="179"/>
      <c r="DB155" s="179"/>
      <c r="DC155" s="179"/>
      <c r="DD155" s="179"/>
      <c r="DE155" s="179"/>
      <c r="DF155" s="179"/>
      <c r="DG155" s="179"/>
      <c r="DH155" s="179"/>
      <c r="DI155" s="179"/>
      <c r="DJ155" s="179"/>
      <c r="DK155" s="179"/>
      <c r="DL155" s="179"/>
      <c r="DM155" s="179"/>
      <c r="DN155" s="179"/>
      <c r="DO155" s="179"/>
      <c r="DP155" s="179"/>
      <c r="DQ155" s="179"/>
      <c r="DR155" s="179"/>
      <c r="DS155" s="179"/>
      <c r="DT155" s="179"/>
      <c r="DU155" s="179"/>
      <c r="DV155" s="179"/>
      <c r="DW155" s="179"/>
      <c r="DX155" s="179"/>
      <c r="DY155" s="179"/>
      <c r="DZ155" s="179"/>
      <c r="EA155" s="179"/>
      <c r="EB155" s="179"/>
      <c r="EC155" s="179"/>
      <c r="ED155" s="179"/>
      <c r="EE155" s="179"/>
      <c r="EF155" s="179"/>
      <c r="EG155" s="179"/>
      <c r="EH155" s="179"/>
      <c r="EI155" s="179"/>
      <c r="EJ155" s="179"/>
      <c r="EK155" s="179"/>
      <c r="EL155" s="179"/>
      <c r="EM155" s="179"/>
      <c r="EN155" s="179"/>
      <c r="EO155" s="179"/>
      <c r="EP155" s="179"/>
      <c r="EQ155" s="179"/>
      <c r="ER155" s="179"/>
      <c r="ES155" s="179"/>
      <c r="ET155" s="179"/>
      <c r="EU155" s="153"/>
      <c r="EV155" s="153"/>
      <c r="EW155" s="154" t="s">
        <v>703</v>
      </c>
      <c r="EX155" s="153"/>
      <c r="EY155" s="153"/>
      <c r="EZ155" s="153"/>
      <c r="FA155" s="153"/>
      <c r="FB155" s="221">
        <f ca="1">FB154*FB151</f>
        <v>0</v>
      </c>
      <c r="FC155" s="221">
        <f t="shared" ref="FC155:HN155" ca="1" si="851">FC154*FC151</f>
        <v>0</v>
      </c>
      <c r="FD155" s="221">
        <f t="shared" ca="1" si="851"/>
        <v>0</v>
      </c>
      <c r="FE155" s="221">
        <f t="shared" ca="1" si="851"/>
        <v>0</v>
      </c>
      <c r="FF155" s="221">
        <f t="shared" ca="1" si="851"/>
        <v>0</v>
      </c>
      <c r="FG155" s="221">
        <f t="shared" ca="1" si="851"/>
        <v>0</v>
      </c>
      <c r="FH155" s="221">
        <f t="shared" ca="1" si="851"/>
        <v>0</v>
      </c>
      <c r="FI155" s="221">
        <f t="shared" ca="1" si="851"/>
        <v>0</v>
      </c>
      <c r="FJ155" s="221">
        <f t="shared" ca="1" si="851"/>
        <v>0</v>
      </c>
      <c r="FK155" s="221">
        <f t="shared" ca="1" si="851"/>
        <v>0</v>
      </c>
      <c r="FL155" s="221">
        <f t="shared" ca="1" si="851"/>
        <v>0</v>
      </c>
      <c r="FM155" s="221">
        <f t="shared" ca="1" si="851"/>
        <v>0</v>
      </c>
      <c r="FN155" s="221">
        <f t="shared" ca="1" si="851"/>
        <v>0</v>
      </c>
      <c r="FO155" s="221">
        <f t="shared" ca="1" si="851"/>
        <v>0</v>
      </c>
      <c r="FP155" s="221">
        <f t="shared" ca="1" si="851"/>
        <v>0</v>
      </c>
      <c r="FQ155" s="221">
        <f t="shared" ca="1" si="851"/>
        <v>0</v>
      </c>
      <c r="FR155" s="221">
        <f t="shared" ca="1" si="851"/>
        <v>0</v>
      </c>
      <c r="FS155" s="221">
        <f t="shared" ca="1" si="851"/>
        <v>0</v>
      </c>
      <c r="FT155" s="221">
        <f t="shared" ca="1" si="851"/>
        <v>0</v>
      </c>
      <c r="FU155" s="221">
        <f t="shared" ca="1" si="851"/>
        <v>0</v>
      </c>
      <c r="FV155" s="221">
        <f t="shared" ca="1" si="851"/>
        <v>0</v>
      </c>
      <c r="FW155" s="221">
        <f t="shared" ca="1" si="851"/>
        <v>0</v>
      </c>
      <c r="FX155" s="221">
        <f t="shared" ca="1" si="851"/>
        <v>0</v>
      </c>
      <c r="FY155" s="221">
        <f t="shared" ca="1" si="851"/>
        <v>7828</v>
      </c>
      <c r="FZ155" s="221">
        <f t="shared" ca="1" si="851"/>
        <v>11742</v>
      </c>
      <c r="GA155" s="221">
        <f t="shared" ca="1" si="851"/>
        <v>11742</v>
      </c>
      <c r="GB155" s="221">
        <f t="shared" ca="1" si="851"/>
        <v>0</v>
      </c>
      <c r="GC155" s="221">
        <f t="shared" ca="1" si="851"/>
        <v>0</v>
      </c>
      <c r="GD155" s="221">
        <f t="shared" ca="1" si="851"/>
        <v>0</v>
      </c>
      <c r="GE155" s="221">
        <f t="shared" ca="1" si="851"/>
        <v>0</v>
      </c>
      <c r="GF155" s="221">
        <f t="shared" ca="1" si="851"/>
        <v>0</v>
      </c>
      <c r="GG155" s="221">
        <f t="shared" ca="1" si="851"/>
        <v>0</v>
      </c>
      <c r="GH155" s="221">
        <f t="shared" ca="1" si="851"/>
        <v>0</v>
      </c>
      <c r="GI155" s="221">
        <f t="shared" ca="1" si="851"/>
        <v>0</v>
      </c>
      <c r="GJ155" s="221">
        <f t="shared" ca="1" si="851"/>
        <v>0</v>
      </c>
      <c r="GK155" s="221">
        <f t="shared" ca="1" si="851"/>
        <v>8062.84</v>
      </c>
      <c r="GL155" s="221">
        <f t="shared" ca="1" si="851"/>
        <v>12094.26</v>
      </c>
      <c r="GM155" s="221">
        <f t="shared" ca="1" si="851"/>
        <v>12094.26</v>
      </c>
      <c r="GN155" s="221">
        <f t="shared" ca="1" si="851"/>
        <v>0</v>
      </c>
      <c r="GO155" s="221">
        <f t="shared" ca="1" si="851"/>
        <v>0</v>
      </c>
      <c r="GP155" s="221">
        <f t="shared" ca="1" si="851"/>
        <v>0</v>
      </c>
      <c r="GQ155" s="221">
        <f t="shared" ca="1" si="851"/>
        <v>0</v>
      </c>
      <c r="GR155" s="221">
        <f t="shared" ca="1" si="851"/>
        <v>0</v>
      </c>
      <c r="GS155" s="221">
        <f t="shared" ca="1" si="851"/>
        <v>0</v>
      </c>
      <c r="GT155" s="221">
        <f t="shared" ca="1" si="851"/>
        <v>0</v>
      </c>
      <c r="GU155" s="221">
        <f t="shared" ca="1" si="851"/>
        <v>0</v>
      </c>
      <c r="GV155" s="221">
        <f t="shared" ca="1" si="851"/>
        <v>0</v>
      </c>
      <c r="GW155" s="221">
        <f t="shared" ca="1" si="851"/>
        <v>8304.7251999999989</v>
      </c>
      <c r="GX155" s="221">
        <f t="shared" ca="1" si="851"/>
        <v>12457.087799999998</v>
      </c>
      <c r="GY155" s="221">
        <f t="shared" ca="1" si="851"/>
        <v>12457.087799999998</v>
      </c>
      <c r="GZ155" s="221">
        <f t="shared" ca="1" si="851"/>
        <v>0</v>
      </c>
      <c r="HA155" s="221">
        <f t="shared" ca="1" si="851"/>
        <v>0</v>
      </c>
      <c r="HB155" s="221">
        <f t="shared" ca="1" si="851"/>
        <v>0</v>
      </c>
      <c r="HC155" s="221">
        <f t="shared" ca="1" si="851"/>
        <v>0</v>
      </c>
      <c r="HD155" s="221">
        <f t="shared" ca="1" si="851"/>
        <v>0</v>
      </c>
      <c r="HE155" s="221">
        <f t="shared" ca="1" si="851"/>
        <v>0</v>
      </c>
      <c r="HF155" s="221">
        <f t="shared" ca="1" si="851"/>
        <v>0</v>
      </c>
      <c r="HG155" s="221">
        <f t="shared" ca="1" si="851"/>
        <v>0</v>
      </c>
      <c r="HH155" s="221">
        <f t="shared" ca="1" si="851"/>
        <v>0</v>
      </c>
      <c r="HI155" s="221">
        <f t="shared" ca="1" si="851"/>
        <v>8553.8669559999998</v>
      </c>
      <c r="HJ155" s="221">
        <f t="shared" ca="1" si="851"/>
        <v>12830.800434000001</v>
      </c>
      <c r="HK155" s="221">
        <f t="shared" ca="1" si="851"/>
        <v>12830.800434000001</v>
      </c>
      <c r="HL155" s="221">
        <f t="shared" ca="1" si="851"/>
        <v>0</v>
      </c>
      <c r="HM155" s="221">
        <f t="shared" ca="1" si="851"/>
        <v>0</v>
      </c>
      <c r="HN155" s="221">
        <f t="shared" ca="1" si="851"/>
        <v>0</v>
      </c>
      <c r="HO155" s="221">
        <f t="shared" ref="HO155:JZ155" ca="1" si="852">HO154*HO151</f>
        <v>0</v>
      </c>
      <c r="HP155" s="221">
        <f t="shared" ca="1" si="852"/>
        <v>0</v>
      </c>
      <c r="HQ155" s="221">
        <f t="shared" ca="1" si="852"/>
        <v>0</v>
      </c>
      <c r="HR155" s="221">
        <f t="shared" ca="1" si="852"/>
        <v>0</v>
      </c>
      <c r="HS155" s="221">
        <f t="shared" ca="1" si="852"/>
        <v>0</v>
      </c>
      <c r="HT155" s="221">
        <f t="shared" ca="1" si="852"/>
        <v>0</v>
      </c>
      <c r="HU155" s="221">
        <f t="shared" ca="1" si="852"/>
        <v>8810.482964679999</v>
      </c>
      <c r="HV155" s="221">
        <f t="shared" ca="1" si="852"/>
        <v>13215.724447019998</v>
      </c>
      <c r="HW155" s="221">
        <f t="shared" ca="1" si="852"/>
        <v>13215.724447019998</v>
      </c>
      <c r="HX155" s="221">
        <f t="shared" ca="1" si="852"/>
        <v>0</v>
      </c>
      <c r="HY155" s="221">
        <f t="shared" ca="1" si="852"/>
        <v>0</v>
      </c>
      <c r="HZ155" s="221">
        <f t="shared" ca="1" si="852"/>
        <v>0</v>
      </c>
      <c r="IA155" s="221">
        <f t="shared" ca="1" si="852"/>
        <v>0</v>
      </c>
      <c r="IB155" s="221">
        <f t="shared" ca="1" si="852"/>
        <v>0</v>
      </c>
      <c r="IC155" s="221">
        <f t="shared" ca="1" si="852"/>
        <v>0</v>
      </c>
      <c r="ID155" s="221">
        <f t="shared" ca="1" si="852"/>
        <v>0</v>
      </c>
      <c r="IE155" s="221">
        <f t="shared" ca="1" si="852"/>
        <v>0</v>
      </c>
      <c r="IF155" s="221">
        <f t="shared" ca="1" si="852"/>
        <v>0</v>
      </c>
      <c r="IG155" s="221">
        <f t="shared" ca="1" si="852"/>
        <v>9074.7974536204001</v>
      </c>
      <c r="IH155" s="221">
        <f t="shared" ca="1" si="852"/>
        <v>13612.196180430601</v>
      </c>
      <c r="II155" s="221">
        <f t="shared" ca="1" si="852"/>
        <v>13612.196180430601</v>
      </c>
      <c r="IJ155" s="221">
        <f t="shared" ca="1" si="852"/>
        <v>0</v>
      </c>
      <c r="IK155" s="221">
        <f t="shared" ca="1" si="852"/>
        <v>0</v>
      </c>
      <c r="IL155" s="221">
        <f t="shared" ca="1" si="852"/>
        <v>0</v>
      </c>
      <c r="IM155" s="221">
        <f t="shared" ca="1" si="852"/>
        <v>0</v>
      </c>
      <c r="IN155" s="221">
        <f t="shared" ca="1" si="852"/>
        <v>0</v>
      </c>
      <c r="IO155" s="221">
        <f t="shared" ca="1" si="852"/>
        <v>0</v>
      </c>
      <c r="IP155" s="221">
        <f t="shared" ca="1" si="852"/>
        <v>0</v>
      </c>
      <c r="IQ155" s="221">
        <f t="shared" ca="1" si="852"/>
        <v>0</v>
      </c>
      <c r="IR155" s="221">
        <f t="shared" ca="1" si="852"/>
        <v>0</v>
      </c>
      <c r="IS155" s="221">
        <f t="shared" ca="1" si="852"/>
        <v>9347.0413772290121</v>
      </c>
      <c r="IT155" s="221">
        <f t="shared" ca="1" si="852"/>
        <v>14020.562065843518</v>
      </c>
      <c r="IU155" s="221">
        <f t="shared" ca="1" si="852"/>
        <v>14020.562065843518</v>
      </c>
      <c r="IV155" s="221">
        <f t="shared" ca="1" si="852"/>
        <v>0</v>
      </c>
      <c r="IW155" s="221">
        <f t="shared" ca="1" si="852"/>
        <v>0</v>
      </c>
      <c r="IX155" s="221">
        <f t="shared" ca="1" si="852"/>
        <v>0</v>
      </c>
      <c r="IY155" s="221">
        <f t="shared" ca="1" si="852"/>
        <v>0</v>
      </c>
      <c r="IZ155" s="221">
        <f t="shared" ca="1" si="852"/>
        <v>0</v>
      </c>
      <c r="JA155" s="221">
        <f t="shared" ca="1" si="852"/>
        <v>0</v>
      </c>
      <c r="JB155" s="221">
        <f t="shared" ca="1" si="852"/>
        <v>0</v>
      </c>
      <c r="JC155" s="221">
        <f t="shared" ca="1" si="852"/>
        <v>0</v>
      </c>
      <c r="JD155" s="221">
        <f t="shared" ca="1" si="852"/>
        <v>0</v>
      </c>
      <c r="JE155" s="221">
        <f t="shared" ca="1" si="852"/>
        <v>9627.4526185458799</v>
      </c>
      <c r="JF155" s="221">
        <f t="shared" ca="1" si="852"/>
        <v>14441.178927818819</v>
      </c>
      <c r="JG155" s="221">
        <f t="shared" ca="1" si="852"/>
        <v>14441.178927818819</v>
      </c>
      <c r="JH155" s="221">
        <f t="shared" ca="1" si="852"/>
        <v>0</v>
      </c>
      <c r="JI155" s="221">
        <f t="shared" ca="1" si="852"/>
        <v>0</v>
      </c>
      <c r="JJ155" s="221">
        <f t="shared" ca="1" si="852"/>
        <v>0</v>
      </c>
      <c r="JK155" s="221">
        <f t="shared" ca="1" si="852"/>
        <v>0</v>
      </c>
      <c r="JL155" s="221">
        <f t="shared" ca="1" si="852"/>
        <v>0</v>
      </c>
      <c r="JM155" s="221">
        <f t="shared" ca="1" si="852"/>
        <v>0</v>
      </c>
      <c r="JN155" s="221">
        <f t="shared" ca="1" si="852"/>
        <v>0</v>
      </c>
      <c r="JO155" s="221">
        <f t="shared" ca="1" si="852"/>
        <v>0</v>
      </c>
      <c r="JP155" s="221">
        <f t="shared" ca="1" si="852"/>
        <v>0</v>
      </c>
      <c r="JQ155" s="221">
        <f t="shared" ca="1" si="852"/>
        <v>9916.2761971022574</v>
      </c>
      <c r="JR155" s="221">
        <f t="shared" ca="1" si="852"/>
        <v>14874.414295653387</v>
      </c>
      <c r="JS155" s="221">
        <f t="shared" ca="1" si="852"/>
        <v>14874.414295653387</v>
      </c>
      <c r="JT155" s="221">
        <f t="shared" ca="1" si="852"/>
        <v>0</v>
      </c>
      <c r="JU155" s="221">
        <f t="shared" ca="1" si="852"/>
        <v>0</v>
      </c>
      <c r="JV155" s="221">
        <f t="shared" ca="1" si="852"/>
        <v>0</v>
      </c>
      <c r="JW155" s="221">
        <f t="shared" ca="1" si="852"/>
        <v>0</v>
      </c>
      <c r="JX155" s="221">
        <f t="shared" ca="1" si="852"/>
        <v>0</v>
      </c>
      <c r="JY155" s="221">
        <f t="shared" ca="1" si="852"/>
        <v>0</v>
      </c>
      <c r="JZ155" s="221">
        <f t="shared" ca="1" si="852"/>
        <v>0</v>
      </c>
      <c r="KA155" s="221">
        <f t="shared" ref="KA155:KC155" ca="1" si="853">KA154*KA151</f>
        <v>0</v>
      </c>
      <c r="KB155" s="221">
        <f t="shared" ca="1" si="853"/>
        <v>0</v>
      </c>
      <c r="KC155" s="221">
        <f t="shared" ca="1" si="853"/>
        <v>10213.764483015326</v>
      </c>
    </row>
    <row r="156" spans="2:289" x14ac:dyDescent="0.25">
      <c r="B156" s="180" t="str">
        <f t="shared" si="838"/>
        <v>TOTAL RENTAL INCOME</v>
      </c>
      <c r="C156" s="196"/>
      <c r="D156" s="196"/>
      <c r="E156" s="345"/>
      <c r="F156" s="345"/>
      <c r="G156" s="218">
        <f>SUM(G152:G155)</f>
        <v>364800</v>
      </c>
      <c r="H156" s="218">
        <f ca="1">SUM(H152:H155)</f>
        <v>365598</v>
      </c>
      <c r="I156" s="218">
        <f ca="1">SUM(I152:I155)</f>
        <v>385959.53999999986</v>
      </c>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c r="CX156" s="179"/>
      <c r="CY156" s="179"/>
      <c r="CZ156" s="179"/>
      <c r="DA156" s="179"/>
      <c r="DB156" s="179"/>
      <c r="DC156" s="179"/>
      <c r="DD156" s="179"/>
      <c r="DE156" s="179"/>
      <c r="DF156" s="179"/>
      <c r="DG156" s="179"/>
      <c r="DH156" s="179"/>
      <c r="DI156" s="179"/>
      <c r="DJ156" s="179"/>
      <c r="DK156" s="179"/>
      <c r="DL156" s="179"/>
      <c r="DM156" s="179"/>
      <c r="DN156" s="179"/>
      <c r="DO156" s="179"/>
      <c r="DP156" s="179"/>
      <c r="DQ156" s="179"/>
      <c r="DR156" s="179"/>
      <c r="DS156" s="179"/>
      <c r="DT156" s="179"/>
      <c r="DU156" s="179"/>
      <c r="DV156" s="179"/>
      <c r="DW156" s="179"/>
      <c r="DX156" s="179"/>
      <c r="DY156" s="179"/>
      <c r="DZ156" s="179"/>
      <c r="EA156" s="179"/>
      <c r="EB156" s="179"/>
      <c r="EC156" s="179"/>
      <c r="ED156" s="179"/>
      <c r="EE156" s="179"/>
      <c r="EF156" s="179"/>
      <c r="EG156" s="179"/>
      <c r="EH156" s="179"/>
      <c r="EI156" s="179"/>
      <c r="EJ156" s="179"/>
      <c r="EK156" s="179"/>
      <c r="EL156" s="179"/>
      <c r="EM156" s="179"/>
      <c r="EN156" s="179"/>
      <c r="EO156" s="179"/>
      <c r="EP156" s="179"/>
      <c r="EQ156" s="179"/>
      <c r="ER156" s="179"/>
      <c r="ES156" s="179"/>
      <c r="ET156" s="179"/>
      <c r="EU156" s="153"/>
      <c r="EV156" s="153"/>
      <c r="EW156" s="154" t="s">
        <v>706</v>
      </c>
      <c r="EX156" s="153"/>
      <c r="EY156" s="153"/>
      <c r="EZ156" s="153"/>
      <c r="FA156" s="153"/>
      <c r="FB156" s="221">
        <f ca="1">FB153-FB155</f>
        <v>0</v>
      </c>
      <c r="FC156" s="221">
        <f t="shared" ref="FC156:HN156" ca="1" si="854">FC153-FC155</f>
        <v>0</v>
      </c>
      <c r="FD156" s="221">
        <f t="shared" ca="1" si="854"/>
        <v>0</v>
      </c>
      <c r="FE156" s="221">
        <f t="shared" ca="1" si="854"/>
        <v>0</v>
      </c>
      <c r="FF156" s="221">
        <f t="shared" ca="1" si="854"/>
        <v>0</v>
      </c>
      <c r="FG156" s="221">
        <f t="shared" ca="1" si="854"/>
        <v>0</v>
      </c>
      <c r="FH156" s="221">
        <f t="shared" ca="1" si="854"/>
        <v>0</v>
      </c>
      <c r="FI156" s="221">
        <f t="shared" ca="1" si="854"/>
        <v>0</v>
      </c>
      <c r="FJ156" s="221">
        <f t="shared" ca="1" si="854"/>
        <v>0</v>
      </c>
      <c r="FK156" s="221">
        <f t="shared" ca="1" si="854"/>
        <v>0</v>
      </c>
      <c r="FL156" s="221">
        <f t="shared" ca="1" si="854"/>
        <v>0</v>
      </c>
      <c r="FM156" s="221">
        <f t="shared" ca="1" si="854"/>
        <v>7600</v>
      </c>
      <c r="FN156" s="221">
        <f t="shared" ca="1" si="854"/>
        <v>11400</v>
      </c>
      <c r="FO156" s="221">
        <f t="shared" ca="1" si="854"/>
        <v>11400</v>
      </c>
      <c r="FP156" s="221">
        <f t="shared" ca="1" si="854"/>
        <v>0</v>
      </c>
      <c r="FQ156" s="221">
        <f t="shared" ca="1" si="854"/>
        <v>0</v>
      </c>
      <c r="FR156" s="221">
        <f t="shared" ca="1" si="854"/>
        <v>0</v>
      </c>
      <c r="FS156" s="221">
        <f t="shared" ca="1" si="854"/>
        <v>0</v>
      </c>
      <c r="FT156" s="221">
        <f t="shared" ca="1" si="854"/>
        <v>0</v>
      </c>
      <c r="FU156" s="221">
        <f t="shared" ca="1" si="854"/>
        <v>0</v>
      </c>
      <c r="FV156" s="221">
        <f t="shared" ca="1" si="854"/>
        <v>0</v>
      </c>
      <c r="FW156" s="221">
        <f t="shared" ca="1" si="854"/>
        <v>0</v>
      </c>
      <c r="FX156" s="221">
        <f t="shared" ca="1" si="854"/>
        <v>0</v>
      </c>
      <c r="FY156" s="221">
        <f t="shared" ca="1" si="854"/>
        <v>0</v>
      </c>
      <c r="FZ156" s="221">
        <f t="shared" ca="1" si="854"/>
        <v>0</v>
      </c>
      <c r="GA156" s="221">
        <f t="shared" ca="1" si="854"/>
        <v>0</v>
      </c>
      <c r="GB156" s="221">
        <f t="shared" ca="1" si="854"/>
        <v>0</v>
      </c>
      <c r="GC156" s="221">
        <f t="shared" ca="1" si="854"/>
        <v>0</v>
      </c>
      <c r="GD156" s="221">
        <f t="shared" ca="1" si="854"/>
        <v>0</v>
      </c>
      <c r="GE156" s="221">
        <f t="shared" ca="1" si="854"/>
        <v>0</v>
      </c>
      <c r="GF156" s="221">
        <f t="shared" ca="1" si="854"/>
        <v>0</v>
      </c>
      <c r="GG156" s="221">
        <f t="shared" ca="1" si="854"/>
        <v>0</v>
      </c>
      <c r="GH156" s="221">
        <f t="shared" ca="1" si="854"/>
        <v>0</v>
      </c>
      <c r="GI156" s="221">
        <f t="shared" ca="1" si="854"/>
        <v>0</v>
      </c>
      <c r="GJ156" s="221">
        <f t="shared" ca="1" si="854"/>
        <v>0</v>
      </c>
      <c r="GK156" s="221">
        <f t="shared" ca="1" si="854"/>
        <v>0</v>
      </c>
      <c r="GL156" s="221">
        <f t="shared" ca="1" si="854"/>
        <v>0</v>
      </c>
      <c r="GM156" s="221">
        <f t="shared" ca="1" si="854"/>
        <v>0</v>
      </c>
      <c r="GN156" s="221">
        <f t="shared" ca="1" si="854"/>
        <v>0</v>
      </c>
      <c r="GO156" s="221">
        <f t="shared" ca="1" si="854"/>
        <v>0</v>
      </c>
      <c r="GP156" s="221">
        <f t="shared" ca="1" si="854"/>
        <v>0</v>
      </c>
      <c r="GQ156" s="221">
        <f t="shared" ca="1" si="854"/>
        <v>0</v>
      </c>
      <c r="GR156" s="221">
        <f t="shared" ca="1" si="854"/>
        <v>0</v>
      </c>
      <c r="GS156" s="221">
        <f t="shared" ca="1" si="854"/>
        <v>0</v>
      </c>
      <c r="GT156" s="221">
        <f t="shared" ca="1" si="854"/>
        <v>0</v>
      </c>
      <c r="GU156" s="221">
        <f t="shared" ca="1" si="854"/>
        <v>0</v>
      </c>
      <c r="GV156" s="221">
        <f t="shared" ca="1" si="854"/>
        <v>0</v>
      </c>
      <c r="GW156" s="221">
        <f t="shared" ca="1" si="854"/>
        <v>0</v>
      </c>
      <c r="GX156" s="221">
        <f t="shared" ca="1" si="854"/>
        <v>0</v>
      </c>
      <c r="GY156" s="221">
        <f t="shared" ca="1" si="854"/>
        <v>0</v>
      </c>
      <c r="GZ156" s="221">
        <f t="shared" ca="1" si="854"/>
        <v>0</v>
      </c>
      <c r="HA156" s="221">
        <f t="shared" ca="1" si="854"/>
        <v>0</v>
      </c>
      <c r="HB156" s="221">
        <f t="shared" ca="1" si="854"/>
        <v>0</v>
      </c>
      <c r="HC156" s="221">
        <f t="shared" ca="1" si="854"/>
        <v>0</v>
      </c>
      <c r="HD156" s="221">
        <f t="shared" ca="1" si="854"/>
        <v>0</v>
      </c>
      <c r="HE156" s="221">
        <f t="shared" ca="1" si="854"/>
        <v>0</v>
      </c>
      <c r="HF156" s="221">
        <f t="shared" ca="1" si="854"/>
        <v>0</v>
      </c>
      <c r="HG156" s="221">
        <f t="shared" ca="1" si="854"/>
        <v>0</v>
      </c>
      <c r="HH156" s="221">
        <f t="shared" ca="1" si="854"/>
        <v>0</v>
      </c>
      <c r="HI156" s="221">
        <f t="shared" ca="1" si="854"/>
        <v>0</v>
      </c>
      <c r="HJ156" s="221">
        <f t="shared" ca="1" si="854"/>
        <v>0</v>
      </c>
      <c r="HK156" s="221">
        <f t="shared" ca="1" si="854"/>
        <v>0</v>
      </c>
      <c r="HL156" s="221">
        <f t="shared" ca="1" si="854"/>
        <v>0</v>
      </c>
      <c r="HM156" s="221">
        <f t="shared" ca="1" si="854"/>
        <v>0</v>
      </c>
      <c r="HN156" s="221">
        <f t="shared" ca="1" si="854"/>
        <v>0</v>
      </c>
      <c r="HO156" s="221">
        <f t="shared" ref="HO156:JZ156" ca="1" si="855">HO153-HO155</f>
        <v>0</v>
      </c>
      <c r="HP156" s="221">
        <f t="shared" ca="1" si="855"/>
        <v>0</v>
      </c>
      <c r="HQ156" s="221">
        <f t="shared" ca="1" si="855"/>
        <v>0</v>
      </c>
      <c r="HR156" s="221">
        <f t="shared" ca="1" si="855"/>
        <v>0</v>
      </c>
      <c r="HS156" s="221">
        <f t="shared" ca="1" si="855"/>
        <v>0</v>
      </c>
      <c r="HT156" s="221">
        <f t="shared" ca="1" si="855"/>
        <v>0</v>
      </c>
      <c r="HU156" s="221">
        <f t="shared" ca="1" si="855"/>
        <v>0</v>
      </c>
      <c r="HV156" s="221">
        <f t="shared" ca="1" si="855"/>
        <v>0</v>
      </c>
      <c r="HW156" s="221">
        <f t="shared" ca="1" si="855"/>
        <v>0</v>
      </c>
      <c r="HX156" s="221">
        <f t="shared" ca="1" si="855"/>
        <v>0</v>
      </c>
      <c r="HY156" s="221">
        <f t="shared" ca="1" si="855"/>
        <v>0</v>
      </c>
      <c r="HZ156" s="221">
        <f t="shared" ca="1" si="855"/>
        <v>0</v>
      </c>
      <c r="IA156" s="221">
        <f t="shared" ca="1" si="855"/>
        <v>0</v>
      </c>
      <c r="IB156" s="221">
        <f t="shared" ca="1" si="855"/>
        <v>0</v>
      </c>
      <c r="IC156" s="221">
        <f t="shared" ca="1" si="855"/>
        <v>0</v>
      </c>
      <c r="ID156" s="221">
        <f t="shared" ca="1" si="855"/>
        <v>0</v>
      </c>
      <c r="IE156" s="221">
        <f t="shared" ca="1" si="855"/>
        <v>0</v>
      </c>
      <c r="IF156" s="221">
        <f t="shared" ca="1" si="855"/>
        <v>0</v>
      </c>
      <c r="IG156" s="221">
        <f t="shared" ca="1" si="855"/>
        <v>0</v>
      </c>
      <c r="IH156" s="221">
        <f t="shared" ca="1" si="855"/>
        <v>0</v>
      </c>
      <c r="II156" s="221">
        <f t="shared" ca="1" si="855"/>
        <v>0</v>
      </c>
      <c r="IJ156" s="221">
        <f t="shared" ca="1" si="855"/>
        <v>0</v>
      </c>
      <c r="IK156" s="221">
        <f t="shared" ca="1" si="855"/>
        <v>0</v>
      </c>
      <c r="IL156" s="221">
        <f t="shared" ca="1" si="855"/>
        <v>0</v>
      </c>
      <c r="IM156" s="221">
        <f t="shared" ca="1" si="855"/>
        <v>0</v>
      </c>
      <c r="IN156" s="221">
        <f t="shared" ca="1" si="855"/>
        <v>0</v>
      </c>
      <c r="IO156" s="221">
        <f t="shared" ca="1" si="855"/>
        <v>0</v>
      </c>
      <c r="IP156" s="221">
        <f t="shared" ca="1" si="855"/>
        <v>0</v>
      </c>
      <c r="IQ156" s="221">
        <f t="shared" ca="1" si="855"/>
        <v>0</v>
      </c>
      <c r="IR156" s="221">
        <f t="shared" ca="1" si="855"/>
        <v>0</v>
      </c>
      <c r="IS156" s="221">
        <f t="shared" ca="1" si="855"/>
        <v>0</v>
      </c>
      <c r="IT156" s="221">
        <f t="shared" ca="1" si="855"/>
        <v>0</v>
      </c>
      <c r="IU156" s="221">
        <f t="shared" ca="1" si="855"/>
        <v>0</v>
      </c>
      <c r="IV156" s="221">
        <f t="shared" ca="1" si="855"/>
        <v>0</v>
      </c>
      <c r="IW156" s="221">
        <f t="shared" ca="1" si="855"/>
        <v>0</v>
      </c>
      <c r="IX156" s="221">
        <f t="shared" ca="1" si="855"/>
        <v>0</v>
      </c>
      <c r="IY156" s="221">
        <f t="shared" ca="1" si="855"/>
        <v>0</v>
      </c>
      <c r="IZ156" s="221">
        <f t="shared" ca="1" si="855"/>
        <v>0</v>
      </c>
      <c r="JA156" s="221">
        <f t="shared" ca="1" si="855"/>
        <v>0</v>
      </c>
      <c r="JB156" s="221">
        <f t="shared" ca="1" si="855"/>
        <v>0</v>
      </c>
      <c r="JC156" s="221">
        <f t="shared" ca="1" si="855"/>
        <v>0</v>
      </c>
      <c r="JD156" s="221">
        <f t="shared" ca="1" si="855"/>
        <v>0</v>
      </c>
      <c r="JE156" s="221">
        <f t="shared" ca="1" si="855"/>
        <v>0</v>
      </c>
      <c r="JF156" s="221">
        <f t="shared" ca="1" si="855"/>
        <v>0</v>
      </c>
      <c r="JG156" s="221">
        <f t="shared" ca="1" si="855"/>
        <v>0</v>
      </c>
      <c r="JH156" s="221">
        <f t="shared" ca="1" si="855"/>
        <v>0</v>
      </c>
      <c r="JI156" s="221">
        <f t="shared" ca="1" si="855"/>
        <v>0</v>
      </c>
      <c r="JJ156" s="221">
        <f t="shared" ca="1" si="855"/>
        <v>0</v>
      </c>
      <c r="JK156" s="221">
        <f t="shared" ca="1" si="855"/>
        <v>0</v>
      </c>
      <c r="JL156" s="221">
        <f t="shared" ca="1" si="855"/>
        <v>0</v>
      </c>
      <c r="JM156" s="221">
        <f t="shared" ca="1" si="855"/>
        <v>0</v>
      </c>
      <c r="JN156" s="221">
        <f t="shared" ca="1" si="855"/>
        <v>0</v>
      </c>
      <c r="JO156" s="221">
        <f t="shared" ca="1" si="855"/>
        <v>0</v>
      </c>
      <c r="JP156" s="221">
        <f t="shared" ca="1" si="855"/>
        <v>0</v>
      </c>
      <c r="JQ156" s="221">
        <f t="shared" ca="1" si="855"/>
        <v>0</v>
      </c>
      <c r="JR156" s="221">
        <f t="shared" ca="1" si="855"/>
        <v>0</v>
      </c>
      <c r="JS156" s="221">
        <f t="shared" ca="1" si="855"/>
        <v>0</v>
      </c>
      <c r="JT156" s="221">
        <f t="shared" ca="1" si="855"/>
        <v>0</v>
      </c>
      <c r="JU156" s="221">
        <f t="shared" ca="1" si="855"/>
        <v>0</v>
      </c>
      <c r="JV156" s="221">
        <f t="shared" ca="1" si="855"/>
        <v>0</v>
      </c>
      <c r="JW156" s="221">
        <f t="shared" ca="1" si="855"/>
        <v>0</v>
      </c>
      <c r="JX156" s="221">
        <f t="shared" ca="1" si="855"/>
        <v>0</v>
      </c>
      <c r="JY156" s="221">
        <f t="shared" ca="1" si="855"/>
        <v>0</v>
      </c>
      <c r="JZ156" s="221">
        <f t="shared" ca="1" si="855"/>
        <v>0</v>
      </c>
      <c r="KA156" s="221">
        <f t="shared" ref="KA156:KC156" ca="1" si="856">KA153-KA155</f>
        <v>0</v>
      </c>
      <c r="KB156" s="221">
        <f t="shared" ca="1" si="856"/>
        <v>0</v>
      </c>
      <c r="KC156" s="221">
        <f t="shared" ca="1" si="856"/>
        <v>0</v>
      </c>
    </row>
    <row r="157" spans="2:289" x14ac:dyDescent="0.25">
      <c r="B157" s="180" t="str">
        <f t="shared" si="838"/>
        <v>OTHER INCOME</v>
      </c>
      <c r="C157" s="196"/>
      <c r="D157" s="196"/>
      <c r="E157" s="345"/>
      <c r="F157" s="345"/>
      <c r="G157" s="218"/>
      <c r="H157" s="218"/>
      <c r="I157" s="218"/>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c r="CX157" s="179"/>
      <c r="CY157" s="179"/>
      <c r="CZ157" s="179"/>
      <c r="DA157" s="179"/>
      <c r="DB157" s="179"/>
      <c r="DC157" s="179"/>
      <c r="DD157" s="179"/>
      <c r="DE157" s="179"/>
      <c r="DF157" s="179"/>
      <c r="DG157" s="179"/>
      <c r="DH157" s="179"/>
      <c r="DI157" s="179"/>
      <c r="DJ157" s="179"/>
      <c r="DK157" s="179"/>
      <c r="DL157" s="179"/>
      <c r="DM157" s="179"/>
      <c r="DN157" s="179"/>
      <c r="DO157" s="179"/>
      <c r="DP157" s="179"/>
      <c r="DQ157" s="179"/>
      <c r="DR157" s="179"/>
      <c r="DS157" s="179"/>
      <c r="DT157" s="179"/>
      <c r="DU157" s="179"/>
      <c r="DV157" s="179"/>
      <c r="DW157" s="179"/>
      <c r="DX157" s="179"/>
      <c r="DY157" s="179"/>
      <c r="DZ157" s="179"/>
      <c r="EA157" s="179"/>
      <c r="EB157" s="179"/>
      <c r="EC157" s="179"/>
      <c r="ED157" s="179"/>
      <c r="EE157" s="179"/>
      <c r="EF157" s="179"/>
      <c r="EG157" s="179"/>
      <c r="EH157" s="179"/>
      <c r="EI157" s="179"/>
      <c r="EJ157" s="179"/>
      <c r="EK157" s="179"/>
      <c r="EL157" s="179"/>
      <c r="EM157" s="179"/>
      <c r="EN157" s="179"/>
      <c r="EO157" s="179"/>
      <c r="EP157" s="179"/>
      <c r="EQ157" s="179"/>
      <c r="ER157" s="179"/>
      <c r="ES157" s="179"/>
      <c r="ET157" s="179"/>
      <c r="EU157" s="153"/>
      <c r="EV157" s="153"/>
      <c r="EW157" s="154"/>
      <c r="EX157" s="153"/>
      <c r="EY157" s="153"/>
      <c r="EZ157" s="153"/>
      <c r="FA157" s="153"/>
      <c r="FB157" s="153"/>
      <c r="FC157" s="153"/>
      <c r="FD157" s="153"/>
      <c r="FE157" s="153"/>
      <c r="FF157" s="153"/>
      <c r="FG157" s="153"/>
      <c r="FH157" s="153"/>
      <c r="FI157" s="153"/>
      <c r="FJ157" s="153"/>
      <c r="FK157" s="153"/>
      <c r="FL157" s="153"/>
      <c r="FM157" s="153"/>
      <c r="FN157" s="153"/>
      <c r="FO157" s="153"/>
      <c r="FP157" s="153"/>
      <c r="FQ157" s="153"/>
      <c r="FR157" s="153"/>
      <c r="FS157" s="153"/>
      <c r="FT157" s="153"/>
      <c r="FU157" s="153"/>
      <c r="FV157" s="153"/>
      <c r="FW157" s="153"/>
      <c r="FX157" s="153"/>
      <c r="FY157" s="153"/>
      <c r="FZ157" s="153"/>
      <c r="GA157" s="153"/>
      <c r="GB157" s="153"/>
      <c r="GC157" s="153"/>
      <c r="GD157" s="153"/>
      <c r="GE157" s="153"/>
      <c r="GF157" s="153"/>
      <c r="GG157" s="153"/>
      <c r="GH157" s="153"/>
      <c r="GI157" s="153"/>
      <c r="GJ157" s="153"/>
      <c r="GK157" s="153"/>
      <c r="GL157" s="153"/>
      <c r="GM157" s="153"/>
      <c r="GN157" s="153"/>
      <c r="GO157" s="153"/>
      <c r="GP157" s="153"/>
      <c r="GQ157" s="153"/>
      <c r="GR157" s="153"/>
      <c r="GS157" s="153"/>
      <c r="GT157" s="153"/>
      <c r="GU157" s="153"/>
      <c r="GV157" s="153"/>
      <c r="GW157" s="153"/>
      <c r="GX157" s="153"/>
      <c r="GY157" s="153"/>
      <c r="GZ157" s="153"/>
      <c r="HA157" s="153"/>
      <c r="HB157" s="153"/>
      <c r="HC157" s="153"/>
      <c r="HD157" s="153"/>
      <c r="HE157" s="153"/>
      <c r="HF157" s="153"/>
      <c r="HG157" s="153"/>
      <c r="HH157" s="153"/>
      <c r="HI157" s="153"/>
      <c r="HJ157" s="153"/>
      <c r="HK157" s="153"/>
      <c r="HL157" s="153"/>
      <c r="HM157" s="153"/>
      <c r="HN157" s="153"/>
      <c r="HO157" s="153"/>
      <c r="HP157" s="153"/>
      <c r="HQ157" s="153"/>
      <c r="HR157" s="153"/>
      <c r="HS157" s="153"/>
      <c r="HT157" s="153"/>
      <c r="HU157" s="153"/>
      <c r="HV157" s="153"/>
      <c r="HW157" s="153"/>
      <c r="HX157" s="153"/>
      <c r="HY157" s="153"/>
      <c r="HZ157" s="153"/>
      <c r="IA157" s="153"/>
      <c r="IB157" s="153"/>
      <c r="IC157" s="153"/>
      <c r="ID157" s="153"/>
      <c r="IE157" s="153"/>
      <c r="IF157" s="153"/>
      <c r="IG157" s="153"/>
      <c r="IH157" s="153"/>
      <c r="II157" s="153"/>
      <c r="IJ157" s="153"/>
      <c r="IK157" s="153"/>
      <c r="IL157" s="153"/>
      <c r="IM157" s="153"/>
      <c r="IN157" s="153"/>
      <c r="IO157" s="153"/>
      <c r="IP157" s="153"/>
      <c r="IQ157" s="153"/>
      <c r="IR157" s="153"/>
      <c r="IS157" s="153"/>
      <c r="IT157" s="153"/>
      <c r="IU157" s="153"/>
      <c r="IV157" s="153"/>
      <c r="IW157" s="153"/>
      <c r="IX157" s="153"/>
      <c r="IY157" s="153"/>
      <c r="IZ157" s="153"/>
      <c r="JA157" s="153"/>
      <c r="JB157" s="153"/>
      <c r="JC157" s="153"/>
      <c r="JD157" s="153"/>
      <c r="JE157" s="153"/>
      <c r="JF157" s="153"/>
      <c r="JG157" s="153"/>
      <c r="JH157" s="153"/>
      <c r="JI157" s="153"/>
      <c r="JJ157" s="153"/>
      <c r="JK157" s="153"/>
      <c r="JL157" s="153"/>
      <c r="JM157" s="153"/>
      <c r="JN157" s="153"/>
      <c r="JO157" s="153"/>
      <c r="JP157" s="153"/>
      <c r="JQ157" s="153"/>
      <c r="JR157" s="153"/>
      <c r="JS157" s="153"/>
      <c r="JT157" s="153"/>
      <c r="JU157" s="153"/>
      <c r="JV157" s="153"/>
      <c r="JW157" s="153"/>
      <c r="JX157" s="153"/>
      <c r="JY157" s="153"/>
      <c r="JZ157" s="153"/>
      <c r="KA157" s="153"/>
      <c r="KB157" s="153"/>
      <c r="KC157" s="153"/>
    </row>
    <row r="158" spans="2:289" x14ac:dyDescent="0.25">
      <c r="B158" s="267" t="str">
        <f t="shared" si="838"/>
        <v>RUBS</v>
      </c>
      <c r="C158" s="196"/>
      <c r="D158" s="196"/>
      <c r="E158" s="345"/>
      <c r="F158" s="345"/>
      <c r="G158" s="218">
        <f>I105</f>
        <v>0</v>
      </c>
      <c r="H158" s="218">
        <f ca="1">SUM(OFFSET($Q105,0,Stabilization_1st_Month,1,12))</f>
        <v>0</v>
      </c>
      <c r="I158" s="219">
        <f ca="1">MAX(SUM(OFFSET($Q105,0,Timing_Reversion_Month,1,12)),H158)</f>
        <v>0</v>
      </c>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c r="CX158" s="179"/>
      <c r="CY158" s="179"/>
      <c r="CZ158" s="179"/>
      <c r="DA158" s="179"/>
      <c r="DB158" s="179"/>
      <c r="DC158" s="179"/>
      <c r="DD158" s="179"/>
      <c r="DE158" s="179"/>
      <c r="DF158" s="179"/>
      <c r="DG158" s="179"/>
      <c r="DH158" s="179"/>
      <c r="DI158" s="179"/>
      <c r="DJ158" s="179"/>
      <c r="DK158" s="179"/>
      <c r="DL158" s="179"/>
      <c r="DM158" s="179"/>
      <c r="DN158" s="179"/>
      <c r="DO158" s="179"/>
      <c r="DP158" s="179"/>
      <c r="DQ158" s="179"/>
      <c r="DR158" s="179"/>
      <c r="DS158" s="179"/>
      <c r="DT158" s="179"/>
      <c r="DU158" s="179"/>
      <c r="DV158" s="179"/>
      <c r="DW158" s="179"/>
      <c r="DX158" s="179"/>
      <c r="DY158" s="179"/>
      <c r="DZ158" s="179"/>
      <c r="EA158" s="179"/>
      <c r="EB158" s="179"/>
      <c r="EC158" s="179"/>
      <c r="ED158" s="179"/>
      <c r="EE158" s="179"/>
      <c r="EF158" s="179"/>
      <c r="EG158" s="179"/>
      <c r="EH158" s="179"/>
      <c r="EI158" s="179"/>
      <c r="EJ158" s="179"/>
      <c r="EK158" s="179"/>
      <c r="EL158" s="179"/>
      <c r="EM158" s="179"/>
      <c r="EN158" s="179"/>
      <c r="EO158" s="179"/>
      <c r="EP158" s="179"/>
      <c r="EQ158" s="179"/>
      <c r="ER158" s="179"/>
      <c r="ES158" s="179"/>
      <c r="ET158" s="179"/>
      <c r="EU158" s="153"/>
      <c r="EV158" s="153"/>
      <c r="EW158" s="154" t="s">
        <v>707</v>
      </c>
      <c r="EX158" s="153"/>
      <c r="EY158" s="153"/>
      <c r="EZ158" s="153"/>
      <c r="FA158" s="153"/>
      <c r="FB158" s="221">
        <f t="shared" ref="FB158:GG158" ca="1" si="857">IF(FB3&lt;=$I$93,FA158+FB155+FB156,SUM(OFFSET(FB155,0,0,2,-$I$93)))</f>
        <v>0</v>
      </c>
      <c r="FC158" s="221">
        <f t="shared" ca="1" si="857"/>
        <v>0</v>
      </c>
      <c r="FD158" s="221">
        <f t="shared" ca="1" si="857"/>
        <v>0</v>
      </c>
      <c r="FE158" s="221">
        <f t="shared" ca="1" si="857"/>
        <v>0</v>
      </c>
      <c r="FF158" s="221">
        <f t="shared" ca="1" si="857"/>
        <v>0</v>
      </c>
      <c r="FG158" s="221">
        <f t="shared" ca="1" si="857"/>
        <v>0</v>
      </c>
      <c r="FH158" s="221">
        <f t="shared" ca="1" si="857"/>
        <v>0</v>
      </c>
      <c r="FI158" s="221">
        <f t="shared" ca="1" si="857"/>
        <v>0</v>
      </c>
      <c r="FJ158" s="221">
        <f t="shared" ca="1" si="857"/>
        <v>0</v>
      </c>
      <c r="FK158" s="221">
        <f t="shared" ca="1" si="857"/>
        <v>0</v>
      </c>
      <c r="FL158" s="221">
        <f t="shared" ca="1" si="857"/>
        <v>0</v>
      </c>
      <c r="FM158" s="221">
        <f t="shared" ca="1" si="857"/>
        <v>7600</v>
      </c>
      <c r="FN158" s="221">
        <f t="shared" ca="1" si="857"/>
        <v>19000</v>
      </c>
      <c r="FO158" s="221">
        <f t="shared" ca="1" si="857"/>
        <v>30400</v>
      </c>
      <c r="FP158" s="221">
        <f t="shared" ca="1" si="857"/>
        <v>30400</v>
      </c>
      <c r="FQ158" s="221">
        <f t="shared" ca="1" si="857"/>
        <v>30400</v>
      </c>
      <c r="FR158" s="221">
        <f t="shared" ca="1" si="857"/>
        <v>30400</v>
      </c>
      <c r="FS158" s="221">
        <f t="shared" ca="1" si="857"/>
        <v>30400</v>
      </c>
      <c r="FT158" s="221">
        <f t="shared" ca="1" si="857"/>
        <v>30400</v>
      </c>
      <c r="FU158" s="221">
        <f t="shared" ca="1" si="857"/>
        <v>30400</v>
      </c>
      <c r="FV158" s="221">
        <f t="shared" ca="1" si="857"/>
        <v>30400</v>
      </c>
      <c r="FW158" s="221">
        <f t="shared" ca="1" si="857"/>
        <v>30400</v>
      </c>
      <c r="FX158" s="221">
        <f t="shared" ca="1" si="857"/>
        <v>30400</v>
      </c>
      <c r="FY158" s="221">
        <f t="shared" ca="1" si="857"/>
        <v>30628</v>
      </c>
      <c r="FZ158" s="221">
        <f t="shared" ca="1" si="857"/>
        <v>30970</v>
      </c>
      <c r="GA158" s="221">
        <f t="shared" ca="1" si="857"/>
        <v>31312</v>
      </c>
      <c r="GB158" s="221">
        <f t="shared" ca="1" si="857"/>
        <v>31312</v>
      </c>
      <c r="GC158" s="221">
        <f t="shared" ca="1" si="857"/>
        <v>31312</v>
      </c>
      <c r="GD158" s="221">
        <f t="shared" ca="1" si="857"/>
        <v>31312</v>
      </c>
      <c r="GE158" s="221">
        <f t="shared" ca="1" si="857"/>
        <v>31312</v>
      </c>
      <c r="GF158" s="221">
        <f t="shared" ca="1" si="857"/>
        <v>31312</v>
      </c>
      <c r="GG158" s="221">
        <f t="shared" ca="1" si="857"/>
        <v>31312</v>
      </c>
      <c r="GH158" s="221">
        <f t="shared" ref="GH158:HM158" ca="1" si="858">IF(GH3&lt;=$I$93,GG158+GH155+GH156,SUM(OFFSET(GH155,0,0,2,-$I$93)))</f>
        <v>31312</v>
      </c>
      <c r="GI158" s="221">
        <f t="shared" ca="1" si="858"/>
        <v>31312</v>
      </c>
      <c r="GJ158" s="221">
        <f t="shared" ca="1" si="858"/>
        <v>31312</v>
      </c>
      <c r="GK158" s="221">
        <f t="shared" ca="1" si="858"/>
        <v>31546.84</v>
      </c>
      <c r="GL158" s="221">
        <f t="shared" ca="1" si="858"/>
        <v>31899.1</v>
      </c>
      <c r="GM158" s="221">
        <f t="shared" ca="1" si="858"/>
        <v>32251.360000000001</v>
      </c>
      <c r="GN158" s="221">
        <f t="shared" ca="1" si="858"/>
        <v>32251.360000000001</v>
      </c>
      <c r="GO158" s="221">
        <f t="shared" ca="1" si="858"/>
        <v>32251.360000000001</v>
      </c>
      <c r="GP158" s="221">
        <f t="shared" ca="1" si="858"/>
        <v>32251.360000000001</v>
      </c>
      <c r="GQ158" s="221">
        <f t="shared" ca="1" si="858"/>
        <v>32251.360000000001</v>
      </c>
      <c r="GR158" s="221">
        <f t="shared" ca="1" si="858"/>
        <v>32251.360000000001</v>
      </c>
      <c r="GS158" s="221">
        <f t="shared" ca="1" si="858"/>
        <v>32251.360000000001</v>
      </c>
      <c r="GT158" s="221">
        <f t="shared" ca="1" si="858"/>
        <v>32251.360000000001</v>
      </c>
      <c r="GU158" s="221">
        <f t="shared" ca="1" si="858"/>
        <v>32251.360000000001</v>
      </c>
      <c r="GV158" s="221">
        <f t="shared" ca="1" si="858"/>
        <v>32251.360000000001</v>
      </c>
      <c r="GW158" s="221">
        <f t="shared" ca="1" si="858"/>
        <v>32493.245199999998</v>
      </c>
      <c r="GX158" s="221">
        <f t="shared" ca="1" si="858"/>
        <v>32856.072999999997</v>
      </c>
      <c r="GY158" s="221">
        <f t="shared" ca="1" si="858"/>
        <v>33218.900799999989</v>
      </c>
      <c r="GZ158" s="221">
        <f t="shared" ca="1" si="858"/>
        <v>33218.900799999989</v>
      </c>
      <c r="HA158" s="221">
        <f t="shared" ca="1" si="858"/>
        <v>33218.900799999989</v>
      </c>
      <c r="HB158" s="221">
        <f t="shared" ca="1" si="858"/>
        <v>33218.900799999989</v>
      </c>
      <c r="HC158" s="221">
        <f t="shared" ca="1" si="858"/>
        <v>33218.900799999989</v>
      </c>
      <c r="HD158" s="221">
        <f t="shared" ca="1" si="858"/>
        <v>33218.900799999989</v>
      </c>
      <c r="HE158" s="221">
        <f t="shared" ca="1" si="858"/>
        <v>33218.900799999989</v>
      </c>
      <c r="HF158" s="221">
        <f t="shared" ca="1" si="858"/>
        <v>33218.900799999989</v>
      </c>
      <c r="HG158" s="221">
        <f t="shared" ca="1" si="858"/>
        <v>33218.900799999989</v>
      </c>
      <c r="HH158" s="221">
        <f t="shared" ca="1" si="858"/>
        <v>33218.900799999989</v>
      </c>
      <c r="HI158" s="221">
        <f t="shared" ca="1" si="858"/>
        <v>33468.042555999993</v>
      </c>
      <c r="HJ158" s="221">
        <f t="shared" ca="1" si="858"/>
        <v>33841.755189999996</v>
      </c>
      <c r="HK158" s="221">
        <f t="shared" ca="1" si="858"/>
        <v>34215.467824000007</v>
      </c>
      <c r="HL158" s="221">
        <f t="shared" ca="1" si="858"/>
        <v>34215.467824000007</v>
      </c>
      <c r="HM158" s="221">
        <f t="shared" ca="1" si="858"/>
        <v>34215.467824000007</v>
      </c>
      <c r="HN158" s="221">
        <f t="shared" ref="HN158:IS158" ca="1" si="859">IF(HN3&lt;=$I$93,HM158+HN155+HN156,SUM(OFFSET(HN155,0,0,2,-$I$93)))</f>
        <v>34215.467824000007</v>
      </c>
      <c r="HO158" s="221">
        <f t="shared" ca="1" si="859"/>
        <v>34215.467824000007</v>
      </c>
      <c r="HP158" s="221">
        <f t="shared" ca="1" si="859"/>
        <v>34215.467824000007</v>
      </c>
      <c r="HQ158" s="221">
        <f t="shared" ca="1" si="859"/>
        <v>34215.467824000007</v>
      </c>
      <c r="HR158" s="221">
        <f t="shared" ca="1" si="859"/>
        <v>34215.467824000007</v>
      </c>
      <c r="HS158" s="221">
        <f t="shared" ca="1" si="859"/>
        <v>34215.467824000007</v>
      </c>
      <c r="HT158" s="221">
        <f t="shared" ca="1" si="859"/>
        <v>34215.467824000007</v>
      </c>
      <c r="HU158" s="221">
        <f t="shared" ca="1" si="859"/>
        <v>34472.08383268</v>
      </c>
      <c r="HV158" s="221">
        <f t="shared" ca="1" si="859"/>
        <v>34857.007845699998</v>
      </c>
      <c r="HW158" s="221">
        <f t="shared" ca="1" si="859"/>
        <v>35241.931858719996</v>
      </c>
      <c r="HX158" s="221">
        <f t="shared" ca="1" si="859"/>
        <v>35241.931858719996</v>
      </c>
      <c r="HY158" s="221">
        <f t="shared" ca="1" si="859"/>
        <v>35241.931858719996</v>
      </c>
      <c r="HZ158" s="221">
        <f t="shared" ca="1" si="859"/>
        <v>35241.931858719996</v>
      </c>
      <c r="IA158" s="221">
        <f t="shared" ca="1" si="859"/>
        <v>35241.931858719996</v>
      </c>
      <c r="IB158" s="221">
        <f t="shared" ca="1" si="859"/>
        <v>35241.931858719996</v>
      </c>
      <c r="IC158" s="221">
        <f t="shared" ca="1" si="859"/>
        <v>35241.931858719996</v>
      </c>
      <c r="ID158" s="221">
        <f t="shared" ca="1" si="859"/>
        <v>35241.931858719996</v>
      </c>
      <c r="IE158" s="221">
        <f t="shared" ca="1" si="859"/>
        <v>35241.931858719996</v>
      </c>
      <c r="IF158" s="221">
        <f t="shared" ca="1" si="859"/>
        <v>35241.931858719996</v>
      </c>
      <c r="IG158" s="221">
        <f t="shared" ca="1" si="859"/>
        <v>35506.246347660395</v>
      </c>
      <c r="IH158" s="221">
        <f t="shared" ca="1" si="859"/>
        <v>35902.718081070998</v>
      </c>
      <c r="II158" s="221">
        <f t="shared" ca="1" si="859"/>
        <v>36299.189814481608</v>
      </c>
      <c r="IJ158" s="221">
        <f t="shared" ca="1" si="859"/>
        <v>36299.189814481608</v>
      </c>
      <c r="IK158" s="221">
        <f t="shared" ca="1" si="859"/>
        <v>36299.189814481608</v>
      </c>
      <c r="IL158" s="221">
        <f t="shared" ca="1" si="859"/>
        <v>36299.189814481608</v>
      </c>
      <c r="IM158" s="221">
        <f t="shared" ca="1" si="859"/>
        <v>36299.189814481608</v>
      </c>
      <c r="IN158" s="221">
        <f t="shared" ca="1" si="859"/>
        <v>36299.189814481608</v>
      </c>
      <c r="IO158" s="221">
        <f t="shared" ca="1" si="859"/>
        <v>36299.189814481608</v>
      </c>
      <c r="IP158" s="221">
        <f t="shared" ca="1" si="859"/>
        <v>36299.189814481608</v>
      </c>
      <c r="IQ158" s="221">
        <f t="shared" ca="1" si="859"/>
        <v>36299.189814481608</v>
      </c>
      <c r="IR158" s="221">
        <f t="shared" ca="1" si="859"/>
        <v>36299.189814481608</v>
      </c>
      <c r="IS158" s="221">
        <f t="shared" ca="1" si="859"/>
        <v>36571.433738090214</v>
      </c>
      <c r="IT158" s="221">
        <f t="shared" ref="IT158:KC158" ca="1" si="860">IF(IT3&lt;=$I$93,IS158+IT155+IT156,SUM(OFFSET(IT155,0,0,2,-$I$93)))</f>
        <v>36979.799623503131</v>
      </c>
      <c r="IU158" s="221">
        <f t="shared" ca="1" si="860"/>
        <v>37388.165508916049</v>
      </c>
      <c r="IV158" s="221">
        <f t="shared" ca="1" si="860"/>
        <v>37388.165508916049</v>
      </c>
      <c r="IW158" s="221">
        <f t="shared" ca="1" si="860"/>
        <v>37388.165508916049</v>
      </c>
      <c r="IX158" s="221">
        <f t="shared" ca="1" si="860"/>
        <v>37388.165508916049</v>
      </c>
      <c r="IY158" s="221">
        <f t="shared" ca="1" si="860"/>
        <v>37388.165508916049</v>
      </c>
      <c r="IZ158" s="221">
        <f t="shared" ca="1" si="860"/>
        <v>37388.165508916049</v>
      </c>
      <c r="JA158" s="221">
        <f t="shared" ca="1" si="860"/>
        <v>37388.165508916049</v>
      </c>
      <c r="JB158" s="221">
        <f t="shared" ca="1" si="860"/>
        <v>37388.165508916049</v>
      </c>
      <c r="JC158" s="221">
        <f t="shared" ca="1" si="860"/>
        <v>37388.165508916049</v>
      </c>
      <c r="JD158" s="221">
        <f t="shared" ca="1" si="860"/>
        <v>37388.165508916049</v>
      </c>
      <c r="JE158" s="221">
        <f t="shared" ca="1" si="860"/>
        <v>37668.576750232918</v>
      </c>
      <c r="JF158" s="221">
        <f t="shared" ca="1" si="860"/>
        <v>38089.193612208212</v>
      </c>
      <c r="JG158" s="221">
        <f t="shared" ca="1" si="860"/>
        <v>38509.810474183512</v>
      </c>
      <c r="JH158" s="221">
        <f t="shared" ca="1" si="860"/>
        <v>38509.810474183512</v>
      </c>
      <c r="JI158" s="221">
        <f t="shared" ca="1" si="860"/>
        <v>38509.810474183512</v>
      </c>
      <c r="JJ158" s="221">
        <f t="shared" ca="1" si="860"/>
        <v>38509.810474183512</v>
      </c>
      <c r="JK158" s="221">
        <f t="shared" ca="1" si="860"/>
        <v>38509.810474183512</v>
      </c>
      <c r="JL158" s="221">
        <f t="shared" ca="1" si="860"/>
        <v>38509.810474183512</v>
      </c>
      <c r="JM158" s="221">
        <f t="shared" ca="1" si="860"/>
        <v>38509.810474183512</v>
      </c>
      <c r="JN158" s="221">
        <f t="shared" ca="1" si="860"/>
        <v>38509.810474183512</v>
      </c>
      <c r="JO158" s="221">
        <f t="shared" ca="1" si="860"/>
        <v>38509.810474183512</v>
      </c>
      <c r="JP158" s="221">
        <f t="shared" ca="1" si="860"/>
        <v>38509.810474183512</v>
      </c>
      <c r="JQ158" s="221">
        <f t="shared" ca="1" si="860"/>
        <v>38798.634052739893</v>
      </c>
      <c r="JR158" s="221">
        <f t="shared" ca="1" si="860"/>
        <v>39231.869420574469</v>
      </c>
      <c r="JS158" s="221">
        <f t="shared" ca="1" si="860"/>
        <v>39665.104788409037</v>
      </c>
      <c r="JT158" s="221">
        <f t="shared" ca="1" si="860"/>
        <v>39665.104788409037</v>
      </c>
      <c r="JU158" s="221">
        <f t="shared" ca="1" si="860"/>
        <v>39665.104788409037</v>
      </c>
      <c r="JV158" s="221">
        <f t="shared" ca="1" si="860"/>
        <v>39665.104788409037</v>
      </c>
      <c r="JW158" s="221">
        <f t="shared" ca="1" si="860"/>
        <v>39665.104788409037</v>
      </c>
      <c r="JX158" s="221">
        <f t="shared" ca="1" si="860"/>
        <v>39665.104788409037</v>
      </c>
      <c r="JY158" s="221">
        <f t="shared" ca="1" si="860"/>
        <v>39665.104788409037</v>
      </c>
      <c r="JZ158" s="221">
        <f t="shared" ca="1" si="860"/>
        <v>39665.104788409037</v>
      </c>
      <c r="KA158" s="221">
        <f t="shared" ca="1" si="860"/>
        <v>39665.104788409037</v>
      </c>
      <c r="KB158" s="221">
        <f t="shared" ca="1" si="860"/>
        <v>39665.104788409037</v>
      </c>
      <c r="KC158" s="221">
        <f t="shared" ca="1" si="860"/>
        <v>39962.593074322096</v>
      </c>
    </row>
    <row r="159" spans="2:289" x14ac:dyDescent="0.25">
      <c r="B159" s="267" t="str">
        <f t="shared" si="838"/>
        <v>Other Income</v>
      </c>
      <c r="C159" s="196"/>
      <c r="D159" s="196"/>
      <c r="E159" s="345"/>
      <c r="F159" s="345"/>
      <c r="G159" s="218">
        <f>I106</f>
        <v>0</v>
      </c>
      <c r="H159" s="218">
        <f ca="1">SUM(OFFSET($Q106,0,Stabilization_1st_Month,1,12))</f>
        <v>0</v>
      </c>
      <c r="I159" s="219">
        <f ca="1">MAX(SUM(OFFSET($Q106,0,Timing_Reversion_Month,1,12)),H159)</f>
        <v>0</v>
      </c>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c r="CX159" s="179"/>
      <c r="CY159" s="179"/>
      <c r="CZ159" s="179"/>
      <c r="DA159" s="179"/>
      <c r="DB159" s="179"/>
      <c r="DC159" s="179"/>
      <c r="DD159" s="179"/>
      <c r="DE159" s="179"/>
      <c r="DF159" s="179"/>
      <c r="DG159" s="179"/>
      <c r="DH159" s="179"/>
      <c r="DI159" s="179"/>
      <c r="DJ159" s="179"/>
      <c r="DK159" s="179"/>
      <c r="DL159" s="179"/>
      <c r="DM159" s="179"/>
      <c r="DN159" s="179"/>
      <c r="DO159" s="179"/>
      <c r="DP159" s="179"/>
      <c r="DQ159" s="179"/>
      <c r="DR159" s="179"/>
      <c r="DS159" s="179"/>
      <c r="DT159" s="179"/>
      <c r="DU159" s="179"/>
      <c r="DV159" s="179"/>
      <c r="DW159" s="179"/>
      <c r="DX159" s="179"/>
      <c r="DY159" s="179"/>
      <c r="DZ159" s="179"/>
      <c r="EA159" s="179"/>
      <c r="EB159" s="179"/>
      <c r="EC159" s="179"/>
      <c r="ED159" s="179"/>
      <c r="EE159" s="179"/>
      <c r="EF159" s="179"/>
      <c r="EG159" s="179"/>
      <c r="EH159" s="179"/>
      <c r="EI159" s="179"/>
      <c r="EJ159" s="179"/>
      <c r="EK159" s="179"/>
      <c r="EL159" s="179"/>
      <c r="EM159" s="179"/>
      <c r="EN159" s="179"/>
      <c r="EO159" s="179"/>
      <c r="EP159" s="179"/>
      <c r="EQ159" s="179"/>
      <c r="ER159" s="179"/>
      <c r="ES159" s="179"/>
      <c r="ET159" s="179"/>
      <c r="EU159" s="153"/>
      <c r="EV159" s="153"/>
      <c r="EW159" s="154" t="s">
        <v>708</v>
      </c>
      <c r="EX159" s="153"/>
      <c r="EY159" s="153"/>
      <c r="EZ159" s="153"/>
      <c r="FA159" s="153"/>
      <c r="FB159" s="221">
        <f ca="1">FB151-FB158</f>
        <v>0</v>
      </c>
      <c r="FC159" s="221">
        <f t="shared" ref="FC159:HN160" ca="1" si="861">FC151-FC158</f>
        <v>0</v>
      </c>
      <c r="FD159" s="221">
        <f t="shared" ca="1" si="861"/>
        <v>0</v>
      </c>
      <c r="FE159" s="221">
        <f t="shared" ca="1" si="861"/>
        <v>0</v>
      </c>
      <c r="FF159" s="221">
        <f t="shared" ca="1" si="861"/>
        <v>0</v>
      </c>
      <c r="FG159" s="221">
        <f t="shared" ca="1" si="861"/>
        <v>0</v>
      </c>
      <c r="FH159" s="221">
        <f t="shared" ca="1" si="861"/>
        <v>0</v>
      </c>
      <c r="FI159" s="221">
        <f t="shared" ca="1" si="861"/>
        <v>0</v>
      </c>
      <c r="FJ159" s="221">
        <f t="shared" ca="1" si="861"/>
        <v>0</v>
      </c>
      <c r="FK159" s="221">
        <f t="shared" ca="1" si="861"/>
        <v>0</v>
      </c>
      <c r="FL159" s="221">
        <f t="shared" ca="1" si="861"/>
        <v>0</v>
      </c>
      <c r="FM159" s="221">
        <f t="shared" ca="1" si="861"/>
        <v>22800</v>
      </c>
      <c r="FN159" s="221">
        <f t="shared" ca="1" si="861"/>
        <v>11400</v>
      </c>
      <c r="FO159" s="221">
        <f t="shared" ca="1" si="861"/>
        <v>0</v>
      </c>
      <c r="FP159" s="221">
        <f t="shared" ca="1" si="861"/>
        <v>0</v>
      </c>
      <c r="FQ159" s="221">
        <f t="shared" ca="1" si="861"/>
        <v>0</v>
      </c>
      <c r="FR159" s="221">
        <f t="shared" ca="1" si="861"/>
        <v>0</v>
      </c>
      <c r="FS159" s="221">
        <f t="shared" ca="1" si="861"/>
        <v>0</v>
      </c>
      <c r="FT159" s="221">
        <f t="shared" ca="1" si="861"/>
        <v>0</v>
      </c>
      <c r="FU159" s="221">
        <f t="shared" ca="1" si="861"/>
        <v>0</v>
      </c>
      <c r="FV159" s="221">
        <f t="shared" ca="1" si="861"/>
        <v>0</v>
      </c>
      <c r="FW159" s="221">
        <f t="shared" ca="1" si="861"/>
        <v>0</v>
      </c>
      <c r="FX159" s="221">
        <f t="shared" ca="1" si="861"/>
        <v>0</v>
      </c>
      <c r="FY159" s="221">
        <f t="shared" ca="1" si="861"/>
        <v>684</v>
      </c>
      <c r="FZ159" s="221">
        <f t="shared" ca="1" si="861"/>
        <v>342</v>
      </c>
      <c r="GA159" s="221">
        <f t="shared" ca="1" si="861"/>
        <v>0</v>
      </c>
      <c r="GB159" s="221">
        <f t="shared" ca="1" si="861"/>
        <v>0</v>
      </c>
      <c r="GC159" s="221">
        <f t="shared" ca="1" si="861"/>
        <v>0</v>
      </c>
      <c r="GD159" s="221">
        <f t="shared" ca="1" si="861"/>
        <v>0</v>
      </c>
      <c r="GE159" s="221">
        <f t="shared" ca="1" si="861"/>
        <v>0</v>
      </c>
      <c r="GF159" s="221">
        <f t="shared" ca="1" si="861"/>
        <v>0</v>
      </c>
      <c r="GG159" s="221">
        <f t="shared" ca="1" si="861"/>
        <v>0</v>
      </c>
      <c r="GH159" s="221">
        <f t="shared" ca="1" si="861"/>
        <v>0</v>
      </c>
      <c r="GI159" s="221">
        <f t="shared" ca="1" si="861"/>
        <v>0</v>
      </c>
      <c r="GJ159" s="221">
        <f t="shared" ca="1" si="861"/>
        <v>0</v>
      </c>
      <c r="GK159" s="221">
        <f t="shared" ca="1" si="861"/>
        <v>704.52000000000044</v>
      </c>
      <c r="GL159" s="221">
        <f t="shared" ca="1" si="861"/>
        <v>352.26000000000204</v>
      </c>
      <c r="GM159" s="221">
        <f t="shared" ca="1" si="861"/>
        <v>0</v>
      </c>
      <c r="GN159" s="221">
        <f t="shared" ca="1" si="861"/>
        <v>0</v>
      </c>
      <c r="GO159" s="221">
        <f t="shared" ca="1" si="861"/>
        <v>0</v>
      </c>
      <c r="GP159" s="221">
        <f t="shared" ca="1" si="861"/>
        <v>0</v>
      </c>
      <c r="GQ159" s="221">
        <f t="shared" ca="1" si="861"/>
        <v>0</v>
      </c>
      <c r="GR159" s="221">
        <f t="shared" ca="1" si="861"/>
        <v>0</v>
      </c>
      <c r="GS159" s="221">
        <f t="shared" ca="1" si="861"/>
        <v>0</v>
      </c>
      <c r="GT159" s="221">
        <f t="shared" ca="1" si="861"/>
        <v>0</v>
      </c>
      <c r="GU159" s="221">
        <f t="shared" ca="1" si="861"/>
        <v>0</v>
      </c>
      <c r="GV159" s="221">
        <f t="shared" ca="1" si="861"/>
        <v>0</v>
      </c>
      <c r="GW159" s="221">
        <f t="shared" ca="1" si="861"/>
        <v>725.65559999999823</v>
      </c>
      <c r="GX159" s="221">
        <f t="shared" ca="1" si="861"/>
        <v>362.82779999999912</v>
      </c>
      <c r="GY159" s="221">
        <f t="shared" ca="1" si="861"/>
        <v>0</v>
      </c>
      <c r="GZ159" s="221">
        <f t="shared" ca="1" si="861"/>
        <v>0</v>
      </c>
      <c r="HA159" s="221">
        <f t="shared" ca="1" si="861"/>
        <v>0</v>
      </c>
      <c r="HB159" s="221">
        <f t="shared" ca="1" si="861"/>
        <v>0</v>
      </c>
      <c r="HC159" s="221">
        <f t="shared" ca="1" si="861"/>
        <v>0</v>
      </c>
      <c r="HD159" s="221">
        <f t="shared" ca="1" si="861"/>
        <v>0</v>
      </c>
      <c r="HE159" s="221">
        <f t="shared" ca="1" si="861"/>
        <v>0</v>
      </c>
      <c r="HF159" s="221">
        <f t="shared" ca="1" si="861"/>
        <v>0</v>
      </c>
      <c r="HG159" s="221">
        <f t="shared" ca="1" si="861"/>
        <v>0</v>
      </c>
      <c r="HH159" s="221">
        <f t="shared" ca="1" si="861"/>
        <v>0</v>
      </c>
      <c r="HI159" s="221">
        <f t="shared" ca="1" si="861"/>
        <v>747.42526800000633</v>
      </c>
      <c r="HJ159" s="221">
        <f t="shared" ca="1" si="861"/>
        <v>373.71263400000316</v>
      </c>
      <c r="HK159" s="221">
        <f t="shared" ca="1" si="861"/>
        <v>0</v>
      </c>
      <c r="HL159" s="221">
        <f t="shared" ca="1" si="861"/>
        <v>0</v>
      </c>
      <c r="HM159" s="221">
        <f t="shared" ca="1" si="861"/>
        <v>0</v>
      </c>
      <c r="HN159" s="221">
        <f t="shared" ca="1" si="861"/>
        <v>0</v>
      </c>
      <c r="HO159" s="221">
        <f t="shared" ref="HO159:JZ160" ca="1" si="862">HO151-HO158</f>
        <v>0</v>
      </c>
      <c r="HP159" s="221">
        <f t="shared" ca="1" si="862"/>
        <v>0</v>
      </c>
      <c r="HQ159" s="221">
        <f t="shared" ca="1" si="862"/>
        <v>0</v>
      </c>
      <c r="HR159" s="221">
        <f t="shared" ca="1" si="862"/>
        <v>0</v>
      </c>
      <c r="HS159" s="221">
        <f t="shared" ca="1" si="862"/>
        <v>0</v>
      </c>
      <c r="HT159" s="221">
        <f t="shared" ca="1" si="862"/>
        <v>0</v>
      </c>
      <c r="HU159" s="221">
        <f t="shared" ca="1" si="862"/>
        <v>769.8480260399956</v>
      </c>
      <c r="HV159" s="221">
        <f t="shared" ca="1" si="862"/>
        <v>384.9240130199978</v>
      </c>
      <c r="HW159" s="221">
        <f t="shared" ca="1" si="862"/>
        <v>0</v>
      </c>
      <c r="HX159" s="221">
        <f t="shared" ca="1" si="862"/>
        <v>0</v>
      </c>
      <c r="HY159" s="221">
        <f t="shared" ca="1" si="862"/>
        <v>0</v>
      </c>
      <c r="HZ159" s="221">
        <f t="shared" ca="1" si="862"/>
        <v>0</v>
      </c>
      <c r="IA159" s="221">
        <f t="shared" ca="1" si="862"/>
        <v>0</v>
      </c>
      <c r="IB159" s="221">
        <f t="shared" ca="1" si="862"/>
        <v>0</v>
      </c>
      <c r="IC159" s="221">
        <f t="shared" ca="1" si="862"/>
        <v>0</v>
      </c>
      <c r="ID159" s="221">
        <f t="shared" ca="1" si="862"/>
        <v>0</v>
      </c>
      <c r="IE159" s="221">
        <f t="shared" ca="1" si="862"/>
        <v>0</v>
      </c>
      <c r="IF159" s="221">
        <f t="shared" ca="1" si="862"/>
        <v>0</v>
      </c>
      <c r="IG159" s="221">
        <f t="shared" ca="1" si="862"/>
        <v>792.94346682120522</v>
      </c>
      <c r="IH159" s="221">
        <f t="shared" ca="1" si="862"/>
        <v>396.47173341060261</v>
      </c>
      <c r="II159" s="221">
        <f t="shared" ca="1" si="862"/>
        <v>0</v>
      </c>
      <c r="IJ159" s="221">
        <f t="shared" ca="1" si="862"/>
        <v>0</v>
      </c>
      <c r="IK159" s="221">
        <f t="shared" ca="1" si="862"/>
        <v>0</v>
      </c>
      <c r="IL159" s="221">
        <f t="shared" ca="1" si="862"/>
        <v>0</v>
      </c>
      <c r="IM159" s="221">
        <f t="shared" ca="1" si="862"/>
        <v>0</v>
      </c>
      <c r="IN159" s="221">
        <f t="shared" ca="1" si="862"/>
        <v>0</v>
      </c>
      <c r="IO159" s="221">
        <f t="shared" ca="1" si="862"/>
        <v>0</v>
      </c>
      <c r="IP159" s="221">
        <f t="shared" ca="1" si="862"/>
        <v>0</v>
      </c>
      <c r="IQ159" s="221">
        <f t="shared" ca="1" si="862"/>
        <v>0</v>
      </c>
      <c r="IR159" s="221">
        <f t="shared" ca="1" si="862"/>
        <v>0</v>
      </c>
      <c r="IS159" s="221">
        <f t="shared" ca="1" si="862"/>
        <v>816.73177082583425</v>
      </c>
      <c r="IT159" s="221">
        <f t="shared" ca="1" si="862"/>
        <v>408.36588541291712</v>
      </c>
      <c r="IU159" s="221">
        <f t="shared" ca="1" si="862"/>
        <v>0</v>
      </c>
      <c r="IV159" s="221">
        <f t="shared" ca="1" si="862"/>
        <v>0</v>
      </c>
      <c r="IW159" s="221">
        <f t="shared" ca="1" si="862"/>
        <v>0</v>
      </c>
      <c r="IX159" s="221">
        <f t="shared" ca="1" si="862"/>
        <v>0</v>
      </c>
      <c r="IY159" s="221">
        <f t="shared" ca="1" si="862"/>
        <v>0</v>
      </c>
      <c r="IZ159" s="221">
        <f t="shared" ca="1" si="862"/>
        <v>0</v>
      </c>
      <c r="JA159" s="221">
        <f t="shared" ca="1" si="862"/>
        <v>0</v>
      </c>
      <c r="JB159" s="221">
        <f t="shared" ca="1" si="862"/>
        <v>0</v>
      </c>
      <c r="JC159" s="221">
        <f t="shared" ca="1" si="862"/>
        <v>0</v>
      </c>
      <c r="JD159" s="221">
        <f t="shared" ca="1" si="862"/>
        <v>0</v>
      </c>
      <c r="JE159" s="221">
        <f t="shared" ca="1" si="862"/>
        <v>841.23372395060142</v>
      </c>
      <c r="JF159" s="221">
        <f t="shared" ca="1" si="862"/>
        <v>420.61686197530798</v>
      </c>
      <c r="JG159" s="221">
        <f t="shared" ca="1" si="862"/>
        <v>0</v>
      </c>
      <c r="JH159" s="221">
        <f t="shared" ca="1" si="862"/>
        <v>0</v>
      </c>
      <c r="JI159" s="221">
        <f t="shared" ca="1" si="862"/>
        <v>0</v>
      </c>
      <c r="JJ159" s="221">
        <f t="shared" ca="1" si="862"/>
        <v>0</v>
      </c>
      <c r="JK159" s="221">
        <f t="shared" ca="1" si="862"/>
        <v>0</v>
      </c>
      <c r="JL159" s="221">
        <f t="shared" ca="1" si="862"/>
        <v>0</v>
      </c>
      <c r="JM159" s="221">
        <f t="shared" ca="1" si="862"/>
        <v>0</v>
      </c>
      <c r="JN159" s="221">
        <f t="shared" ca="1" si="862"/>
        <v>0</v>
      </c>
      <c r="JO159" s="221">
        <f t="shared" ca="1" si="862"/>
        <v>0</v>
      </c>
      <c r="JP159" s="221">
        <f t="shared" ca="1" si="862"/>
        <v>0</v>
      </c>
      <c r="JQ159" s="221">
        <f t="shared" ca="1" si="862"/>
        <v>866.47073566913605</v>
      </c>
      <c r="JR159" s="221">
        <f t="shared" ca="1" si="862"/>
        <v>433.23536783456075</v>
      </c>
      <c r="JS159" s="221">
        <f t="shared" ca="1" si="862"/>
        <v>0</v>
      </c>
      <c r="JT159" s="221">
        <f t="shared" ca="1" si="862"/>
        <v>0</v>
      </c>
      <c r="JU159" s="221">
        <f t="shared" ca="1" si="862"/>
        <v>0</v>
      </c>
      <c r="JV159" s="221">
        <f t="shared" ca="1" si="862"/>
        <v>0</v>
      </c>
      <c r="JW159" s="221">
        <f t="shared" ca="1" si="862"/>
        <v>0</v>
      </c>
      <c r="JX159" s="221">
        <f t="shared" ca="1" si="862"/>
        <v>0</v>
      </c>
      <c r="JY159" s="221">
        <f t="shared" ca="1" si="862"/>
        <v>0</v>
      </c>
      <c r="JZ159" s="221">
        <f t="shared" ca="1" si="862"/>
        <v>0</v>
      </c>
      <c r="KA159" s="221">
        <f t="shared" ref="KA159:KC160" ca="1" si="863">KA151-KA158</f>
        <v>0</v>
      </c>
      <c r="KB159" s="221">
        <f t="shared" ca="1" si="863"/>
        <v>0</v>
      </c>
      <c r="KC159" s="221">
        <f t="shared" ca="1" si="863"/>
        <v>892.46485773920722</v>
      </c>
    </row>
    <row r="160" spans="2:289" ht="16.5" x14ac:dyDescent="0.35">
      <c r="B160" s="267" t="str">
        <f t="shared" si="838"/>
        <v>[Other Income Item]</v>
      </c>
      <c r="C160" s="196"/>
      <c r="D160" s="196"/>
      <c r="E160" s="345"/>
      <c r="F160" s="345"/>
      <c r="G160" s="341">
        <f>I107</f>
        <v>0</v>
      </c>
      <c r="H160" s="341">
        <f ca="1">SUM(OFFSET($Q107,0,Stabilization_1st_Month,1,12))</f>
        <v>0</v>
      </c>
      <c r="I160" s="225">
        <f ca="1">MAX(SUM(OFFSET($Q107,0,Timing_Reversion_Month,1,12)),H160)</f>
        <v>0</v>
      </c>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c r="CX160" s="179"/>
      <c r="CY160" s="179"/>
      <c r="CZ160" s="179"/>
      <c r="DA160" s="179"/>
      <c r="DB160" s="179"/>
      <c r="DC160" s="179"/>
      <c r="DD160" s="179"/>
      <c r="DE160" s="179"/>
      <c r="DF160" s="179"/>
      <c r="DG160" s="179"/>
      <c r="DH160" s="179"/>
      <c r="DI160" s="179"/>
      <c r="DJ160" s="179"/>
      <c r="DK160" s="179"/>
      <c r="DL160" s="179"/>
      <c r="DM160" s="179"/>
      <c r="DN160" s="179"/>
      <c r="DO160" s="179"/>
      <c r="DP160" s="179"/>
      <c r="DQ160" s="179"/>
      <c r="DR160" s="179"/>
      <c r="DS160" s="179"/>
      <c r="DT160" s="179"/>
      <c r="DU160" s="179"/>
      <c r="DV160" s="179"/>
      <c r="DW160" s="179"/>
      <c r="DX160" s="179"/>
      <c r="DY160" s="179"/>
      <c r="DZ160" s="179"/>
      <c r="EA160" s="179"/>
      <c r="EB160" s="179"/>
      <c r="EC160" s="179"/>
      <c r="ED160" s="179"/>
      <c r="EE160" s="179"/>
      <c r="EF160" s="179"/>
      <c r="EG160" s="179"/>
      <c r="EH160" s="179"/>
      <c r="EI160" s="179"/>
      <c r="EJ160" s="179"/>
      <c r="EK160" s="179"/>
      <c r="EL160" s="179"/>
      <c r="EM160" s="179"/>
      <c r="EN160" s="179"/>
      <c r="EO160" s="179"/>
      <c r="EP160" s="179"/>
      <c r="EQ160" s="179"/>
      <c r="ER160" s="179"/>
      <c r="ES160" s="179"/>
      <c r="ET160" s="179"/>
      <c r="EU160" s="153"/>
      <c r="EV160" s="153"/>
      <c r="EW160" s="153" t="s">
        <v>708</v>
      </c>
      <c r="EX160" s="153"/>
      <c r="EY160" s="153"/>
      <c r="EZ160" s="154"/>
      <c r="FA160" s="153"/>
      <c r="FB160" s="153">
        <f ca="1">FB152-FB159</f>
        <v>0</v>
      </c>
      <c r="FC160" s="153">
        <f t="shared" ca="1" si="861"/>
        <v>0</v>
      </c>
      <c r="FD160" s="153">
        <f t="shared" ca="1" si="861"/>
        <v>0</v>
      </c>
      <c r="FE160" s="153">
        <f t="shared" ca="1" si="861"/>
        <v>0</v>
      </c>
      <c r="FF160" s="153">
        <f t="shared" ca="1" si="861"/>
        <v>0</v>
      </c>
      <c r="FG160" s="153">
        <f t="shared" ca="1" si="861"/>
        <v>0</v>
      </c>
      <c r="FH160" s="153">
        <f t="shared" ca="1" si="861"/>
        <v>0</v>
      </c>
      <c r="FI160" s="153">
        <f t="shared" ca="1" si="861"/>
        <v>0</v>
      </c>
      <c r="FJ160" s="153">
        <f t="shared" ca="1" si="861"/>
        <v>0</v>
      </c>
      <c r="FK160" s="153">
        <f t="shared" ca="1" si="861"/>
        <v>0</v>
      </c>
      <c r="FL160" s="153">
        <f t="shared" ca="1" si="861"/>
        <v>0</v>
      </c>
      <c r="FM160" s="153">
        <f t="shared" ca="1" si="861"/>
        <v>-22799.75</v>
      </c>
      <c r="FN160" s="153">
        <f t="shared" ca="1" si="861"/>
        <v>-11399.625</v>
      </c>
      <c r="FO160" s="153">
        <f t="shared" ca="1" si="861"/>
        <v>0.375</v>
      </c>
      <c r="FP160" s="153">
        <f t="shared" ca="1" si="861"/>
        <v>0</v>
      </c>
      <c r="FQ160" s="153">
        <f t="shared" ca="1" si="861"/>
        <v>0</v>
      </c>
      <c r="FR160" s="153">
        <f t="shared" ca="1" si="861"/>
        <v>0</v>
      </c>
      <c r="FS160" s="153">
        <f t="shared" ca="1" si="861"/>
        <v>0</v>
      </c>
      <c r="FT160" s="153">
        <f t="shared" ca="1" si="861"/>
        <v>0</v>
      </c>
      <c r="FU160" s="153">
        <f t="shared" ca="1" si="861"/>
        <v>0</v>
      </c>
      <c r="FV160" s="153">
        <f t="shared" ca="1" si="861"/>
        <v>0</v>
      </c>
      <c r="FW160" s="153">
        <f t="shared" ca="1" si="861"/>
        <v>0</v>
      </c>
      <c r="FX160" s="153">
        <f t="shared" ca="1" si="861"/>
        <v>0</v>
      </c>
      <c r="FY160" s="153">
        <f t="shared" ca="1" si="861"/>
        <v>-683.75</v>
      </c>
      <c r="FZ160" s="153">
        <f t="shared" ca="1" si="861"/>
        <v>-341.625</v>
      </c>
      <c r="GA160" s="153">
        <f t="shared" ca="1" si="861"/>
        <v>0.375</v>
      </c>
      <c r="GB160" s="153">
        <f t="shared" ca="1" si="861"/>
        <v>0</v>
      </c>
      <c r="GC160" s="153">
        <f t="shared" ca="1" si="861"/>
        <v>0</v>
      </c>
      <c r="GD160" s="153">
        <f t="shared" ca="1" si="861"/>
        <v>0</v>
      </c>
      <c r="GE160" s="153">
        <f t="shared" ca="1" si="861"/>
        <v>0</v>
      </c>
      <c r="GF160" s="153">
        <f t="shared" ca="1" si="861"/>
        <v>0</v>
      </c>
      <c r="GG160" s="153">
        <f t="shared" ca="1" si="861"/>
        <v>0</v>
      </c>
      <c r="GH160" s="153">
        <f t="shared" ca="1" si="861"/>
        <v>0</v>
      </c>
      <c r="GI160" s="153">
        <f t="shared" ca="1" si="861"/>
        <v>0</v>
      </c>
      <c r="GJ160" s="153">
        <f t="shared" ca="1" si="861"/>
        <v>0</v>
      </c>
      <c r="GK160" s="153">
        <f t="shared" ca="1" si="861"/>
        <v>-704.27000000000044</v>
      </c>
      <c r="GL160" s="153">
        <f t="shared" ca="1" si="861"/>
        <v>-351.88500000000204</v>
      </c>
      <c r="GM160" s="153">
        <f t="shared" ca="1" si="861"/>
        <v>0.375</v>
      </c>
      <c r="GN160" s="153">
        <f t="shared" ca="1" si="861"/>
        <v>0</v>
      </c>
      <c r="GO160" s="153">
        <f t="shared" ca="1" si="861"/>
        <v>0</v>
      </c>
      <c r="GP160" s="153">
        <f t="shared" ca="1" si="861"/>
        <v>0</v>
      </c>
      <c r="GQ160" s="153">
        <f t="shared" ca="1" si="861"/>
        <v>0</v>
      </c>
      <c r="GR160" s="153">
        <f t="shared" ca="1" si="861"/>
        <v>0</v>
      </c>
      <c r="GS160" s="153">
        <f t="shared" ca="1" si="861"/>
        <v>0</v>
      </c>
      <c r="GT160" s="153">
        <f t="shared" ca="1" si="861"/>
        <v>0</v>
      </c>
      <c r="GU160" s="153">
        <f t="shared" ca="1" si="861"/>
        <v>0</v>
      </c>
      <c r="GV160" s="153">
        <f t="shared" ca="1" si="861"/>
        <v>0</v>
      </c>
      <c r="GW160" s="153">
        <f t="shared" ca="1" si="861"/>
        <v>-725.40559999999823</v>
      </c>
      <c r="GX160" s="153">
        <f t="shared" ca="1" si="861"/>
        <v>-362.45279999999912</v>
      </c>
      <c r="GY160" s="153">
        <f t="shared" ca="1" si="861"/>
        <v>0.375</v>
      </c>
      <c r="GZ160" s="153">
        <f t="shared" ca="1" si="861"/>
        <v>0</v>
      </c>
      <c r="HA160" s="153">
        <f t="shared" ca="1" si="861"/>
        <v>0</v>
      </c>
      <c r="HB160" s="153">
        <f t="shared" ca="1" si="861"/>
        <v>0</v>
      </c>
      <c r="HC160" s="153">
        <f t="shared" ca="1" si="861"/>
        <v>0</v>
      </c>
      <c r="HD160" s="153">
        <f t="shared" ca="1" si="861"/>
        <v>0</v>
      </c>
      <c r="HE160" s="153">
        <f t="shared" ca="1" si="861"/>
        <v>0</v>
      </c>
      <c r="HF160" s="153">
        <f t="shared" ca="1" si="861"/>
        <v>0</v>
      </c>
      <c r="HG160" s="153">
        <f t="shared" ca="1" si="861"/>
        <v>0</v>
      </c>
      <c r="HH160" s="153">
        <f t="shared" ca="1" si="861"/>
        <v>0</v>
      </c>
      <c r="HI160" s="153">
        <f t="shared" ca="1" si="861"/>
        <v>-747.17526800000633</v>
      </c>
      <c r="HJ160" s="153">
        <f t="shared" ca="1" si="861"/>
        <v>-373.33763400000316</v>
      </c>
      <c r="HK160" s="153">
        <f t="shared" ca="1" si="861"/>
        <v>0.375</v>
      </c>
      <c r="HL160" s="153">
        <f t="shared" ca="1" si="861"/>
        <v>0</v>
      </c>
      <c r="HM160" s="153">
        <f t="shared" ca="1" si="861"/>
        <v>0</v>
      </c>
      <c r="HN160" s="153">
        <f t="shared" ca="1" si="861"/>
        <v>0</v>
      </c>
      <c r="HO160" s="153">
        <f t="shared" ca="1" si="862"/>
        <v>0</v>
      </c>
      <c r="HP160" s="153">
        <f t="shared" ca="1" si="862"/>
        <v>0</v>
      </c>
      <c r="HQ160" s="153">
        <f t="shared" ca="1" si="862"/>
        <v>0</v>
      </c>
      <c r="HR160" s="153">
        <f t="shared" ca="1" si="862"/>
        <v>0</v>
      </c>
      <c r="HS160" s="153">
        <f t="shared" ca="1" si="862"/>
        <v>0</v>
      </c>
      <c r="HT160" s="153">
        <f t="shared" ca="1" si="862"/>
        <v>0</v>
      </c>
      <c r="HU160" s="153">
        <f t="shared" ca="1" si="862"/>
        <v>-769.5980260399956</v>
      </c>
      <c r="HV160" s="153">
        <f t="shared" ca="1" si="862"/>
        <v>-384.5490130199978</v>
      </c>
      <c r="HW160" s="153">
        <f t="shared" ca="1" si="862"/>
        <v>0.375</v>
      </c>
      <c r="HX160" s="153">
        <f t="shared" ca="1" si="862"/>
        <v>0</v>
      </c>
      <c r="HY160" s="153">
        <f t="shared" ca="1" si="862"/>
        <v>0</v>
      </c>
      <c r="HZ160" s="153">
        <f t="shared" ca="1" si="862"/>
        <v>0</v>
      </c>
      <c r="IA160" s="153">
        <f t="shared" ca="1" si="862"/>
        <v>0</v>
      </c>
      <c r="IB160" s="153">
        <f t="shared" ca="1" si="862"/>
        <v>0</v>
      </c>
      <c r="IC160" s="153">
        <f t="shared" ca="1" si="862"/>
        <v>0</v>
      </c>
      <c r="ID160" s="153">
        <f t="shared" ca="1" si="862"/>
        <v>0</v>
      </c>
      <c r="IE160" s="153">
        <f t="shared" ca="1" si="862"/>
        <v>0</v>
      </c>
      <c r="IF160" s="153">
        <f t="shared" ca="1" si="862"/>
        <v>0</v>
      </c>
      <c r="IG160" s="153">
        <f t="shared" ca="1" si="862"/>
        <v>-792.69346682120522</v>
      </c>
      <c r="IH160" s="153">
        <f t="shared" ca="1" si="862"/>
        <v>-396.09673341060261</v>
      </c>
      <c r="II160" s="153">
        <f t="shared" ca="1" si="862"/>
        <v>0.375</v>
      </c>
      <c r="IJ160" s="153">
        <f t="shared" ca="1" si="862"/>
        <v>0</v>
      </c>
      <c r="IK160" s="153">
        <f t="shared" ca="1" si="862"/>
        <v>0</v>
      </c>
      <c r="IL160" s="153">
        <f t="shared" ca="1" si="862"/>
        <v>0</v>
      </c>
      <c r="IM160" s="153">
        <f t="shared" ca="1" si="862"/>
        <v>0</v>
      </c>
      <c r="IN160" s="153">
        <f t="shared" ca="1" si="862"/>
        <v>0</v>
      </c>
      <c r="IO160" s="153">
        <f t="shared" ca="1" si="862"/>
        <v>0</v>
      </c>
      <c r="IP160" s="153">
        <f t="shared" ca="1" si="862"/>
        <v>0</v>
      </c>
      <c r="IQ160" s="153">
        <f t="shared" ca="1" si="862"/>
        <v>0</v>
      </c>
      <c r="IR160" s="153">
        <f t="shared" ca="1" si="862"/>
        <v>0</v>
      </c>
      <c r="IS160" s="153">
        <f t="shared" ca="1" si="862"/>
        <v>-816.48177082583425</v>
      </c>
      <c r="IT160" s="153">
        <f t="shared" ca="1" si="862"/>
        <v>-407.99088541291712</v>
      </c>
      <c r="IU160" s="153">
        <f t="shared" ca="1" si="862"/>
        <v>0.375</v>
      </c>
      <c r="IV160" s="153">
        <f t="shared" ca="1" si="862"/>
        <v>0</v>
      </c>
      <c r="IW160" s="153">
        <f t="shared" ca="1" si="862"/>
        <v>0</v>
      </c>
      <c r="IX160" s="153">
        <f t="shared" ca="1" si="862"/>
        <v>0</v>
      </c>
      <c r="IY160" s="153">
        <f t="shared" ca="1" si="862"/>
        <v>0</v>
      </c>
      <c r="IZ160" s="153">
        <f t="shared" ca="1" si="862"/>
        <v>0</v>
      </c>
      <c r="JA160" s="153">
        <f t="shared" ca="1" si="862"/>
        <v>0</v>
      </c>
      <c r="JB160" s="153">
        <f t="shared" ca="1" si="862"/>
        <v>0</v>
      </c>
      <c r="JC160" s="153">
        <f t="shared" ca="1" si="862"/>
        <v>0</v>
      </c>
      <c r="JD160" s="153">
        <f t="shared" ca="1" si="862"/>
        <v>0</v>
      </c>
      <c r="JE160" s="153">
        <f t="shared" ca="1" si="862"/>
        <v>-840.98372395060142</v>
      </c>
      <c r="JF160" s="153">
        <f t="shared" ca="1" si="862"/>
        <v>-420.24186197530798</v>
      </c>
      <c r="JG160" s="153">
        <f t="shared" ca="1" si="862"/>
        <v>0.375</v>
      </c>
      <c r="JH160" s="153">
        <f t="shared" ca="1" si="862"/>
        <v>0</v>
      </c>
      <c r="JI160" s="153">
        <f t="shared" ca="1" si="862"/>
        <v>0</v>
      </c>
      <c r="JJ160" s="153">
        <f t="shared" ca="1" si="862"/>
        <v>0</v>
      </c>
      <c r="JK160" s="153">
        <f t="shared" ca="1" si="862"/>
        <v>0</v>
      </c>
      <c r="JL160" s="153">
        <f t="shared" ca="1" si="862"/>
        <v>0</v>
      </c>
      <c r="JM160" s="153">
        <f t="shared" ca="1" si="862"/>
        <v>0</v>
      </c>
      <c r="JN160" s="153">
        <f t="shared" ca="1" si="862"/>
        <v>0</v>
      </c>
      <c r="JO160" s="153">
        <f t="shared" ca="1" si="862"/>
        <v>0</v>
      </c>
      <c r="JP160" s="153">
        <f t="shared" ca="1" si="862"/>
        <v>0</v>
      </c>
      <c r="JQ160" s="153">
        <f t="shared" ca="1" si="862"/>
        <v>-866.22073566913605</v>
      </c>
      <c r="JR160" s="153">
        <f t="shared" ca="1" si="862"/>
        <v>-432.86036783456075</v>
      </c>
      <c r="JS160" s="153">
        <f t="shared" ca="1" si="862"/>
        <v>0.375</v>
      </c>
      <c r="JT160" s="153">
        <f t="shared" ca="1" si="862"/>
        <v>0</v>
      </c>
      <c r="JU160" s="153">
        <f t="shared" ca="1" si="862"/>
        <v>0</v>
      </c>
      <c r="JV160" s="153">
        <f t="shared" ca="1" si="862"/>
        <v>0</v>
      </c>
      <c r="JW160" s="153">
        <f t="shared" ca="1" si="862"/>
        <v>0</v>
      </c>
      <c r="JX160" s="153">
        <f t="shared" ca="1" si="862"/>
        <v>0</v>
      </c>
      <c r="JY160" s="153">
        <f t="shared" ca="1" si="862"/>
        <v>0</v>
      </c>
      <c r="JZ160" s="153">
        <f t="shared" ca="1" si="862"/>
        <v>0</v>
      </c>
      <c r="KA160" s="153">
        <f t="shared" ca="1" si="863"/>
        <v>0</v>
      </c>
      <c r="KB160" s="153">
        <f t="shared" ca="1" si="863"/>
        <v>0</v>
      </c>
      <c r="KC160" s="153">
        <f t="shared" ca="1" si="863"/>
        <v>-892.21485773920722</v>
      </c>
    </row>
    <row r="161" spans="2:289" x14ac:dyDescent="0.25">
      <c r="B161" s="180" t="str">
        <f t="shared" si="838"/>
        <v>TOTAL OTHER INCOME</v>
      </c>
      <c r="C161" s="196"/>
      <c r="D161" s="196"/>
      <c r="E161" s="345"/>
      <c r="F161" s="345"/>
      <c r="G161" s="218">
        <f>SUM(G158:G160)</f>
        <v>0</v>
      </c>
      <c r="H161" s="218">
        <f ca="1">SUM(H158:H160)</f>
        <v>0</v>
      </c>
      <c r="I161" s="218">
        <f ca="1">SUM(I158:I160)</f>
        <v>0</v>
      </c>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c r="CX161" s="179"/>
      <c r="CY161" s="179"/>
      <c r="CZ161" s="179"/>
      <c r="DA161" s="179"/>
      <c r="DB161" s="179"/>
      <c r="DC161" s="179"/>
      <c r="DD161" s="179"/>
      <c r="DE161" s="179"/>
      <c r="DF161" s="179"/>
      <c r="DG161" s="179"/>
      <c r="DH161" s="179"/>
      <c r="DI161" s="179"/>
      <c r="DJ161" s="179"/>
      <c r="DK161" s="179"/>
      <c r="DL161" s="179"/>
      <c r="DM161" s="179"/>
      <c r="DN161" s="179"/>
      <c r="DO161" s="179"/>
      <c r="DP161" s="179"/>
      <c r="DQ161" s="179"/>
      <c r="DR161" s="179"/>
      <c r="DS161" s="179"/>
      <c r="DT161" s="179"/>
      <c r="DU161" s="179"/>
      <c r="DV161" s="179"/>
      <c r="DW161" s="179"/>
      <c r="DX161" s="179"/>
      <c r="DY161" s="179"/>
      <c r="DZ161" s="179"/>
      <c r="EA161" s="179"/>
      <c r="EB161" s="179"/>
      <c r="EC161" s="179"/>
      <c r="ED161" s="179"/>
      <c r="EE161" s="179"/>
      <c r="EF161" s="179"/>
      <c r="EG161" s="179"/>
      <c r="EH161" s="179"/>
      <c r="EI161" s="179"/>
      <c r="EJ161" s="179"/>
      <c r="EK161" s="179"/>
      <c r="EL161" s="179"/>
      <c r="EM161" s="179"/>
      <c r="EN161" s="179"/>
      <c r="EO161" s="179"/>
      <c r="EP161" s="179"/>
      <c r="EQ161" s="179"/>
      <c r="ER161" s="179"/>
      <c r="ES161" s="179"/>
      <c r="ET161" s="179"/>
      <c r="EU161" s="153"/>
      <c r="EV161" s="153"/>
      <c r="EW161" s="153"/>
      <c r="EX161" s="153"/>
      <c r="EY161" s="153"/>
      <c r="EZ161" s="154"/>
      <c r="FA161" s="153"/>
      <c r="FB161" s="153"/>
      <c r="FC161" s="153"/>
      <c r="FD161" s="153"/>
      <c r="FE161" s="153"/>
      <c r="FF161" s="153"/>
      <c r="FG161" s="153"/>
      <c r="FH161" s="153"/>
      <c r="FI161" s="153"/>
      <c r="FJ161" s="153"/>
      <c r="FK161" s="153"/>
      <c r="FL161" s="153"/>
      <c r="FM161" s="153"/>
      <c r="FN161" s="153"/>
      <c r="FO161" s="153"/>
      <c r="FP161" s="153"/>
      <c r="FQ161" s="153"/>
      <c r="FR161" s="153"/>
      <c r="FS161" s="153"/>
      <c r="FT161" s="153"/>
      <c r="FU161" s="153"/>
      <c r="FV161" s="153"/>
      <c r="FW161" s="153"/>
      <c r="FX161" s="153"/>
      <c r="FY161" s="153"/>
      <c r="FZ161" s="153"/>
      <c r="GA161" s="153"/>
      <c r="GB161" s="153"/>
      <c r="GC161" s="153"/>
      <c r="GD161" s="153"/>
      <c r="GE161" s="153"/>
      <c r="GF161" s="153"/>
      <c r="GG161" s="153"/>
      <c r="GH161" s="153"/>
      <c r="GI161" s="153"/>
      <c r="GJ161" s="153"/>
      <c r="GK161" s="153"/>
      <c r="GL161" s="153"/>
      <c r="GM161" s="153"/>
      <c r="GN161" s="153"/>
      <c r="GO161" s="153"/>
      <c r="GP161" s="153"/>
      <c r="GQ161" s="153"/>
      <c r="GR161" s="153"/>
      <c r="GS161" s="153"/>
      <c r="GT161" s="153"/>
      <c r="GU161" s="153"/>
      <c r="GV161" s="153"/>
      <c r="GW161" s="153"/>
      <c r="GX161" s="153"/>
      <c r="GY161" s="153"/>
      <c r="GZ161" s="153"/>
      <c r="HA161" s="153"/>
      <c r="HB161" s="153"/>
      <c r="HC161" s="153"/>
      <c r="HD161" s="153"/>
      <c r="HE161" s="153"/>
      <c r="HF161" s="153"/>
      <c r="HG161" s="153"/>
      <c r="HH161" s="153"/>
      <c r="HI161" s="153"/>
      <c r="HJ161" s="153"/>
      <c r="HK161" s="153"/>
      <c r="HL161" s="153"/>
      <c r="HM161" s="153"/>
      <c r="HN161" s="153"/>
      <c r="HO161" s="153"/>
      <c r="HP161" s="153"/>
      <c r="HQ161" s="153"/>
      <c r="HR161" s="153"/>
      <c r="HS161" s="153"/>
      <c r="HT161" s="153"/>
      <c r="HU161" s="153"/>
      <c r="HV161" s="153"/>
      <c r="HW161" s="153"/>
      <c r="HX161" s="153"/>
      <c r="HY161" s="153"/>
      <c r="HZ161" s="153"/>
      <c r="IA161" s="153"/>
      <c r="IB161" s="153"/>
      <c r="IC161" s="153"/>
      <c r="ID161" s="153"/>
      <c r="IE161" s="153"/>
      <c r="IF161" s="153"/>
      <c r="IG161" s="153"/>
      <c r="IH161" s="153"/>
      <c r="II161" s="153"/>
      <c r="IJ161" s="153"/>
      <c r="IK161" s="153"/>
      <c r="IL161" s="153"/>
      <c r="IM161" s="153"/>
      <c r="IN161" s="153"/>
      <c r="IO161" s="153"/>
      <c r="IP161" s="153"/>
      <c r="IQ161" s="153"/>
      <c r="IR161" s="153"/>
      <c r="IS161" s="153"/>
      <c r="IT161" s="153"/>
      <c r="IU161" s="153"/>
      <c r="IV161" s="153"/>
      <c r="IW161" s="153"/>
      <c r="IX161" s="153"/>
      <c r="IY161" s="153"/>
      <c r="IZ161" s="153"/>
      <c r="JA161" s="153"/>
      <c r="JB161" s="153"/>
      <c r="JC161" s="153"/>
      <c r="JD161" s="153"/>
      <c r="JE161" s="153"/>
      <c r="JF161" s="153"/>
      <c r="JG161" s="153"/>
      <c r="JH161" s="153"/>
      <c r="JI161" s="153"/>
      <c r="JJ161" s="153"/>
      <c r="JK161" s="153"/>
      <c r="JL161" s="153"/>
      <c r="JM161" s="153"/>
      <c r="JN161" s="153"/>
      <c r="JO161" s="153"/>
      <c r="JP161" s="153"/>
      <c r="JQ161" s="153"/>
      <c r="JR161" s="153"/>
      <c r="JS161" s="153"/>
      <c r="JT161" s="153"/>
      <c r="JU161" s="153"/>
      <c r="JV161" s="153"/>
      <c r="JW161" s="153"/>
      <c r="JX161" s="153"/>
      <c r="JY161" s="153"/>
      <c r="JZ161" s="153"/>
      <c r="KA161" s="153"/>
      <c r="KB161" s="153"/>
      <c r="KC161" s="153"/>
    </row>
    <row r="162" spans="2:289" ht="0.6" customHeight="1" x14ac:dyDescent="0.25">
      <c r="B162" s="267" t="s">
        <v>291</v>
      </c>
      <c r="C162" s="196"/>
      <c r="D162" s="196"/>
      <c r="E162" s="345"/>
      <c r="F162" s="345"/>
      <c r="G162" s="218">
        <f>I110*Retail_Income_Include?</f>
        <v>0</v>
      </c>
      <c r="H162" s="218">
        <f ca="1">SUM(OFFSET($Q110,0,Stabilization_1st_Month,1,12))*Retail_Income_Include?</f>
        <v>0</v>
      </c>
      <c r="I162" s="218">
        <f ca="1">MAX(SUM(OFFSET($Q110,0,Timing_Reversion_Month,1,12)),H162)*Retail_Income_Include?</f>
        <v>0</v>
      </c>
    </row>
    <row r="163" spans="2:289" x14ac:dyDescent="0.25">
      <c r="B163" s="180" t="str">
        <f>B111</f>
        <v>TOTAL POTENTIAL INCOME</v>
      </c>
      <c r="C163" s="196"/>
      <c r="D163" s="196"/>
      <c r="E163" s="345"/>
      <c r="F163" s="345"/>
      <c r="G163" s="218">
        <f>+G161+G156+G162</f>
        <v>364800</v>
      </c>
      <c r="H163" s="218">
        <f ca="1">+H161+H156+H162</f>
        <v>365598</v>
      </c>
      <c r="I163" s="218">
        <f ca="1">+I161+I156+I162</f>
        <v>385959.53999999986</v>
      </c>
    </row>
    <row r="164" spans="2:289" x14ac:dyDescent="0.25">
      <c r="B164" s="267" t="str">
        <f>B112</f>
        <v xml:space="preserve">- General Vacancy </v>
      </c>
      <c r="C164" s="196"/>
      <c r="D164" s="196"/>
      <c r="E164" s="345"/>
      <c r="F164" s="345"/>
      <c r="G164" s="218">
        <f>I112</f>
        <v>-18240</v>
      </c>
      <c r="H164" s="218">
        <f ca="1">SUM(OFFSET($Q112,0,Stabilization_1st_Month,1,12))</f>
        <v>-18279.900000000001</v>
      </c>
      <c r="I164" s="218">
        <f ca="1">MIN(SUM(OFFSET($Q112,0,Timing_Reversion_Month,1,12)),H164)</f>
        <v>-19297.976999999995</v>
      </c>
    </row>
    <row r="165" spans="2:289" ht="16.5" x14ac:dyDescent="0.35">
      <c r="B165" s="267" t="str">
        <f>B113</f>
        <v>- Credit Loss</v>
      </c>
      <c r="C165" s="196"/>
      <c r="D165" s="196"/>
      <c r="E165" s="345"/>
      <c r="F165" s="345"/>
      <c r="G165" s="341">
        <f>I113</f>
        <v>0</v>
      </c>
      <c r="H165" s="341">
        <f ca="1">SUM(OFFSET($Q113,0,Stabilization_1st_Month,1,12))</f>
        <v>0</v>
      </c>
      <c r="I165" s="225">
        <f ca="1">MIN(SUM(OFFSET($Q113,0,Timing_Reversion_Month,1,12)),H165)</f>
        <v>0</v>
      </c>
    </row>
    <row r="166" spans="2:289" x14ac:dyDescent="0.25">
      <c r="B166" s="180" t="str">
        <f>B114</f>
        <v>EFFECTIVE GROSS REVENUE</v>
      </c>
      <c r="C166" s="196"/>
      <c r="D166" s="196"/>
      <c r="E166" s="345"/>
      <c r="F166" s="345"/>
      <c r="G166" s="218">
        <f>SUM(G163:G165)</f>
        <v>346560</v>
      </c>
      <c r="H166" s="218">
        <f t="shared" ref="H166:I166" ca="1" si="864">SUM(H163:H165)</f>
        <v>347318.1</v>
      </c>
      <c r="I166" s="218">
        <f t="shared" ca="1" si="864"/>
        <v>366661.56299999985</v>
      </c>
    </row>
    <row r="167" spans="2:289" ht="4.9000000000000004" customHeight="1" x14ac:dyDescent="0.25">
      <c r="B167" s="180"/>
      <c r="C167" s="196"/>
      <c r="D167" s="196"/>
      <c r="E167" s="345"/>
      <c r="F167" s="345"/>
      <c r="G167" s="218"/>
      <c r="H167" s="218"/>
      <c r="I167" s="218"/>
    </row>
    <row r="168" spans="2:289" x14ac:dyDescent="0.25">
      <c r="B168" s="180" t="str">
        <f t="shared" ref="B168:B179" si="865">B120</f>
        <v>OPERATING EXPENSES</v>
      </c>
      <c r="C168" s="196"/>
      <c r="D168" s="196"/>
      <c r="E168" s="345"/>
      <c r="F168" s="345"/>
      <c r="G168" s="218"/>
      <c r="H168" s="218"/>
      <c r="I168" s="218"/>
    </row>
    <row r="169" spans="2:289" x14ac:dyDescent="0.25">
      <c r="B169" s="267" t="str">
        <f t="shared" si="865"/>
        <v>Repairs and Maintenance</v>
      </c>
      <c r="C169" s="196"/>
      <c r="D169" s="196"/>
      <c r="E169" s="345"/>
      <c r="F169" s="345"/>
      <c r="G169" s="218">
        <f t="shared" ref="G169:G178" si="866">I121</f>
        <v>2500</v>
      </c>
      <c r="H169" s="218">
        <f t="shared" ref="H169:H177" ca="1" si="867">SUM(OFFSET($Q121,0,Stabilization_1st_Month,1,12))</f>
        <v>2508.333333333333</v>
      </c>
      <c r="I169" s="219">
        <f t="shared" ref="I169:I178" ca="1" si="868">MAX(SUM(OFFSET($Q121,0,Timing_Reversion_Month,1,12)),H169)</f>
        <v>2601</v>
      </c>
    </row>
    <row r="170" spans="2:289" x14ac:dyDescent="0.25">
      <c r="B170" s="267" t="str">
        <f t="shared" si="865"/>
        <v>Payroll</v>
      </c>
      <c r="C170" s="196"/>
      <c r="D170" s="196"/>
      <c r="E170" s="345"/>
      <c r="F170" s="345"/>
      <c r="G170" s="218">
        <f t="shared" si="866"/>
        <v>0</v>
      </c>
      <c r="H170" s="218">
        <f t="shared" ca="1" si="867"/>
        <v>0</v>
      </c>
      <c r="I170" s="219">
        <f t="shared" ca="1" si="868"/>
        <v>0</v>
      </c>
    </row>
    <row r="171" spans="2:289" x14ac:dyDescent="0.25">
      <c r="B171" s="267" t="str">
        <f t="shared" si="865"/>
        <v>General &amp; Administrative</v>
      </c>
      <c r="C171" s="196"/>
      <c r="D171" s="196"/>
      <c r="E171" s="345"/>
      <c r="F171" s="345"/>
      <c r="G171" s="218">
        <f t="shared" si="866"/>
        <v>2500</v>
      </c>
      <c r="H171" s="218">
        <f t="shared" ca="1" si="867"/>
        <v>2508.333333333333</v>
      </c>
      <c r="I171" s="219">
        <f t="shared" ca="1" si="868"/>
        <v>2601</v>
      </c>
    </row>
    <row r="172" spans="2:289" x14ac:dyDescent="0.25">
      <c r="B172" s="267" t="str">
        <f t="shared" si="865"/>
        <v>Marketing</v>
      </c>
      <c r="C172" s="196"/>
      <c r="D172" s="196"/>
      <c r="E172" s="345"/>
      <c r="F172" s="345"/>
      <c r="G172" s="218">
        <f t="shared" si="866"/>
        <v>5000</v>
      </c>
      <c r="H172" s="218">
        <f t="shared" ca="1" si="867"/>
        <v>5016.6666666666661</v>
      </c>
      <c r="I172" s="219">
        <f t="shared" ca="1" si="868"/>
        <v>5202</v>
      </c>
    </row>
    <row r="173" spans="2:289" x14ac:dyDescent="0.25">
      <c r="B173" s="267" t="str">
        <f t="shared" si="865"/>
        <v>Utilities</v>
      </c>
      <c r="C173" s="196"/>
      <c r="D173" s="196"/>
      <c r="E173" s="345"/>
      <c r="F173" s="345"/>
      <c r="G173" s="218">
        <f t="shared" si="866"/>
        <v>5000</v>
      </c>
      <c r="H173" s="218">
        <f t="shared" ca="1" si="867"/>
        <v>5016.6666666666661</v>
      </c>
      <c r="I173" s="219">
        <f t="shared" ca="1" si="868"/>
        <v>5202</v>
      </c>
    </row>
    <row r="174" spans="2:289" x14ac:dyDescent="0.25">
      <c r="B174" s="267" t="str">
        <f t="shared" si="865"/>
        <v>Contract Services</v>
      </c>
      <c r="C174" s="196"/>
      <c r="D174" s="196"/>
      <c r="E174" s="345"/>
      <c r="F174" s="345"/>
      <c r="G174" s="218">
        <f t="shared" si="866"/>
        <v>2000</v>
      </c>
      <c r="H174" s="218">
        <f t="shared" ca="1" si="867"/>
        <v>2006.6666666666667</v>
      </c>
      <c r="I174" s="219">
        <f t="shared" ca="1" si="868"/>
        <v>2080.8000000000002</v>
      </c>
    </row>
    <row r="175" spans="2:289" x14ac:dyDescent="0.25">
      <c r="B175" s="267" t="str">
        <f t="shared" si="865"/>
        <v>Make Ready Cost</v>
      </c>
      <c r="C175" s="196"/>
      <c r="D175" s="196"/>
      <c r="E175" s="345"/>
      <c r="F175" s="345"/>
      <c r="G175" s="218">
        <f t="shared" si="866"/>
        <v>2000</v>
      </c>
      <c r="H175" s="218">
        <f t="shared" ca="1" si="867"/>
        <v>2006.6666666666667</v>
      </c>
      <c r="I175" s="219">
        <f t="shared" ca="1" si="868"/>
        <v>2080.8000000000002</v>
      </c>
    </row>
    <row r="176" spans="2:289" x14ac:dyDescent="0.25">
      <c r="B176" s="267" t="str">
        <f t="shared" si="865"/>
        <v>Management Fee</v>
      </c>
      <c r="C176" s="196"/>
      <c r="D176" s="196"/>
      <c r="E176" s="345"/>
      <c r="F176" s="345"/>
      <c r="G176" s="218">
        <f t="shared" si="866"/>
        <v>17328</v>
      </c>
      <c r="H176" s="218">
        <f t="shared" ca="1" si="867"/>
        <v>17365.904999999999</v>
      </c>
      <c r="I176" s="219">
        <f t="shared" ca="1" si="868"/>
        <v>18333.078150000001</v>
      </c>
    </row>
    <row r="177" spans="2:9" x14ac:dyDescent="0.25">
      <c r="B177" s="267" t="str">
        <f t="shared" si="865"/>
        <v>Insurance</v>
      </c>
      <c r="C177" s="196"/>
      <c r="D177" s="376" t="str">
        <f>+G151</f>
        <v>UNTRENDED</v>
      </c>
      <c r="E177" s="376" t="str">
        <f>+H151</f>
        <v>TRENDED</v>
      </c>
      <c r="F177" s="376" t="str">
        <f>+I151</f>
        <v>SALE</v>
      </c>
      <c r="G177" s="218">
        <f t="shared" si="866"/>
        <v>32000</v>
      </c>
      <c r="H177" s="218">
        <f t="shared" ca="1" si="867"/>
        <v>32106.666666666668</v>
      </c>
      <c r="I177" s="219">
        <f t="shared" ca="1" si="868"/>
        <v>33292.800000000003</v>
      </c>
    </row>
    <row r="178" spans="2:9" ht="16.5" x14ac:dyDescent="0.35">
      <c r="B178" s="267" t="str">
        <f t="shared" si="865"/>
        <v>Property Taxes</v>
      </c>
      <c r="C178" s="196" t="s">
        <v>545</v>
      </c>
      <c r="D178" s="377">
        <f>+G178/G194</f>
        <v>1.1810088896402091E-2</v>
      </c>
      <c r="E178" s="377">
        <f ca="1">+H178/H194</f>
        <v>1.1853392777105723E-2</v>
      </c>
      <c r="F178" s="377">
        <f ca="1">+I178/I194</f>
        <v>1.1529686796283542E-2</v>
      </c>
      <c r="G178" s="341">
        <f t="shared" si="866"/>
        <v>49183.360000000001</v>
      </c>
      <c r="H178" s="341">
        <f ca="1">I130*(H152/G152)</f>
        <v>49429.276799999992</v>
      </c>
      <c r="I178" s="225">
        <f t="shared" ca="1" si="868"/>
        <v>51170.367744000017</v>
      </c>
    </row>
    <row r="179" spans="2:9" x14ac:dyDescent="0.25">
      <c r="B179" s="180" t="str">
        <f t="shared" si="865"/>
        <v>TOTAL OPERATING EXPENSES</v>
      </c>
      <c r="C179" s="196"/>
      <c r="D179" s="196"/>
      <c r="E179" s="345"/>
      <c r="F179" s="345"/>
      <c r="G179" s="218">
        <f>SUM(G169:G178)</f>
        <v>117511.36</v>
      </c>
      <c r="H179" s="218">
        <f ca="1">SUM(H169:H178)</f>
        <v>117965.18179999999</v>
      </c>
      <c r="I179" s="218">
        <f ca="1">SUM(I169:I178)</f>
        <v>122563.84589400003</v>
      </c>
    </row>
    <row r="180" spans="2:9" ht="4.9000000000000004" customHeight="1" x14ac:dyDescent="0.25">
      <c r="B180" s="180"/>
      <c r="C180" s="196"/>
      <c r="D180" s="196"/>
      <c r="E180" s="345"/>
      <c r="F180" s="345"/>
      <c r="G180" s="218"/>
      <c r="H180" s="218"/>
      <c r="I180" s="218"/>
    </row>
    <row r="181" spans="2:9" x14ac:dyDescent="0.25">
      <c r="B181" s="180" t="str">
        <f>B133</f>
        <v>NET OPERATING INCOME</v>
      </c>
      <c r="C181" s="196"/>
      <c r="D181" s="196"/>
      <c r="E181" s="345"/>
      <c r="F181" s="345"/>
      <c r="G181" s="218">
        <f>+G166-G179</f>
        <v>229048.64</v>
      </c>
      <c r="H181" s="218">
        <f ca="1">+H166-H179</f>
        <v>229352.91819999999</v>
      </c>
      <c r="I181" s="218">
        <f ca="1">+I166-I179</f>
        <v>244097.71710599982</v>
      </c>
    </row>
    <row r="182" spans="2:9" ht="4.9000000000000004" customHeight="1" x14ac:dyDescent="0.25">
      <c r="B182" s="180"/>
      <c r="C182" s="196"/>
      <c r="D182" s="196"/>
      <c r="E182" s="345"/>
      <c r="F182" s="345"/>
      <c r="G182" s="218"/>
      <c r="H182" s="218"/>
      <c r="I182" s="218"/>
    </row>
    <row r="183" spans="2:9" x14ac:dyDescent="0.25">
      <c r="B183" s="180" t="str">
        <f>B135</f>
        <v>CAPITAL EXPENDITURES</v>
      </c>
      <c r="C183" s="196"/>
      <c r="D183" s="196"/>
      <c r="E183" s="345"/>
      <c r="F183" s="345"/>
      <c r="G183" s="218"/>
      <c r="H183" s="218"/>
      <c r="I183" s="218"/>
    </row>
    <row r="184" spans="2:9" x14ac:dyDescent="0.25">
      <c r="B184" s="267" t="str">
        <f>B136</f>
        <v>Capital Reserves</v>
      </c>
      <c r="C184" s="196"/>
      <c r="D184" s="196"/>
      <c r="E184" s="345"/>
      <c r="F184" s="345"/>
      <c r="G184" s="218">
        <f>I136</f>
        <v>1600</v>
      </c>
      <c r="H184" s="218">
        <f ca="1">SUM(OFFSET($Q136,0,Stabilization_1st_Month,1,12))</f>
        <v>1605.3333333333333</v>
      </c>
      <c r="I184" s="219">
        <f ca="1">MAX(SUM(OFFSET($Q136,0,Timing_Reversion_Month,1,12)),H184)</f>
        <v>1664.64</v>
      </c>
    </row>
    <row r="185" spans="2:9" x14ac:dyDescent="0.25">
      <c r="B185" s="267" t="str">
        <f>B137</f>
        <v>Other Capital Expenditures</v>
      </c>
      <c r="C185" s="196"/>
      <c r="D185" s="196"/>
      <c r="E185" s="345"/>
      <c r="F185" s="345"/>
      <c r="G185" s="218">
        <f>I137</f>
        <v>0</v>
      </c>
      <c r="H185" s="218">
        <f ca="1">SUM(OFFSET($Q137,0,Stabilization_1st_Month,1,12))</f>
        <v>0</v>
      </c>
      <c r="I185" s="219">
        <f ca="1">MAX(SUM(OFFSET($Q137,0,Timing_Reversion_Month,1,12)),H185)</f>
        <v>0</v>
      </c>
    </row>
    <row r="186" spans="2:9" ht="0.6" customHeight="1" x14ac:dyDescent="0.35">
      <c r="B186" s="267" t="str">
        <f>B138</f>
        <v>Retail Leasing Cost Reserves</v>
      </c>
      <c r="C186" s="196"/>
      <c r="D186" s="196"/>
      <c r="E186" s="345"/>
      <c r="F186" s="345"/>
      <c r="G186" s="341">
        <f>I138</f>
        <v>0</v>
      </c>
      <c r="H186" s="341">
        <f ca="1">SUM(OFFSET($Q138,0,Stabilization_1st_Month,1,12))</f>
        <v>0</v>
      </c>
      <c r="I186" s="225">
        <f ca="1">MAX(SUM(OFFSET($Q138,0,Timing_Reversion_Month,1,12)),H186)</f>
        <v>0</v>
      </c>
    </row>
    <row r="187" spans="2:9" x14ac:dyDescent="0.25">
      <c r="B187" s="180" t="str">
        <f>B139</f>
        <v>TOTAL CAPITAL EXPENDITURES</v>
      </c>
      <c r="C187" s="196"/>
      <c r="D187" s="196"/>
      <c r="E187" s="345"/>
      <c r="F187" s="345"/>
      <c r="G187" s="218">
        <f>SUM(G184:G186)</f>
        <v>1600</v>
      </c>
      <c r="H187" s="218">
        <f ca="1">SUM(H184:H186)</f>
        <v>1605.3333333333333</v>
      </c>
      <c r="I187" s="218">
        <f ca="1">SUM(I184:I186)</f>
        <v>1664.64</v>
      </c>
    </row>
    <row r="188" spans="2:9" ht="4.9000000000000004" customHeight="1" x14ac:dyDescent="0.25">
      <c r="B188" s="180"/>
      <c r="C188" s="196"/>
      <c r="D188" s="196"/>
      <c r="E188" s="345"/>
      <c r="F188" s="345"/>
      <c r="G188" s="218">
        <f>I140</f>
        <v>0</v>
      </c>
      <c r="H188" s="218">
        <f>Q140</f>
        <v>0</v>
      </c>
      <c r="I188" s="218">
        <f>R140</f>
        <v>0</v>
      </c>
    </row>
    <row r="189" spans="2:9" x14ac:dyDescent="0.25">
      <c r="B189" s="180" t="str">
        <f>B141</f>
        <v>CASH FLOW FROM OPERATIONS</v>
      </c>
      <c r="C189" s="196"/>
      <c r="D189" s="196"/>
      <c r="E189" s="345"/>
      <c r="F189" s="345"/>
      <c r="G189" s="218">
        <f>+G181-G187</f>
        <v>227448.64</v>
      </c>
      <c r="H189" s="218">
        <f ca="1">+H181-H187</f>
        <v>227747.58486666664</v>
      </c>
      <c r="I189" s="218">
        <f ca="1">+I181-I187</f>
        <v>242433.07710599981</v>
      </c>
    </row>
    <row r="190" spans="2:9" x14ac:dyDescent="0.25">
      <c r="B190" s="369" t="s">
        <v>172</v>
      </c>
      <c r="C190" s="369"/>
      <c r="D190" s="378" t="s">
        <v>413</v>
      </c>
      <c r="E190" s="370" t="s">
        <v>44</v>
      </c>
      <c r="F190" s="379" t="s">
        <v>171</v>
      </c>
      <c r="G190" s="371"/>
      <c r="H190" s="370"/>
      <c r="I190" s="370"/>
    </row>
    <row r="191" spans="2:9" ht="16.5" x14ac:dyDescent="0.35">
      <c r="B191" s="180" t="s">
        <v>542</v>
      </c>
      <c r="C191" s="196"/>
      <c r="D191" s="218">
        <f ca="1">+E191/Units</f>
        <v>277383.76943863614</v>
      </c>
      <c r="E191" s="218">
        <f ca="1">Valuation_Reversion</f>
        <v>4438140.3110181782</v>
      </c>
      <c r="F191" s="380"/>
      <c r="G191" s="341" t="str">
        <f>G151</f>
        <v>UNTRENDED</v>
      </c>
      <c r="H191" s="341" t="str">
        <f>H151</f>
        <v>TRENDED</v>
      </c>
      <c r="I191" s="341" t="str">
        <f>I151</f>
        <v>SALE</v>
      </c>
    </row>
    <row r="192" spans="2:9" ht="16.5" x14ac:dyDescent="0.35">
      <c r="B192" s="267" t="str">
        <f>"- Selling Costs @ "&amp;TEXT($I$149,"0.00%")</f>
        <v>- Selling Costs @ 4.50%</v>
      </c>
      <c r="C192" s="196"/>
      <c r="D192" s="341">
        <f ca="1">+E192/Units</f>
        <v>-12482.269624738627</v>
      </c>
      <c r="E192" s="341">
        <f ca="1">-E191*I149</f>
        <v>-199716.31399581803</v>
      </c>
      <c r="F192" s="381" t="s">
        <v>173</v>
      </c>
      <c r="G192" s="272">
        <f>$I$147</f>
        <v>5.5E-2</v>
      </c>
      <c r="H192" s="272">
        <f>((Stabilization_1st_Month/Timing_Reversion_Month)*(I148-I147))+I147</f>
        <v>5.5E-2</v>
      </c>
      <c r="I192" s="272">
        <f>$I$148</f>
        <v>5.5E-2</v>
      </c>
    </row>
    <row r="193" spans="1:289" x14ac:dyDescent="0.25">
      <c r="B193" s="180" t="s">
        <v>182</v>
      </c>
      <c r="C193" s="196"/>
      <c r="D193" s="218">
        <f ca="1">SUM(D191:D192)</f>
        <v>264901.49981389754</v>
      </c>
      <c r="E193" s="218">
        <f ca="1">SUM(E191:E192)</f>
        <v>4238423.9970223606</v>
      </c>
      <c r="F193" s="381" t="s">
        <v>156</v>
      </c>
      <c r="G193" s="218">
        <f>G181</f>
        <v>229048.64</v>
      </c>
      <c r="H193" s="218">
        <f ca="1">H181</f>
        <v>229352.91819999999</v>
      </c>
      <c r="I193" s="218">
        <f ca="1">I181</f>
        <v>244097.71710599982</v>
      </c>
    </row>
    <row r="194" spans="1:289" ht="16.5" x14ac:dyDescent="0.35">
      <c r="B194" s="336" t="str">
        <f>Summary!B26</f>
        <v>Permanent Loan Payoff</v>
      </c>
      <c r="C194" s="196"/>
      <c r="D194" s="341">
        <f ca="1">+E194/Units</f>
        <v>-150804.69952685773</v>
      </c>
      <c r="E194" s="341">
        <f ca="1">Summary!F26</f>
        <v>-2412875.1924297237</v>
      </c>
      <c r="F194" s="382" t="s">
        <v>174</v>
      </c>
      <c r="G194" s="297">
        <f>G193/G192</f>
        <v>4164520.7272727275</v>
      </c>
      <c r="H194" s="297">
        <f ca="1">H193/H192</f>
        <v>4170053.0581818181</v>
      </c>
      <c r="I194" s="297">
        <f ca="1">I193/I192</f>
        <v>4438140.3110181782</v>
      </c>
      <c r="J194" s="179"/>
      <c r="K194" s="179"/>
      <c r="L194" s="179"/>
      <c r="M194" s="179"/>
      <c r="N194" s="179"/>
      <c r="O194" s="179"/>
      <c r="P194" s="179"/>
      <c r="Q194" s="179"/>
      <c r="R194" s="179"/>
      <c r="S194" s="179"/>
      <c r="T194" s="179"/>
      <c r="U194" s="179"/>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c r="CX194" s="179"/>
      <c r="CY194" s="179"/>
      <c r="CZ194" s="179"/>
      <c r="DA194" s="179"/>
      <c r="DB194" s="179"/>
      <c r="DC194" s="179"/>
      <c r="DD194" s="179"/>
      <c r="DE194" s="179"/>
      <c r="DF194" s="179"/>
      <c r="DG194" s="179"/>
      <c r="DH194" s="179"/>
      <c r="DI194" s="179"/>
      <c r="DJ194" s="179"/>
      <c r="DK194" s="179"/>
      <c r="DL194" s="179"/>
      <c r="DM194" s="179"/>
      <c r="DN194" s="179"/>
      <c r="DO194" s="179"/>
      <c r="DP194" s="179"/>
      <c r="DQ194" s="179"/>
      <c r="DR194" s="179"/>
      <c r="DS194" s="179"/>
      <c r="DT194" s="179"/>
      <c r="DU194" s="179"/>
      <c r="DV194" s="179"/>
      <c r="DW194" s="179"/>
      <c r="DX194" s="179"/>
      <c r="DY194" s="179"/>
      <c r="DZ194" s="179"/>
      <c r="EA194" s="179"/>
      <c r="EB194" s="179"/>
      <c r="EC194" s="179"/>
      <c r="ED194" s="179"/>
      <c r="EE194" s="179"/>
      <c r="EF194" s="179"/>
      <c r="EG194" s="179"/>
      <c r="EH194" s="179"/>
      <c r="EI194" s="179"/>
      <c r="EJ194" s="179"/>
      <c r="EK194" s="179"/>
      <c r="EL194" s="179"/>
      <c r="EM194" s="179"/>
      <c r="EN194" s="179"/>
      <c r="EO194" s="179"/>
      <c r="EP194" s="179"/>
      <c r="EQ194" s="179"/>
      <c r="ER194" s="179"/>
      <c r="ES194" s="179"/>
      <c r="ET194" s="179"/>
      <c r="EU194" s="153"/>
      <c r="EV194" s="153"/>
      <c r="EW194" s="153"/>
      <c r="EX194" s="153"/>
      <c r="EY194" s="153"/>
      <c r="EZ194" s="154"/>
      <c r="FA194" s="153"/>
      <c r="FB194" s="153"/>
      <c r="FC194" s="153"/>
      <c r="FD194" s="153"/>
      <c r="FE194" s="153"/>
      <c r="FF194" s="153"/>
      <c r="FG194" s="153"/>
      <c r="FH194" s="153"/>
      <c r="FI194" s="153"/>
      <c r="FJ194" s="153"/>
      <c r="FK194" s="153"/>
      <c r="FL194" s="153"/>
      <c r="FM194" s="153"/>
      <c r="FN194" s="153"/>
      <c r="FO194" s="153"/>
      <c r="FP194" s="153"/>
      <c r="FQ194" s="153"/>
      <c r="FR194" s="153"/>
      <c r="FS194" s="153"/>
      <c r="FT194" s="153"/>
      <c r="FU194" s="153"/>
      <c r="FV194" s="153"/>
      <c r="FW194" s="153"/>
      <c r="FX194" s="153"/>
      <c r="FY194" s="153"/>
      <c r="FZ194" s="153"/>
      <c r="GA194" s="153"/>
      <c r="GB194" s="153"/>
      <c r="GC194" s="153"/>
      <c r="GD194" s="153"/>
      <c r="GE194" s="153"/>
      <c r="GF194" s="153"/>
      <c r="GG194" s="153"/>
      <c r="GH194" s="153"/>
      <c r="GI194" s="153"/>
      <c r="GJ194" s="153"/>
      <c r="GK194" s="153"/>
      <c r="GL194" s="153"/>
      <c r="GM194" s="153"/>
      <c r="GN194" s="153"/>
      <c r="GO194" s="153"/>
      <c r="GP194" s="153"/>
      <c r="GQ194" s="153"/>
      <c r="GR194" s="153"/>
      <c r="GS194" s="153"/>
      <c r="GT194" s="153"/>
      <c r="GU194" s="153"/>
      <c r="GV194" s="153"/>
      <c r="GW194" s="153"/>
      <c r="GX194" s="153"/>
      <c r="GY194" s="153"/>
      <c r="GZ194" s="153"/>
      <c r="HA194" s="153"/>
      <c r="HB194" s="153"/>
      <c r="HC194" s="153"/>
      <c r="HD194" s="153"/>
      <c r="HE194" s="153"/>
      <c r="HF194" s="153"/>
      <c r="HG194" s="153"/>
      <c r="HH194" s="153"/>
      <c r="HI194" s="153"/>
      <c r="HJ194" s="153"/>
      <c r="HK194" s="153"/>
      <c r="HL194" s="153"/>
      <c r="HM194" s="153"/>
      <c r="HN194" s="153"/>
      <c r="HO194" s="153"/>
      <c r="HP194" s="153"/>
      <c r="HQ194" s="153"/>
      <c r="HR194" s="153"/>
      <c r="HS194" s="153"/>
      <c r="HT194" s="153"/>
      <c r="HU194" s="153"/>
      <c r="HV194" s="153"/>
      <c r="HW194" s="153"/>
      <c r="HX194" s="153"/>
      <c r="HY194" s="153"/>
      <c r="HZ194" s="153"/>
      <c r="IA194" s="153"/>
      <c r="IB194" s="153"/>
      <c r="IC194" s="153"/>
      <c r="ID194" s="153"/>
      <c r="IE194" s="153"/>
      <c r="IF194" s="153"/>
      <c r="IG194" s="153"/>
      <c r="IH194" s="153"/>
      <c r="II194" s="153"/>
      <c r="IJ194" s="153"/>
      <c r="IK194" s="153"/>
      <c r="IL194" s="153"/>
      <c r="IM194" s="153"/>
      <c r="IN194" s="153"/>
      <c r="IO194" s="153"/>
      <c r="IP194" s="153"/>
      <c r="IQ194" s="153"/>
      <c r="IR194" s="153"/>
      <c r="IS194" s="153"/>
      <c r="IT194" s="153"/>
      <c r="IU194" s="153"/>
      <c r="IV194" s="153"/>
      <c r="IW194" s="153"/>
      <c r="IX194" s="153"/>
      <c r="IY194" s="153"/>
      <c r="IZ194" s="153"/>
      <c r="JA194" s="153"/>
      <c r="JB194" s="153"/>
      <c r="JC194" s="153"/>
      <c r="JD194" s="153"/>
      <c r="JE194" s="153"/>
      <c r="JF194" s="153"/>
      <c r="JG194" s="153"/>
      <c r="JH194" s="153"/>
      <c r="JI194" s="153"/>
      <c r="JJ194" s="153"/>
      <c r="JK194" s="153"/>
      <c r="JL194" s="153"/>
      <c r="JM194" s="153"/>
      <c r="JN194" s="153"/>
      <c r="JO194" s="153"/>
      <c r="JP194" s="153"/>
      <c r="JQ194" s="153"/>
      <c r="JR194" s="153"/>
      <c r="JS194" s="153"/>
      <c r="JT194" s="153"/>
      <c r="JU194" s="153"/>
      <c r="JV194" s="153"/>
      <c r="JW194" s="153"/>
      <c r="JX194" s="153"/>
      <c r="JY194" s="153"/>
      <c r="JZ194" s="153"/>
      <c r="KA194" s="153"/>
      <c r="KB194" s="153"/>
      <c r="KC194" s="153"/>
    </row>
    <row r="195" spans="1:289" s="264" customFormat="1" x14ac:dyDescent="0.25">
      <c r="A195" s="258"/>
      <c r="B195" s="293" t="s">
        <v>181</v>
      </c>
      <c r="C195" s="294"/>
      <c r="D195" s="297">
        <f ca="1">SUM(D193:D194)</f>
        <v>114096.8002870398</v>
      </c>
      <c r="E195" s="297">
        <f ca="1">SUM(E193:E194)</f>
        <v>1825548.8045926369</v>
      </c>
      <c r="F195" s="383" t="s">
        <v>413</v>
      </c>
      <c r="G195" s="218">
        <f>Valuation_Untrended/Units</f>
        <v>260282.54545454547</v>
      </c>
      <c r="H195" s="218">
        <f ca="1">+Valuation_Trended/Units</f>
        <v>260628.31613636363</v>
      </c>
      <c r="I195" s="218">
        <f ca="1">+Valuation_Reversion/Units</f>
        <v>277383.76943863614</v>
      </c>
      <c r="J195" s="384"/>
      <c r="K195" s="384"/>
      <c r="L195" s="384"/>
      <c r="M195" s="384"/>
      <c r="N195" s="384"/>
      <c r="O195" s="384"/>
      <c r="P195" s="384"/>
      <c r="Q195" s="384"/>
      <c r="R195" s="384"/>
      <c r="S195" s="384"/>
      <c r="T195" s="384"/>
      <c r="U195" s="384"/>
      <c r="V195" s="384"/>
      <c r="W195" s="384"/>
      <c r="X195" s="384"/>
      <c r="Y195" s="384"/>
      <c r="Z195" s="384"/>
      <c r="AA195" s="384"/>
      <c r="AB195" s="384"/>
      <c r="AC195" s="384"/>
      <c r="AD195" s="384"/>
      <c r="AE195" s="384"/>
      <c r="AF195" s="384"/>
      <c r="AG195" s="384"/>
      <c r="AH195" s="384"/>
      <c r="AI195" s="384"/>
      <c r="AJ195" s="384"/>
      <c r="AK195" s="384"/>
      <c r="AL195" s="384"/>
      <c r="AM195" s="384"/>
      <c r="AN195" s="384"/>
      <c r="AO195" s="384"/>
      <c r="AP195" s="384"/>
      <c r="AQ195" s="384"/>
      <c r="AR195" s="384"/>
      <c r="AS195" s="384"/>
      <c r="AT195" s="384"/>
      <c r="AU195" s="384"/>
      <c r="AV195" s="384"/>
      <c r="AW195" s="384"/>
      <c r="AX195" s="384"/>
      <c r="AY195" s="384"/>
      <c r="AZ195" s="384"/>
      <c r="BA195" s="384"/>
      <c r="BB195" s="384"/>
      <c r="BC195" s="384"/>
      <c r="BD195" s="384"/>
      <c r="BE195" s="384"/>
      <c r="BF195" s="384"/>
      <c r="BG195" s="384"/>
      <c r="BH195" s="384"/>
      <c r="BI195" s="384"/>
      <c r="BJ195" s="384"/>
      <c r="BK195" s="384"/>
      <c r="BL195" s="384"/>
      <c r="BM195" s="384"/>
      <c r="BN195" s="384"/>
      <c r="BO195" s="384"/>
      <c r="BP195" s="384"/>
      <c r="BQ195" s="384"/>
      <c r="BR195" s="384"/>
      <c r="BS195" s="384"/>
      <c r="BT195" s="384"/>
      <c r="BU195" s="384"/>
      <c r="BV195" s="384"/>
      <c r="BW195" s="384"/>
      <c r="BX195" s="384"/>
      <c r="BY195" s="384"/>
      <c r="BZ195" s="384"/>
      <c r="CA195" s="384"/>
      <c r="CB195" s="384"/>
      <c r="CC195" s="384"/>
      <c r="CD195" s="384"/>
      <c r="CE195" s="384"/>
      <c r="CF195" s="384"/>
      <c r="CG195" s="384"/>
      <c r="CH195" s="384"/>
      <c r="CI195" s="384"/>
      <c r="CJ195" s="384"/>
      <c r="CK195" s="384"/>
      <c r="CL195" s="384"/>
      <c r="CM195" s="384"/>
      <c r="CN195" s="384"/>
      <c r="CO195" s="384"/>
      <c r="CP195" s="384"/>
      <c r="CQ195" s="384"/>
      <c r="CR195" s="384"/>
      <c r="CS195" s="384"/>
      <c r="CT195" s="384"/>
      <c r="CU195" s="384"/>
      <c r="CV195" s="384"/>
      <c r="CW195" s="384"/>
      <c r="CX195" s="384"/>
      <c r="CY195" s="384"/>
      <c r="CZ195" s="384"/>
      <c r="DA195" s="384"/>
      <c r="DB195" s="384"/>
      <c r="DC195" s="384"/>
      <c r="DD195" s="384"/>
      <c r="DE195" s="384"/>
      <c r="DF195" s="384"/>
      <c r="DG195" s="384"/>
      <c r="DH195" s="384"/>
      <c r="DI195" s="384"/>
      <c r="DJ195" s="384"/>
      <c r="DK195" s="384"/>
      <c r="DL195" s="384"/>
      <c r="DM195" s="384"/>
      <c r="DN195" s="384"/>
      <c r="DO195" s="384"/>
      <c r="DP195" s="384"/>
      <c r="DQ195" s="384"/>
      <c r="DR195" s="384"/>
      <c r="DS195" s="384"/>
      <c r="DT195" s="384"/>
      <c r="DU195" s="384"/>
      <c r="DV195" s="384"/>
      <c r="DW195" s="384"/>
      <c r="DX195" s="384"/>
      <c r="DY195" s="384"/>
      <c r="DZ195" s="384"/>
      <c r="EA195" s="384"/>
      <c r="EB195" s="384"/>
      <c r="EC195" s="384"/>
      <c r="ED195" s="384"/>
      <c r="EE195" s="384"/>
      <c r="EF195" s="384"/>
      <c r="EG195" s="384"/>
      <c r="EH195" s="384"/>
      <c r="EI195" s="384"/>
      <c r="EJ195" s="384"/>
      <c r="EK195" s="384"/>
      <c r="EL195" s="384"/>
      <c r="EM195" s="384"/>
      <c r="EN195" s="384"/>
      <c r="EO195" s="384"/>
      <c r="EP195" s="384"/>
      <c r="EQ195" s="384"/>
      <c r="ER195" s="384"/>
      <c r="ES195" s="384"/>
      <c r="ET195" s="384"/>
      <c r="EU195" s="202"/>
      <c r="EV195" s="202"/>
      <c r="EW195" s="202"/>
      <c r="EX195" s="202"/>
      <c r="EY195" s="202"/>
      <c r="EZ195" s="154"/>
      <c r="FA195" s="202"/>
      <c r="FB195" s="202"/>
      <c r="FC195" s="202"/>
      <c r="FD195" s="202"/>
      <c r="FE195" s="202"/>
      <c r="FF195" s="202"/>
      <c r="FG195" s="202"/>
      <c r="FH195" s="202"/>
      <c r="FI195" s="202"/>
      <c r="FJ195" s="202"/>
      <c r="FK195" s="202"/>
      <c r="FL195" s="202"/>
      <c r="FM195" s="202"/>
      <c r="FN195" s="202"/>
      <c r="FO195" s="202"/>
      <c r="FP195" s="202"/>
      <c r="FQ195" s="202"/>
      <c r="FR195" s="202"/>
      <c r="FS195" s="202"/>
      <c r="FT195" s="202"/>
      <c r="FU195" s="202"/>
      <c r="FV195" s="202"/>
      <c r="FW195" s="202"/>
      <c r="FX195" s="202"/>
      <c r="FY195" s="202"/>
      <c r="FZ195" s="202"/>
      <c r="GA195" s="202"/>
      <c r="GB195" s="202"/>
      <c r="GC195" s="202"/>
      <c r="GD195" s="202"/>
      <c r="GE195" s="202"/>
      <c r="GF195" s="202"/>
      <c r="GG195" s="202"/>
      <c r="GH195" s="202"/>
      <c r="GI195" s="202"/>
      <c r="GJ195" s="202"/>
      <c r="GK195" s="202"/>
      <c r="GL195" s="202"/>
      <c r="GM195" s="202"/>
      <c r="GN195" s="202"/>
      <c r="GO195" s="202"/>
      <c r="GP195" s="202"/>
      <c r="GQ195" s="202"/>
      <c r="GR195" s="202"/>
      <c r="GS195" s="202"/>
      <c r="GT195" s="202"/>
      <c r="GU195" s="202"/>
      <c r="GV195" s="202"/>
      <c r="GW195" s="202"/>
      <c r="GX195" s="202"/>
      <c r="GY195" s="202"/>
      <c r="GZ195" s="202"/>
      <c r="HA195" s="202"/>
      <c r="HB195" s="202"/>
      <c r="HC195" s="202"/>
      <c r="HD195" s="202"/>
      <c r="HE195" s="202"/>
      <c r="HF195" s="202"/>
      <c r="HG195" s="202"/>
      <c r="HH195" s="202"/>
      <c r="HI195" s="202"/>
      <c r="HJ195" s="202"/>
      <c r="HK195" s="202"/>
      <c r="HL195" s="202"/>
      <c r="HM195" s="202"/>
      <c r="HN195" s="202"/>
      <c r="HO195" s="202"/>
      <c r="HP195" s="202"/>
      <c r="HQ195" s="202"/>
      <c r="HR195" s="202"/>
      <c r="HS195" s="202"/>
      <c r="HT195" s="202"/>
      <c r="HU195" s="202"/>
      <c r="HV195" s="202"/>
      <c r="HW195" s="202"/>
      <c r="HX195" s="202"/>
      <c r="HY195" s="202"/>
      <c r="HZ195" s="202"/>
      <c r="IA195" s="202"/>
      <c r="IB195" s="202"/>
      <c r="IC195" s="202"/>
      <c r="ID195" s="202"/>
      <c r="IE195" s="202"/>
      <c r="IF195" s="202"/>
      <c r="IG195" s="202"/>
      <c r="IH195" s="202"/>
      <c r="II195" s="202"/>
      <c r="IJ195" s="202"/>
      <c r="IK195" s="202"/>
      <c r="IL195" s="202"/>
      <c r="IM195" s="202"/>
      <c r="IN195" s="202"/>
      <c r="IO195" s="202"/>
      <c r="IP195" s="202"/>
      <c r="IQ195" s="202"/>
      <c r="IR195" s="202"/>
      <c r="IS195" s="202"/>
      <c r="IT195" s="202"/>
      <c r="IU195" s="202"/>
      <c r="IV195" s="202"/>
      <c r="IW195" s="202"/>
      <c r="IX195" s="202"/>
      <c r="IY195" s="202"/>
      <c r="IZ195" s="202"/>
      <c r="JA195" s="202"/>
      <c r="JB195" s="202"/>
      <c r="JC195" s="202"/>
      <c r="JD195" s="202"/>
      <c r="JE195" s="202"/>
      <c r="JF195" s="202"/>
      <c r="JG195" s="202"/>
      <c r="JH195" s="202"/>
      <c r="JI195" s="202"/>
      <c r="JJ195" s="202"/>
      <c r="JK195" s="202"/>
      <c r="JL195" s="202"/>
      <c r="JM195" s="202"/>
      <c r="JN195" s="202"/>
      <c r="JO195" s="202"/>
      <c r="JP195" s="202"/>
      <c r="JQ195" s="202"/>
      <c r="JR195" s="202"/>
      <c r="JS195" s="202"/>
      <c r="JT195" s="202"/>
      <c r="JU195" s="202"/>
      <c r="JV195" s="202"/>
      <c r="JW195" s="202"/>
      <c r="JX195" s="202"/>
      <c r="JY195" s="202"/>
      <c r="JZ195" s="202"/>
      <c r="KA195" s="202"/>
      <c r="KB195" s="202"/>
      <c r="KC195" s="202"/>
    </row>
    <row r="196" spans="1:289" s="264" customFormat="1" x14ac:dyDescent="0.25">
      <c r="A196" s="258"/>
      <c r="B196" s="293"/>
      <c r="C196" s="294"/>
      <c r="D196" s="297"/>
      <c r="E196" s="294"/>
      <c r="F196" s="383" t="str">
        <f>"/"&amp;Unit_Type</f>
        <v>/SF</v>
      </c>
      <c r="G196" s="351">
        <f>+G195/$D$99</f>
        <v>255.55478198777169</v>
      </c>
      <c r="H196" s="351">
        <f t="shared" ref="H196:I196" ca="1" si="869">+H195/$D$99</f>
        <v>255.89427210246797</v>
      </c>
      <c r="I196" s="351">
        <f t="shared" ca="1" si="869"/>
        <v>272.34537991029566</v>
      </c>
      <c r="J196" s="384"/>
      <c r="K196" s="384"/>
      <c r="L196" s="384"/>
      <c r="M196" s="384"/>
      <c r="N196" s="384"/>
      <c r="O196" s="384"/>
      <c r="P196" s="384"/>
      <c r="Q196" s="384"/>
      <c r="R196" s="384"/>
      <c r="S196" s="384"/>
      <c r="T196" s="384"/>
      <c r="U196" s="384"/>
      <c r="V196" s="384"/>
      <c r="W196" s="384"/>
      <c r="X196" s="384"/>
      <c r="Y196" s="384"/>
      <c r="Z196" s="384"/>
      <c r="AA196" s="384"/>
      <c r="AB196" s="384"/>
      <c r="AC196" s="384"/>
      <c r="AD196" s="384"/>
      <c r="AE196" s="384"/>
      <c r="AF196" s="384"/>
      <c r="AG196" s="384"/>
      <c r="AH196" s="384"/>
      <c r="AI196" s="384"/>
      <c r="AJ196" s="384"/>
      <c r="AK196" s="384"/>
      <c r="AL196" s="384"/>
      <c r="AM196" s="384"/>
      <c r="AN196" s="384"/>
      <c r="AO196" s="384"/>
      <c r="AP196" s="384"/>
      <c r="AQ196" s="384"/>
      <c r="AR196" s="384"/>
      <c r="AS196" s="384"/>
      <c r="AT196" s="384"/>
      <c r="AU196" s="384"/>
      <c r="AV196" s="384"/>
      <c r="AW196" s="384"/>
      <c r="AX196" s="384"/>
      <c r="AY196" s="384"/>
      <c r="AZ196" s="384"/>
      <c r="BA196" s="384"/>
      <c r="BB196" s="384"/>
      <c r="BC196" s="384"/>
      <c r="BD196" s="384"/>
      <c r="BE196" s="384"/>
      <c r="BF196" s="384"/>
      <c r="BG196" s="384"/>
      <c r="BH196" s="384"/>
      <c r="BI196" s="384"/>
      <c r="BJ196" s="384"/>
      <c r="BK196" s="384"/>
      <c r="BL196" s="384"/>
      <c r="BM196" s="384"/>
      <c r="BN196" s="384"/>
      <c r="BO196" s="384"/>
      <c r="BP196" s="384"/>
      <c r="BQ196" s="384"/>
      <c r="BR196" s="384"/>
      <c r="BS196" s="384"/>
      <c r="BT196" s="384"/>
      <c r="BU196" s="384"/>
      <c r="BV196" s="384"/>
      <c r="BW196" s="384"/>
      <c r="BX196" s="384"/>
      <c r="BY196" s="384"/>
      <c r="BZ196" s="384"/>
      <c r="CA196" s="384"/>
      <c r="CB196" s="384"/>
      <c r="CC196" s="384"/>
      <c r="CD196" s="384"/>
      <c r="CE196" s="384"/>
      <c r="CF196" s="384"/>
      <c r="CG196" s="384"/>
      <c r="CH196" s="384"/>
      <c r="CI196" s="384"/>
      <c r="CJ196" s="384"/>
      <c r="CK196" s="384"/>
      <c r="CL196" s="384"/>
      <c r="CM196" s="384"/>
      <c r="CN196" s="384"/>
      <c r="CO196" s="384"/>
      <c r="CP196" s="384"/>
      <c r="CQ196" s="384"/>
      <c r="CR196" s="384"/>
      <c r="CS196" s="384"/>
      <c r="CT196" s="384"/>
      <c r="CU196" s="384"/>
      <c r="CV196" s="384"/>
      <c r="CW196" s="384"/>
      <c r="CX196" s="384"/>
      <c r="CY196" s="384"/>
      <c r="CZ196" s="384"/>
      <c r="DA196" s="384"/>
      <c r="DB196" s="384"/>
      <c r="DC196" s="384"/>
      <c r="DD196" s="384"/>
      <c r="DE196" s="384"/>
      <c r="DF196" s="384"/>
      <c r="DG196" s="384"/>
      <c r="DH196" s="384"/>
      <c r="DI196" s="384"/>
      <c r="DJ196" s="384"/>
      <c r="DK196" s="384"/>
      <c r="DL196" s="384"/>
      <c r="DM196" s="384"/>
      <c r="DN196" s="384"/>
      <c r="DO196" s="384"/>
      <c r="DP196" s="384"/>
      <c r="DQ196" s="384"/>
      <c r="DR196" s="384"/>
      <c r="DS196" s="384"/>
      <c r="DT196" s="384"/>
      <c r="DU196" s="384"/>
      <c r="DV196" s="384"/>
      <c r="DW196" s="384"/>
      <c r="DX196" s="384"/>
      <c r="DY196" s="384"/>
      <c r="DZ196" s="384"/>
      <c r="EA196" s="384"/>
      <c r="EB196" s="384"/>
      <c r="EC196" s="384"/>
      <c r="ED196" s="384"/>
      <c r="EE196" s="384"/>
      <c r="EF196" s="384"/>
      <c r="EG196" s="384"/>
      <c r="EH196" s="384"/>
      <c r="EI196" s="384"/>
      <c r="EJ196" s="384"/>
      <c r="EK196" s="384"/>
      <c r="EL196" s="384"/>
      <c r="EM196" s="384"/>
      <c r="EN196" s="384"/>
      <c r="EO196" s="384"/>
      <c r="EP196" s="384"/>
      <c r="EQ196" s="384"/>
      <c r="ER196" s="384"/>
      <c r="ES196" s="384"/>
      <c r="ET196" s="384"/>
      <c r="EU196" s="202"/>
      <c r="EV196" s="202"/>
      <c r="EW196" s="202"/>
      <c r="EX196" s="202"/>
      <c r="EY196" s="202"/>
      <c r="EZ196" s="154"/>
      <c r="FA196" s="202"/>
      <c r="FB196" s="202"/>
      <c r="FC196" s="202"/>
      <c r="FD196" s="202"/>
      <c r="FE196" s="202"/>
      <c r="FF196" s="202"/>
      <c r="FG196" s="202"/>
      <c r="FH196" s="202"/>
      <c r="FI196" s="202"/>
      <c r="FJ196" s="202"/>
      <c r="FK196" s="202"/>
      <c r="FL196" s="202"/>
      <c r="FM196" s="202"/>
      <c r="FN196" s="202"/>
      <c r="FO196" s="202"/>
      <c r="FP196" s="202"/>
      <c r="FQ196" s="202"/>
      <c r="FR196" s="202"/>
      <c r="FS196" s="202"/>
      <c r="FT196" s="202"/>
      <c r="FU196" s="202"/>
      <c r="FV196" s="202"/>
      <c r="FW196" s="202"/>
      <c r="FX196" s="202"/>
      <c r="FY196" s="202"/>
      <c r="FZ196" s="202"/>
      <c r="GA196" s="202"/>
      <c r="GB196" s="202"/>
      <c r="GC196" s="202"/>
      <c r="GD196" s="202"/>
      <c r="GE196" s="202"/>
      <c r="GF196" s="202"/>
      <c r="GG196" s="202"/>
      <c r="GH196" s="202"/>
      <c r="GI196" s="202"/>
      <c r="GJ196" s="202"/>
      <c r="GK196" s="202"/>
      <c r="GL196" s="202"/>
      <c r="GM196" s="202"/>
      <c r="GN196" s="202"/>
      <c r="GO196" s="202"/>
      <c r="GP196" s="202"/>
      <c r="GQ196" s="202"/>
      <c r="GR196" s="202"/>
      <c r="GS196" s="202"/>
      <c r="GT196" s="202"/>
      <c r="GU196" s="202"/>
      <c r="GV196" s="202"/>
      <c r="GW196" s="202"/>
      <c r="GX196" s="202"/>
      <c r="GY196" s="202"/>
      <c r="GZ196" s="202"/>
      <c r="HA196" s="202"/>
      <c r="HB196" s="202"/>
      <c r="HC196" s="202"/>
      <c r="HD196" s="202"/>
      <c r="HE196" s="202"/>
      <c r="HF196" s="202"/>
      <c r="HG196" s="202"/>
      <c r="HH196" s="202"/>
      <c r="HI196" s="202"/>
      <c r="HJ196" s="202"/>
      <c r="HK196" s="202"/>
      <c r="HL196" s="202"/>
      <c r="HM196" s="202"/>
      <c r="HN196" s="202"/>
      <c r="HO196" s="202"/>
      <c r="HP196" s="202"/>
      <c r="HQ196" s="202"/>
      <c r="HR196" s="202"/>
      <c r="HS196" s="202"/>
      <c r="HT196" s="202"/>
      <c r="HU196" s="202"/>
      <c r="HV196" s="202"/>
      <c r="HW196" s="202"/>
      <c r="HX196" s="202"/>
      <c r="HY196" s="202"/>
      <c r="HZ196" s="202"/>
      <c r="IA196" s="202"/>
      <c r="IB196" s="202"/>
      <c r="IC196" s="202"/>
      <c r="ID196" s="202"/>
      <c r="IE196" s="202"/>
      <c r="IF196" s="202"/>
      <c r="IG196" s="202"/>
      <c r="IH196" s="202"/>
      <c r="II196" s="202"/>
      <c r="IJ196" s="202"/>
      <c r="IK196" s="202"/>
      <c r="IL196" s="202"/>
      <c r="IM196" s="202"/>
      <c r="IN196" s="202"/>
      <c r="IO196" s="202"/>
      <c r="IP196" s="202"/>
      <c r="IQ196" s="202"/>
      <c r="IR196" s="202"/>
      <c r="IS196" s="202"/>
      <c r="IT196" s="202"/>
      <c r="IU196" s="202"/>
      <c r="IV196" s="202"/>
      <c r="IW196" s="202"/>
      <c r="IX196" s="202"/>
      <c r="IY196" s="202"/>
      <c r="IZ196" s="202"/>
      <c r="JA196" s="202"/>
      <c r="JB196" s="202"/>
      <c r="JC196" s="202"/>
      <c r="JD196" s="202"/>
      <c r="JE196" s="202"/>
      <c r="JF196" s="202"/>
      <c r="JG196" s="202"/>
      <c r="JH196" s="202"/>
      <c r="JI196" s="202"/>
      <c r="JJ196" s="202"/>
      <c r="JK196" s="202"/>
      <c r="JL196" s="202"/>
      <c r="JM196" s="202"/>
      <c r="JN196" s="202"/>
      <c r="JO196" s="202"/>
      <c r="JP196" s="202"/>
      <c r="JQ196" s="202"/>
      <c r="JR196" s="202"/>
      <c r="JS196" s="202"/>
      <c r="JT196" s="202"/>
      <c r="JU196" s="202"/>
      <c r="JV196" s="202"/>
      <c r="JW196" s="202"/>
      <c r="JX196" s="202"/>
      <c r="JY196" s="202"/>
      <c r="JZ196" s="202"/>
      <c r="KA196" s="202"/>
      <c r="KB196" s="202"/>
      <c r="KC196" s="202"/>
    </row>
    <row r="197" spans="1:289" ht="5.0999999999999996" customHeight="1" x14ac:dyDescent="0.25">
      <c r="B197" s="549"/>
      <c r="C197" s="550"/>
      <c r="D197" s="550"/>
      <c r="E197" s="550"/>
      <c r="F197" s="550">
        <v>1</v>
      </c>
      <c r="G197" s="550"/>
      <c r="H197" s="550"/>
      <c r="I197" s="550"/>
      <c r="J197" s="546"/>
      <c r="K197" s="546"/>
      <c r="L197" s="546"/>
      <c r="M197" s="546"/>
      <c r="N197" s="546"/>
      <c r="O197" s="546"/>
      <c r="P197" s="546"/>
      <c r="Q197" s="546"/>
      <c r="R197" s="546"/>
      <c r="S197" s="546"/>
      <c r="T197" s="546"/>
      <c r="U197" s="546"/>
      <c r="V197" s="546"/>
      <c r="W197" s="546"/>
      <c r="X197" s="546"/>
      <c r="Y197" s="546"/>
      <c r="Z197" s="546"/>
      <c r="AA197" s="546"/>
      <c r="AB197" s="546"/>
      <c r="AC197" s="546"/>
      <c r="AD197" s="546"/>
      <c r="AE197" s="546"/>
      <c r="AF197" s="546"/>
      <c r="AG197" s="546"/>
      <c r="AH197" s="546"/>
      <c r="AI197" s="546"/>
      <c r="AJ197" s="546"/>
      <c r="AK197" s="546"/>
      <c r="AL197" s="546"/>
      <c r="AM197" s="546"/>
      <c r="AN197" s="546"/>
      <c r="AO197" s="546"/>
      <c r="AP197" s="546"/>
      <c r="AQ197" s="546"/>
      <c r="AR197" s="546"/>
      <c r="AS197" s="546"/>
      <c r="AT197" s="546"/>
      <c r="AU197" s="546"/>
      <c r="AV197" s="546"/>
      <c r="AW197" s="546"/>
      <c r="AX197" s="546"/>
      <c r="AY197" s="546"/>
      <c r="AZ197" s="546"/>
      <c r="BA197" s="546"/>
      <c r="BB197" s="546"/>
      <c r="BC197" s="546"/>
      <c r="BD197" s="546"/>
      <c r="BE197" s="546"/>
      <c r="BF197" s="546"/>
      <c r="BG197" s="546"/>
      <c r="BH197" s="546"/>
      <c r="BI197" s="546"/>
      <c r="BJ197" s="546"/>
      <c r="BK197" s="546"/>
      <c r="BL197" s="546"/>
      <c r="BM197" s="546"/>
      <c r="BN197" s="546"/>
      <c r="BO197" s="546"/>
      <c r="BP197" s="546"/>
      <c r="BQ197" s="546"/>
      <c r="BR197" s="546"/>
      <c r="BS197" s="546"/>
      <c r="BT197" s="546"/>
      <c r="BU197" s="546"/>
      <c r="BV197" s="546"/>
      <c r="BW197" s="546"/>
      <c r="BX197" s="546"/>
      <c r="BY197" s="546"/>
      <c r="BZ197" s="546"/>
      <c r="CA197" s="546"/>
      <c r="CB197" s="546"/>
      <c r="CC197" s="546"/>
      <c r="CD197" s="546"/>
      <c r="CE197" s="546"/>
      <c r="CF197" s="546"/>
      <c r="CG197" s="546"/>
      <c r="CH197" s="546"/>
      <c r="CI197" s="546"/>
      <c r="CJ197" s="546"/>
      <c r="CK197" s="546"/>
      <c r="CL197" s="546"/>
      <c r="CM197" s="546"/>
      <c r="CN197" s="546"/>
      <c r="CO197" s="546"/>
      <c r="CP197" s="546"/>
      <c r="CQ197" s="546"/>
      <c r="CR197" s="546"/>
      <c r="CS197" s="546"/>
      <c r="CT197" s="546"/>
      <c r="CU197" s="546"/>
      <c r="CV197" s="546"/>
      <c r="CW197" s="546"/>
      <c r="CX197" s="546"/>
      <c r="CY197" s="546"/>
      <c r="CZ197" s="546"/>
      <c r="DA197" s="546"/>
      <c r="DB197" s="546"/>
      <c r="DC197" s="546"/>
      <c r="DD197" s="546"/>
      <c r="DE197" s="546"/>
      <c r="DF197" s="546"/>
      <c r="DG197" s="546"/>
      <c r="DH197" s="546"/>
      <c r="DI197" s="546"/>
      <c r="DJ197" s="546"/>
      <c r="DK197" s="546"/>
      <c r="DL197" s="546"/>
      <c r="DM197" s="546"/>
      <c r="DN197" s="546"/>
      <c r="DO197" s="546"/>
      <c r="DP197" s="546"/>
      <c r="DQ197" s="546"/>
      <c r="DR197" s="546"/>
      <c r="DS197" s="546"/>
      <c r="DT197" s="546"/>
      <c r="DU197" s="546"/>
      <c r="DV197" s="546"/>
      <c r="DW197" s="546"/>
      <c r="DX197" s="546"/>
      <c r="DY197" s="546"/>
      <c r="DZ197" s="546"/>
      <c r="EA197" s="546"/>
      <c r="EB197" s="546"/>
      <c r="EC197" s="546"/>
      <c r="ED197" s="546"/>
      <c r="EE197" s="546"/>
      <c r="EF197" s="546"/>
      <c r="EG197" s="546"/>
      <c r="EH197" s="546"/>
      <c r="EI197" s="546"/>
      <c r="EJ197" s="546"/>
      <c r="EK197" s="546"/>
      <c r="EL197" s="546"/>
      <c r="EM197" s="546"/>
      <c r="EN197" s="546"/>
      <c r="EO197" s="546"/>
      <c r="EP197" s="546"/>
      <c r="EQ197" s="546"/>
      <c r="ER197" s="546"/>
      <c r="ES197" s="546"/>
      <c r="ET197" s="546"/>
      <c r="EU197" s="546"/>
      <c r="EV197" s="546"/>
      <c r="EW197" s="546"/>
      <c r="EX197" s="546"/>
      <c r="EY197" s="546"/>
      <c r="EZ197" s="550"/>
      <c r="FA197" s="546"/>
      <c r="FB197" s="546"/>
      <c r="FC197" s="546"/>
      <c r="FD197" s="546"/>
      <c r="FE197" s="546"/>
      <c r="FF197" s="546"/>
      <c r="FG197" s="546"/>
      <c r="FH197" s="546"/>
      <c r="FI197" s="546"/>
      <c r="FJ197" s="546"/>
      <c r="FK197" s="546"/>
      <c r="FL197" s="546"/>
      <c r="FM197" s="546"/>
      <c r="FN197" s="546"/>
      <c r="FO197" s="546"/>
      <c r="FP197" s="546"/>
      <c r="FQ197" s="546"/>
      <c r="FR197" s="546"/>
      <c r="FS197" s="546"/>
      <c r="FT197" s="546"/>
      <c r="FU197" s="546"/>
      <c r="FV197" s="546"/>
      <c r="FW197" s="546"/>
      <c r="FX197" s="546"/>
      <c r="FY197" s="546"/>
      <c r="FZ197" s="546"/>
      <c r="GA197" s="546"/>
      <c r="GB197" s="546"/>
      <c r="GC197" s="546"/>
      <c r="GD197" s="546"/>
      <c r="GE197" s="546"/>
      <c r="GF197" s="546"/>
      <c r="GG197" s="546"/>
      <c r="GH197" s="546"/>
      <c r="GI197" s="546"/>
      <c r="GJ197" s="546"/>
      <c r="GK197" s="546"/>
      <c r="GL197" s="546"/>
      <c r="GM197" s="546"/>
      <c r="GN197" s="546"/>
      <c r="GO197" s="546"/>
      <c r="GP197" s="546"/>
      <c r="GQ197" s="546"/>
      <c r="GR197" s="546"/>
      <c r="GS197" s="546"/>
      <c r="GT197" s="546"/>
      <c r="GU197" s="546"/>
      <c r="GV197" s="546"/>
      <c r="GW197" s="546"/>
      <c r="GX197" s="546"/>
      <c r="GY197" s="546"/>
      <c r="GZ197" s="546"/>
      <c r="HA197" s="546"/>
      <c r="HB197" s="546"/>
      <c r="HC197" s="546"/>
      <c r="HD197" s="546"/>
      <c r="HE197" s="546"/>
      <c r="HF197" s="546"/>
      <c r="HG197" s="546"/>
      <c r="HH197" s="546"/>
      <c r="HI197" s="546"/>
      <c r="HJ197" s="546"/>
      <c r="HK197" s="546"/>
      <c r="HL197" s="546"/>
      <c r="HM197" s="546"/>
      <c r="HN197" s="546"/>
      <c r="HO197" s="546"/>
      <c r="HP197" s="546"/>
      <c r="HQ197" s="546"/>
      <c r="HR197" s="546"/>
      <c r="HS197" s="546"/>
      <c r="HT197" s="546"/>
      <c r="HU197" s="546"/>
      <c r="HV197" s="546"/>
      <c r="HW197" s="546"/>
      <c r="HX197" s="546"/>
      <c r="HY197" s="546"/>
      <c r="HZ197" s="546"/>
      <c r="IA197" s="546"/>
      <c r="IB197" s="546"/>
      <c r="IC197" s="546"/>
      <c r="ID197" s="546"/>
      <c r="IE197" s="546"/>
      <c r="IF197" s="546"/>
      <c r="IG197" s="546"/>
      <c r="IH197" s="546"/>
      <c r="II197" s="546"/>
      <c r="IJ197" s="546"/>
      <c r="IK197" s="546"/>
      <c r="IL197" s="546"/>
      <c r="IM197" s="546"/>
      <c r="IN197" s="546"/>
      <c r="IO197" s="546"/>
      <c r="IP197" s="546"/>
      <c r="IQ197" s="546"/>
      <c r="IR197" s="546"/>
      <c r="IS197" s="546"/>
      <c r="IT197" s="546"/>
      <c r="IU197" s="546"/>
      <c r="IV197" s="546"/>
      <c r="IW197" s="546"/>
      <c r="IX197" s="546"/>
      <c r="IY197" s="546"/>
      <c r="IZ197" s="546"/>
      <c r="JA197" s="546"/>
      <c r="JB197" s="546"/>
      <c r="JC197" s="546"/>
      <c r="JD197" s="546"/>
      <c r="JE197" s="546"/>
      <c r="JF197" s="546"/>
      <c r="JG197" s="546"/>
      <c r="JH197" s="546"/>
      <c r="JI197" s="546"/>
      <c r="JJ197" s="546"/>
      <c r="JK197" s="546"/>
      <c r="JL197" s="546"/>
      <c r="JM197" s="546"/>
      <c r="JN197" s="546"/>
      <c r="JO197" s="546"/>
      <c r="JP197" s="546"/>
      <c r="JQ197" s="546"/>
      <c r="JR197" s="546"/>
      <c r="JS197" s="546"/>
      <c r="JT197" s="546"/>
      <c r="JU197" s="546"/>
      <c r="JV197" s="546"/>
      <c r="JW197" s="546"/>
      <c r="JX197" s="546"/>
      <c r="JY197" s="546"/>
      <c r="JZ197" s="546"/>
      <c r="KA197" s="546"/>
      <c r="KB197" s="546"/>
      <c r="KC197" s="546"/>
    </row>
    <row r="198" spans="1:289" x14ac:dyDescent="0.25">
      <c r="B198" s="547" t="s">
        <v>165</v>
      </c>
      <c r="C198" s="550"/>
      <c r="D198" s="550"/>
      <c r="E198" s="550"/>
      <c r="F198" s="550"/>
      <c r="G198" s="550"/>
      <c r="H198" s="550"/>
      <c r="I198" s="550"/>
      <c r="J198" s="200"/>
      <c r="K198" s="200"/>
      <c r="L198" s="200"/>
      <c r="M198" s="200"/>
      <c r="N198" s="200"/>
      <c r="O198" s="200"/>
      <c r="P198" s="200" t="s">
        <v>462</v>
      </c>
      <c r="Q198" s="201">
        <f t="shared" ref="Q198:AV198" si="870">IF(Q3&gt;Timing_Analysis_End_Month,"",Q3)</f>
        <v>0</v>
      </c>
      <c r="R198" s="201">
        <f t="shared" si="870"/>
        <v>1</v>
      </c>
      <c r="S198" s="201">
        <f t="shared" si="870"/>
        <v>2</v>
      </c>
      <c r="T198" s="201">
        <f t="shared" si="870"/>
        <v>3</v>
      </c>
      <c r="U198" s="201">
        <f t="shared" si="870"/>
        <v>4</v>
      </c>
      <c r="V198" s="201">
        <f t="shared" si="870"/>
        <v>5</v>
      </c>
      <c r="W198" s="201">
        <f t="shared" si="870"/>
        <v>6</v>
      </c>
      <c r="X198" s="201">
        <f t="shared" si="870"/>
        <v>7</v>
      </c>
      <c r="Y198" s="201">
        <f t="shared" si="870"/>
        <v>8</v>
      </c>
      <c r="Z198" s="201">
        <f t="shared" si="870"/>
        <v>9</v>
      </c>
      <c r="AA198" s="201">
        <f t="shared" si="870"/>
        <v>10</v>
      </c>
      <c r="AB198" s="201">
        <f t="shared" si="870"/>
        <v>11</v>
      </c>
      <c r="AC198" s="201">
        <f t="shared" si="870"/>
        <v>12</v>
      </c>
      <c r="AD198" s="201">
        <f t="shared" si="870"/>
        <v>13</v>
      </c>
      <c r="AE198" s="201">
        <f t="shared" si="870"/>
        <v>14</v>
      </c>
      <c r="AF198" s="201">
        <f t="shared" si="870"/>
        <v>15</v>
      </c>
      <c r="AG198" s="201">
        <f t="shared" si="870"/>
        <v>16</v>
      </c>
      <c r="AH198" s="201">
        <f t="shared" si="870"/>
        <v>17</v>
      </c>
      <c r="AI198" s="201">
        <f t="shared" si="870"/>
        <v>18</v>
      </c>
      <c r="AJ198" s="201">
        <f t="shared" si="870"/>
        <v>19</v>
      </c>
      <c r="AK198" s="201">
        <f t="shared" si="870"/>
        <v>20</v>
      </c>
      <c r="AL198" s="201">
        <f t="shared" si="870"/>
        <v>21</v>
      </c>
      <c r="AM198" s="201">
        <f t="shared" si="870"/>
        <v>22</v>
      </c>
      <c r="AN198" s="201">
        <f t="shared" si="870"/>
        <v>23</v>
      </c>
      <c r="AO198" s="201">
        <f t="shared" si="870"/>
        <v>24</v>
      </c>
      <c r="AP198" s="201">
        <f t="shared" si="870"/>
        <v>25</v>
      </c>
      <c r="AQ198" s="201">
        <f t="shared" si="870"/>
        <v>26</v>
      </c>
      <c r="AR198" s="201">
        <f t="shared" si="870"/>
        <v>27</v>
      </c>
      <c r="AS198" s="201">
        <f t="shared" si="870"/>
        <v>28</v>
      </c>
      <c r="AT198" s="201">
        <f t="shared" si="870"/>
        <v>29</v>
      </c>
      <c r="AU198" s="201">
        <f t="shared" si="870"/>
        <v>30</v>
      </c>
      <c r="AV198" s="201">
        <f t="shared" si="870"/>
        <v>31</v>
      </c>
      <c r="AW198" s="201">
        <f t="shared" ref="AW198:CB198" si="871">IF(AW3&gt;Timing_Analysis_End_Month,"",AW3)</f>
        <v>32</v>
      </c>
      <c r="AX198" s="201">
        <f t="shared" si="871"/>
        <v>33</v>
      </c>
      <c r="AY198" s="201">
        <f t="shared" si="871"/>
        <v>34</v>
      </c>
      <c r="AZ198" s="201">
        <f t="shared" si="871"/>
        <v>35</v>
      </c>
      <c r="BA198" s="201">
        <f t="shared" si="871"/>
        <v>36</v>
      </c>
      <c r="BB198" s="201" t="str">
        <f t="shared" si="871"/>
        <v/>
      </c>
      <c r="BC198" s="201" t="str">
        <f t="shared" si="871"/>
        <v/>
      </c>
      <c r="BD198" s="201" t="str">
        <f t="shared" si="871"/>
        <v/>
      </c>
      <c r="BE198" s="201" t="str">
        <f t="shared" si="871"/>
        <v/>
      </c>
      <c r="BF198" s="201" t="str">
        <f t="shared" si="871"/>
        <v/>
      </c>
      <c r="BG198" s="201" t="str">
        <f t="shared" si="871"/>
        <v/>
      </c>
      <c r="BH198" s="201" t="str">
        <f t="shared" si="871"/>
        <v/>
      </c>
      <c r="BI198" s="201" t="str">
        <f t="shared" si="871"/>
        <v/>
      </c>
      <c r="BJ198" s="201" t="str">
        <f t="shared" si="871"/>
        <v/>
      </c>
      <c r="BK198" s="201" t="str">
        <f t="shared" si="871"/>
        <v/>
      </c>
      <c r="BL198" s="201" t="str">
        <f t="shared" si="871"/>
        <v/>
      </c>
      <c r="BM198" s="201" t="str">
        <f t="shared" si="871"/>
        <v/>
      </c>
      <c r="BN198" s="201" t="str">
        <f t="shared" si="871"/>
        <v/>
      </c>
      <c r="BO198" s="201" t="str">
        <f t="shared" si="871"/>
        <v/>
      </c>
      <c r="BP198" s="201" t="str">
        <f t="shared" si="871"/>
        <v/>
      </c>
      <c r="BQ198" s="201" t="str">
        <f t="shared" si="871"/>
        <v/>
      </c>
      <c r="BR198" s="201" t="str">
        <f t="shared" si="871"/>
        <v/>
      </c>
      <c r="BS198" s="201" t="str">
        <f t="shared" si="871"/>
        <v/>
      </c>
      <c r="BT198" s="201" t="str">
        <f t="shared" si="871"/>
        <v/>
      </c>
      <c r="BU198" s="201" t="str">
        <f t="shared" si="871"/>
        <v/>
      </c>
      <c r="BV198" s="201" t="str">
        <f t="shared" si="871"/>
        <v/>
      </c>
      <c r="BW198" s="201" t="str">
        <f t="shared" si="871"/>
        <v/>
      </c>
      <c r="BX198" s="201" t="str">
        <f t="shared" si="871"/>
        <v/>
      </c>
      <c r="BY198" s="201" t="str">
        <f t="shared" si="871"/>
        <v/>
      </c>
      <c r="BZ198" s="201" t="str">
        <f t="shared" si="871"/>
        <v/>
      </c>
      <c r="CA198" s="201" t="str">
        <f t="shared" si="871"/>
        <v/>
      </c>
      <c r="CB198" s="201" t="str">
        <f t="shared" si="871"/>
        <v/>
      </c>
      <c r="CC198" s="201" t="str">
        <f t="shared" ref="CC198:DH198" si="872">IF(CC3&gt;Timing_Analysis_End_Month,"",CC3)</f>
        <v/>
      </c>
      <c r="CD198" s="201" t="str">
        <f t="shared" si="872"/>
        <v/>
      </c>
      <c r="CE198" s="201" t="str">
        <f t="shared" si="872"/>
        <v/>
      </c>
      <c r="CF198" s="201" t="str">
        <f t="shared" si="872"/>
        <v/>
      </c>
      <c r="CG198" s="201" t="str">
        <f t="shared" si="872"/>
        <v/>
      </c>
      <c r="CH198" s="201" t="str">
        <f t="shared" si="872"/>
        <v/>
      </c>
      <c r="CI198" s="201" t="str">
        <f t="shared" si="872"/>
        <v/>
      </c>
      <c r="CJ198" s="201" t="str">
        <f t="shared" si="872"/>
        <v/>
      </c>
      <c r="CK198" s="201" t="str">
        <f t="shared" si="872"/>
        <v/>
      </c>
      <c r="CL198" s="201" t="str">
        <f t="shared" si="872"/>
        <v/>
      </c>
      <c r="CM198" s="201" t="str">
        <f t="shared" si="872"/>
        <v/>
      </c>
      <c r="CN198" s="201" t="str">
        <f t="shared" si="872"/>
        <v/>
      </c>
      <c r="CO198" s="201" t="str">
        <f t="shared" si="872"/>
        <v/>
      </c>
      <c r="CP198" s="201" t="str">
        <f t="shared" si="872"/>
        <v/>
      </c>
      <c r="CQ198" s="201" t="str">
        <f t="shared" si="872"/>
        <v/>
      </c>
      <c r="CR198" s="201" t="str">
        <f t="shared" si="872"/>
        <v/>
      </c>
      <c r="CS198" s="201" t="str">
        <f t="shared" si="872"/>
        <v/>
      </c>
      <c r="CT198" s="201" t="str">
        <f t="shared" si="872"/>
        <v/>
      </c>
      <c r="CU198" s="201" t="str">
        <f t="shared" si="872"/>
        <v/>
      </c>
      <c r="CV198" s="201" t="str">
        <f t="shared" si="872"/>
        <v/>
      </c>
      <c r="CW198" s="201" t="str">
        <f t="shared" si="872"/>
        <v/>
      </c>
      <c r="CX198" s="201" t="str">
        <f t="shared" si="872"/>
        <v/>
      </c>
      <c r="CY198" s="201" t="str">
        <f t="shared" si="872"/>
        <v/>
      </c>
      <c r="CZ198" s="201" t="str">
        <f t="shared" si="872"/>
        <v/>
      </c>
      <c r="DA198" s="201" t="str">
        <f t="shared" si="872"/>
        <v/>
      </c>
      <c r="DB198" s="201" t="str">
        <f t="shared" si="872"/>
        <v/>
      </c>
      <c r="DC198" s="201" t="str">
        <f t="shared" si="872"/>
        <v/>
      </c>
      <c r="DD198" s="201" t="str">
        <f t="shared" si="872"/>
        <v/>
      </c>
      <c r="DE198" s="201" t="str">
        <f t="shared" si="872"/>
        <v/>
      </c>
      <c r="DF198" s="201" t="str">
        <f t="shared" si="872"/>
        <v/>
      </c>
      <c r="DG198" s="201" t="str">
        <f t="shared" si="872"/>
        <v/>
      </c>
      <c r="DH198" s="201" t="str">
        <f t="shared" si="872"/>
        <v/>
      </c>
      <c r="DI198" s="201" t="str">
        <f t="shared" ref="DI198:ES198" si="873">IF(DI3&gt;Timing_Analysis_End_Month,"",DI3)</f>
        <v/>
      </c>
      <c r="DJ198" s="201" t="str">
        <f t="shared" si="873"/>
        <v/>
      </c>
      <c r="DK198" s="201" t="str">
        <f t="shared" si="873"/>
        <v/>
      </c>
      <c r="DL198" s="201" t="str">
        <f t="shared" si="873"/>
        <v/>
      </c>
      <c r="DM198" s="201" t="str">
        <f t="shared" si="873"/>
        <v/>
      </c>
      <c r="DN198" s="201" t="str">
        <f t="shared" si="873"/>
        <v/>
      </c>
      <c r="DO198" s="201" t="str">
        <f t="shared" si="873"/>
        <v/>
      </c>
      <c r="DP198" s="201" t="str">
        <f t="shared" si="873"/>
        <v/>
      </c>
      <c r="DQ198" s="201" t="str">
        <f t="shared" si="873"/>
        <v/>
      </c>
      <c r="DR198" s="201" t="str">
        <f t="shared" si="873"/>
        <v/>
      </c>
      <c r="DS198" s="201" t="str">
        <f t="shared" si="873"/>
        <v/>
      </c>
      <c r="DT198" s="201" t="str">
        <f t="shared" si="873"/>
        <v/>
      </c>
      <c r="DU198" s="201" t="str">
        <f t="shared" si="873"/>
        <v/>
      </c>
      <c r="DV198" s="201" t="str">
        <f t="shared" si="873"/>
        <v/>
      </c>
      <c r="DW198" s="201" t="str">
        <f t="shared" si="873"/>
        <v/>
      </c>
      <c r="DX198" s="201" t="str">
        <f t="shared" si="873"/>
        <v/>
      </c>
      <c r="DY198" s="201" t="str">
        <f t="shared" si="873"/>
        <v/>
      </c>
      <c r="DZ198" s="201" t="str">
        <f t="shared" si="873"/>
        <v/>
      </c>
      <c r="EA198" s="201" t="str">
        <f t="shared" si="873"/>
        <v/>
      </c>
      <c r="EB198" s="201" t="str">
        <f t="shared" si="873"/>
        <v/>
      </c>
      <c r="EC198" s="201" t="str">
        <f t="shared" si="873"/>
        <v/>
      </c>
      <c r="ED198" s="201" t="str">
        <f t="shared" si="873"/>
        <v/>
      </c>
      <c r="EE198" s="201" t="str">
        <f t="shared" si="873"/>
        <v/>
      </c>
      <c r="EF198" s="201" t="str">
        <f t="shared" si="873"/>
        <v/>
      </c>
      <c r="EG198" s="201" t="str">
        <f t="shared" si="873"/>
        <v/>
      </c>
      <c r="EH198" s="201" t="str">
        <f t="shared" si="873"/>
        <v/>
      </c>
      <c r="EI198" s="201" t="str">
        <f t="shared" si="873"/>
        <v/>
      </c>
      <c r="EJ198" s="201" t="str">
        <f t="shared" si="873"/>
        <v/>
      </c>
      <c r="EK198" s="201" t="str">
        <f t="shared" si="873"/>
        <v/>
      </c>
      <c r="EL198" s="201" t="str">
        <f t="shared" si="873"/>
        <v/>
      </c>
      <c r="EM198" s="201" t="str">
        <f t="shared" si="873"/>
        <v/>
      </c>
      <c r="EN198" s="201" t="str">
        <f t="shared" si="873"/>
        <v/>
      </c>
      <c r="EO198" s="201" t="str">
        <f t="shared" si="873"/>
        <v/>
      </c>
      <c r="EP198" s="201" t="str">
        <f t="shared" si="873"/>
        <v/>
      </c>
      <c r="EQ198" s="201" t="str">
        <f t="shared" si="873"/>
        <v/>
      </c>
      <c r="ER198" s="201" t="str">
        <f t="shared" si="873"/>
        <v/>
      </c>
      <c r="ES198" s="201" t="str">
        <f t="shared" si="873"/>
        <v/>
      </c>
      <c r="EU198" s="202" t="s">
        <v>387</v>
      </c>
      <c r="EV198" s="202"/>
      <c r="EW198" s="202"/>
      <c r="EX198" s="202"/>
      <c r="EY198" s="202"/>
      <c r="EZ198" s="154"/>
      <c r="FA198" s="162">
        <f t="shared" ref="FA198:GF198" si="874">FA3</f>
        <v>0</v>
      </c>
      <c r="FB198" s="162">
        <f t="shared" si="874"/>
        <v>1</v>
      </c>
      <c r="FC198" s="162">
        <f t="shared" si="874"/>
        <v>2</v>
      </c>
      <c r="FD198" s="162">
        <f t="shared" si="874"/>
        <v>3</v>
      </c>
      <c r="FE198" s="162">
        <f t="shared" si="874"/>
        <v>4</v>
      </c>
      <c r="FF198" s="162">
        <f t="shared" si="874"/>
        <v>5</v>
      </c>
      <c r="FG198" s="162">
        <f t="shared" si="874"/>
        <v>6</v>
      </c>
      <c r="FH198" s="162">
        <f t="shared" si="874"/>
        <v>7</v>
      </c>
      <c r="FI198" s="162">
        <f t="shared" si="874"/>
        <v>8</v>
      </c>
      <c r="FJ198" s="162">
        <f t="shared" si="874"/>
        <v>9</v>
      </c>
      <c r="FK198" s="162">
        <f t="shared" si="874"/>
        <v>10</v>
      </c>
      <c r="FL198" s="162">
        <f t="shared" si="874"/>
        <v>11</v>
      </c>
      <c r="FM198" s="162">
        <f t="shared" si="874"/>
        <v>12</v>
      </c>
      <c r="FN198" s="162">
        <f t="shared" si="874"/>
        <v>13</v>
      </c>
      <c r="FO198" s="162">
        <f t="shared" si="874"/>
        <v>14</v>
      </c>
      <c r="FP198" s="162">
        <f t="shared" si="874"/>
        <v>15</v>
      </c>
      <c r="FQ198" s="162">
        <f t="shared" si="874"/>
        <v>16</v>
      </c>
      <c r="FR198" s="162">
        <f t="shared" si="874"/>
        <v>17</v>
      </c>
      <c r="FS198" s="162">
        <f t="shared" si="874"/>
        <v>18</v>
      </c>
      <c r="FT198" s="162">
        <f t="shared" si="874"/>
        <v>19</v>
      </c>
      <c r="FU198" s="162">
        <f t="shared" si="874"/>
        <v>20</v>
      </c>
      <c r="FV198" s="162">
        <f t="shared" si="874"/>
        <v>21</v>
      </c>
      <c r="FW198" s="162">
        <f t="shared" si="874"/>
        <v>22</v>
      </c>
      <c r="FX198" s="162">
        <f t="shared" si="874"/>
        <v>23</v>
      </c>
      <c r="FY198" s="162">
        <f t="shared" si="874"/>
        <v>24</v>
      </c>
      <c r="FZ198" s="162">
        <f t="shared" si="874"/>
        <v>25</v>
      </c>
      <c r="GA198" s="162">
        <f t="shared" si="874"/>
        <v>26</v>
      </c>
      <c r="GB198" s="162">
        <f t="shared" si="874"/>
        <v>27</v>
      </c>
      <c r="GC198" s="162">
        <f t="shared" si="874"/>
        <v>28</v>
      </c>
      <c r="GD198" s="162">
        <f t="shared" si="874"/>
        <v>29</v>
      </c>
      <c r="GE198" s="162">
        <f t="shared" si="874"/>
        <v>30</v>
      </c>
      <c r="GF198" s="162">
        <f t="shared" si="874"/>
        <v>31</v>
      </c>
      <c r="GG198" s="162">
        <f t="shared" ref="GG198:HL198" si="875">GG3</f>
        <v>32</v>
      </c>
      <c r="GH198" s="162">
        <f t="shared" si="875"/>
        <v>33</v>
      </c>
      <c r="GI198" s="162">
        <f t="shared" si="875"/>
        <v>34</v>
      </c>
      <c r="GJ198" s="162">
        <f t="shared" si="875"/>
        <v>35</v>
      </c>
      <c r="GK198" s="162">
        <f t="shared" si="875"/>
        <v>36</v>
      </c>
      <c r="GL198" s="162">
        <f t="shared" si="875"/>
        <v>37</v>
      </c>
      <c r="GM198" s="162">
        <f t="shared" si="875"/>
        <v>38</v>
      </c>
      <c r="GN198" s="162">
        <f t="shared" si="875"/>
        <v>39</v>
      </c>
      <c r="GO198" s="162">
        <f t="shared" si="875"/>
        <v>40</v>
      </c>
      <c r="GP198" s="162">
        <f t="shared" si="875"/>
        <v>41</v>
      </c>
      <c r="GQ198" s="162">
        <f t="shared" si="875"/>
        <v>42</v>
      </c>
      <c r="GR198" s="162">
        <f t="shared" si="875"/>
        <v>43</v>
      </c>
      <c r="GS198" s="162">
        <f t="shared" si="875"/>
        <v>44</v>
      </c>
      <c r="GT198" s="162">
        <f t="shared" si="875"/>
        <v>45</v>
      </c>
      <c r="GU198" s="162">
        <f t="shared" si="875"/>
        <v>46</v>
      </c>
      <c r="GV198" s="162">
        <f t="shared" si="875"/>
        <v>47</v>
      </c>
      <c r="GW198" s="162">
        <f t="shared" si="875"/>
        <v>48</v>
      </c>
      <c r="GX198" s="162">
        <f t="shared" si="875"/>
        <v>49</v>
      </c>
      <c r="GY198" s="162">
        <f t="shared" si="875"/>
        <v>50</v>
      </c>
      <c r="GZ198" s="162">
        <f t="shared" si="875"/>
        <v>51</v>
      </c>
      <c r="HA198" s="162">
        <f t="shared" si="875"/>
        <v>52</v>
      </c>
      <c r="HB198" s="162">
        <f t="shared" si="875"/>
        <v>53</v>
      </c>
      <c r="HC198" s="162">
        <f t="shared" si="875"/>
        <v>54</v>
      </c>
      <c r="HD198" s="162">
        <f t="shared" si="875"/>
        <v>55</v>
      </c>
      <c r="HE198" s="162">
        <f t="shared" si="875"/>
        <v>56</v>
      </c>
      <c r="HF198" s="162">
        <f t="shared" si="875"/>
        <v>57</v>
      </c>
      <c r="HG198" s="162">
        <f t="shared" si="875"/>
        <v>58</v>
      </c>
      <c r="HH198" s="162">
        <f t="shared" si="875"/>
        <v>59</v>
      </c>
      <c r="HI198" s="162">
        <f t="shared" si="875"/>
        <v>60</v>
      </c>
      <c r="HJ198" s="162">
        <f t="shared" si="875"/>
        <v>61</v>
      </c>
      <c r="HK198" s="162">
        <f t="shared" si="875"/>
        <v>62</v>
      </c>
      <c r="HL198" s="162">
        <f t="shared" si="875"/>
        <v>63</v>
      </c>
      <c r="HM198" s="162">
        <f t="shared" ref="HM198:IR198" si="876">HM3</f>
        <v>64</v>
      </c>
      <c r="HN198" s="162">
        <f t="shared" si="876"/>
        <v>65</v>
      </c>
      <c r="HO198" s="162">
        <f t="shared" si="876"/>
        <v>66</v>
      </c>
      <c r="HP198" s="162">
        <f t="shared" si="876"/>
        <v>67</v>
      </c>
      <c r="HQ198" s="162">
        <f t="shared" si="876"/>
        <v>68</v>
      </c>
      <c r="HR198" s="162">
        <f t="shared" si="876"/>
        <v>69</v>
      </c>
      <c r="HS198" s="162">
        <f t="shared" si="876"/>
        <v>70</v>
      </c>
      <c r="HT198" s="162">
        <f t="shared" si="876"/>
        <v>71</v>
      </c>
      <c r="HU198" s="162">
        <f t="shared" si="876"/>
        <v>72</v>
      </c>
      <c r="HV198" s="162">
        <f t="shared" si="876"/>
        <v>73</v>
      </c>
      <c r="HW198" s="162">
        <f t="shared" si="876"/>
        <v>74</v>
      </c>
      <c r="HX198" s="162">
        <f t="shared" si="876"/>
        <v>75</v>
      </c>
      <c r="HY198" s="162">
        <f t="shared" si="876"/>
        <v>76</v>
      </c>
      <c r="HZ198" s="162">
        <f t="shared" si="876"/>
        <v>77</v>
      </c>
      <c r="IA198" s="162">
        <f t="shared" si="876"/>
        <v>78</v>
      </c>
      <c r="IB198" s="162">
        <f t="shared" si="876"/>
        <v>79</v>
      </c>
      <c r="IC198" s="162">
        <f t="shared" si="876"/>
        <v>80</v>
      </c>
      <c r="ID198" s="162">
        <f t="shared" si="876"/>
        <v>81</v>
      </c>
      <c r="IE198" s="162">
        <f t="shared" si="876"/>
        <v>82</v>
      </c>
      <c r="IF198" s="162">
        <f t="shared" si="876"/>
        <v>83</v>
      </c>
      <c r="IG198" s="162">
        <f t="shared" si="876"/>
        <v>84</v>
      </c>
      <c r="IH198" s="162">
        <f t="shared" si="876"/>
        <v>85</v>
      </c>
      <c r="II198" s="162">
        <f t="shared" si="876"/>
        <v>86</v>
      </c>
      <c r="IJ198" s="162">
        <f t="shared" si="876"/>
        <v>87</v>
      </c>
      <c r="IK198" s="162">
        <f t="shared" si="876"/>
        <v>88</v>
      </c>
      <c r="IL198" s="162">
        <f t="shared" si="876"/>
        <v>89</v>
      </c>
      <c r="IM198" s="162">
        <f t="shared" si="876"/>
        <v>90</v>
      </c>
      <c r="IN198" s="162">
        <f t="shared" si="876"/>
        <v>91</v>
      </c>
      <c r="IO198" s="162">
        <f t="shared" si="876"/>
        <v>92</v>
      </c>
      <c r="IP198" s="162">
        <f t="shared" si="876"/>
        <v>93</v>
      </c>
      <c r="IQ198" s="162">
        <f t="shared" si="876"/>
        <v>94</v>
      </c>
      <c r="IR198" s="162">
        <f t="shared" si="876"/>
        <v>95</v>
      </c>
      <c r="IS198" s="162">
        <f t="shared" ref="IS198:KC198" si="877">IS3</f>
        <v>96</v>
      </c>
      <c r="IT198" s="162">
        <f t="shared" si="877"/>
        <v>97</v>
      </c>
      <c r="IU198" s="162">
        <f t="shared" si="877"/>
        <v>98</v>
      </c>
      <c r="IV198" s="162">
        <f t="shared" si="877"/>
        <v>99</v>
      </c>
      <c r="IW198" s="162">
        <f t="shared" si="877"/>
        <v>100</v>
      </c>
      <c r="IX198" s="162">
        <f t="shared" si="877"/>
        <v>101</v>
      </c>
      <c r="IY198" s="162">
        <f t="shared" si="877"/>
        <v>102</v>
      </c>
      <c r="IZ198" s="162">
        <f t="shared" si="877"/>
        <v>103</v>
      </c>
      <c r="JA198" s="162">
        <f t="shared" si="877"/>
        <v>104</v>
      </c>
      <c r="JB198" s="162">
        <f t="shared" si="877"/>
        <v>105</v>
      </c>
      <c r="JC198" s="162">
        <f t="shared" si="877"/>
        <v>106</v>
      </c>
      <c r="JD198" s="162">
        <f t="shared" si="877"/>
        <v>107</v>
      </c>
      <c r="JE198" s="162">
        <f t="shared" si="877"/>
        <v>108</v>
      </c>
      <c r="JF198" s="162">
        <f t="shared" si="877"/>
        <v>109</v>
      </c>
      <c r="JG198" s="162">
        <f t="shared" si="877"/>
        <v>110</v>
      </c>
      <c r="JH198" s="162">
        <f t="shared" si="877"/>
        <v>111</v>
      </c>
      <c r="JI198" s="162">
        <f t="shared" si="877"/>
        <v>112</v>
      </c>
      <c r="JJ198" s="162">
        <f t="shared" si="877"/>
        <v>113</v>
      </c>
      <c r="JK198" s="162">
        <f t="shared" si="877"/>
        <v>114</v>
      </c>
      <c r="JL198" s="162">
        <f t="shared" si="877"/>
        <v>115</v>
      </c>
      <c r="JM198" s="162">
        <f t="shared" si="877"/>
        <v>116</v>
      </c>
      <c r="JN198" s="162">
        <f t="shared" si="877"/>
        <v>117</v>
      </c>
      <c r="JO198" s="162">
        <f t="shared" si="877"/>
        <v>118</v>
      </c>
      <c r="JP198" s="162">
        <f t="shared" si="877"/>
        <v>119</v>
      </c>
      <c r="JQ198" s="162">
        <f t="shared" si="877"/>
        <v>120</v>
      </c>
      <c r="JR198" s="162">
        <f t="shared" si="877"/>
        <v>121</v>
      </c>
      <c r="JS198" s="162">
        <f t="shared" si="877"/>
        <v>122</v>
      </c>
      <c r="JT198" s="162">
        <f t="shared" si="877"/>
        <v>123</v>
      </c>
      <c r="JU198" s="162">
        <f t="shared" si="877"/>
        <v>124</v>
      </c>
      <c r="JV198" s="162">
        <f t="shared" si="877"/>
        <v>125</v>
      </c>
      <c r="JW198" s="162">
        <f t="shared" si="877"/>
        <v>126</v>
      </c>
      <c r="JX198" s="162">
        <f t="shared" si="877"/>
        <v>127</v>
      </c>
      <c r="JY198" s="162">
        <f t="shared" si="877"/>
        <v>128</v>
      </c>
      <c r="JZ198" s="162">
        <f t="shared" si="877"/>
        <v>129</v>
      </c>
      <c r="KA198" s="162">
        <f t="shared" si="877"/>
        <v>130</v>
      </c>
      <c r="KB198" s="162">
        <f t="shared" si="877"/>
        <v>131</v>
      </c>
      <c r="KC198" s="162">
        <f t="shared" si="877"/>
        <v>132</v>
      </c>
    </row>
    <row r="199" spans="1:289" x14ac:dyDescent="0.25">
      <c r="B199" s="369" t="s">
        <v>184</v>
      </c>
      <c r="C199" s="385"/>
      <c r="D199" s="385"/>
      <c r="E199" s="385"/>
      <c r="F199" s="385"/>
      <c r="G199" s="385"/>
      <c r="H199" s="378"/>
      <c r="I199" s="370" t="s">
        <v>44</v>
      </c>
      <c r="J199" s="160"/>
      <c r="K199" s="160"/>
      <c r="L199" s="160"/>
      <c r="M199" s="160"/>
      <c r="N199" s="160"/>
      <c r="O199" s="160"/>
      <c r="P199" s="160" t="s">
        <v>463</v>
      </c>
      <c r="Q199" s="206">
        <f t="shared" ref="Q199:AV199" si="878">IF(Q198="","",Q23)</f>
        <v>45688</v>
      </c>
      <c r="R199" s="206">
        <f t="shared" si="878"/>
        <v>45716</v>
      </c>
      <c r="S199" s="206">
        <f t="shared" si="878"/>
        <v>45747</v>
      </c>
      <c r="T199" s="206">
        <f t="shared" si="878"/>
        <v>45777</v>
      </c>
      <c r="U199" s="206">
        <f t="shared" si="878"/>
        <v>45808</v>
      </c>
      <c r="V199" s="206">
        <f t="shared" si="878"/>
        <v>45838</v>
      </c>
      <c r="W199" s="206">
        <f t="shared" si="878"/>
        <v>45869</v>
      </c>
      <c r="X199" s="206">
        <f t="shared" si="878"/>
        <v>45900</v>
      </c>
      <c r="Y199" s="206">
        <f t="shared" si="878"/>
        <v>45930</v>
      </c>
      <c r="Z199" s="206">
        <f t="shared" si="878"/>
        <v>45961</v>
      </c>
      <c r="AA199" s="206">
        <f t="shared" si="878"/>
        <v>45991</v>
      </c>
      <c r="AB199" s="206">
        <f t="shared" si="878"/>
        <v>46022</v>
      </c>
      <c r="AC199" s="206">
        <f t="shared" si="878"/>
        <v>46053</v>
      </c>
      <c r="AD199" s="206">
        <f t="shared" si="878"/>
        <v>46081</v>
      </c>
      <c r="AE199" s="206">
        <f t="shared" si="878"/>
        <v>46112</v>
      </c>
      <c r="AF199" s="206">
        <f t="shared" si="878"/>
        <v>46142</v>
      </c>
      <c r="AG199" s="206">
        <f t="shared" si="878"/>
        <v>46173</v>
      </c>
      <c r="AH199" s="206">
        <f t="shared" si="878"/>
        <v>46203</v>
      </c>
      <c r="AI199" s="206">
        <f t="shared" si="878"/>
        <v>46234</v>
      </c>
      <c r="AJ199" s="206">
        <f t="shared" si="878"/>
        <v>46265</v>
      </c>
      <c r="AK199" s="206">
        <f t="shared" si="878"/>
        <v>46295</v>
      </c>
      <c r="AL199" s="206">
        <f t="shared" si="878"/>
        <v>46326</v>
      </c>
      <c r="AM199" s="206">
        <f t="shared" si="878"/>
        <v>46356</v>
      </c>
      <c r="AN199" s="206">
        <f t="shared" si="878"/>
        <v>46387</v>
      </c>
      <c r="AO199" s="206">
        <f t="shared" si="878"/>
        <v>46418</v>
      </c>
      <c r="AP199" s="206">
        <f t="shared" si="878"/>
        <v>46446</v>
      </c>
      <c r="AQ199" s="206">
        <f t="shared" si="878"/>
        <v>46477</v>
      </c>
      <c r="AR199" s="206">
        <f t="shared" si="878"/>
        <v>46507</v>
      </c>
      <c r="AS199" s="206">
        <f t="shared" si="878"/>
        <v>46538</v>
      </c>
      <c r="AT199" s="206">
        <f t="shared" si="878"/>
        <v>46568</v>
      </c>
      <c r="AU199" s="206">
        <f t="shared" si="878"/>
        <v>46599</v>
      </c>
      <c r="AV199" s="206">
        <f t="shared" si="878"/>
        <v>46630</v>
      </c>
      <c r="AW199" s="206">
        <f t="shared" ref="AW199:CB199" si="879">IF(AW198="","",AW23)</f>
        <v>46660</v>
      </c>
      <c r="AX199" s="206">
        <f t="shared" si="879"/>
        <v>46691</v>
      </c>
      <c r="AY199" s="206">
        <f t="shared" si="879"/>
        <v>46721</v>
      </c>
      <c r="AZ199" s="206">
        <f t="shared" si="879"/>
        <v>46752</v>
      </c>
      <c r="BA199" s="206">
        <f t="shared" si="879"/>
        <v>46783</v>
      </c>
      <c r="BB199" s="206" t="str">
        <f t="shared" si="879"/>
        <v/>
      </c>
      <c r="BC199" s="206" t="str">
        <f t="shared" si="879"/>
        <v/>
      </c>
      <c r="BD199" s="206" t="str">
        <f t="shared" si="879"/>
        <v/>
      </c>
      <c r="BE199" s="206" t="str">
        <f t="shared" si="879"/>
        <v/>
      </c>
      <c r="BF199" s="206" t="str">
        <f t="shared" si="879"/>
        <v/>
      </c>
      <c r="BG199" s="206" t="str">
        <f t="shared" si="879"/>
        <v/>
      </c>
      <c r="BH199" s="206" t="str">
        <f t="shared" si="879"/>
        <v/>
      </c>
      <c r="BI199" s="206" t="str">
        <f t="shared" si="879"/>
        <v/>
      </c>
      <c r="BJ199" s="206" t="str">
        <f t="shared" si="879"/>
        <v/>
      </c>
      <c r="BK199" s="206" t="str">
        <f t="shared" si="879"/>
        <v/>
      </c>
      <c r="BL199" s="206" t="str">
        <f t="shared" si="879"/>
        <v/>
      </c>
      <c r="BM199" s="206" t="str">
        <f t="shared" si="879"/>
        <v/>
      </c>
      <c r="BN199" s="206" t="str">
        <f t="shared" si="879"/>
        <v/>
      </c>
      <c r="BO199" s="206" t="str">
        <f t="shared" si="879"/>
        <v/>
      </c>
      <c r="BP199" s="206" t="str">
        <f t="shared" si="879"/>
        <v/>
      </c>
      <c r="BQ199" s="206" t="str">
        <f t="shared" si="879"/>
        <v/>
      </c>
      <c r="BR199" s="206" t="str">
        <f t="shared" si="879"/>
        <v/>
      </c>
      <c r="BS199" s="206" t="str">
        <f t="shared" si="879"/>
        <v/>
      </c>
      <c r="BT199" s="206" t="str">
        <f t="shared" si="879"/>
        <v/>
      </c>
      <c r="BU199" s="206" t="str">
        <f t="shared" si="879"/>
        <v/>
      </c>
      <c r="BV199" s="206" t="str">
        <f t="shared" si="879"/>
        <v/>
      </c>
      <c r="BW199" s="206" t="str">
        <f t="shared" si="879"/>
        <v/>
      </c>
      <c r="BX199" s="206" t="str">
        <f t="shared" si="879"/>
        <v/>
      </c>
      <c r="BY199" s="206" t="str">
        <f t="shared" si="879"/>
        <v/>
      </c>
      <c r="BZ199" s="206" t="str">
        <f t="shared" si="879"/>
        <v/>
      </c>
      <c r="CA199" s="206" t="str">
        <f t="shared" si="879"/>
        <v/>
      </c>
      <c r="CB199" s="206" t="str">
        <f t="shared" si="879"/>
        <v/>
      </c>
      <c r="CC199" s="206" t="str">
        <f t="shared" ref="CC199:DH199" si="880">IF(CC198="","",CC23)</f>
        <v/>
      </c>
      <c r="CD199" s="206" t="str">
        <f t="shared" si="880"/>
        <v/>
      </c>
      <c r="CE199" s="206" t="str">
        <f t="shared" si="880"/>
        <v/>
      </c>
      <c r="CF199" s="206" t="str">
        <f t="shared" si="880"/>
        <v/>
      </c>
      <c r="CG199" s="206" t="str">
        <f t="shared" si="880"/>
        <v/>
      </c>
      <c r="CH199" s="206" t="str">
        <f t="shared" si="880"/>
        <v/>
      </c>
      <c r="CI199" s="206" t="str">
        <f t="shared" si="880"/>
        <v/>
      </c>
      <c r="CJ199" s="206" t="str">
        <f t="shared" si="880"/>
        <v/>
      </c>
      <c r="CK199" s="206" t="str">
        <f t="shared" si="880"/>
        <v/>
      </c>
      <c r="CL199" s="206" t="str">
        <f t="shared" si="880"/>
        <v/>
      </c>
      <c r="CM199" s="206" t="str">
        <f t="shared" si="880"/>
        <v/>
      </c>
      <c r="CN199" s="206" t="str">
        <f t="shared" si="880"/>
        <v/>
      </c>
      <c r="CO199" s="206" t="str">
        <f t="shared" si="880"/>
        <v/>
      </c>
      <c r="CP199" s="206" t="str">
        <f t="shared" si="880"/>
        <v/>
      </c>
      <c r="CQ199" s="206" t="str">
        <f t="shared" si="880"/>
        <v/>
      </c>
      <c r="CR199" s="206" t="str">
        <f t="shared" si="880"/>
        <v/>
      </c>
      <c r="CS199" s="206" t="str">
        <f t="shared" si="880"/>
        <v/>
      </c>
      <c r="CT199" s="206" t="str">
        <f t="shared" si="880"/>
        <v/>
      </c>
      <c r="CU199" s="206" t="str">
        <f t="shared" si="880"/>
        <v/>
      </c>
      <c r="CV199" s="206" t="str">
        <f t="shared" si="880"/>
        <v/>
      </c>
      <c r="CW199" s="206" t="str">
        <f t="shared" si="880"/>
        <v/>
      </c>
      <c r="CX199" s="206" t="str">
        <f t="shared" si="880"/>
        <v/>
      </c>
      <c r="CY199" s="206" t="str">
        <f t="shared" si="880"/>
        <v/>
      </c>
      <c r="CZ199" s="206" t="str">
        <f t="shared" si="880"/>
        <v/>
      </c>
      <c r="DA199" s="206" t="str">
        <f t="shared" si="880"/>
        <v/>
      </c>
      <c r="DB199" s="206" t="str">
        <f t="shared" si="880"/>
        <v/>
      </c>
      <c r="DC199" s="206" t="str">
        <f t="shared" si="880"/>
        <v/>
      </c>
      <c r="DD199" s="206" t="str">
        <f t="shared" si="880"/>
        <v/>
      </c>
      <c r="DE199" s="206" t="str">
        <f t="shared" si="880"/>
        <v/>
      </c>
      <c r="DF199" s="206" t="str">
        <f t="shared" si="880"/>
        <v/>
      </c>
      <c r="DG199" s="206" t="str">
        <f t="shared" si="880"/>
        <v/>
      </c>
      <c r="DH199" s="206" t="str">
        <f t="shared" si="880"/>
        <v/>
      </c>
      <c r="DI199" s="206" t="str">
        <f t="shared" ref="DI199:EN199" si="881">IF(DI198="","",DI23)</f>
        <v/>
      </c>
      <c r="DJ199" s="206" t="str">
        <f t="shared" si="881"/>
        <v/>
      </c>
      <c r="DK199" s="206" t="str">
        <f t="shared" si="881"/>
        <v/>
      </c>
      <c r="DL199" s="206" t="str">
        <f t="shared" si="881"/>
        <v/>
      </c>
      <c r="DM199" s="206" t="str">
        <f t="shared" si="881"/>
        <v/>
      </c>
      <c r="DN199" s="206" t="str">
        <f t="shared" si="881"/>
        <v/>
      </c>
      <c r="DO199" s="206" t="str">
        <f t="shared" si="881"/>
        <v/>
      </c>
      <c r="DP199" s="206" t="str">
        <f t="shared" si="881"/>
        <v/>
      </c>
      <c r="DQ199" s="206" t="str">
        <f t="shared" si="881"/>
        <v/>
      </c>
      <c r="DR199" s="206" t="str">
        <f t="shared" si="881"/>
        <v/>
      </c>
      <c r="DS199" s="206" t="str">
        <f t="shared" si="881"/>
        <v/>
      </c>
      <c r="DT199" s="206" t="str">
        <f t="shared" si="881"/>
        <v/>
      </c>
      <c r="DU199" s="206" t="str">
        <f t="shared" si="881"/>
        <v/>
      </c>
      <c r="DV199" s="206" t="str">
        <f t="shared" si="881"/>
        <v/>
      </c>
      <c r="DW199" s="206" t="str">
        <f t="shared" si="881"/>
        <v/>
      </c>
      <c r="DX199" s="206" t="str">
        <f t="shared" si="881"/>
        <v/>
      </c>
      <c r="DY199" s="206" t="str">
        <f t="shared" si="881"/>
        <v/>
      </c>
      <c r="DZ199" s="206" t="str">
        <f t="shared" si="881"/>
        <v/>
      </c>
      <c r="EA199" s="206" t="str">
        <f t="shared" si="881"/>
        <v/>
      </c>
      <c r="EB199" s="206" t="str">
        <f t="shared" si="881"/>
        <v/>
      </c>
      <c r="EC199" s="206" t="str">
        <f t="shared" si="881"/>
        <v/>
      </c>
      <c r="ED199" s="206" t="str">
        <f t="shared" si="881"/>
        <v/>
      </c>
      <c r="EE199" s="206" t="str">
        <f t="shared" si="881"/>
        <v/>
      </c>
      <c r="EF199" s="206" t="str">
        <f t="shared" si="881"/>
        <v/>
      </c>
      <c r="EG199" s="206" t="str">
        <f t="shared" si="881"/>
        <v/>
      </c>
      <c r="EH199" s="206" t="str">
        <f t="shared" si="881"/>
        <v/>
      </c>
      <c r="EI199" s="206" t="str">
        <f t="shared" si="881"/>
        <v/>
      </c>
      <c r="EJ199" s="206" t="str">
        <f t="shared" si="881"/>
        <v/>
      </c>
      <c r="EK199" s="206" t="str">
        <f t="shared" si="881"/>
        <v/>
      </c>
      <c r="EL199" s="206" t="str">
        <f t="shared" si="881"/>
        <v/>
      </c>
      <c r="EM199" s="206" t="str">
        <f t="shared" si="881"/>
        <v/>
      </c>
      <c r="EN199" s="206" t="str">
        <f t="shared" si="881"/>
        <v/>
      </c>
      <c r="EO199" s="206" t="str">
        <f t="shared" ref="EO199:ES199" si="882">IF(EO198="","",EO23)</f>
        <v/>
      </c>
      <c r="EP199" s="206" t="str">
        <f t="shared" si="882"/>
        <v/>
      </c>
      <c r="EQ199" s="206" t="str">
        <f t="shared" si="882"/>
        <v/>
      </c>
      <c r="ER199" s="206" t="str">
        <f t="shared" si="882"/>
        <v/>
      </c>
      <c r="ES199" s="206" t="str">
        <f t="shared" si="882"/>
        <v/>
      </c>
      <c r="EU199" s="202"/>
      <c r="EV199" s="202"/>
      <c r="EW199" s="202"/>
      <c r="EX199" s="202"/>
      <c r="EY199" s="154" t="s">
        <v>783</v>
      </c>
      <c r="EZ199" s="154"/>
      <c r="FA199" s="386">
        <f t="shared" ref="FA199:GF199" ca="1" si="883">AND(FA198&gt;=$G$225,FA198&lt;=Timing_Analysis_End_Month)*$E$225</f>
        <v>0</v>
      </c>
      <c r="FB199" s="386">
        <f t="shared" ca="1" si="883"/>
        <v>0</v>
      </c>
      <c r="FC199" s="386">
        <f t="shared" ca="1" si="883"/>
        <v>0</v>
      </c>
      <c r="FD199" s="386">
        <f t="shared" ca="1" si="883"/>
        <v>0</v>
      </c>
      <c r="FE199" s="386">
        <f t="shared" ca="1" si="883"/>
        <v>0</v>
      </c>
      <c r="FF199" s="386">
        <f t="shared" ca="1" si="883"/>
        <v>0</v>
      </c>
      <c r="FG199" s="386">
        <f t="shared" ca="1" si="883"/>
        <v>0</v>
      </c>
      <c r="FH199" s="386">
        <f t="shared" ca="1" si="883"/>
        <v>0</v>
      </c>
      <c r="FI199" s="386">
        <f t="shared" ca="1" si="883"/>
        <v>0</v>
      </c>
      <c r="FJ199" s="386">
        <f t="shared" ca="1" si="883"/>
        <v>0</v>
      </c>
      <c r="FK199" s="386">
        <f t="shared" ca="1" si="883"/>
        <v>0</v>
      </c>
      <c r="FL199" s="386">
        <f t="shared" ca="1" si="883"/>
        <v>0</v>
      </c>
      <c r="FM199" s="386">
        <f t="shared" ca="1" si="883"/>
        <v>0</v>
      </c>
      <c r="FN199" s="386">
        <f t="shared" ca="1" si="883"/>
        <v>0</v>
      </c>
      <c r="FO199" s="386">
        <f t="shared" ca="1" si="883"/>
        <v>1346.201038201343</v>
      </c>
      <c r="FP199" s="386">
        <f t="shared" ca="1" si="883"/>
        <v>1346.201038201343</v>
      </c>
      <c r="FQ199" s="386">
        <f t="shared" ca="1" si="883"/>
        <v>1346.201038201343</v>
      </c>
      <c r="FR199" s="386">
        <f t="shared" ca="1" si="883"/>
        <v>1346.201038201343</v>
      </c>
      <c r="FS199" s="386">
        <f t="shared" ca="1" si="883"/>
        <v>1346.201038201343</v>
      </c>
      <c r="FT199" s="386">
        <f t="shared" ca="1" si="883"/>
        <v>1346.201038201343</v>
      </c>
      <c r="FU199" s="386">
        <f t="shared" ca="1" si="883"/>
        <v>1346.201038201343</v>
      </c>
      <c r="FV199" s="386">
        <f t="shared" ca="1" si="883"/>
        <v>1346.201038201343</v>
      </c>
      <c r="FW199" s="386">
        <f t="shared" ca="1" si="883"/>
        <v>1346.201038201343</v>
      </c>
      <c r="FX199" s="386">
        <f t="shared" ca="1" si="883"/>
        <v>1346.201038201343</v>
      </c>
      <c r="FY199" s="386">
        <f t="shared" ca="1" si="883"/>
        <v>1346.201038201343</v>
      </c>
      <c r="FZ199" s="386">
        <f t="shared" ca="1" si="883"/>
        <v>1346.201038201343</v>
      </c>
      <c r="GA199" s="386">
        <f t="shared" ca="1" si="883"/>
        <v>1346.201038201343</v>
      </c>
      <c r="GB199" s="386">
        <f t="shared" ca="1" si="883"/>
        <v>1346.201038201343</v>
      </c>
      <c r="GC199" s="386">
        <f t="shared" ca="1" si="883"/>
        <v>1346.201038201343</v>
      </c>
      <c r="GD199" s="386">
        <f t="shared" ca="1" si="883"/>
        <v>1346.201038201343</v>
      </c>
      <c r="GE199" s="386">
        <f t="shared" ca="1" si="883"/>
        <v>1346.201038201343</v>
      </c>
      <c r="GF199" s="386">
        <f t="shared" ca="1" si="883"/>
        <v>1346.201038201343</v>
      </c>
      <c r="GG199" s="386">
        <f t="shared" ref="GG199:HL199" ca="1" si="884">AND(GG198&gt;=$G$225,GG198&lt;=Timing_Analysis_End_Month)*$E$225</f>
        <v>1346.201038201343</v>
      </c>
      <c r="GH199" s="386">
        <f t="shared" ca="1" si="884"/>
        <v>1346.201038201343</v>
      </c>
      <c r="GI199" s="386">
        <f t="shared" ca="1" si="884"/>
        <v>1346.201038201343</v>
      </c>
      <c r="GJ199" s="386">
        <f t="shared" ca="1" si="884"/>
        <v>1346.201038201343</v>
      </c>
      <c r="GK199" s="386">
        <f t="shared" ca="1" si="884"/>
        <v>1346.201038201343</v>
      </c>
      <c r="GL199" s="386">
        <f t="shared" ca="1" si="884"/>
        <v>0</v>
      </c>
      <c r="GM199" s="386">
        <f t="shared" ca="1" si="884"/>
        <v>0</v>
      </c>
      <c r="GN199" s="386">
        <f t="shared" ca="1" si="884"/>
        <v>0</v>
      </c>
      <c r="GO199" s="386">
        <f t="shared" ca="1" si="884"/>
        <v>0</v>
      </c>
      <c r="GP199" s="386">
        <f t="shared" ca="1" si="884"/>
        <v>0</v>
      </c>
      <c r="GQ199" s="386">
        <f t="shared" ca="1" si="884"/>
        <v>0</v>
      </c>
      <c r="GR199" s="386">
        <f t="shared" ca="1" si="884"/>
        <v>0</v>
      </c>
      <c r="GS199" s="386">
        <f t="shared" ca="1" si="884"/>
        <v>0</v>
      </c>
      <c r="GT199" s="386">
        <f t="shared" ca="1" si="884"/>
        <v>0</v>
      </c>
      <c r="GU199" s="386">
        <f t="shared" ca="1" si="884"/>
        <v>0</v>
      </c>
      <c r="GV199" s="386">
        <f t="shared" ca="1" si="884"/>
        <v>0</v>
      </c>
      <c r="GW199" s="386">
        <f t="shared" ca="1" si="884"/>
        <v>0</v>
      </c>
      <c r="GX199" s="386">
        <f t="shared" ca="1" si="884"/>
        <v>0</v>
      </c>
      <c r="GY199" s="386">
        <f t="shared" ca="1" si="884"/>
        <v>0</v>
      </c>
      <c r="GZ199" s="386">
        <f t="shared" ca="1" si="884"/>
        <v>0</v>
      </c>
      <c r="HA199" s="386">
        <f t="shared" ca="1" si="884"/>
        <v>0</v>
      </c>
      <c r="HB199" s="386">
        <f t="shared" ca="1" si="884"/>
        <v>0</v>
      </c>
      <c r="HC199" s="386">
        <f t="shared" ca="1" si="884"/>
        <v>0</v>
      </c>
      <c r="HD199" s="386">
        <f t="shared" ca="1" si="884"/>
        <v>0</v>
      </c>
      <c r="HE199" s="386">
        <f t="shared" ca="1" si="884"/>
        <v>0</v>
      </c>
      <c r="HF199" s="386">
        <f t="shared" ca="1" si="884"/>
        <v>0</v>
      </c>
      <c r="HG199" s="386">
        <f t="shared" ca="1" si="884"/>
        <v>0</v>
      </c>
      <c r="HH199" s="386">
        <f t="shared" ca="1" si="884"/>
        <v>0</v>
      </c>
      <c r="HI199" s="386">
        <f t="shared" ca="1" si="884"/>
        <v>0</v>
      </c>
      <c r="HJ199" s="386">
        <f t="shared" ca="1" si="884"/>
        <v>0</v>
      </c>
      <c r="HK199" s="386">
        <f t="shared" ca="1" si="884"/>
        <v>0</v>
      </c>
      <c r="HL199" s="386">
        <f t="shared" ca="1" si="884"/>
        <v>0</v>
      </c>
      <c r="HM199" s="386">
        <f t="shared" ref="HM199:IR199" ca="1" si="885">AND(HM198&gt;=$G$225,HM198&lt;=Timing_Analysis_End_Month)*$E$225</f>
        <v>0</v>
      </c>
      <c r="HN199" s="386">
        <f t="shared" ca="1" si="885"/>
        <v>0</v>
      </c>
      <c r="HO199" s="386">
        <f t="shared" ca="1" si="885"/>
        <v>0</v>
      </c>
      <c r="HP199" s="386">
        <f t="shared" ca="1" si="885"/>
        <v>0</v>
      </c>
      <c r="HQ199" s="386">
        <f t="shared" ca="1" si="885"/>
        <v>0</v>
      </c>
      <c r="HR199" s="386">
        <f t="shared" ca="1" si="885"/>
        <v>0</v>
      </c>
      <c r="HS199" s="386">
        <f t="shared" ca="1" si="885"/>
        <v>0</v>
      </c>
      <c r="HT199" s="386">
        <f t="shared" ca="1" si="885"/>
        <v>0</v>
      </c>
      <c r="HU199" s="386">
        <f t="shared" ca="1" si="885"/>
        <v>0</v>
      </c>
      <c r="HV199" s="386">
        <f t="shared" ca="1" si="885"/>
        <v>0</v>
      </c>
      <c r="HW199" s="386">
        <f t="shared" ca="1" si="885"/>
        <v>0</v>
      </c>
      <c r="HX199" s="386">
        <f t="shared" ca="1" si="885"/>
        <v>0</v>
      </c>
      <c r="HY199" s="386">
        <f t="shared" ca="1" si="885"/>
        <v>0</v>
      </c>
      <c r="HZ199" s="386">
        <f t="shared" ca="1" si="885"/>
        <v>0</v>
      </c>
      <c r="IA199" s="386">
        <f t="shared" ca="1" si="885"/>
        <v>0</v>
      </c>
      <c r="IB199" s="386">
        <f t="shared" ca="1" si="885"/>
        <v>0</v>
      </c>
      <c r="IC199" s="386">
        <f t="shared" ca="1" si="885"/>
        <v>0</v>
      </c>
      <c r="ID199" s="386">
        <f t="shared" ca="1" si="885"/>
        <v>0</v>
      </c>
      <c r="IE199" s="386">
        <f t="shared" ca="1" si="885"/>
        <v>0</v>
      </c>
      <c r="IF199" s="386">
        <f t="shared" ca="1" si="885"/>
        <v>0</v>
      </c>
      <c r="IG199" s="386">
        <f t="shared" ca="1" si="885"/>
        <v>0</v>
      </c>
      <c r="IH199" s="386">
        <f t="shared" ca="1" si="885"/>
        <v>0</v>
      </c>
      <c r="II199" s="386">
        <f t="shared" ca="1" si="885"/>
        <v>0</v>
      </c>
      <c r="IJ199" s="386">
        <f t="shared" ca="1" si="885"/>
        <v>0</v>
      </c>
      <c r="IK199" s="386">
        <f t="shared" ca="1" si="885"/>
        <v>0</v>
      </c>
      <c r="IL199" s="386">
        <f t="shared" ca="1" si="885"/>
        <v>0</v>
      </c>
      <c r="IM199" s="386">
        <f t="shared" ca="1" si="885"/>
        <v>0</v>
      </c>
      <c r="IN199" s="386">
        <f t="shared" ca="1" si="885"/>
        <v>0</v>
      </c>
      <c r="IO199" s="386">
        <f t="shared" ca="1" si="885"/>
        <v>0</v>
      </c>
      <c r="IP199" s="386">
        <f t="shared" ca="1" si="885"/>
        <v>0</v>
      </c>
      <c r="IQ199" s="386">
        <f t="shared" ca="1" si="885"/>
        <v>0</v>
      </c>
      <c r="IR199" s="386">
        <f t="shared" ca="1" si="885"/>
        <v>0</v>
      </c>
      <c r="IS199" s="386">
        <f t="shared" ref="IS199:JX199" ca="1" si="886">AND(IS198&gt;=$G$225,IS198&lt;=Timing_Analysis_End_Month)*$E$225</f>
        <v>0</v>
      </c>
      <c r="IT199" s="386">
        <f t="shared" ca="1" si="886"/>
        <v>0</v>
      </c>
      <c r="IU199" s="386">
        <f t="shared" ca="1" si="886"/>
        <v>0</v>
      </c>
      <c r="IV199" s="386">
        <f t="shared" ca="1" si="886"/>
        <v>0</v>
      </c>
      <c r="IW199" s="386">
        <f t="shared" ca="1" si="886"/>
        <v>0</v>
      </c>
      <c r="IX199" s="386">
        <f t="shared" ca="1" si="886"/>
        <v>0</v>
      </c>
      <c r="IY199" s="386">
        <f t="shared" ca="1" si="886"/>
        <v>0</v>
      </c>
      <c r="IZ199" s="386">
        <f t="shared" ca="1" si="886"/>
        <v>0</v>
      </c>
      <c r="JA199" s="386">
        <f t="shared" ca="1" si="886"/>
        <v>0</v>
      </c>
      <c r="JB199" s="386">
        <f t="shared" ca="1" si="886"/>
        <v>0</v>
      </c>
      <c r="JC199" s="386">
        <f t="shared" ca="1" si="886"/>
        <v>0</v>
      </c>
      <c r="JD199" s="386">
        <f t="shared" ca="1" si="886"/>
        <v>0</v>
      </c>
      <c r="JE199" s="386">
        <f t="shared" ca="1" si="886"/>
        <v>0</v>
      </c>
      <c r="JF199" s="386">
        <f t="shared" ca="1" si="886"/>
        <v>0</v>
      </c>
      <c r="JG199" s="386">
        <f t="shared" ca="1" si="886"/>
        <v>0</v>
      </c>
      <c r="JH199" s="386">
        <f t="shared" ca="1" si="886"/>
        <v>0</v>
      </c>
      <c r="JI199" s="386">
        <f t="shared" ca="1" si="886"/>
        <v>0</v>
      </c>
      <c r="JJ199" s="386">
        <f t="shared" ca="1" si="886"/>
        <v>0</v>
      </c>
      <c r="JK199" s="386">
        <f t="shared" ca="1" si="886"/>
        <v>0</v>
      </c>
      <c r="JL199" s="386">
        <f t="shared" ca="1" si="886"/>
        <v>0</v>
      </c>
      <c r="JM199" s="386">
        <f t="shared" ca="1" si="886"/>
        <v>0</v>
      </c>
      <c r="JN199" s="386">
        <f t="shared" ca="1" si="886"/>
        <v>0</v>
      </c>
      <c r="JO199" s="386">
        <f t="shared" ca="1" si="886"/>
        <v>0</v>
      </c>
      <c r="JP199" s="386">
        <f t="shared" ca="1" si="886"/>
        <v>0</v>
      </c>
      <c r="JQ199" s="386">
        <f t="shared" ca="1" si="886"/>
        <v>0</v>
      </c>
      <c r="JR199" s="386">
        <f t="shared" ca="1" si="886"/>
        <v>0</v>
      </c>
      <c r="JS199" s="386">
        <f t="shared" ca="1" si="886"/>
        <v>0</v>
      </c>
      <c r="JT199" s="386">
        <f t="shared" ca="1" si="886"/>
        <v>0</v>
      </c>
      <c r="JU199" s="386">
        <f t="shared" ca="1" si="886"/>
        <v>0</v>
      </c>
      <c r="JV199" s="386">
        <f t="shared" ca="1" si="886"/>
        <v>0</v>
      </c>
      <c r="JW199" s="386">
        <f t="shared" ca="1" si="886"/>
        <v>0</v>
      </c>
      <c r="JX199" s="386">
        <f t="shared" ca="1" si="886"/>
        <v>0</v>
      </c>
      <c r="JY199" s="386">
        <f t="shared" ref="JY199:KC199" ca="1" si="887">AND(JY198&gt;=$G$225,JY198&lt;=Timing_Analysis_End_Month)*$E$225</f>
        <v>0</v>
      </c>
      <c r="JZ199" s="386">
        <f t="shared" ca="1" si="887"/>
        <v>0</v>
      </c>
      <c r="KA199" s="386">
        <f t="shared" ca="1" si="887"/>
        <v>0</v>
      </c>
      <c r="KB199" s="386">
        <f t="shared" ca="1" si="887"/>
        <v>0</v>
      </c>
      <c r="KC199" s="386">
        <f t="shared" ca="1" si="887"/>
        <v>0</v>
      </c>
    </row>
    <row r="200" spans="1:289" x14ac:dyDescent="0.25">
      <c r="B200" s="180" t="s">
        <v>175</v>
      </c>
      <c r="C200" s="196"/>
      <c r="D200" s="196"/>
      <c r="E200" s="196"/>
      <c r="F200" s="196"/>
      <c r="G200" s="196"/>
      <c r="H200" s="218"/>
      <c r="I200" s="218">
        <f>SUM(Q200:ER200)</f>
        <v>3839419.9999999995</v>
      </c>
      <c r="Q200" s="220">
        <f t="shared" ref="Q200:AV200" si="888">IF(Q198="","",Q31+Q38+Q49)</f>
        <v>752002.85714285716</v>
      </c>
      <c r="R200" s="220">
        <f t="shared" si="888"/>
        <v>16840.908265539307</v>
      </c>
      <c r="S200" s="220">
        <f t="shared" si="888"/>
        <v>52504.923287438098</v>
      </c>
      <c r="T200" s="220">
        <f t="shared" si="888"/>
        <v>136519.80154125288</v>
      </c>
      <c r="U200" s="220">
        <f t="shared" si="888"/>
        <v>282437.29328717594</v>
      </c>
      <c r="V200" s="220">
        <f t="shared" si="888"/>
        <v>459629.91406893102</v>
      </c>
      <c r="W200" s="220">
        <f t="shared" si="888"/>
        <v>586584.30240680568</v>
      </c>
      <c r="X200" s="220">
        <f t="shared" si="888"/>
        <v>584581.44526394852</v>
      </c>
      <c r="Y200" s="220">
        <f t="shared" si="888"/>
        <v>457627.05692607397</v>
      </c>
      <c r="Z200" s="220">
        <f t="shared" si="888"/>
        <v>280434.43614431861</v>
      </c>
      <c r="AA200" s="220">
        <f t="shared" si="888"/>
        <v>134516.94439839578</v>
      </c>
      <c r="AB200" s="220">
        <f t="shared" si="888"/>
        <v>50502.066144580931</v>
      </c>
      <c r="AC200" s="220">
        <f t="shared" si="888"/>
        <v>14838.051122682213</v>
      </c>
      <c r="AD200" s="220">
        <f t="shared" si="888"/>
        <v>15200</v>
      </c>
      <c r="AE200" s="220">
        <f t="shared" si="888"/>
        <v>15200</v>
      </c>
      <c r="AF200" s="220">
        <f t="shared" si="888"/>
        <v>0</v>
      </c>
      <c r="AG200" s="220">
        <f t="shared" si="888"/>
        <v>0</v>
      </c>
      <c r="AH200" s="220">
        <f t="shared" si="888"/>
        <v>0</v>
      </c>
      <c r="AI200" s="220">
        <f t="shared" si="888"/>
        <v>0</v>
      </c>
      <c r="AJ200" s="220">
        <f t="shared" si="888"/>
        <v>0</v>
      </c>
      <c r="AK200" s="220">
        <f t="shared" si="888"/>
        <v>0</v>
      </c>
      <c r="AL200" s="220">
        <f t="shared" si="888"/>
        <v>0</v>
      </c>
      <c r="AM200" s="220">
        <f t="shared" si="888"/>
        <v>0</v>
      </c>
      <c r="AN200" s="220">
        <f t="shared" si="888"/>
        <v>0</v>
      </c>
      <c r="AO200" s="220">
        <f t="shared" si="888"/>
        <v>0</v>
      </c>
      <c r="AP200" s="220">
        <f t="shared" si="888"/>
        <v>0</v>
      </c>
      <c r="AQ200" s="220">
        <f t="shared" si="888"/>
        <v>0</v>
      </c>
      <c r="AR200" s="220">
        <f t="shared" si="888"/>
        <v>0</v>
      </c>
      <c r="AS200" s="220">
        <f t="shared" si="888"/>
        <v>0</v>
      </c>
      <c r="AT200" s="220">
        <f t="shared" si="888"/>
        <v>0</v>
      </c>
      <c r="AU200" s="220">
        <f t="shared" si="888"/>
        <v>0</v>
      </c>
      <c r="AV200" s="220">
        <f t="shared" si="888"/>
        <v>0</v>
      </c>
      <c r="AW200" s="220">
        <f t="shared" ref="AW200:CB200" si="889">IF(AW198="","",AW31+AW38+AW49)</f>
        <v>0</v>
      </c>
      <c r="AX200" s="220">
        <f t="shared" si="889"/>
        <v>0</v>
      </c>
      <c r="AY200" s="220">
        <f t="shared" si="889"/>
        <v>0</v>
      </c>
      <c r="AZ200" s="220">
        <f t="shared" si="889"/>
        <v>0</v>
      </c>
      <c r="BA200" s="220">
        <f t="shared" si="889"/>
        <v>0</v>
      </c>
      <c r="BB200" s="220" t="str">
        <f t="shared" si="889"/>
        <v/>
      </c>
      <c r="BC200" s="220" t="str">
        <f t="shared" si="889"/>
        <v/>
      </c>
      <c r="BD200" s="220" t="str">
        <f t="shared" si="889"/>
        <v/>
      </c>
      <c r="BE200" s="220" t="str">
        <f t="shared" si="889"/>
        <v/>
      </c>
      <c r="BF200" s="220" t="str">
        <f t="shared" si="889"/>
        <v/>
      </c>
      <c r="BG200" s="220" t="str">
        <f t="shared" si="889"/>
        <v/>
      </c>
      <c r="BH200" s="220" t="str">
        <f t="shared" si="889"/>
        <v/>
      </c>
      <c r="BI200" s="220" t="str">
        <f t="shared" si="889"/>
        <v/>
      </c>
      <c r="BJ200" s="220" t="str">
        <f t="shared" si="889"/>
        <v/>
      </c>
      <c r="BK200" s="220" t="str">
        <f t="shared" si="889"/>
        <v/>
      </c>
      <c r="BL200" s="220" t="str">
        <f t="shared" si="889"/>
        <v/>
      </c>
      <c r="BM200" s="220" t="str">
        <f t="shared" si="889"/>
        <v/>
      </c>
      <c r="BN200" s="220" t="str">
        <f t="shared" si="889"/>
        <v/>
      </c>
      <c r="BO200" s="220" t="str">
        <f t="shared" si="889"/>
        <v/>
      </c>
      <c r="BP200" s="220" t="str">
        <f t="shared" si="889"/>
        <v/>
      </c>
      <c r="BQ200" s="220" t="str">
        <f t="shared" si="889"/>
        <v/>
      </c>
      <c r="BR200" s="220" t="str">
        <f t="shared" si="889"/>
        <v/>
      </c>
      <c r="BS200" s="220" t="str">
        <f t="shared" si="889"/>
        <v/>
      </c>
      <c r="BT200" s="220" t="str">
        <f t="shared" si="889"/>
        <v/>
      </c>
      <c r="BU200" s="220" t="str">
        <f t="shared" si="889"/>
        <v/>
      </c>
      <c r="BV200" s="220" t="str">
        <f t="shared" si="889"/>
        <v/>
      </c>
      <c r="BW200" s="220" t="str">
        <f t="shared" si="889"/>
        <v/>
      </c>
      <c r="BX200" s="220" t="str">
        <f t="shared" si="889"/>
        <v/>
      </c>
      <c r="BY200" s="220" t="str">
        <f t="shared" si="889"/>
        <v/>
      </c>
      <c r="BZ200" s="220" t="str">
        <f t="shared" si="889"/>
        <v/>
      </c>
      <c r="CA200" s="220" t="str">
        <f t="shared" si="889"/>
        <v/>
      </c>
      <c r="CB200" s="220" t="str">
        <f t="shared" si="889"/>
        <v/>
      </c>
      <c r="CC200" s="220" t="str">
        <f t="shared" ref="CC200:DH200" si="890">IF(CC198="","",CC31+CC38+CC49)</f>
        <v/>
      </c>
      <c r="CD200" s="220" t="str">
        <f t="shared" si="890"/>
        <v/>
      </c>
      <c r="CE200" s="220" t="str">
        <f t="shared" si="890"/>
        <v/>
      </c>
      <c r="CF200" s="220" t="str">
        <f t="shared" si="890"/>
        <v/>
      </c>
      <c r="CG200" s="220" t="str">
        <f t="shared" si="890"/>
        <v/>
      </c>
      <c r="CH200" s="220" t="str">
        <f t="shared" si="890"/>
        <v/>
      </c>
      <c r="CI200" s="220" t="str">
        <f t="shared" si="890"/>
        <v/>
      </c>
      <c r="CJ200" s="220" t="str">
        <f t="shared" si="890"/>
        <v/>
      </c>
      <c r="CK200" s="220" t="str">
        <f t="shared" si="890"/>
        <v/>
      </c>
      <c r="CL200" s="220" t="str">
        <f t="shared" si="890"/>
        <v/>
      </c>
      <c r="CM200" s="220" t="str">
        <f t="shared" si="890"/>
        <v/>
      </c>
      <c r="CN200" s="220" t="str">
        <f t="shared" si="890"/>
        <v/>
      </c>
      <c r="CO200" s="220" t="str">
        <f t="shared" si="890"/>
        <v/>
      </c>
      <c r="CP200" s="220" t="str">
        <f t="shared" si="890"/>
        <v/>
      </c>
      <c r="CQ200" s="220" t="str">
        <f t="shared" si="890"/>
        <v/>
      </c>
      <c r="CR200" s="220" t="str">
        <f t="shared" si="890"/>
        <v/>
      </c>
      <c r="CS200" s="220" t="str">
        <f t="shared" si="890"/>
        <v/>
      </c>
      <c r="CT200" s="220" t="str">
        <f t="shared" si="890"/>
        <v/>
      </c>
      <c r="CU200" s="220" t="str">
        <f t="shared" si="890"/>
        <v/>
      </c>
      <c r="CV200" s="220" t="str">
        <f t="shared" si="890"/>
        <v/>
      </c>
      <c r="CW200" s="220" t="str">
        <f t="shared" si="890"/>
        <v/>
      </c>
      <c r="CX200" s="220" t="str">
        <f t="shared" si="890"/>
        <v/>
      </c>
      <c r="CY200" s="220" t="str">
        <f t="shared" si="890"/>
        <v/>
      </c>
      <c r="CZ200" s="220" t="str">
        <f t="shared" si="890"/>
        <v/>
      </c>
      <c r="DA200" s="220" t="str">
        <f t="shared" si="890"/>
        <v/>
      </c>
      <c r="DB200" s="220" t="str">
        <f t="shared" si="890"/>
        <v/>
      </c>
      <c r="DC200" s="220" t="str">
        <f t="shared" si="890"/>
        <v/>
      </c>
      <c r="DD200" s="220" t="str">
        <f t="shared" si="890"/>
        <v/>
      </c>
      <c r="DE200" s="220" t="str">
        <f t="shared" si="890"/>
        <v/>
      </c>
      <c r="DF200" s="220" t="str">
        <f t="shared" si="890"/>
        <v/>
      </c>
      <c r="DG200" s="220" t="str">
        <f t="shared" si="890"/>
        <v/>
      </c>
      <c r="DH200" s="220" t="str">
        <f t="shared" si="890"/>
        <v/>
      </c>
      <c r="DI200" s="220" t="str">
        <f t="shared" ref="DI200:ES200" si="891">IF(DI198="","",DI31+DI38+DI49)</f>
        <v/>
      </c>
      <c r="DJ200" s="220" t="str">
        <f t="shared" si="891"/>
        <v/>
      </c>
      <c r="DK200" s="220" t="str">
        <f t="shared" si="891"/>
        <v/>
      </c>
      <c r="DL200" s="220" t="str">
        <f t="shared" si="891"/>
        <v/>
      </c>
      <c r="DM200" s="220" t="str">
        <f t="shared" si="891"/>
        <v/>
      </c>
      <c r="DN200" s="220" t="str">
        <f t="shared" si="891"/>
        <v/>
      </c>
      <c r="DO200" s="220" t="str">
        <f t="shared" si="891"/>
        <v/>
      </c>
      <c r="DP200" s="220" t="str">
        <f t="shared" si="891"/>
        <v/>
      </c>
      <c r="DQ200" s="220" t="str">
        <f t="shared" si="891"/>
        <v/>
      </c>
      <c r="DR200" s="220" t="str">
        <f t="shared" si="891"/>
        <v/>
      </c>
      <c r="DS200" s="220" t="str">
        <f t="shared" si="891"/>
        <v/>
      </c>
      <c r="DT200" s="220" t="str">
        <f t="shared" si="891"/>
        <v/>
      </c>
      <c r="DU200" s="220" t="str">
        <f t="shared" si="891"/>
        <v/>
      </c>
      <c r="DV200" s="220" t="str">
        <f t="shared" si="891"/>
        <v/>
      </c>
      <c r="DW200" s="220" t="str">
        <f t="shared" si="891"/>
        <v/>
      </c>
      <c r="DX200" s="220" t="str">
        <f t="shared" si="891"/>
        <v/>
      </c>
      <c r="DY200" s="220" t="str">
        <f t="shared" si="891"/>
        <v/>
      </c>
      <c r="DZ200" s="220" t="str">
        <f t="shared" si="891"/>
        <v/>
      </c>
      <c r="EA200" s="220" t="str">
        <f t="shared" si="891"/>
        <v/>
      </c>
      <c r="EB200" s="220" t="str">
        <f t="shared" si="891"/>
        <v/>
      </c>
      <c r="EC200" s="220" t="str">
        <f t="shared" si="891"/>
        <v/>
      </c>
      <c r="ED200" s="220" t="str">
        <f t="shared" si="891"/>
        <v/>
      </c>
      <c r="EE200" s="220" t="str">
        <f t="shared" si="891"/>
        <v/>
      </c>
      <c r="EF200" s="220" t="str">
        <f t="shared" si="891"/>
        <v/>
      </c>
      <c r="EG200" s="220" t="str">
        <f t="shared" si="891"/>
        <v/>
      </c>
      <c r="EH200" s="220" t="str">
        <f t="shared" si="891"/>
        <v/>
      </c>
      <c r="EI200" s="220" t="str">
        <f t="shared" si="891"/>
        <v/>
      </c>
      <c r="EJ200" s="220" t="str">
        <f t="shared" si="891"/>
        <v/>
      </c>
      <c r="EK200" s="220" t="str">
        <f t="shared" si="891"/>
        <v/>
      </c>
      <c r="EL200" s="220" t="str">
        <f t="shared" si="891"/>
        <v/>
      </c>
      <c r="EM200" s="220" t="str">
        <f t="shared" si="891"/>
        <v/>
      </c>
      <c r="EN200" s="220" t="str">
        <f t="shared" si="891"/>
        <v/>
      </c>
      <c r="EO200" s="220" t="str">
        <f t="shared" si="891"/>
        <v/>
      </c>
      <c r="EP200" s="220" t="str">
        <f t="shared" si="891"/>
        <v/>
      </c>
      <c r="EQ200" s="220" t="str">
        <f t="shared" si="891"/>
        <v/>
      </c>
      <c r="ER200" s="220" t="str">
        <f t="shared" si="891"/>
        <v/>
      </c>
      <c r="ES200" s="220" t="str">
        <f t="shared" si="891"/>
        <v/>
      </c>
      <c r="EU200" s="387" t="s">
        <v>342</v>
      </c>
      <c r="EV200" s="202"/>
      <c r="EW200" s="202"/>
      <c r="EX200" s="202"/>
      <c r="EY200" s="154" t="s">
        <v>782</v>
      </c>
      <c r="EZ200" s="154"/>
      <c r="FA200" s="386">
        <f ca="1">IF(Q216="",0,Q216-FA199)</f>
        <v>-822502.85714285716</v>
      </c>
      <c r="FB200" s="386">
        <f t="shared" ref="FB200:HM200" ca="1" si="892">IF(R216="",0,R216-FB199)</f>
        <v>-16840.908265539307</v>
      </c>
      <c r="FC200" s="386">
        <f t="shared" ca="1" si="892"/>
        <v>-52504.923287438098</v>
      </c>
      <c r="FD200" s="386">
        <f t="shared" ca="1" si="892"/>
        <v>-136519.80154125288</v>
      </c>
      <c r="FE200" s="386">
        <f t="shared" ca="1" si="892"/>
        <v>-282437.29328717594</v>
      </c>
      <c r="FF200" s="386">
        <f t="shared" ca="1" si="892"/>
        <v>-304634.34859430767</v>
      </c>
      <c r="FG200" s="386">
        <f t="shared" ca="1" si="892"/>
        <v>0</v>
      </c>
      <c r="FH200" s="386">
        <f t="shared" ca="1" si="892"/>
        <v>0</v>
      </c>
      <c r="FI200" s="386">
        <f t="shared" ca="1" si="892"/>
        <v>0</v>
      </c>
      <c r="FJ200" s="386">
        <f t="shared" ca="1" si="892"/>
        <v>0</v>
      </c>
      <c r="FK200" s="386">
        <f t="shared" ca="1" si="892"/>
        <v>0</v>
      </c>
      <c r="FL200" s="386">
        <f t="shared" ca="1" si="892"/>
        <v>0</v>
      </c>
      <c r="FM200" s="386">
        <f t="shared" ca="1" si="892"/>
        <v>854.48499999999933</v>
      </c>
      <c r="FN200" s="386">
        <f t="shared" ca="1" si="892"/>
        <v>10928.922499999999</v>
      </c>
      <c r="FO200" s="386">
        <f t="shared" ca="1" si="892"/>
        <v>19657.158961798061</v>
      </c>
      <c r="FP200" s="386">
        <f t="shared" ca="1" si="892"/>
        <v>3290.2921752666171</v>
      </c>
      <c r="FQ200" s="386">
        <f t="shared" ca="1" si="892"/>
        <v>3290.2921752666171</v>
      </c>
      <c r="FR200" s="386">
        <f t="shared" ca="1" si="892"/>
        <v>3290.2921752666171</v>
      </c>
      <c r="FS200" s="386">
        <f t="shared" ca="1" si="892"/>
        <v>3290.2921752666171</v>
      </c>
      <c r="FT200" s="386">
        <f t="shared" ca="1" si="892"/>
        <v>3290.2921752666171</v>
      </c>
      <c r="FU200" s="386">
        <f t="shared" ca="1" si="892"/>
        <v>3290.2921752666171</v>
      </c>
      <c r="FV200" s="386">
        <f t="shared" ca="1" si="892"/>
        <v>3290.2921752666171</v>
      </c>
      <c r="FW200" s="386">
        <f t="shared" ca="1" si="892"/>
        <v>3290.2921752666171</v>
      </c>
      <c r="FX200" s="386">
        <f t="shared" ca="1" si="892"/>
        <v>3290.2921752666171</v>
      </c>
      <c r="FY200" s="386">
        <f t="shared" ca="1" si="892"/>
        <v>2322.2629752666126</v>
      </c>
      <c r="FZ200" s="386">
        <f t="shared" ca="1" si="892"/>
        <v>2630.9179752666187</v>
      </c>
      <c r="GA200" s="386">
        <f t="shared" ca="1" si="892"/>
        <v>2939.5729752666175</v>
      </c>
      <c r="GB200" s="386">
        <f t="shared" ca="1" si="892"/>
        <v>2939.5729752666175</v>
      </c>
      <c r="GC200" s="386">
        <f t="shared" ca="1" si="892"/>
        <v>2939.5729752666175</v>
      </c>
      <c r="GD200" s="386">
        <f t="shared" ca="1" si="892"/>
        <v>2939.5729752666175</v>
      </c>
      <c r="GE200" s="386">
        <f t="shared" ca="1" si="892"/>
        <v>2939.5729752666175</v>
      </c>
      <c r="GF200" s="386">
        <f t="shared" ca="1" si="892"/>
        <v>2939.5729752666175</v>
      </c>
      <c r="GG200" s="386">
        <f t="shared" ca="1" si="892"/>
        <v>2939.5729752666175</v>
      </c>
      <c r="GH200" s="386">
        <f t="shared" ca="1" si="892"/>
        <v>2939.5729752666175</v>
      </c>
      <c r="GI200" s="386">
        <f t="shared" ca="1" si="892"/>
        <v>2939.5729752666175</v>
      </c>
      <c r="GJ200" s="386">
        <f t="shared" ca="1" si="892"/>
        <v>2939.5729752666175</v>
      </c>
      <c r="GK200" s="386">
        <f t="shared" ca="1" si="892"/>
        <v>1827482.1425559032</v>
      </c>
      <c r="GL200" s="386">
        <f t="shared" si="892"/>
        <v>0</v>
      </c>
      <c r="GM200" s="386">
        <f t="shared" si="892"/>
        <v>0</v>
      </c>
      <c r="GN200" s="386">
        <f t="shared" si="892"/>
        <v>0</v>
      </c>
      <c r="GO200" s="386">
        <f t="shared" si="892"/>
        <v>0</v>
      </c>
      <c r="GP200" s="386">
        <f t="shared" si="892"/>
        <v>0</v>
      </c>
      <c r="GQ200" s="386">
        <f t="shared" si="892"/>
        <v>0</v>
      </c>
      <c r="GR200" s="386">
        <f t="shared" si="892"/>
        <v>0</v>
      </c>
      <c r="GS200" s="386">
        <f t="shared" si="892"/>
        <v>0</v>
      </c>
      <c r="GT200" s="386">
        <f t="shared" si="892"/>
        <v>0</v>
      </c>
      <c r="GU200" s="386">
        <f t="shared" si="892"/>
        <v>0</v>
      </c>
      <c r="GV200" s="386">
        <f t="shared" si="892"/>
        <v>0</v>
      </c>
      <c r="GW200" s="386">
        <f t="shared" si="892"/>
        <v>0</v>
      </c>
      <c r="GX200" s="386">
        <f t="shared" si="892"/>
        <v>0</v>
      </c>
      <c r="GY200" s="386">
        <f t="shared" si="892"/>
        <v>0</v>
      </c>
      <c r="GZ200" s="386">
        <f t="shared" si="892"/>
        <v>0</v>
      </c>
      <c r="HA200" s="386">
        <f t="shared" si="892"/>
        <v>0</v>
      </c>
      <c r="HB200" s="386">
        <f t="shared" si="892"/>
        <v>0</v>
      </c>
      <c r="HC200" s="386">
        <f t="shared" si="892"/>
        <v>0</v>
      </c>
      <c r="HD200" s="386">
        <f t="shared" si="892"/>
        <v>0</v>
      </c>
      <c r="HE200" s="386">
        <f t="shared" si="892"/>
        <v>0</v>
      </c>
      <c r="HF200" s="386">
        <f t="shared" si="892"/>
        <v>0</v>
      </c>
      <c r="HG200" s="386">
        <f t="shared" si="892"/>
        <v>0</v>
      </c>
      <c r="HH200" s="386">
        <f t="shared" si="892"/>
        <v>0</v>
      </c>
      <c r="HI200" s="386">
        <f t="shared" si="892"/>
        <v>0</v>
      </c>
      <c r="HJ200" s="386">
        <f t="shared" si="892"/>
        <v>0</v>
      </c>
      <c r="HK200" s="386">
        <f t="shared" si="892"/>
        <v>0</v>
      </c>
      <c r="HL200" s="386">
        <f t="shared" si="892"/>
        <v>0</v>
      </c>
      <c r="HM200" s="386">
        <f t="shared" si="892"/>
        <v>0</v>
      </c>
      <c r="HN200" s="386">
        <f t="shared" ref="HN200:JY200" si="893">IF(CD216="",0,CD216-HN199)</f>
        <v>0</v>
      </c>
      <c r="HO200" s="386">
        <f t="shared" si="893"/>
        <v>0</v>
      </c>
      <c r="HP200" s="386">
        <f t="shared" si="893"/>
        <v>0</v>
      </c>
      <c r="HQ200" s="386">
        <f t="shared" si="893"/>
        <v>0</v>
      </c>
      <c r="HR200" s="386">
        <f t="shared" si="893"/>
        <v>0</v>
      </c>
      <c r="HS200" s="386">
        <f t="shared" si="893"/>
        <v>0</v>
      </c>
      <c r="HT200" s="386">
        <f t="shared" si="893"/>
        <v>0</v>
      </c>
      <c r="HU200" s="386">
        <f t="shared" si="893"/>
        <v>0</v>
      </c>
      <c r="HV200" s="386">
        <f t="shared" si="893"/>
        <v>0</v>
      </c>
      <c r="HW200" s="386">
        <f t="shared" si="893"/>
        <v>0</v>
      </c>
      <c r="HX200" s="386">
        <f t="shared" si="893"/>
        <v>0</v>
      </c>
      <c r="HY200" s="386">
        <f t="shared" si="893"/>
        <v>0</v>
      </c>
      <c r="HZ200" s="386">
        <f t="shared" si="893"/>
        <v>0</v>
      </c>
      <c r="IA200" s="386">
        <f t="shared" si="893"/>
        <v>0</v>
      </c>
      <c r="IB200" s="386">
        <f t="shared" si="893"/>
        <v>0</v>
      </c>
      <c r="IC200" s="386">
        <f t="shared" si="893"/>
        <v>0</v>
      </c>
      <c r="ID200" s="386">
        <f t="shared" si="893"/>
        <v>0</v>
      </c>
      <c r="IE200" s="386">
        <f t="shared" si="893"/>
        <v>0</v>
      </c>
      <c r="IF200" s="386">
        <f t="shared" si="893"/>
        <v>0</v>
      </c>
      <c r="IG200" s="386">
        <f t="shared" si="893"/>
        <v>0</v>
      </c>
      <c r="IH200" s="386">
        <f t="shared" si="893"/>
        <v>0</v>
      </c>
      <c r="II200" s="386">
        <f t="shared" si="893"/>
        <v>0</v>
      </c>
      <c r="IJ200" s="386">
        <f t="shared" si="893"/>
        <v>0</v>
      </c>
      <c r="IK200" s="386">
        <f t="shared" si="893"/>
        <v>0</v>
      </c>
      <c r="IL200" s="386">
        <f t="shared" si="893"/>
        <v>0</v>
      </c>
      <c r="IM200" s="386">
        <f t="shared" si="893"/>
        <v>0</v>
      </c>
      <c r="IN200" s="386">
        <f t="shared" si="893"/>
        <v>0</v>
      </c>
      <c r="IO200" s="386">
        <f t="shared" si="893"/>
        <v>0</v>
      </c>
      <c r="IP200" s="386">
        <f t="shared" si="893"/>
        <v>0</v>
      </c>
      <c r="IQ200" s="386">
        <f t="shared" si="893"/>
        <v>0</v>
      </c>
      <c r="IR200" s="386">
        <f t="shared" si="893"/>
        <v>0</v>
      </c>
      <c r="IS200" s="386">
        <f t="shared" si="893"/>
        <v>0</v>
      </c>
      <c r="IT200" s="386">
        <f t="shared" si="893"/>
        <v>0</v>
      </c>
      <c r="IU200" s="386">
        <f t="shared" si="893"/>
        <v>0</v>
      </c>
      <c r="IV200" s="386">
        <f t="shared" si="893"/>
        <v>0</v>
      </c>
      <c r="IW200" s="386">
        <f t="shared" si="893"/>
        <v>0</v>
      </c>
      <c r="IX200" s="386">
        <f t="shared" si="893"/>
        <v>0</v>
      </c>
      <c r="IY200" s="386">
        <f t="shared" si="893"/>
        <v>0</v>
      </c>
      <c r="IZ200" s="386">
        <f t="shared" si="893"/>
        <v>0</v>
      </c>
      <c r="JA200" s="386">
        <f t="shared" si="893"/>
        <v>0</v>
      </c>
      <c r="JB200" s="386">
        <f t="shared" si="893"/>
        <v>0</v>
      </c>
      <c r="JC200" s="386">
        <f t="shared" si="893"/>
        <v>0</v>
      </c>
      <c r="JD200" s="386">
        <f t="shared" si="893"/>
        <v>0</v>
      </c>
      <c r="JE200" s="386">
        <f t="shared" si="893"/>
        <v>0</v>
      </c>
      <c r="JF200" s="386">
        <f t="shared" si="893"/>
        <v>0</v>
      </c>
      <c r="JG200" s="386">
        <f t="shared" si="893"/>
        <v>0</v>
      </c>
      <c r="JH200" s="386">
        <f t="shared" si="893"/>
        <v>0</v>
      </c>
      <c r="JI200" s="386">
        <f t="shared" si="893"/>
        <v>0</v>
      </c>
      <c r="JJ200" s="386">
        <f t="shared" si="893"/>
        <v>0</v>
      </c>
      <c r="JK200" s="386">
        <f t="shared" si="893"/>
        <v>0</v>
      </c>
      <c r="JL200" s="386">
        <f t="shared" si="893"/>
        <v>0</v>
      </c>
      <c r="JM200" s="386">
        <f t="shared" si="893"/>
        <v>0</v>
      </c>
      <c r="JN200" s="386">
        <f t="shared" si="893"/>
        <v>0</v>
      </c>
      <c r="JO200" s="386">
        <f t="shared" si="893"/>
        <v>0</v>
      </c>
      <c r="JP200" s="386">
        <f t="shared" si="893"/>
        <v>0</v>
      </c>
      <c r="JQ200" s="386">
        <f t="shared" si="893"/>
        <v>0</v>
      </c>
      <c r="JR200" s="386">
        <f t="shared" si="893"/>
        <v>0</v>
      </c>
      <c r="JS200" s="386">
        <f t="shared" si="893"/>
        <v>0</v>
      </c>
      <c r="JT200" s="386">
        <f t="shared" si="893"/>
        <v>0</v>
      </c>
      <c r="JU200" s="386">
        <f t="shared" si="893"/>
        <v>0</v>
      </c>
      <c r="JV200" s="386">
        <f t="shared" si="893"/>
        <v>0</v>
      </c>
      <c r="JW200" s="386">
        <f t="shared" si="893"/>
        <v>0</v>
      </c>
      <c r="JX200" s="386">
        <f t="shared" si="893"/>
        <v>0</v>
      </c>
      <c r="JY200" s="386">
        <f t="shared" si="893"/>
        <v>0</v>
      </c>
      <c r="JZ200" s="386">
        <f t="shared" ref="JZ200:KC200" si="894">IF(EP216="",0,EP216-JZ199)</f>
        <v>0</v>
      </c>
      <c r="KA200" s="386">
        <f t="shared" si="894"/>
        <v>0</v>
      </c>
      <c r="KB200" s="386">
        <f t="shared" si="894"/>
        <v>0</v>
      </c>
      <c r="KC200" s="386">
        <f t="shared" si="894"/>
        <v>0</v>
      </c>
    </row>
    <row r="201" spans="1:289" x14ac:dyDescent="0.25">
      <c r="B201" s="180" t="s">
        <v>176</v>
      </c>
      <c r="C201" s="196"/>
      <c r="D201" s="196"/>
      <c r="E201" s="196"/>
      <c r="F201" s="196"/>
      <c r="G201" s="196"/>
      <c r="H201" s="218"/>
      <c r="I201" s="218">
        <f ca="1">SUM(Q201:ER201)</f>
        <v>128683.11460402847</v>
      </c>
      <c r="Q201" s="220">
        <f t="shared" ref="Q201:AV201" si="895">IF(Q198="","",(Q3&lt;=ConstDebt_Payoff)*FA63)</f>
        <v>0</v>
      </c>
      <c r="R201" s="220">
        <f t="shared" si="895"/>
        <v>0</v>
      </c>
      <c r="S201" s="220">
        <f t="shared" ca="1" si="895"/>
        <v>0</v>
      </c>
      <c r="T201" s="220">
        <f t="shared" ca="1" si="895"/>
        <v>0</v>
      </c>
      <c r="U201" s="220">
        <f t="shared" ca="1" si="895"/>
        <v>0</v>
      </c>
      <c r="V201" s="220">
        <f t="shared" ca="1" si="895"/>
        <v>0</v>
      </c>
      <c r="W201" s="220">
        <f t="shared" ca="1" si="895"/>
        <v>1291.629712288528</v>
      </c>
      <c r="X201" s="220">
        <f t="shared" ca="1" si="895"/>
        <v>6190.5958132809792</v>
      </c>
      <c r="Y201" s="220">
        <f t="shared" ca="1" si="895"/>
        <v>11113.696155591226</v>
      </c>
      <c r="Z201" s="220">
        <f t="shared" ca="1" si="895"/>
        <v>15019.869097938436</v>
      </c>
      <c r="AA201" s="220">
        <f t="shared" ca="1" si="895"/>
        <v>17481.98830829058</v>
      </c>
      <c r="AB201" s="220">
        <f t="shared" ca="1" si="895"/>
        <v>18748.646080846302</v>
      </c>
      <c r="AC201" s="220">
        <f t="shared" ca="1" si="895"/>
        <v>19325.735349391529</v>
      </c>
      <c r="AD201" s="220">
        <f t="shared" ca="1" si="895"/>
        <v>19610.433569992147</v>
      </c>
      <c r="AE201" s="220">
        <f t="shared" ca="1" si="895"/>
        <v>19900.520516408742</v>
      </c>
      <c r="AF201" s="220">
        <f t="shared" ca="1" si="895"/>
        <v>0</v>
      </c>
      <c r="AG201" s="220">
        <f t="shared" ca="1" si="895"/>
        <v>0</v>
      </c>
      <c r="AH201" s="220">
        <f t="shared" ca="1" si="895"/>
        <v>0</v>
      </c>
      <c r="AI201" s="220">
        <f t="shared" ca="1" si="895"/>
        <v>0</v>
      </c>
      <c r="AJ201" s="220">
        <f t="shared" ca="1" si="895"/>
        <v>0</v>
      </c>
      <c r="AK201" s="220">
        <f t="shared" ca="1" si="895"/>
        <v>0</v>
      </c>
      <c r="AL201" s="220">
        <f t="shared" ca="1" si="895"/>
        <v>0</v>
      </c>
      <c r="AM201" s="220">
        <f t="shared" ca="1" si="895"/>
        <v>0</v>
      </c>
      <c r="AN201" s="220">
        <f t="shared" ca="1" si="895"/>
        <v>0</v>
      </c>
      <c r="AO201" s="220">
        <f t="shared" ca="1" si="895"/>
        <v>0</v>
      </c>
      <c r="AP201" s="220">
        <f t="shared" ca="1" si="895"/>
        <v>0</v>
      </c>
      <c r="AQ201" s="220">
        <f t="shared" ca="1" si="895"/>
        <v>0</v>
      </c>
      <c r="AR201" s="220">
        <f t="shared" ca="1" si="895"/>
        <v>0</v>
      </c>
      <c r="AS201" s="220">
        <f t="shared" ca="1" si="895"/>
        <v>0</v>
      </c>
      <c r="AT201" s="220">
        <f t="shared" ca="1" si="895"/>
        <v>0</v>
      </c>
      <c r="AU201" s="220">
        <f t="shared" ca="1" si="895"/>
        <v>0</v>
      </c>
      <c r="AV201" s="220">
        <f t="shared" ca="1" si="895"/>
        <v>0</v>
      </c>
      <c r="AW201" s="220">
        <f t="shared" ref="AW201:CB201" ca="1" si="896">IF(AW198="","",(AW3&lt;=ConstDebt_Payoff)*GG63)</f>
        <v>0</v>
      </c>
      <c r="AX201" s="220">
        <f t="shared" ca="1" si="896"/>
        <v>0</v>
      </c>
      <c r="AY201" s="220">
        <f t="shared" ca="1" si="896"/>
        <v>0</v>
      </c>
      <c r="AZ201" s="220">
        <f t="shared" ca="1" si="896"/>
        <v>0</v>
      </c>
      <c r="BA201" s="220">
        <f t="shared" ca="1" si="896"/>
        <v>0</v>
      </c>
      <c r="BB201" s="220" t="str">
        <f t="shared" si="896"/>
        <v/>
      </c>
      <c r="BC201" s="220" t="str">
        <f t="shared" si="896"/>
        <v/>
      </c>
      <c r="BD201" s="220" t="str">
        <f t="shared" si="896"/>
        <v/>
      </c>
      <c r="BE201" s="220" t="str">
        <f t="shared" si="896"/>
        <v/>
      </c>
      <c r="BF201" s="220" t="str">
        <f t="shared" si="896"/>
        <v/>
      </c>
      <c r="BG201" s="220" t="str">
        <f t="shared" si="896"/>
        <v/>
      </c>
      <c r="BH201" s="220" t="str">
        <f t="shared" si="896"/>
        <v/>
      </c>
      <c r="BI201" s="220" t="str">
        <f t="shared" si="896"/>
        <v/>
      </c>
      <c r="BJ201" s="220" t="str">
        <f t="shared" si="896"/>
        <v/>
      </c>
      <c r="BK201" s="220" t="str">
        <f t="shared" si="896"/>
        <v/>
      </c>
      <c r="BL201" s="220" t="str">
        <f t="shared" si="896"/>
        <v/>
      </c>
      <c r="BM201" s="220" t="str">
        <f t="shared" si="896"/>
        <v/>
      </c>
      <c r="BN201" s="220" t="str">
        <f t="shared" si="896"/>
        <v/>
      </c>
      <c r="BO201" s="220" t="str">
        <f t="shared" si="896"/>
        <v/>
      </c>
      <c r="BP201" s="220" t="str">
        <f t="shared" si="896"/>
        <v/>
      </c>
      <c r="BQ201" s="220" t="str">
        <f t="shared" si="896"/>
        <v/>
      </c>
      <c r="BR201" s="220" t="str">
        <f t="shared" si="896"/>
        <v/>
      </c>
      <c r="BS201" s="220" t="str">
        <f t="shared" si="896"/>
        <v/>
      </c>
      <c r="BT201" s="220" t="str">
        <f t="shared" si="896"/>
        <v/>
      </c>
      <c r="BU201" s="220" t="str">
        <f t="shared" si="896"/>
        <v/>
      </c>
      <c r="BV201" s="220" t="str">
        <f t="shared" si="896"/>
        <v/>
      </c>
      <c r="BW201" s="220" t="str">
        <f t="shared" si="896"/>
        <v/>
      </c>
      <c r="BX201" s="220" t="str">
        <f t="shared" si="896"/>
        <v/>
      </c>
      <c r="BY201" s="220" t="str">
        <f t="shared" si="896"/>
        <v/>
      </c>
      <c r="BZ201" s="220" t="str">
        <f t="shared" si="896"/>
        <v/>
      </c>
      <c r="CA201" s="220" t="str">
        <f t="shared" si="896"/>
        <v/>
      </c>
      <c r="CB201" s="220" t="str">
        <f t="shared" si="896"/>
        <v/>
      </c>
      <c r="CC201" s="220" t="str">
        <f t="shared" ref="CC201:DH201" si="897">IF(CC198="","",(CC3&lt;=ConstDebt_Payoff)*HM63)</f>
        <v/>
      </c>
      <c r="CD201" s="220" t="str">
        <f t="shared" si="897"/>
        <v/>
      </c>
      <c r="CE201" s="220" t="str">
        <f t="shared" si="897"/>
        <v/>
      </c>
      <c r="CF201" s="220" t="str">
        <f t="shared" si="897"/>
        <v/>
      </c>
      <c r="CG201" s="220" t="str">
        <f t="shared" si="897"/>
        <v/>
      </c>
      <c r="CH201" s="220" t="str">
        <f t="shared" si="897"/>
        <v/>
      </c>
      <c r="CI201" s="220" t="str">
        <f t="shared" si="897"/>
        <v/>
      </c>
      <c r="CJ201" s="220" t="str">
        <f t="shared" si="897"/>
        <v/>
      </c>
      <c r="CK201" s="220" t="str">
        <f t="shared" si="897"/>
        <v/>
      </c>
      <c r="CL201" s="220" t="str">
        <f t="shared" si="897"/>
        <v/>
      </c>
      <c r="CM201" s="220" t="str">
        <f t="shared" si="897"/>
        <v/>
      </c>
      <c r="CN201" s="220" t="str">
        <f t="shared" si="897"/>
        <v/>
      </c>
      <c r="CO201" s="220" t="str">
        <f t="shared" si="897"/>
        <v/>
      </c>
      <c r="CP201" s="220" t="str">
        <f t="shared" si="897"/>
        <v/>
      </c>
      <c r="CQ201" s="220" t="str">
        <f t="shared" si="897"/>
        <v/>
      </c>
      <c r="CR201" s="220" t="str">
        <f t="shared" si="897"/>
        <v/>
      </c>
      <c r="CS201" s="220" t="str">
        <f t="shared" si="897"/>
        <v/>
      </c>
      <c r="CT201" s="220" t="str">
        <f t="shared" si="897"/>
        <v/>
      </c>
      <c r="CU201" s="220" t="str">
        <f t="shared" si="897"/>
        <v/>
      </c>
      <c r="CV201" s="220" t="str">
        <f t="shared" si="897"/>
        <v/>
      </c>
      <c r="CW201" s="220" t="str">
        <f t="shared" si="897"/>
        <v/>
      </c>
      <c r="CX201" s="220" t="str">
        <f t="shared" si="897"/>
        <v/>
      </c>
      <c r="CY201" s="220" t="str">
        <f t="shared" si="897"/>
        <v/>
      </c>
      <c r="CZ201" s="220" t="str">
        <f t="shared" si="897"/>
        <v/>
      </c>
      <c r="DA201" s="220" t="str">
        <f t="shared" si="897"/>
        <v/>
      </c>
      <c r="DB201" s="220" t="str">
        <f t="shared" si="897"/>
        <v/>
      </c>
      <c r="DC201" s="220" t="str">
        <f t="shared" si="897"/>
        <v/>
      </c>
      <c r="DD201" s="220" t="str">
        <f t="shared" si="897"/>
        <v/>
      </c>
      <c r="DE201" s="220" t="str">
        <f t="shared" si="897"/>
        <v/>
      </c>
      <c r="DF201" s="220" t="str">
        <f t="shared" si="897"/>
        <v/>
      </c>
      <c r="DG201" s="220" t="str">
        <f t="shared" si="897"/>
        <v/>
      </c>
      <c r="DH201" s="220" t="str">
        <f t="shared" si="897"/>
        <v/>
      </c>
      <c r="DI201" s="220" t="str">
        <f t="shared" ref="DI201:EN201" si="898">IF(DI198="","",(DI3&lt;=ConstDebt_Payoff)*IS63)</f>
        <v/>
      </c>
      <c r="DJ201" s="220" t="str">
        <f t="shared" si="898"/>
        <v/>
      </c>
      <c r="DK201" s="220" t="str">
        <f t="shared" si="898"/>
        <v/>
      </c>
      <c r="DL201" s="220" t="str">
        <f t="shared" si="898"/>
        <v/>
      </c>
      <c r="DM201" s="220" t="str">
        <f t="shared" si="898"/>
        <v/>
      </c>
      <c r="DN201" s="220" t="str">
        <f t="shared" si="898"/>
        <v/>
      </c>
      <c r="DO201" s="220" t="str">
        <f t="shared" si="898"/>
        <v/>
      </c>
      <c r="DP201" s="220" t="str">
        <f t="shared" si="898"/>
        <v/>
      </c>
      <c r="DQ201" s="220" t="str">
        <f t="shared" si="898"/>
        <v/>
      </c>
      <c r="DR201" s="220" t="str">
        <f t="shared" si="898"/>
        <v/>
      </c>
      <c r="DS201" s="220" t="str">
        <f t="shared" si="898"/>
        <v/>
      </c>
      <c r="DT201" s="220" t="str">
        <f t="shared" si="898"/>
        <v/>
      </c>
      <c r="DU201" s="220" t="str">
        <f t="shared" si="898"/>
        <v/>
      </c>
      <c r="DV201" s="220" t="str">
        <f t="shared" si="898"/>
        <v/>
      </c>
      <c r="DW201" s="220" t="str">
        <f t="shared" si="898"/>
        <v/>
      </c>
      <c r="DX201" s="220" t="str">
        <f t="shared" si="898"/>
        <v/>
      </c>
      <c r="DY201" s="220" t="str">
        <f t="shared" si="898"/>
        <v/>
      </c>
      <c r="DZ201" s="220" t="str">
        <f t="shared" si="898"/>
        <v/>
      </c>
      <c r="EA201" s="220" t="str">
        <f t="shared" si="898"/>
        <v/>
      </c>
      <c r="EB201" s="220" t="str">
        <f t="shared" si="898"/>
        <v/>
      </c>
      <c r="EC201" s="220" t="str">
        <f t="shared" si="898"/>
        <v/>
      </c>
      <c r="ED201" s="220" t="str">
        <f t="shared" si="898"/>
        <v/>
      </c>
      <c r="EE201" s="220" t="str">
        <f t="shared" si="898"/>
        <v/>
      </c>
      <c r="EF201" s="220" t="str">
        <f t="shared" si="898"/>
        <v/>
      </c>
      <c r="EG201" s="220" t="str">
        <f t="shared" si="898"/>
        <v/>
      </c>
      <c r="EH201" s="220" t="str">
        <f t="shared" si="898"/>
        <v/>
      </c>
      <c r="EI201" s="220" t="str">
        <f t="shared" si="898"/>
        <v/>
      </c>
      <c r="EJ201" s="220" t="str">
        <f t="shared" si="898"/>
        <v/>
      </c>
      <c r="EK201" s="220" t="str">
        <f t="shared" si="898"/>
        <v/>
      </c>
      <c r="EL201" s="220" t="str">
        <f t="shared" si="898"/>
        <v/>
      </c>
      <c r="EM201" s="220" t="str">
        <f t="shared" si="898"/>
        <v/>
      </c>
      <c r="EN201" s="220" t="str">
        <f t="shared" si="898"/>
        <v/>
      </c>
      <c r="EO201" s="220" t="str">
        <f t="shared" ref="EO201:ES201" si="899">IF(EO198="","",(EO3&lt;=ConstDebt_Payoff)*JY63)</f>
        <v/>
      </c>
      <c r="EP201" s="220" t="str">
        <f t="shared" si="899"/>
        <v/>
      </c>
      <c r="EQ201" s="220" t="str">
        <f t="shared" si="899"/>
        <v/>
      </c>
      <c r="ER201" s="220" t="str">
        <f t="shared" si="899"/>
        <v/>
      </c>
      <c r="ES201" s="220" t="str">
        <f t="shared" si="899"/>
        <v/>
      </c>
      <c r="EU201" s="202"/>
      <c r="EV201" s="202"/>
      <c r="EW201" s="202"/>
      <c r="EX201" s="202"/>
      <c r="EY201" s="202"/>
      <c r="EZ201" s="154"/>
      <c r="FA201" s="162">
        <f t="shared" ref="FA201:GF201" si="900">FA3</f>
        <v>0</v>
      </c>
      <c r="FB201" s="162">
        <f t="shared" si="900"/>
        <v>1</v>
      </c>
      <c r="FC201" s="162">
        <f t="shared" si="900"/>
        <v>2</v>
      </c>
      <c r="FD201" s="162">
        <f t="shared" si="900"/>
        <v>3</v>
      </c>
      <c r="FE201" s="162">
        <f t="shared" si="900"/>
        <v>4</v>
      </c>
      <c r="FF201" s="162">
        <f t="shared" si="900"/>
        <v>5</v>
      </c>
      <c r="FG201" s="162">
        <f t="shared" si="900"/>
        <v>6</v>
      </c>
      <c r="FH201" s="162">
        <f t="shared" si="900"/>
        <v>7</v>
      </c>
      <c r="FI201" s="162">
        <f t="shared" si="900"/>
        <v>8</v>
      </c>
      <c r="FJ201" s="162">
        <f t="shared" si="900"/>
        <v>9</v>
      </c>
      <c r="FK201" s="162">
        <f t="shared" si="900"/>
        <v>10</v>
      </c>
      <c r="FL201" s="162">
        <f t="shared" si="900"/>
        <v>11</v>
      </c>
      <c r="FM201" s="162">
        <f t="shared" si="900"/>
        <v>12</v>
      </c>
      <c r="FN201" s="162">
        <f t="shared" si="900"/>
        <v>13</v>
      </c>
      <c r="FO201" s="162">
        <f t="shared" si="900"/>
        <v>14</v>
      </c>
      <c r="FP201" s="162">
        <f t="shared" si="900"/>
        <v>15</v>
      </c>
      <c r="FQ201" s="162">
        <f t="shared" si="900"/>
        <v>16</v>
      </c>
      <c r="FR201" s="162">
        <f t="shared" si="900"/>
        <v>17</v>
      </c>
      <c r="FS201" s="162">
        <f t="shared" si="900"/>
        <v>18</v>
      </c>
      <c r="FT201" s="162">
        <f t="shared" si="900"/>
        <v>19</v>
      </c>
      <c r="FU201" s="162">
        <f t="shared" si="900"/>
        <v>20</v>
      </c>
      <c r="FV201" s="162">
        <f t="shared" si="900"/>
        <v>21</v>
      </c>
      <c r="FW201" s="162">
        <f t="shared" si="900"/>
        <v>22</v>
      </c>
      <c r="FX201" s="162">
        <f t="shared" si="900"/>
        <v>23</v>
      </c>
      <c r="FY201" s="162">
        <f t="shared" si="900"/>
        <v>24</v>
      </c>
      <c r="FZ201" s="162">
        <f t="shared" si="900"/>
        <v>25</v>
      </c>
      <c r="GA201" s="162">
        <f t="shared" si="900"/>
        <v>26</v>
      </c>
      <c r="GB201" s="162">
        <f t="shared" si="900"/>
        <v>27</v>
      </c>
      <c r="GC201" s="162">
        <f t="shared" si="900"/>
        <v>28</v>
      </c>
      <c r="GD201" s="162">
        <f t="shared" si="900"/>
        <v>29</v>
      </c>
      <c r="GE201" s="162">
        <f t="shared" si="900"/>
        <v>30</v>
      </c>
      <c r="GF201" s="162">
        <f t="shared" si="900"/>
        <v>31</v>
      </c>
      <c r="GG201" s="162">
        <f t="shared" ref="GG201:HL201" si="901">GG3</f>
        <v>32</v>
      </c>
      <c r="GH201" s="162">
        <f t="shared" si="901"/>
        <v>33</v>
      </c>
      <c r="GI201" s="162">
        <f t="shared" si="901"/>
        <v>34</v>
      </c>
      <c r="GJ201" s="162">
        <f t="shared" si="901"/>
        <v>35</v>
      </c>
      <c r="GK201" s="162">
        <f t="shared" si="901"/>
        <v>36</v>
      </c>
      <c r="GL201" s="162">
        <f t="shared" si="901"/>
        <v>37</v>
      </c>
      <c r="GM201" s="162">
        <f t="shared" si="901"/>
        <v>38</v>
      </c>
      <c r="GN201" s="162">
        <f t="shared" si="901"/>
        <v>39</v>
      </c>
      <c r="GO201" s="162">
        <f t="shared" si="901"/>
        <v>40</v>
      </c>
      <c r="GP201" s="162">
        <f t="shared" si="901"/>
        <v>41</v>
      </c>
      <c r="GQ201" s="162">
        <f t="shared" si="901"/>
        <v>42</v>
      </c>
      <c r="GR201" s="162">
        <f t="shared" si="901"/>
        <v>43</v>
      </c>
      <c r="GS201" s="162">
        <f t="shared" si="901"/>
        <v>44</v>
      </c>
      <c r="GT201" s="162">
        <f t="shared" si="901"/>
        <v>45</v>
      </c>
      <c r="GU201" s="162">
        <f t="shared" si="901"/>
        <v>46</v>
      </c>
      <c r="GV201" s="162">
        <f t="shared" si="901"/>
        <v>47</v>
      </c>
      <c r="GW201" s="162">
        <f t="shared" si="901"/>
        <v>48</v>
      </c>
      <c r="GX201" s="162">
        <f t="shared" si="901"/>
        <v>49</v>
      </c>
      <c r="GY201" s="162">
        <f t="shared" si="901"/>
        <v>50</v>
      </c>
      <c r="GZ201" s="162">
        <f t="shared" si="901"/>
        <v>51</v>
      </c>
      <c r="HA201" s="162">
        <f t="shared" si="901"/>
        <v>52</v>
      </c>
      <c r="HB201" s="162">
        <f t="shared" si="901"/>
        <v>53</v>
      </c>
      <c r="HC201" s="162">
        <f t="shared" si="901"/>
        <v>54</v>
      </c>
      <c r="HD201" s="162">
        <f t="shared" si="901"/>
        <v>55</v>
      </c>
      <c r="HE201" s="162">
        <f t="shared" si="901"/>
        <v>56</v>
      </c>
      <c r="HF201" s="162">
        <f t="shared" si="901"/>
        <v>57</v>
      </c>
      <c r="HG201" s="162">
        <f t="shared" si="901"/>
        <v>58</v>
      </c>
      <c r="HH201" s="162">
        <f t="shared" si="901"/>
        <v>59</v>
      </c>
      <c r="HI201" s="162">
        <f t="shared" si="901"/>
        <v>60</v>
      </c>
      <c r="HJ201" s="162">
        <f t="shared" si="901"/>
        <v>61</v>
      </c>
      <c r="HK201" s="162">
        <f t="shared" si="901"/>
        <v>62</v>
      </c>
      <c r="HL201" s="162">
        <f t="shared" si="901"/>
        <v>63</v>
      </c>
      <c r="HM201" s="162">
        <f t="shared" ref="HM201:IR201" si="902">HM3</f>
        <v>64</v>
      </c>
      <c r="HN201" s="162">
        <f t="shared" si="902"/>
        <v>65</v>
      </c>
      <c r="HO201" s="162">
        <f t="shared" si="902"/>
        <v>66</v>
      </c>
      <c r="HP201" s="162">
        <f t="shared" si="902"/>
        <v>67</v>
      </c>
      <c r="HQ201" s="162">
        <f t="shared" si="902"/>
        <v>68</v>
      </c>
      <c r="HR201" s="162">
        <f t="shared" si="902"/>
        <v>69</v>
      </c>
      <c r="HS201" s="162">
        <f t="shared" si="902"/>
        <v>70</v>
      </c>
      <c r="HT201" s="162">
        <f t="shared" si="902"/>
        <v>71</v>
      </c>
      <c r="HU201" s="162">
        <f t="shared" si="902"/>
        <v>72</v>
      </c>
      <c r="HV201" s="162">
        <f t="shared" si="902"/>
        <v>73</v>
      </c>
      <c r="HW201" s="162">
        <f t="shared" si="902"/>
        <v>74</v>
      </c>
      <c r="HX201" s="162">
        <f t="shared" si="902"/>
        <v>75</v>
      </c>
      <c r="HY201" s="162">
        <f t="shared" si="902"/>
        <v>76</v>
      </c>
      <c r="HZ201" s="162">
        <f t="shared" si="902"/>
        <v>77</v>
      </c>
      <c r="IA201" s="162">
        <f t="shared" si="902"/>
        <v>78</v>
      </c>
      <c r="IB201" s="162">
        <f t="shared" si="902"/>
        <v>79</v>
      </c>
      <c r="IC201" s="162">
        <f t="shared" si="902"/>
        <v>80</v>
      </c>
      <c r="ID201" s="162">
        <f t="shared" si="902"/>
        <v>81</v>
      </c>
      <c r="IE201" s="162">
        <f t="shared" si="902"/>
        <v>82</v>
      </c>
      <c r="IF201" s="162">
        <f t="shared" si="902"/>
        <v>83</v>
      </c>
      <c r="IG201" s="162">
        <f t="shared" si="902"/>
        <v>84</v>
      </c>
      <c r="IH201" s="162">
        <f t="shared" si="902"/>
        <v>85</v>
      </c>
      <c r="II201" s="162">
        <f t="shared" si="902"/>
        <v>86</v>
      </c>
      <c r="IJ201" s="162">
        <f t="shared" si="902"/>
        <v>87</v>
      </c>
      <c r="IK201" s="162">
        <f t="shared" si="902"/>
        <v>88</v>
      </c>
      <c r="IL201" s="162">
        <f t="shared" si="902"/>
        <v>89</v>
      </c>
      <c r="IM201" s="162">
        <f t="shared" si="902"/>
        <v>90</v>
      </c>
      <c r="IN201" s="162">
        <f t="shared" si="902"/>
        <v>91</v>
      </c>
      <c r="IO201" s="162">
        <f t="shared" si="902"/>
        <v>92</v>
      </c>
      <c r="IP201" s="162">
        <f t="shared" si="902"/>
        <v>93</v>
      </c>
      <c r="IQ201" s="162">
        <f t="shared" si="902"/>
        <v>94</v>
      </c>
      <c r="IR201" s="162">
        <f t="shared" si="902"/>
        <v>95</v>
      </c>
      <c r="IS201" s="162">
        <f t="shared" ref="IS201:KC201" si="903">IS3</f>
        <v>96</v>
      </c>
      <c r="IT201" s="162">
        <f t="shared" si="903"/>
        <v>97</v>
      </c>
      <c r="IU201" s="162">
        <f t="shared" si="903"/>
        <v>98</v>
      </c>
      <c r="IV201" s="162">
        <f t="shared" si="903"/>
        <v>99</v>
      </c>
      <c r="IW201" s="162">
        <f t="shared" si="903"/>
        <v>100</v>
      </c>
      <c r="IX201" s="162">
        <f t="shared" si="903"/>
        <v>101</v>
      </c>
      <c r="IY201" s="162">
        <f t="shared" si="903"/>
        <v>102</v>
      </c>
      <c r="IZ201" s="162">
        <f t="shared" si="903"/>
        <v>103</v>
      </c>
      <c r="JA201" s="162">
        <f t="shared" si="903"/>
        <v>104</v>
      </c>
      <c r="JB201" s="162">
        <f t="shared" si="903"/>
        <v>105</v>
      </c>
      <c r="JC201" s="162">
        <f t="shared" si="903"/>
        <v>106</v>
      </c>
      <c r="JD201" s="162">
        <f t="shared" si="903"/>
        <v>107</v>
      </c>
      <c r="JE201" s="162">
        <f t="shared" si="903"/>
        <v>108</v>
      </c>
      <c r="JF201" s="162">
        <f t="shared" si="903"/>
        <v>109</v>
      </c>
      <c r="JG201" s="162">
        <f t="shared" si="903"/>
        <v>110</v>
      </c>
      <c r="JH201" s="162">
        <f t="shared" si="903"/>
        <v>111</v>
      </c>
      <c r="JI201" s="162">
        <f t="shared" si="903"/>
        <v>112</v>
      </c>
      <c r="JJ201" s="162">
        <f t="shared" si="903"/>
        <v>113</v>
      </c>
      <c r="JK201" s="162">
        <f t="shared" si="903"/>
        <v>114</v>
      </c>
      <c r="JL201" s="162">
        <f t="shared" si="903"/>
        <v>115</v>
      </c>
      <c r="JM201" s="162">
        <f t="shared" si="903"/>
        <v>116</v>
      </c>
      <c r="JN201" s="162">
        <f t="shared" si="903"/>
        <v>117</v>
      </c>
      <c r="JO201" s="162">
        <f t="shared" si="903"/>
        <v>118</v>
      </c>
      <c r="JP201" s="162">
        <f t="shared" si="903"/>
        <v>119</v>
      </c>
      <c r="JQ201" s="162">
        <f t="shared" si="903"/>
        <v>120</v>
      </c>
      <c r="JR201" s="162">
        <f t="shared" si="903"/>
        <v>121</v>
      </c>
      <c r="JS201" s="162">
        <f t="shared" si="903"/>
        <v>122</v>
      </c>
      <c r="JT201" s="162">
        <f t="shared" si="903"/>
        <v>123</v>
      </c>
      <c r="JU201" s="162">
        <f t="shared" si="903"/>
        <v>124</v>
      </c>
      <c r="JV201" s="162">
        <f t="shared" si="903"/>
        <v>125</v>
      </c>
      <c r="JW201" s="162">
        <f t="shared" si="903"/>
        <v>126</v>
      </c>
      <c r="JX201" s="162">
        <f t="shared" si="903"/>
        <v>127</v>
      </c>
      <c r="JY201" s="162">
        <f t="shared" si="903"/>
        <v>128</v>
      </c>
      <c r="JZ201" s="162">
        <f t="shared" si="903"/>
        <v>129</v>
      </c>
      <c r="KA201" s="162">
        <f t="shared" si="903"/>
        <v>130</v>
      </c>
      <c r="KB201" s="162">
        <f t="shared" si="903"/>
        <v>131</v>
      </c>
      <c r="KC201" s="162">
        <f t="shared" si="903"/>
        <v>132</v>
      </c>
    </row>
    <row r="202" spans="1:289" x14ac:dyDescent="0.25">
      <c r="B202" s="180"/>
      <c r="C202" s="196"/>
      <c r="D202" s="196"/>
      <c r="E202" s="196"/>
      <c r="F202" s="196"/>
      <c r="G202" s="196"/>
      <c r="H202" s="196"/>
      <c r="I202" s="196"/>
      <c r="Q202" s="220"/>
      <c r="R202" s="220"/>
      <c r="S202" s="220"/>
      <c r="T202" s="220"/>
      <c r="U202" s="220"/>
      <c r="V202" s="220"/>
      <c r="W202" s="220"/>
      <c r="X202" s="220"/>
      <c r="Y202" s="220"/>
      <c r="Z202" s="220"/>
      <c r="AA202" s="220"/>
      <c r="AB202" s="220"/>
      <c r="AC202" s="220"/>
      <c r="AD202" s="220"/>
      <c r="AE202" s="220"/>
      <c r="AF202" s="220"/>
      <c r="AG202" s="220"/>
      <c r="AH202" s="220"/>
      <c r="AI202" s="220"/>
      <c r="AJ202" s="220"/>
      <c r="AK202" s="220"/>
      <c r="AL202" s="220"/>
      <c r="AM202" s="220"/>
      <c r="AN202" s="220"/>
      <c r="AO202" s="220"/>
      <c r="AP202" s="220"/>
      <c r="AQ202" s="220"/>
      <c r="AR202" s="220"/>
      <c r="AS202" s="220"/>
      <c r="AT202" s="220"/>
      <c r="AU202" s="220"/>
      <c r="AV202" s="220"/>
      <c r="AW202" s="220"/>
      <c r="AX202" s="220"/>
      <c r="AY202" s="220"/>
      <c r="AZ202" s="220"/>
      <c r="BA202" s="220"/>
      <c r="BB202" s="220"/>
      <c r="BC202" s="220"/>
      <c r="BD202" s="220"/>
      <c r="BE202" s="220"/>
      <c r="BF202" s="220"/>
      <c r="BG202" s="220"/>
      <c r="BH202" s="220"/>
      <c r="BI202" s="220"/>
      <c r="BJ202" s="220"/>
      <c r="BK202" s="220"/>
      <c r="BL202" s="220"/>
      <c r="BM202" s="220"/>
      <c r="BN202" s="220"/>
      <c r="BO202" s="220"/>
      <c r="BP202" s="220"/>
      <c r="BQ202" s="220"/>
      <c r="BR202" s="220"/>
      <c r="BS202" s="220"/>
      <c r="BT202" s="220"/>
      <c r="BU202" s="220"/>
      <c r="BV202" s="220"/>
      <c r="BW202" s="220"/>
      <c r="BX202" s="220"/>
      <c r="BY202" s="220"/>
      <c r="BZ202" s="220"/>
      <c r="CA202" s="220"/>
      <c r="CB202" s="220"/>
      <c r="CC202" s="220"/>
      <c r="CD202" s="220"/>
      <c r="CE202" s="220"/>
      <c r="CF202" s="220"/>
      <c r="CG202" s="220"/>
      <c r="CH202" s="220"/>
      <c r="CI202" s="220"/>
      <c r="CJ202" s="220"/>
      <c r="CK202" s="220"/>
      <c r="CL202" s="220"/>
      <c r="CM202" s="220"/>
      <c r="CN202" s="220"/>
      <c r="CO202" s="220"/>
      <c r="CP202" s="220"/>
      <c r="CQ202" s="220"/>
      <c r="CR202" s="220"/>
      <c r="CS202" s="220"/>
      <c r="CT202" s="220"/>
      <c r="CU202" s="220"/>
      <c r="CV202" s="220"/>
      <c r="CW202" s="220"/>
      <c r="CX202" s="220"/>
      <c r="CY202" s="220"/>
      <c r="CZ202" s="220"/>
      <c r="DA202" s="220"/>
      <c r="DB202" s="220"/>
      <c r="DC202" s="220"/>
      <c r="DD202" s="220"/>
      <c r="DE202" s="220"/>
      <c r="DF202" s="220"/>
      <c r="DG202" s="220"/>
      <c r="DH202" s="220"/>
      <c r="DI202" s="220"/>
      <c r="DJ202" s="220"/>
      <c r="DK202" s="220"/>
      <c r="DL202" s="220"/>
      <c r="DM202" s="220"/>
      <c r="DN202" s="220"/>
      <c r="DO202" s="220"/>
      <c r="DP202" s="220"/>
      <c r="DQ202" s="220"/>
      <c r="DR202" s="220"/>
      <c r="DS202" s="220"/>
      <c r="DT202" s="220"/>
      <c r="DU202" s="220"/>
      <c r="DV202" s="220"/>
      <c r="DW202" s="220"/>
      <c r="DX202" s="220"/>
      <c r="DY202" s="220"/>
      <c r="DZ202" s="220"/>
      <c r="EA202" s="220"/>
      <c r="EB202" s="220"/>
      <c r="EC202" s="220"/>
      <c r="ED202" s="220"/>
      <c r="EE202" s="220"/>
      <c r="EF202" s="220"/>
      <c r="EG202" s="220"/>
      <c r="EH202" s="220"/>
      <c r="EI202" s="220"/>
      <c r="EJ202" s="220"/>
      <c r="EK202" s="220"/>
      <c r="EL202" s="220"/>
      <c r="EM202" s="220"/>
      <c r="EN202" s="220"/>
      <c r="EO202" s="220"/>
      <c r="EP202" s="220"/>
      <c r="EQ202" s="220"/>
      <c r="ER202" s="220"/>
      <c r="ES202" s="220"/>
      <c r="EU202" s="202" t="s">
        <v>350</v>
      </c>
      <c r="EV202" s="153"/>
      <c r="EW202" s="153"/>
      <c r="EX202" s="153"/>
      <c r="EY202" s="154" t="s">
        <v>343</v>
      </c>
      <c r="EZ202" s="154"/>
      <c r="FA202" s="388">
        <f t="shared" ref="FA202:GF202" si="904">(FA$201&lt;=Timing_Reversion_Month)*EZ206</f>
        <v>0</v>
      </c>
      <c r="FB202" s="388">
        <f t="shared" ca="1" si="904"/>
        <v>0</v>
      </c>
      <c r="FC202" s="388">
        <f t="shared" ca="1" si="904"/>
        <v>0</v>
      </c>
      <c r="FD202" s="388">
        <f t="shared" ca="1" si="904"/>
        <v>0</v>
      </c>
      <c r="FE202" s="388">
        <f t="shared" ca="1" si="904"/>
        <v>0</v>
      </c>
      <c r="FF202" s="388">
        <f t="shared" ca="1" si="904"/>
        <v>0</v>
      </c>
      <c r="FG202" s="388">
        <f t="shared" ca="1" si="904"/>
        <v>0</v>
      </c>
      <c r="FH202" s="388">
        <f t="shared" ca="1" si="904"/>
        <v>0</v>
      </c>
      <c r="FI202" s="388">
        <f t="shared" ca="1" si="904"/>
        <v>0</v>
      </c>
      <c r="FJ202" s="388">
        <f t="shared" ca="1" si="904"/>
        <v>0</v>
      </c>
      <c r="FK202" s="388">
        <f t="shared" ca="1" si="904"/>
        <v>0</v>
      </c>
      <c r="FL202" s="388">
        <f t="shared" ca="1" si="904"/>
        <v>0</v>
      </c>
      <c r="FM202" s="388">
        <f t="shared" ca="1" si="904"/>
        <v>0</v>
      </c>
      <c r="FN202" s="388">
        <f t="shared" ca="1" si="904"/>
        <v>0</v>
      </c>
      <c r="FO202" s="388">
        <f t="shared" ca="1" si="904"/>
        <v>0</v>
      </c>
      <c r="FP202" s="388">
        <f t="shared" ca="1" si="904"/>
        <v>0</v>
      </c>
      <c r="FQ202" s="388">
        <f t="shared" ca="1" si="904"/>
        <v>0</v>
      </c>
      <c r="FR202" s="388">
        <f t="shared" ca="1" si="904"/>
        <v>0</v>
      </c>
      <c r="FS202" s="388">
        <f t="shared" ca="1" si="904"/>
        <v>0</v>
      </c>
      <c r="FT202" s="388">
        <f t="shared" ca="1" si="904"/>
        <v>0</v>
      </c>
      <c r="FU202" s="388">
        <f t="shared" ca="1" si="904"/>
        <v>0</v>
      </c>
      <c r="FV202" s="388">
        <f t="shared" ca="1" si="904"/>
        <v>0</v>
      </c>
      <c r="FW202" s="388">
        <f t="shared" ca="1" si="904"/>
        <v>0</v>
      </c>
      <c r="FX202" s="388">
        <f t="shared" ca="1" si="904"/>
        <v>0</v>
      </c>
      <c r="FY202" s="388">
        <f t="shared" ca="1" si="904"/>
        <v>0</v>
      </c>
      <c r="FZ202" s="388">
        <f t="shared" ca="1" si="904"/>
        <v>0</v>
      </c>
      <c r="GA202" s="388">
        <f t="shared" ca="1" si="904"/>
        <v>0</v>
      </c>
      <c r="GB202" s="388">
        <f t="shared" ca="1" si="904"/>
        <v>0</v>
      </c>
      <c r="GC202" s="388">
        <f t="shared" ca="1" si="904"/>
        <v>0</v>
      </c>
      <c r="GD202" s="388">
        <f t="shared" ca="1" si="904"/>
        <v>0</v>
      </c>
      <c r="GE202" s="388">
        <f t="shared" ca="1" si="904"/>
        <v>0</v>
      </c>
      <c r="GF202" s="388">
        <f t="shared" ca="1" si="904"/>
        <v>0</v>
      </c>
      <c r="GG202" s="388">
        <f t="shared" ref="GG202:HL202" ca="1" si="905">(GG$201&lt;=Timing_Reversion_Month)*GF206</f>
        <v>0</v>
      </c>
      <c r="GH202" s="388">
        <f t="shared" ca="1" si="905"/>
        <v>0</v>
      </c>
      <c r="GI202" s="388">
        <f t="shared" ca="1" si="905"/>
        <v>0</v>
      </c>
      <c r="GJ202" s="388">
        <f t="shared" ca="1" si="905"/>
        <v>0</v>
      </c>
      <c r="GK202" s="388">
        <f t="shared" ca="1" si="905"/>
        <v>0</v>
      </c>
      <c r="GL202" s="388">
        <f t="shared" ca="1" si="905"/>
        <v>0</v>
      </c>
      <c r="GM202" s="388">
        <f t="shared" ca="1" si="905"/>
        <v>0</v>
      </c>
      <c r="GN202" s="388">
        <f t="shared" ca="1" si="905"/>
        <v>0</v>
      </c>
      <c r="GO202" s="388">
        <f t="shared" ca="1" si="905"/>
        <v>0</v>
      </c>
      <c r="GP202" s="388">
        <f t="shared" ca="1" si="905"/>
        <v>0</v>
      </c>
      <c r="GQ202" s="388">
        <f t="shared" ca="1" si="905"/>
        <v>0</v>
      </c>
      <c r="GR202" s="388">
        <f t="shared" ca="1" si="905"/>
        <v>0</v>
      </c>
      <c r="GS202" s="388">
        <f t="shared" ca="1" si="905"/>
        <v>0</v>
      </c>
      <c r="GT202" s="388">
        <f t="shared" ca="1" si="905"/>
        <v>0</v>
      </c>
      <c r="GU202" s="388">
        <f t="shared" ca="1" si="905"/>
        <v>0</v>
      </c>
      <c r="GV202" s="388">
        <f t="shared" ca="1" si="905"/>
        <v>0</v>
      </c>
      <c r="GW202" s="388">
        <f t="shared" ca="1" si="905"/>
        <v>0</v>
      </c>
      <c r="GX202" s="388">
        <f t="shared" ca="1" si="905"/>
        <v>0</v>
      </c>
      <c r="GY202" s="388">
        <f t="shared" ca="1" si="905"/>
        <v>0</v>
      </c>
      <c r="GZ202" s="388">
        <f t="shared" ca="1" si="905"/>
        <v>0</v>
      </c>
      <c r="HA202" s="388">
        <f t="shared" ca="1" si="905"/>
        <v>0</v>
      </c>
      <c r="HB202" s="388">
        <f t="shared" ca="1" si="905"/>
        <v>0</v>
      </c>
      <c r="HC202" s="388">
        <f t="shared" ca="1" si="905"/>
        <v>0</v>
      </c>
      <c r="HD202" s="388">
        <f t="shared" ca="1" si="905"/>
        <v>0</v>
      </c>
      <c r="HE202" s="388">
        <f t="shared" ca="1" si="905"/>
        <v>0</v>
      </c>
      <c r="HF202" s="388">
        <f t="shared" ca="1" si="905"/>
        <v>0</v>
      </c>
      <c r="HG202" s="388">
        <f t="shared" ca="1" si="905"/>
        <v>0</v>
      </c>
      <c r="HH202" s="388">
        <f t="shared" ca="1" si="905"/>
        <v>0</v>
      </c>
      <c r="HI202" s="388">
        <f t="shared" ca="1" si="905"/>
        <v>0</v>
      </c>
      <c r="HJ202" s="388">
        <f t="shared" ca="1" si="905"/>
        <v>0</v>
      </c>
      <c r="HK202" s="388">
        <f t="shared" ca="1" si="905"/>
        <v>0</v>
      </c>
      <c r="HL202" s="388">
        <f t="shared" ca="1" si="905"/>
        <v>0</v>
      </c>
      <c r="HM202" s="388">
        <f t="shared" ref="HM202:IR202" ca="1" si="906">(HM$201&lt;=Timing_Reversion_Month)*HL206</f>
        <v>0</v>
      </c>
      <c r="HN202" s="388">
        <f t="shared" ca="1" si="906"/>
        <v>0</v>
      </c>
      <c r="HO202" s="388">
        <f t="shared" ca="1" si="906"/>
        <v>0</v>
      </c>
      <c r="HP202" s="388">
        <f t="shared" ca="1" si="906"/>
        <v>0</v>
      </c>
      <c r="HQ202" s="388">
        <f t="shared" ca="1" si="906"/>
        <v>0</v>
      </c>
      <c r="HR202" s="388">
        <f t="shared" ca="1" si="906"/>
        <v>0</v>
      </c>
      <c r="HS202" s="388">
        <f t="shared" ca="1" si="906"/>
        <v>0</v>
      </c>
      <c r="HT202" s="388">
        <f t="shared" ca="1" si="906"/>
        <v>0</v>
      </c>
      <c r="HU202" s="388">
        <f t="shared" ca="1" si="906"/>
        <v>0</v>
      </c>
      <c r="HV202" s="388">
        <f t="shared" ca="1" si="906"/>
        <v>0</v>
      </c>
      <c r="HW202" s="388">
        <f t="shared" ca="1" si="906"/>
        <v>0</v>
      </c>
      <c r="HX202" s="388">
        <f t="shared" ca="1" si="906"/>
        <v>0</v>
      </c>
      <c r="HY202" s="388">
        <f t="shared" ca="1" si="906"/>
        <v>0</v>
      </c>
      <c r="HZ202" s="388">
        <f t="shared" ca="1" si="906"/>
        <v>0</v>
      </c>
      <c r="IA202" s="388">
        <f t="shared" ca="1" si="906"/>
        <v>0</v>
      </c>
      <c r="IB202" s="388">
        <f t="shared" ca="1" si="906"/>
        <v>0</v>
      </c>
      <c r="IC202" s="388">
        <f t="shared" ca="1" si="906"/>
        <v>0</v>
      </c>
      <c r="ID202" s="388">
        <f t="shared" ca="1" si="906"/>
        <v>0</v>
      </c>
      <c r="IE202" s="388">
        <f t="shared" ca="1" si="906"/>
        <v>0</v>
      </c>
      <c r="IF202" s="388">
        <f t="shared" ca="1" si="906"/>
        <v>0</v>
      </c>
      <c r="IG202" s="388">
        <f t="shared" ca="1" si="906"/>
        <v>0</v>
      </c>
      <c r="IH202" s="388">
        <f t="shared" ca="1" si="906"/>
        <v>0</v>
      </c>
      <c r="II202" s="388">
        <f t="shared" ca="1" si="906"/>
        <v>0</v>
      </c>
      <c r="IJ202" s="388">
        <f t="shared" ca="1" si="906"/>
        <v>0</v>
      </c>
      <c r="IK202" s="388">
        <f t="shared" ca="1" si="906"/>
        <v>0</v>
      </c>
      <c r="IL202" s="388">
        <f t="shared" ca="1" si="906"/>
        <v>0</v>
      </c>
      <c r="IM202" s="388">
        <f t="shared" ca="1" si="906"/>
        <v>0</v>
      </c>
      <c r="IN202" s="388">
        <f t="shared" ca="1" si="906"/>
        <v>0</v>
      </c>
      <c r="IO202" s="388">
        <f t="shared" ca="1" si="906"/>
        <v>0</v>
      </c>
      <c r="IP202" s="388">
        <f t="shared" ca="1" si="906"/>
        <v>0</v>
      </c>
      <c r="IQ202" s="388">
        <f t="shared" ca="1" si="906"/>
        <v>0</v>
      </c>
      <c r="IR202" s="388">
        <f t="shared" ca="1" si="906"/>
        <v>0</v>
      </c>
      <c r="IS202" s="388">
        <f t="shared" ref="IS202:KC202" ca="1" si="907">(IS$201&lt;=Timing_Reversion_Month)*IR206</f>
        <v>0</v>
      </c>
      <c r="IT202" s="388">
        <f t="shared" ca="1" si="907"/>
        <v>0</v>
      </c>
      <c r="IU202" s="388">
        <f t="shared" ca="1" si="907"/>
        <v>0</v>
      </c>
      <c r="IV202" s="388">
        <f t="shared" ca="1" si="907"/>
        <v>0</v>
      </c>
      <c r="IW202" s="388">
        <f t="shared" ca="1" si="907"/>
        <v>0</v>
      </c>
      <c r="IX202" s="388">
        <f t="shared" ca="1" si="907"/>
        <v>0</v>
      </c>
      <c r="IY202" s="388">
        <f t="shared" ca="1" si="907"/>
        <v>0</v>
      </c>
      <c r="IZ202" s="388">
        <f t="shared" ca="1" si="907"/>
        <v>0</v>
      </c>
      <c r="JA202" s="388">
        <f t="shared" ca="1" si="907"/>
        <v>0</v>
      </c>
      <c r="JB202" s="388">
        <f t="shared" ca="1" si="907"/>
        <v>0</v>
      </c>
      <c r="JC202" s="388">
        <f t="shared" ca="1" si="907"/>
        <v>0</v>
      </c>
      <c r="JD202" s="388">
        <f t="shared" ca="1" si="907"/>
        <v>0</v>
      </c>
      <c r="JE202" s="388">
        <f t="shared" ca="1" si="907"/>
        <v>0</v>
      </c>
      <c r="JF202" s="388">
        <f t="shared" ca="1" si="907"/>
        <v>0</v>
      </c>
      <c r="JG202" s="388">
        <f t="shared" ca="1" si="907"/>
        <v>0</v>
      </c>
      <c r="JH202" s="388">
        <f t="shared" ca="1" si="907"/>
        <v>0</v>
      </c>
      <c r="JI202" s="388">
        <f t="shared" ca="1" si="907"/>
        <v>0</v>
      </c>
      <c r="JJ202" s="388">
        <f t="shared" ca="1" si="907"/>
        <v>0</v>
      </c>
      <c r="JK202" s="388">
        <f t="shared" ca="1" si="907"/>
        <v>0</v>
      </c>
      <c r="JL202" s="388">
        <f t="shared" ca="1" si="907"/>
        <v>0</v>
      </c>
      <c r="JM202" s="388">
        <f t="shared" ca="1" si="907"/>
        <v>0</v>
      </c>
      <c r="JN202" s="388">
        <f t="shared" ca="1" si="907"/>
        <v>0</v>
      </c>
      <c r="JO202" s="388">
        <f t="shared" ca="1" si="907"/>
        <v>0</v>
      </c>
      <c r="JP202" s="388">
        <f t="shared" ca="1" si="907"/>
        <v>0</v>
      </c>
      <c r="JQ202" s="388">
        <f t="shared" ca="1" si="907"/>
        <v>0</v>
      </c>
      <c r="JR202" s="388">
        <f t="shared" ca="1" si="907"/>
        <v>0</v>
      </c>
      <c r="JS202" s="388">
        <f t="shared" ca="1" si="907"/>
        <v>0</v>
      </c>
      <c r="JT202" s="388">
        <f t="shared" ca="1" si="907"/>
        <v>0</v>
      </c>
      <c r="JU202" s="388">
        <f t="shared" ca="1" si="907"/>
        <v>0</v>
      </c>
      <c r="JV202" s="388">
        <f t="shared" ca="1" si="907"/>
        <v>0</v>
      </c>
      <c r="JW202" s="388">
        <f t="shared" ca="1" si="907"/>
        <v>0</v>
      </c>
      <c r="JX202" s="388">
        <f t="shared" ca="1" si="907"/>
        <v>0</v>
      </c>
      <c r="JY202" s="388">
        <f t="shared" ca="1" si="907"/>
        <v>0</v>
      </c>
      <c r="JZ202" s="388">
        <f t="shared" ca="1" si="907"/>
        <v>0</v>
      </c>
      <c r="KA202" s="388">
        <f t="shared" ca="1" si="907"/>
        <v>0</v>
      </c>
      <c r="KB202" s="388">
        <f t="shared" ca="1" si="907"/>
        <v>0</v>
      </c>
      <c r="KC202" s="388">
        <f t="shared" ca="1" si="907"/>
        <v>0</v>
      </c>
    </row>
    <row r="203" spans="1:289" x14ac:dyDescent="0.25">
      <c r="B203" s="180" t="s">
        <v>578</v>
      </c>
      <c r="C203" s="196"/>
      <c r="D203" s="196"/>
      <c r="E203" s="196"/>
      <c r="F203" s="196"/>
      <c r="G203" s="196"/>
      <c r="H203" s="218"/>
      <c r="I203" s="218">
        <f ca="1">SUM(Q203:ER203)</f>
        <v>2423162.9824854569</v>
      </c>
      <c r="Q203" s="220">
        <f t="shared" ref="Q203:AV203" si="908">IF(Q198="","",Q77)</f>
        <v>0</v>
      </c>
      <c r="R203" s="220">
        <f t="shared" ca="1" si="908"/>
        <v>0</v>
      </c>
      <c r="S203" s="220">
        <f t="shared" ca="1" si="908"/>
        <v>0</v>
      </c>
      <c r="T203" s="220">
        <f t="shared" ca="1" si="908"/>
        <v>0</v>
      </c>
      <c r="U203" s="220">
        <f t="shared" ca="1" si="908"/>
        <v>0</v>
      </c>
      <c r="V203" s="220">
        <f t="shared" ca="1" si="908"/>
        <v>154995.56547462335</v>
      </c>
      <c r="W203" s="220">
        <f t="shared" ca="1" si="908"/>
        <v>587875.93211909418</v>
      </c>
      <c r="X203" s="220">
        <f t="shared" ca="1" si="908"/>
        <v>590772.04107722954</v>
      </c>
      <c r="Y203" s="220">
        <f t="shared" ca="1" si="908"/>
        <v>468740.7530816652</v>
      </c>
      <c r="Z203" s="220">
        <f t="shared" ca="1" si="908"/>
        <v>295454.30524225702</v>
      </c>
      <c r="AA203" s="220">
        <f t="shared" ca="1" si="908"/>
        <v>151998.93270668635</v>
      </c>
      <c r="AB203" s="220">
        <f t="shared" ca="1" si="908"/>
        <v>69250.71222542724</v>
      </c>
      <c r="AC203" s="220">
        <f t="shared" ca="1" si="908"/>
        <v>34163.786472073742</v>
      </c>
      <c r="AD203" s="220">
        <f t="shared" ca="1" si="908"/>
        <v>34810.43356999215</v>
      </c>
      <c r="AE203" s="220">
        <f t="shared" ca="1" si="908"/>
        <v>35100.520516408258</v>
      </c>
      <c r="AF203" s="220">
        <f t="shared" ca="1" si="908"/>
        <v>0</v>
      </c>
      <c r="AG203" s="220">
        <f t="shared" ca="1" si="908"/>
        <v>0</v>
      </c>
      <c r="AH203" s="220">
        <f t="shared" ca="1" si="908"/>
        <v>0</v>
      </c>
      <c r="AI203" s="220">
        <f t="shared" ca="1" si="908"/>
        <v>0</v>
      </c>
      <c r="AJ203" s="220">
        <f t="shared" ca="1" si="908"/>
        <v>0</v>
      </c>
      <c r="AK203" s="220">
        <f t="shared" ca="1" si="908"/>
        <v>0</v>
      </c>
      <c r="AL203" s="220">
        <f t="shared" ca="1" si="908"/>
        <v>0</v>
      </c>
      <c r="AM203" s="220">
        <f t="shared" ca="1" si="908"/>
        <v>0</v>
      </c>
      <c r="AN203" s="220">
        <f t="shared" ca="1" si="908"/>
        <v>0</v>
      </c>
      <c r="AO203" s="220">
        <f t="shared" ca="1" si="908"/>
        <v>0</v>
      </c>
      <c r="AP203" s="220">
        <f t="shared" ca="1" si="908"/>
        <v>0</v>
      </c>
      <c r="AQ203" s="220">
        <f t="shared" ca="1" si="908"/>
        <v>0</v>
      </c>
      <c r="AR203" s="220">
        <f t="shared" ca="1" si="908"/>
        <v>0</v>
      </c>
      <c r="AS203" s="220">
        <f t="shared" ca="1" si="908"/>
        <v>0</v>
      </c>
      <c r="AT203" s="220">
        <f t="shared" ca="1" si="908"/>
        <v>0</v>
      </c>
      <c r="AU203" s="220">
        <f t="shared" ca="1" si="908"/>
        <v>0</v>
      </c>
      <c r="AV203" s="220">
        <f t="shared" ca="1" si="908"/>
        <v>0</v>
      </c>
      <c r="AW203" s="220">
        <f t="shared" ref="AW203:CB203" ca="1" si="909">IF(AW198="","",AW77)</f>
        <v>0</v>
      </c>
      <c r="AX203" s="220">
        <f t="shared" ca="1" si="909"/>
        <v>0</v>
      </c>
      <c r="AY203" s="220">
        <f t="shared" ca="1" si="909"/>
        <v>0</v>
      </c>
      <c r="AZ203" s="220">
        <f t="shared" ca="1" si="909"/>
        <v>0</v>
      </c>
      <c r="BA203" s="220">
        <f t="shared" ca="1" si="909"/>
        <v>0</v>
      </c>
      <c r="BB203" s="220" t="str">
        <f t="shared" si="909"/>
        <v/>
      </c>
      <c r="BC203" s="220" t="str">
        <f t="shared" si="909"/>
        <v/>
      </c>
      <c r="BD203" s="220" t="str">
        <f t="shared" si="909"/>
        <v/>
      </c>
      <c r="BE203" s="220" t="str">
        <f t="shared" si="909"/>
        <v/>
      </c>
      <c r="BF203" s="220" t="str">
        <f t="shared" si="909"/>
        <v/>
      </c>
      <c r="BG203" s="220" t="str">
        <f t="shared" si="909"/>
        <v/>
      </c>
      <c r="BH203" s="220" t="str">
        <f t="shared" si="909"/>
        <v/>
      </c>
      <c r="BI203" s="220" t="str">
        <f t="shared" si="909"/>
        <v/>
      </c>
      <c r="BJ203" s="220" t="str">
        <f t="shared" si="909"/>
        <v/>
      </c>
      <c r="BK203" s="220" t="str">
        <f t="shared" si="909"/>
        <v/>
      </c>
      <c r="BL203" s="220" t="str">
        <f t="shared" si="909"/>
        <v/>
      </c>
      <c r="BM203" s="220" t="str">
        <f t="shared" si="909"/>
        <v/>
      </c>
      <c r="BN203" s="220" t="str">
        <f t="shared" si="909"/>
        <v/>
      </c>
      <c r="BO203" s="220" t="str">
        <f t="shared" si="909"/>
        <v/>
      </c>
      <c r="BP203" s="220" t="str">
        <f t="shared" si="909"/>
        <v/>
      </c>
      <c r="BQ203" s="220" t="str">
        <f t="shared" si="909"/>
        <v/>
      </c>
      <c r="BR203" s="220" t="str">
        <f t="shared" si="909"/>
        <v/>
      </c>
      <c r="BS203" s="220" t="str">
        <f t="shared" si="909"/>
        <v/>
      </c>
      <c r="BT203" s="220" t="str">
        <f t="shared" si="909"/>
        <v/>
      </c>
      <c r="BU203" s="220" t="str">
        <f t="shared" si="909"/>
        <v/>
      </c>
      <c r="BV203" s="220" t="str">
        <f t="shared" si="909"/>
        <v/>
      </c>
      <c r="BW203" s="220" t="str">
        <f t="shared" si="909"/>
        <v/>
      </c>
      <c r="BX203" s="220" t="str">
        <f t="shared" si="909"/>
        <v/>
      </c>
      <c r="BY203" s="220" t="str">
        <f t="shared" si="909"/>
        <v/>
      </c>
      <c r="BZ203" s="220" t="str">
        <f t="shared" si="909"/>
        <v/>
      </c>
      <c r="CA203" s="220" t="str">
        <f t="shared" si="909"/>
        <v/>
      </c>
      <c r="CB203" s="220" t="str">
        <f t="shared" si="909"/>
        <v/>
      </c>
      <c r="CC203" s="220" t="str">
        <f t="shared" ref="CC203:DH203" si="910">IF(CC198="","",CC77)</f>
        <v/>
      </c>
      <c r="CD203" s="220" t="str">
        <f t="shared" si="910"/>
        <v/>
      </c>
      <c r="CE203" s="220" t="str">
        <f t="shared" si="910"/>
        <v/>
      </c>
      <c r="CF203" s="220" t="str">
        <f t="shared" si="910"/>
        <v/>
      </c>
      <c r="CG203" s="220" t="str">
        <f t="shared" si="910"/>
        <v/>
      </c>
      <c r="CH203" s="220" t="str">
        <f t="shared" si="910"/>
        <v/>
      </c>
      <c r="CI203" s="220" t="str">
        <f t="shared" si="910"/>
        <v/>
      </c>
      <c r="CJ203" s="220" t="str">
        <f t="shared" si="910"/>
        <v/>
      </c>
      <c r="CK203" s="220" t="str">
        <f t="shared" si="910"/>
        <v/>
      </c>
      <c r="CL203" s="220" t="str">
        <f t="shared" si="910"/>
        <v/>
      </c>
      <c r="CM203" s="220" t="str">
        <f t="shared" si="910"/>
        <v/>
      </c>
      <c r="CN203" s="220" t="str">
        <f t="shared" si="910"/>
        <v/>
      </c>
      <c r="CO203" s="220" t="str">
        <f t="shared" si="910"/>
        <v/>
      </c>
      <c r="CP203" s="220" t="str">
        <f t="shared" si="910"/>
        <v/>
      </c>
      <c r="CQ203" s="220" t="str">
        <f t="shared" si="910"/>
        <v/>
      </c>
      <c r="CR203" s="220" t="str">
        <f t="shared" si="910"/>
        <v/>
      </c>
      <c r="CS203" s="220" t="str">
        <f t="shared" si="910"/>
        <v/>
      </c>
      <c r="CT203" s="220" t="str">
        <f t="shared" si="910"/>
        <v/>
      </c>
      <c r="CU203" s="220" t="str">
        <f t="shared" si="910"/>
        <v/>
      </c>
      <c r="CV203" s="220" t="str">
        <f t="shared" si="910"/>
        <v/>
      </c>
      <c r="CW203" s="220" t="str">
        <f t="shared" si="910"/>
        <v/>
      </c>
      <c r="CX203" s="220" t="str">
        <f t="shared" si="910"/>
        <v/>
      </c>
      <c r="CY203" s="220" t="str">
        <f t="shared" si="910"/>
        <v/>
      </c>
      <c r="CZ203" s="220" t="str">
        <f t="shared" si="910"/>
        <v/>
      </c>
      <c r="DA203" s="220" t="str">
        <f t="shared" si="910"/>
        <v/>
      </c>
      <c r="DB203" s="220" t="str">
        <f t="shared" si="910"/>
        <v/>
      </c>
      <c r="DC203" s="220" t="str">
        <f t="shared" si="910"/>
        <v/>
      </c>
      <c r="DD203" s="220" t="str">
        <f t="shared" si="910"/>
        <v/>
      </c>
      <c r="DE203" s="220" t="str">
        <f t="shared" si="910"/>
        <v/>
      </c>
      <c r="DF203" s="220" t="str">
        <f t="shared" si="910"/>
        <v/>
      </c>
      <c r="DG203" s="220" t="str">
        <f t="shared" si="910"/>
        <v/>
      </c>
      <c r="DH203" s="220" t="str">
        <f t="shared" si="910"/>
        <v/>
      </c>
      <c r="DI203" s="220" t="str">
        <f t="shared" ref="DI203:ES203" si="911">IF(DI198="","",DI77)</f>
        <v/>
      </c>
      <c r="DJ203" s="220" t="str">
        <f t="shared" si="911"/>
        <v/>
      </c>
      <c r="DK203" s="220" t="str">
        <f t="shared" si="911"/>
        <v/>
      </c>
      <c r="DL203" s="220" t="str">
        <f t="shared" si="911"/>
        <v/>
      </c>
      <c r="DM203" s="220" t="str">
        <f t="shared" si="911"/>
        <v/>
      </c>
      <c r="DN203" s="220" t="str">
        <f t="shared" si="911"/>
        <v/>
      </c>
      <c r="DO203" s="220" t="str">
        <f t="shared" si="911"/>
        <v/>
      </c>
      <c r="DP203" s="220" t="str">
        <f t="shared" si="911"/>
        <v/>
      </c>
      <c r="DQ203" s="220" t="str">
        <f t="shared" si="911"/>
        <v/>
      </c>
      <c r="DR203" s="220" t="str">
        <f t="shared" si="911"/>
        <v/>
      </c>
      <c r="DS203" s="220" t="str">
        <f t="shared" si="911"/>
        <v/>
      </c>
      <c r="DT203" s="220" t="str">
        <f t="shared" si="911"/>
        <v/>
      </c>
      <c r="DU203" s="220" t="str">
        <f t="shared" si="911"/>
        <v/>
      </c>
      <c r="DV203" s="220" t="str">
        <f t="shared" si="911"/>
        <v/>
      </c>
      <c r="DW203" s="220" t="str">
        <f t="shared" si="911"/>
        <v/>
      </c>
      <c r="DX203" s="220" t="str">
        <f t="shared" si="911"/>
        <v/>
      </c>
      <c r="DY203" s="220" t="str">
        <f t="shared" si="911"/>
        <v/>
      </c>
      <c r="DZ203" s="220" t="str">
        <f t="shared" si="911"/>
        <v/>
      </c>
      <c r="EA203" s="220" t="str">
        <f t="shared" si="911"/>
        <v/>
      </c>
      <c r="EB203" s="220" t="str">
        <f t="shared" si="911"/>
        <v/>
      </c>
      <c r="EC203" s="220" t="str">
        <f t="shared" si="911"/>
        <v/>
      </c>
      <c r="ED203" s="220" t="str">
        <f t="shared" si="911"/>
        <v/>
      </c>
      <c r="EE203" s="220" t="str">
        <f t="shared" si="911"/>
        <v/>
      </c>
      <c r="EF203" s="220" t="str">
        <f t="shared" si="911"/>
        <v/>
      </c>
      <c r="EG203" s="220" t="str">
        <f t="shared" si="911"/>
        <v/>
      </c>
      <c r="EH203" s="220" t="str">
        <f t="shared" si="911"/>
        <v/>
      </c>
      <c r="EI203" s="220" t="str">
        <f t="shared" si="911"/>
        <v/>
      </c>
      <c r="EJ203" s="220" t="str">
        <f t="shared" si="911"/>
        <v/>
      </c>
      <c r="EK203" s="220" t="str">
        <f t="shared" si="911"/>
        <v/>
      </c>
      <c r="EL203" s="220" t="str">
        <f t="shared" si="911"/>
        <v/>
      </c>
      <c r="EM203" s="220" t="str">
        <f t="shared" si="911"/>
        <v/>
      </c>
      <c r="EN203" s="220" t="str">
        <f t="shared" si="911"/>
        <v/>
      </c>
      <c r="EO203" s="220" t="str">
        <f t="shared" si="911"/>
        <v/>
      </c>
      <c r="EP203" s="220" t="str">
        <f t="shared" si="911"/>
        <v/>
      </c>
      <c r="EQ203" s="220" t="str">
        <f t="shared" si="911"/>
        <v/>
      </c>
      <c r="ER203" s="220" t="str">
        <f t="shared" si="911"/>
        <v/>
      </c>
      <c r="ES203" s="220" t="str">
        <f t="shared" si="911"/>
        <v/>
      </c>
      <c r="EU203" s="202" t="s">
        <v>349</v>
      </c>
      <c r="EV203" s="153"/>
      <c r="EW203" s="153"/>
      <c r="EX203" s="153"/>
      <c r="EY203" s="154" t="s">
        <v>352</v>
      </c>
      <c r="EZ203" s="154"/>
      <c r="FA203" s="388">
        <f t="shared" ref="FA203:GF203" si="912">(FA$201&lt;=Timing_Reversion_Month)*(FA202*((1+$EU206)^(1/12)-1))</f>
        <v>0</v>
      </c>
      <c r="FB203" s="388">
        <f t="shared" ca="1" si="912"/>
        <v>0</v>
      </c>
      <c r="FC203" s="388">
        <f t="shared" ca="1" si="912"/>
        <v>0</v>
      </c>
      <c r="FD203" s="388">
        <f t="shared" ca="1" si="912"/>
        <v>0</v>
      </c>
      <c r="FE203" s="388">
        <f t="shared" ca="1" si="912"/>
        <v>0</v>
      </c>
      <c r="FF203" s="388">
        <f t="shared" ca="1" si="912"/>
        <v>0</v>
      </c>
      <c r="FG203" s="388">
        <f t="shared" ca="1" si="912"/>
        <v>0</v>
      </c>
      <c r="FH203" s="388">
        <f t="shared" ca="1" si="912"/>
        <v>0</v>
      </c>
      <c r="FI203" s="388">
        <f t="shared" ca="1" si="912"/>
        <v>0</v>
      </c>
      <c r="FJ203" s="388">
        <f t="shared" ca="1" si="912"/>
        <v>0</v>
      </c>
      <c r="FK203" s="388">
        <f t="shared" ca="1" si="912"/>
        <v>0</v>
      </c>
      <c r="FL203" s="388">
        <f t="shared" ca="1" si="912"/>
        <v>0</v>
      </c>
      <c r="FM203" s="388">
        <f t="shared" ca="1" si="912"/>
        <v>0</v>
      </c>
      <c r="FN203" s="388">
        <f t="shared" ca="1" si="912"/>
        <v>0</v>
      </c>
      <c r="FO203" s="388">
        <f t="shared" ca="1" si="912"/>
        <v>0</v>
      </c>
      <c r="FP203" s="388">
        <f t="shared" ca="1" si="912"/>
        <v>0</v>
      </c>
      <c r="FQ203" s="388">
        <f t="shared" ca="1" si="912"/>
        <v>0</v>
      </c>
      <c r="FR203" s="388">
        <f t="shared" ca="1" si="912"/>
        <v>0</v>
      </c>
      <c r="FS203" s="388">
        <f t="shared" ca="1" si="912"/>
        <v>0</v>
      </c>
      <c r="FT203" s="388">
        <f t="shared" ca="1" si="912"/>
        <v>0</v>
      </c>
      <c r="FU203" s="388">
        <f t="shared" ca="1" si="912"/>
        <v>0</v>
      </c>
      <c r="FV203" s="388">
        <f t="shared" ca="1" si="912"/>
        <v>0</v>
      </c>
      <c r="FW203" s="388">
        <f t="shared" ca="1" si="912"/>
        <v>0</v>
      </c>
      <c r="FX203" s="388">
        <f t="shared" ca="1" si="912"/>
        <v>0</v>
      </c>
      <c r="FY203" s="388">
        <f t="shared" ca="1" si="912"/>
        <v>0</v>
      </c>
      <c r="FZ203" s="388">
        <f t="shared" ca="1" si="912"/>
        <v>0</v>
      </c>
      <c r="GA203" s="388">
        <f t="shared" ca="1" si="912"/>
        <v>0</v>
      </c>
      <c r="GB203" s="388">
        <f t="shared" ca="1" si="912"/>
        <v>0</v>
      </c>
      <c r="GC203" s="388">
        <f t="shared" ca="1" si="912"/>
        <v>0</v>
      </c>
      <c r="GD203" s="388">
        <f t="shared" ca="1" si="912"/>
        <v>0</v>
      </c>
      <c r="GE203" s="388">
        <f t="shared" ca="1" si="912"/>
        <v>0</v>
      </c>
      <c r="GF203" s="388">
        <f t="shared" ca="1" si="912"/>
        <v>0</v>
      </c>
      <c r="GG203" s="388">
        <f t="shared" ref="GG203:HL203" ca="1" si="913">(GG$201&lt;=Timing_Reversion_Month)*(GG202*((1+$EU206)^(1/12)-1))</f>
        <v>0</v>
      </c>
      <c r="GH203" s="388">
        <f t="shared" ca="1" si="913"/>
        <v>0</v>
      </c>
      <c r="GI203" s="388">
        <f t="shared" ca="1" si="913"/>
        <v>0</v>
      </c>
      <c r="GJ203" s="388">
        <f t="shared" ca="1" si="913"/>
        <v>0</v>
      </c>
      <c r="GK203" s="388">
        <f t="shared" ca="1" si="913"/>
        <v>0</v>
      </c>
      <c r="GL203" s="388">
        <f t="shared" ca="1" si="913"/>
        <v>0</v>
      </c>
      <c r="GM203" s="388">
        <f t="shared" ca="1" si="913"/>
        <v>0</v>
      </c>
      <c r="GN203" s="388">
        <f t="shared" ca="1" si="913"/>
        <v>0</v>
      </c>
      <c r="GO203" s="388">
        <f t="shared" ca="1" si="913"/>
        <v>0</v>
      </c>
      <c r="GP203" s="388">
        <f t="shared" ca="1" si="913"/>
        <v>0</v>
      </c>
      <c r="GQ203" s="388">
        <f t="shared" ca="1" si="913"/>
        <v>0</v>
      </c>
      <c r="GR203" s="388">
        <f t="shared" ca="1" si="913"/>
        <v>0</v>
      </c>
      <c r="GS203" s="388">
        <f t="shared" ca="1" si="913"/>
        <v>0</v>
      </c>
      <c r="GT203" s="388">
        <f t="shared" ca="1" si="913"/>
        <v>0</v>
      </c>
      <c r="GU203" s="388">
        <f t="shared" ca="1" si="913"/>
        <v>0</v>
      </c>
      <c r="GV203" s="388">
        <f t="shared" ca="1" si="913"/>
        <v>0</v>
      </c>
      <c r="GW203" s="388">
        <f t="shared" ca="1" si="913"/>
        <v>0</v>
      </c>
      <c r="GX203" s="388">
        <f t="shared" ca="1" si="913"/>
        <v>0</v>
      </c>
      <c r="GY203" s="388">
        <f t="shared" ca="1" si="913"/>
        <v>0</v>
      </c>
      <c r="GZ203" s="388">
        <f t="shared" ca="1" si="913"/>
        <v>0</v>
      </c>
      <c r="HA203" s="388">
        <f t="shared" ca="1" si="913"/>
        <v>0</v>
      </c>
      <c r="HB203" s="388">
        <f t="shared" ca="1" si="913"/>
        <v>0</v>
      </c>
      <c r="HC203" s="388">
        <f t="shared" ca="1" si="913"/>
        <v>0</v>
      </c>
      <c r="HD203" s="388">
        <f t="shared" ca="1" si="913"/>
        <v>0</v>
      </c>
      <c r="HE203" s="388">
        <f t="shared" ca="1" si="913"/>
        <v>0</v>
      </c>
      <c r="HF203" s="388">
        <f t="shared" ca="1" si="913"/>
        <v>0</v>
      </c>
      <c r="HG203" s="388">
        <f t="shared" ca="1" si="913"/>
        <v>0</v>
      </c>
      <c r="HH203" s="388">
        <f t="shared" ca="1" si="913"/>
        <v>0</v>
      </c>
      <c r="HI203" s="388">
        <f t="shared" ca="1" si="913"/>
        <v>0</v>
      </c>
      <c r="HJ203" s="388">
        <f t="shared" ca="1" si="913"/>
        <v>0</v>
      </c>
      <c r="HK203" s="388">
        <f t="shared" ca="1" si="913"/>
        <v>0</v>
      </c>
      <c r="HL203" s="388">
        <f t="shared" ca="1" si="913"/>
        <v>0</v>
      </c>
      <c r="HM203" s="388">
        <f t="shared" ref="HM203:IR203" ca="1" si="914">(HM$201&lt;=Timing_Reversion_Month)*(HM202*((1+$EU206)^(1/12)-1))</f>
        <v>0</v>
      </c>
      <c r="HN203" s="388">
        <f t="shared" ca="1" si="914"/>
        <v>0</v>
      </c>
      <c r="HO203" s="388">
        <f t="shared" ca="1" si="914"/>
        <v>0</v>
      </c>
      <c r="HP203" s="388">
        <f t="shared" ca="1" si="914"/>
        <v>0</v>
      </c>
      <c r="HQ203" s="388">
        <f t="shared" ca="1" si="914"/>
        <v>0</v>
      </c>
      <c r="HR203" s="388">
        <f t="shared" ca="1" si="914"/>
        <v>0</v>
      </c>
      <c r="HS203" s="388">
        <f t="shared" ca="1" si="914"/>
        <v>0</v>
      </c>
      <c r="HT203" s="388">
        <f t="shared" ca="1" si="914"/>
        <v>0</v>
      </c>
      <c r="HU203" s="388">
        <f t="shared" ca="1" si="914"/>
        <v>0</v>
      </c>
      <c r="HV203" s="388">
        <f t="shared" ca="1" si="914"/>
        <v>0</v>
      </c>
      <c r="HW203" s="388">
        <f t="shared" ca="1" si="914"/>
        <v>0</v>
      </c>
      <c r="HX203" s="388">
        <f t="shared" ca="1" si="914"/>
        <v>0</v>
      </c>
      <c r="HY203" s="388">
        <f t="shared" ca="1" si="914"/>
        <v>0</v>
      </c>
      <c r="HZ203" s="388">
        <f t="shared" ca="1" si="914"/>
        <v>0</v>
      </c>
      <c r="IA203" s="388">
        <f t="shared" ca="1" si="914"/>
        <v>0</v>
      </c>
      <c r="IB203" s="388">
        <f t="shared" ca="1" si="914"/>
        <v>0</v>
      </c>
      <c r="IC203" s="388">
        <f t="shared" ca="1" si="914"/>
        <v>0</v>
      </c>
      <c r="ID203" s="388">
        <f t="shared" ca="1" si="914"/>
        <v>0</v>
      </c>
      <c r="IE203" s="388">
        <f t="shared" ca="1" si="914"/>
        <v>0</v>
      </c>
      <c r="IF203" s="388">
        <f t="shared" ca="1" si="914"/>
        <v>0</v>
      </c>
      <c r="IG203" s="388">
        <f t="shared" ca="1" si="914"/>
        <v>0</v>
      </c>
      <c r="IH203" s="388">
        <f t="shared" ca="1" si="914"/>
        <v>0</v>
      </c>
      <c r="II203" s="388">
        <f t="shared" ca="1" si="914"/>
        <v>0</v>
      </c>
      <c r="IJ203" s="388">
        <f t="shared" ca="1" si="914"/>
        <v>0</v>
      </c>
      <c r="IK203" s="388">
        <f t="shared" ca="1" si="914"/>
        <v>0</v>
      </c>
      <c r="IL203" s="388">
        <f t="shared" ca="1" si="914"/>
        <v>0</v>
      </c>
      <c r="IM203" s="388">
        <f t="shared" ca="1" si="914"/>
        <v>0</v>
      </c>
      <c r="IN203" s="388">
        <f t="shared" ca="1" si="914"/>
        <v>0</v>
      </c>
      <c r="IO203" s="388">
        <f t="shared" ca="1" si="914"/>
        <v>0</v>
      </c>
      <c r="IP203" s="388">
        <f t="shared" ca="1" si="914"/>
        <v>0</v>
      </c>
      <c r="IQ203" s="388">
        <f t="shared" ca="1" si="914"/>
        <v>0</v>
      </c>
      <c r="IR203" s="388">
        <f t="shared" ca="1" si="914"/>
        <v>0</v>
      </c>
      <c r="IS203" s="388">
        <f t="shared" ref="IS203:JX203" ca="1" si="915">(IS$201&lt;=Timing_Reversion_Month)*(IS202*((1+$EU206)^(1/12)-1))</f>
        <v>0</v>
      </c>
      <c r="IT203" s="388">
        <f t="shared" ca="1" si="915"/>
        <v>0</v>
      </c>
      <c r="IU203" s="388">
        <f t="shared" ca="1" si="915"/>
        <v>0</v>
      </c>
      <c r="IV203" s="388">
        <f t="shared" ca="1" si="915"/>
        <v>0</v>
      </c>
      <c r="IW203" s="388">
        <f t="shared" ca="1" si="915"/>
        <v>0</v>
      </c>
      <c r="IX203" s="388">
        <f t="shared" ca="1" si="915"/>
        <v>0</v>
      </c>
      <c r="IY203" s="388">
        <f t="shared" ca="1" si="915"/>
        <v>0</v>
      </c>
      <c r="IZ203" s="388">
        <f t="shared" ca="1" si="915"/>
        <v>0</v>
      </c>
      <c r="JA203" s="388">
        <f t="shared" ca="1" si="915"/>
        <v>0</v>
      </c>
      <c r="JB203" s="388">
        <f t="shared" ca="1" si="915"/>
        <v>0</v>
      </c>
      <c r="JC203" s="388">
        <f t="shared" ca="1" si="915"/>
        <v>0</v>
      </c>
      <c r="JD203" s="388">
        <f t="shared" ca="1" si="915"/>
        <v>0</v>
      </c>
      <c r="JE203" s="388">
        <f t="shared" ca="1" si="915"/>
        <v>0</v>
      </c>
      <c r="JF203" s="388">
        <f t="shared" ca="1" si="915"/>
        <v>0</v>
      </c>
      <c r="JG203" s="388">
        <f t="shared" ca="1" si="915"/>
        <v>0</v>
      </c>
      <c r="JH203" s="388">
        <f t="shared" ca="1" si="915"/>
        <v>0</v>
      </c>
      <c r="JI203" s="388">
        <f t="shared" ca="1" si="915"/>
        <v>0</v>
      </c>
      <c r="JJ203" s="388">
        <f t="shared" ca="1" si="915"/>
        <v>0</v>
      </c>
      <c r="JK203" s="388">
        <f t="shared" ca="1" si="915"/>
        <v>0</v>
      </c>
      <c r="JL203" s="388">
        <f t="shared" ca="1" si="915"/>
        <v>0</v>
      </c>
      <c r="JM203" s="388">
        <f t="shared" ca="1" si="915"/>
        <v>0</v>
      </c>
      <c r="JN203" s="388">
        <f t="shared" ca="1" si="915"/>
        <v>0</v>
      </c>
      <c r="JO203" s="388">
        <f t="shared" ca="1" si="915"/>
        <v>0</v>
      </c>
      <c r="JP203" s="388">
        <f t="shared" ca="1" si="915"/>
        <v>0</v>
      </c>
      <c r="JQ203" s="388">
        <f t="shared" ca="1" si="915"/>
        <v>0</v>
      </c>
      <c r="JR203" s="388">
        <f t="shared" ca="1" si="915"/>
        <v>0</v>
      </c>
      <c r="JS203" s="388">
        <f t="shared" ca="1" si="915"/>
        <v>0</v>
      </c>
      <c r="JT203" s="388">
        <f t="shared" ca="1" si="915"/>
        <v>0</v>
      </c>
      <c r="JU203" s="388">
        <f t="shared" ca="1" si="915"/>
        <v>0</v>
      </c>
      <c r="JV203" s="388">
        <f t="shared" ca="1" si="915"/>
        <v>0</v>
      </c>
      <c r="JW203" s="388">
        <f t="shared" ca="1" si="915"/>
        <v>0</v>
      </c>
      <c r="JX203" s="388">
        <f t="shared" ca="1" si="915"/>
        <v>0</v>
      </c>
      <c r="JY203" s="388">
        <f t="shared" ref="JY203:KC203" ca="1" si="916">(JY$201&lt;=Timing_Reversion_Month)*(JY202*((1+$EU206)^(1/12)-1))</f>
        <v>0</v>
      </c>
      <c r="JZ203" s="388">
        <f t="shared" ca="1" si="916"/>
        <v>0</v>
      </c>
      <c r="KA203" s="388">
        <f t="shared" ca="1" si="916"/>
        <v>0</v>
      </c>
      <c r="KB203" s="388">
        <f t="shared" ca="1" si="916"/>
        <v>0</v>
      </c>
      <c r="KC203" s="388">
        <f t="shared" ca="1" si="916"/>
        <v>0</v>
      </c>
    </row>
    <row r="204" spans="1:289" ht="14.25" customHeight="1" x14ac:dyDescent="0.25">
      <c r="B204" s="180" t="s">
        <v>579</v>
      </c>
      <c r="C204" s="196"/>
      <c r="D204" s="196"/>
      <c r="E204" s="196"/>
      <c r="F204" s="196"/>
      <c r="G204" s="196"/>
      <c r="H204" s="218"/>
      <c r="I204" s="218">
        <f ca="1">SUM(Q204:ER204)</f>
        <v>2423162.9824854573</v>
      </c>
      <c r="Q204" s="220">
        <f t="shared" ref="Q204:AV204" ca="1" si="917">IF(Q198="","",Q84)</f>
        <v>0</v>
      </c>
      <c r="R204" s="220">
        <f t="shared" ca="1" si="917"/>
        <v>0</v>
      </c>
      <c r="S204" s="220">
        <f t="shared" ca="1" si="917"/>
        <v>0</v>
      </c>
      <c r="T204" s="220">
        <f t="shared" ca="1" si="917"/>
        <v>0</v>
      </c>
      <c r="U204" s="220">
        <f t="shared" ca="1" si="917"/>
        <v>0</v>
      </c>
      <c r="V204" s="220">
        <f t="shared" ca="1" si="917"/>
        <v>0</v>
      </c>
      <c r="W204" s="220">
        <f t="shared" ca="1" si="917"/>
        <v>0</v>
      </c>
      <c r="X204" s="220">
        <f t="shared" ca="1" si="917"/>
        <v>0</v>
      </c>
      <c r="Y204" s="220">
        <f t="shared" ca="1" si="917"/>
        <v>0</v>
      </c>
      <c r="Z204" s="220">
        <f t="shared" ca="1" si="917"/>
        <v>0</v>
      </c>
      <c r="AA204" s="220">
        <f t="shared" ca="1" si="917"/>
        <v>0</v>
      </c>
      <c r="AB204" s="220">
        <f t="shared" ca="1" si="917"/>
        <v>0</v>
      </c>
      <c r="AC204" s="220">
        <f t="shared" ca="1" si="917"/>
        <v>0</v>
      </c>
      <c r="AD204" s="220">
        <f t="shared" ca="1" si="917"/>
        <v>0</v>
      </c>
      <c r="AE204" s="220">
        <f t="shared" ca="1" si="917"/>
        <v>2423162.9824854573</v>
      </c>
      <c r="AF204" s="220">
        <f t="shared" ca="1" si="917"/>
        <v>0</v>
      </c>
      <c r="AG204" s="220">
        <f t="shared" ca="1" si="917"/>
        <v>0</v>
      </c>
      <c r="AH204" s="220">
        <f t="shared" ca="1" si="917"/>
        <v>0</v>
      </c>
      <c r="AI204" s="220">
        <f t="shared" ca="1" si="917"/>
        <v>0</v>
      </c>
      <c r="AJ204" s="220">
        <f t="shared" ca="1" si="917"/>
        <v>0</v>
      </c>
      <c r="AK204" s="220">
        <f t="shared" ca="1" si="917"/>
        <v>0</v>
      </c>
      <c r="AL204" s="220">
        <f t="shared" ca="1" si="917"/>
        <v>0</v>
      </c>
      <c r="AM204" s="220">
        <f t="shared" ca="1" si="917"/>
        <v>0</v>
      </c>
      <c r="AN204" s="220">
        <f t="shared" ca="1" si="917"/>
        <v>0</v>
      </c>
      <c r="AO204" s="220">
        <f t="shared" ca="1" si="917"/>
        <v>0</v>
      </c>
      <c r="AP204" s="220">
        <f t="shared" ca="1" si="917"/>
        <v>0</v>
      </c>
      <c r="AQ204" s="220">
        <f t="shared" ca="1" si="917"/>
        <v>0</v>
      </c>
      <c r="AR204" s="220">
        <f t="shared" ca="1" si="917"/>
        <v>0</v>
      </c>
      <c r="AS204" s="220">
        <f t="shared" ca="1" si="917"/>
        <v>0</v>
      </c>
      <c r="AT204" s="220">
        <f t="shared" ca="1" si="917"/>
        <v>0</v>
      </c>
      <c r="AU204" s="220">
        <f t="shared" ca="1" si="917"/>
        <v>0</v>
      </c>
      <c r="AV204" s="220">
        <f t="shared" ca="1" si="917"/>
        <v>0</v>
      </c>
      <c r="AW204" s="220">
        <f t="shared" ref="AW204:CB204" ca="1" si="918">IF(AW198="","",AW84)</f>
        <v>0</v>
      </c>
      <c r="AX204" s="220">
        <f t="shared" ca="1" si="918"/>
        <v>0</v>
      </c>
      <c r="AY204" s="220">
        <f t="shared" ca="1" si="918"/>
        <v>0</v>
      </c>
      <c r="AZ204" s="220">
        <f t="shared" ca="1" si="918"/>
        <v>0</v>
      </c>
      <c r="BA204" s="220">
        <f t="shared" ca="1" si="918"/>
        <v>0</v>
      </c>
      <c r="BB204" s="220" t="str">
        <f t="shared" si="918"/>
        <v/>
      </c>
      <c r="BC204" s="220" t="str">
        <f t="shared" si="918"/>
        <v/>
      </c>
      <c r="BD204" s="220" t="str">
        <f t="shared" si="918"/>
        <v/>
      </c>
      <c r="BE204" s="220" t="str">
        <f t="shared" si="918"/>
        <v/>
      </c>
      <c r="BF204" s="220" t="str">
        <f t="shared" si="918"/>
        <v/>
      </c>
      <c r="BG204" s="220" t="str">
        <f t="shared" si="918"/>
        <v/>
      </c>
      <c r="BH204" s="220" t="str">
        <f t="shared" si="918"/>
        <v/>
      </c>
      <c r="BI204" s="220" t="str">
        <f t="shared" si="918"/>
        <v/>
      </c>
      <c r="BJ204" s="220" t="str">
        <f t="shared" si="918"/>
        <v/>
      </c>
      <c r="BK204" s="220" t="str">
        <f t="shared" si="918"/>
        <v/>
      </c>
      <c r="BL204" s="220" t="str">
        <f t="shared" si="918"/>
        <v/>
      </c>
      <c r="BM204" s="220" t="str">
        <f t="shared" si="918"/>
        <v/>
      </c>
      <c r="BN204" s="220" t="str">
        <f t="shared" si="918"/>
        <v/>
      </c>
      <c r="BO204" s="220" t="str">
        <f t="shared" si="918"/>
        <v/>
      </c>
      <c r="BP204" s="220" t="str">
        <f t="shared" si="918"/>
        <v/>
      </c>
      <c r="BQ204" s="220" t="str">
        <f t="shared" si="918"/>
        <v/>
      </c>
      <c r="BR204" s="220" t="str">
        <f t="shared" si="918"/>
        <v/>
      </c>
      <c r="BS204" s="220" t="str">
        <f t="shared" si="918"/>
        <v/>
      </c>
      <c r="BT204" s="220" t="str">
        <f t="shared" si="918"/>
        <v/>
      </c>
      <c r="BU204" s="220" t="str">
        <f t="shared" si="918"/>
        <v/>
      </c>
      <c r="BV204" s="220" t="str">
        <f t="shared" si="918"/>
        <v/>
      </c>
      <c r="BW204" s="220" t="str">
        <f t="shared" si="918"/>
        <v/>
      </c>
      <c r="BX204" s="220" t="str">
        <f t="shared" si="918"/>
        <v/>
      </c>
      <c r="BY204" s="220" t="str">
        <f t="shared" si="918"/>
        <v/>
      </c>
      <c r="BZ204" s="220" t="str">
        <f t="shared" si="918"/>
        <v/>
      </c>
      <c r="CA204" s="220" t="str">
        <f t="shared" si="918"/>
        <v/>
      </c>
      <c r="CB204" s="220" t="str">
        <f t="shared" si="918"/>
        <v/>
      </c>
      <c r="CC204" s="220" t="str">
        <f t="shared" ref="CC204:DH204" si="919">IF(CC198="","",CC84)</f>
        <v/>
      </c>
      <c r="CD204" s="220" t="str">
        <f t="shared" si="919"/>
        <v/>
      </c>
      <c r="CE204" s="220" t="str">
        <f t="shared" si="919"/>
        <v/>
      </c>
      <c r="CF204" s="220" t="str">
        <f t="shared" si="919"/>
        <v/>
      </c>
      <c r="CG204" s="220" t="str">
        <f t="shared" si="919"/>
        <v/>
      </c>
      <c r="CH204" s="220" t="str">
        <f t="shared" si="919"/>
        <v/>
      </c>
      <c r="CI204" s="220" t="str">
        <f t="shared" si="919"/>
        <v/>
      </c>
      <c r="CJ204" s="220" t="str">
        <f t="shared" si="919"/>
        <v/>
      </c>
      <c r="CK204" s="220" t="str">
        <f t="shared" si="919"/>
        <v/>
      </c>
      <c r="CL204" s="220" t="str">
        <f t="shared" si="919"/>
        <v/>
      </c>
      <c r="CM204" s="220" t="str">
        <f t="shared" si="919"/>
        <v/>
      </c>
      <c r="CN204" s="220" t="str">
        <f t="shared" si="919"/>
        <v/>
      </c>
      <c r="CO204" s="220" t="str">
        <f t="shared" si="919"/>
        <v/>
      </c>
      <c r="CP204" s="220" t="str">
        <f t="shared" si="919"/>
        <v/>
      </c>
      <c r="CQ204" s="220" t="str">
        <f t="shared" si="919"/>
        <v/>
      </c>
      <c r="CR204" s="220" t="str">
        <f t="shared" si="919"/>
        <v/>
      </c>
      <c r="CS204" s="220" t="str">
        <f t="shared" si="919"/>
        <v/>
      </c>
      <c r="CT204" s="220" t="str">
        <f t="shared" si="919"/>
        <v/>
      </c>
      <c r="CU204" s="220" t="str">
        <f t="shared" si="919"/>
        <v/>
      </c>
      <c r="CV204" s="220" t="str">
        <f t="shared" si="919"/>
        <v/>
      </c>
      <c r="CW204" s="220" t="str">
        <f t="shared" si="919"/>
        <v/>
      </c>
      <c r="CX204" s="220" t="str">
        <f t="shared" si="919"/>
        <v/>
      </c>
      <c r="CY204" s="220" t="str">
        <f t="shared" si="919"/>
        <v/>
      </c>
      <c r="CZ204" s="220" t="str">
        <f t="shared" si="919"/>
        <v/>
      </c>
      <c r="DA204" s="220" t="str">
        <f t="shared" si="919"/>
        <v/>
      </c>
      <c r="DB204" s="220" t="str">
        <f t="shared" si="919"/>
        <v/>
      </c>
      <c r="DC204" s="220" t="str">
        <f t="shared" si="919"/>
        <v/>
      </c>
      <c r="DD204" s="220" t="str">
        <f t="shared" si="919"/>
        <v/>
      </c>
      <c r="DE204" s="220" t="str">
        <f t="shared" si="919"/>
        <v/>
      </c>
      <c r="DF204" s="220" t="str">
        <f t="shared" si="919"/>
        <v/>
      </c>
      <c r="DG204" s="220" t="str">
        <f t="shared" si="919"/>
        <v/>
      </c>
      <c r="DH204" s="220" t="str">
        <f t="shared" si="919"/>
        <v/>
      </c>
      <c r="DI204" s="220" t="str">
        <f t="shared" ref="DI204:ES204" si="920">IF(DI198="","",DI84)</f>
        <v/>
      </c>
      <c r="DJ204" s="220" t="str">
        <f t="shared" si="920"/>
        <v/>
      </c>
      <c r="DK204" s="220" t="str">
        <f t="shared" si="920"/>
        <v/>
      </c>
      <c r="DL204" s="220" t="str">
        <f t="shared" si="920"/>
        <v/>
      </c>
      <c r="DM204" s="220" t="str">
        <f t="shared" si="920"/>
        <v/>
      </c>
      <c r="DN204" s="220" t="str">
        <f t="shared" si="920"/>
        <v/>
      </c>
      <c r="DO204" s="220" t="str">
        <f t="shared" si="920"/>
        <v/>
      </c>
      <c r="DP204" s="220" t="str">
        <f t="shared" si="920"/>
        <v/>
      </c>
      <c r="DQ204" s="220" t="str">
        <f t="shared" si="920"/>
        <v/>
      </c>
      <c r="DR204" s="220" t="str">
        <f t="shared" si="920"/>
        <v/>
      </c>
      <c r="DS204" s="220" t="str">
        <f t="shared" si="920"/>
        <v/>
      </c>
      <c r="DT204" s="220" t="str">
        <f t="shared" si="920"/>
        <v/>
      </c>
      <c r="DU204" s="220" t="str">
        <f t="shared" si="920"/>
        <v/>
      </c>
      <c r="DV204" s="220" t="str">
        <f t="shared" si="920"/>
        <v/>
      </c>
      <c r="DW204" s="220" t="str">
        <f t="shared" si="920"/>
        <v/>
      </c>
      <c r="DX204" s="220" t="str">
        <f t="shared" si="920"/>
        <v/>
      </c>
      <c r="DY204" s="220" t="str">
        <f t="shared" si="920"/>
        <v/>
      </c>
      <c r="DZ204" s="220" t="str">
        <f t="shared" si="920"/>
        <v/>
      </c>
      <c r="EA204" s="220" t="str">
        <f t="shared" si="920"/>
        <v/>
      </c>
      <c r="EB204" s="220" t="str">
        <f t="shared" si="920"/>
        <v/>
      </c>
      <c r="EC204" s="220" t="str">
        <f t="shared" si="920"/>
        <v/>
      </c>
      <c r="ED204" s="220" t="str">
        <f t="shared" si="920"/>
        <v/>
      </c>
      <c r="EE204" s="220" t="str">
        <f t="shared" si="920"/>
        <v/>
      </c>
      <c r="EF204" s="220" t="str">
        <f t="shared" si="920"/>
        <v/>
      </c>
      <c r="EG204" s="220" t="str">
        <f t="shared" si="920"/>
        <v/>
      </c>
      <c r="EH204" s="220" t="str">
        <f t="shared" si="920"/>
        <v/>
      </c>
      <c r="EI204" s="220" t="str">
        <f t="shared" si="920"/>
        <v/>
      </c>
      <c r="EJ204" s="220" t="str">
        <f t="shared" si="920"/>
        <v/>
      </c>
      <c r="EK204" s="220" t="str">
        <f t="shared" si="920"/>
        <v/>
      </c>
      <c r="EL204" s="220" t="str">
        <f t="shared" si="920"/>
        <v/>
      </c>
      <c r="EM204" s="220" t="str">
        <f t="shared" si="920"/>
        <v/>
      </c>
      <c r="EN204" s="220" t="str">
        <f t="shared" si="920"/>
        <v/>
      </c>
      <c r="EO204" s="220" t="str">
        <f t="shared" si="920"/>
        <v/>
      </c>
      <c r="EP204" s="220" t="str">
        <f t="shared" si="920"/>
        <v/>
      </c>
      <c r="EQ204" s="220" t="str">
        <f t="shared" si="920"/>
        <v/>
      </c>
      <c r="ER204" s="220" t="str">
        <f t="shared" si="920"/>
        <v/>
      </c>
      <c r="ES204" s="220" t="str">
        <f t="shared" si="920"/>
        <v/>
      </c>
      <c r="EU204" s="202"/>
      <c r="EV204" s="153"/>
      <c r="EW204" s="153"/>
      <c r="EX204" s="153"/>
      <c r="EY204" s="154" t="s">
        <v>344</v>
      </c>
      <c r="EZ204" s="154"/>
      <c r="FA204" s="388">
        <f t="shared" ref="FA204:GF204" ca="1" si="921">IF(Q233="",0,Q233)</f>
        <v>0</v>
      </c>
      <c r="FB204" s="388">
        <f t="shared" ca="1" si="921"/>
        <v>0</v>
      </c>
      <c r="FC204" s="388">
        <f t="shared" ca="1" si="921"/>
        <v>0</v>
      </c>
      <c r="FD204" s="388">
        <f t="shared" ca="1" si="921"/>
        <v>0</v>
      </c>
      <c r="FE204" s="388">
        <f t="shared" ca="1" si="921"/>
        <v>0</v>
      </c>
      <c r="FF204" s="388">
        <f t="shared" ca="1" si="921"/>
        <v>0</v>
      </c>
      <c r="FG204" s="388">
        <f t="shared" ca="1" si="921"/>
        <v>0</v>
      </c>
      <c r="FH204" s="388">
        <f t="shared" ca="1" si="921"/>
        <v>0</v>
      </c>
      <c r="FI204" s="388">
        <f t="shared" ca="1" si="921"/>
        <v>0</v>
      </c>
      <c r="FJ204" s="388">
        <f t="shared" ca="1" si="921"/>
        <v>0</v>
      </c>
      <c r="FK204" s="388">
        <f t="shared" ca="1" si="921"/>
        <v>0</v>
      </c>
      <c r="FL204" s="388">
        <f t="shared" ca="1" si="921"/>
        <v>0</v>
      </c>
      <c r="FM204" s="388">
        <f t="shared" ca="1" si="921"/>
        <v>0</v>
      </c>
      <c r="FN204" s="388">
        <f t="shared" ca="1" si="921"/>
        <v>0</v>
      </c>
      <c r="FO204" s="388">
        <f t="shared" ca="1" si="921"/>
        <v>0</v>
      </c>
      <c r="FP204" s="388">
        <f t="shared" ca="1" si="921"/>
        <v>0</v>
      </c>
      <c r="FQ204" s="388">
        <f t="shared" ca="1" si="921"/>
        <v>0</v>
      </c>
      <c r="FR204" s="388">
        <f t="shared" ca="1" si="921"/>
        <v>0</v>
      </c>
      <c r="FS204" s="388">
        <f t="shared" ca="1" si="921"/>
        <v>0</v>
      </c>
      <c r="FT204" s="388">
        <f t="shared" ca="1" si="921"/>
        <v>0</v>
      </c>
      <c r="FU204" s="388">
        <f t="shared" ca="1" si="921"/>
        <v>0</v>
      </c>
      <c r="FV204" s="388">
        <f t="shared" ca="1" si="921"/>
        <v>0</v>
      </c>
      <c r="FW204" s="388">
        <f t="shared" ca="1" si="921"/>
        <v>0</v>
      </c>
      <c r="FX204" s="388">
        <f t="shared" ca="1" si="921"/>
        <v>0</v>
      </c>
      <c r="FY204" s="388">
        <f t="shared" ca="1" si="921"/>
        <v>0</v>
      </c>
      <c r="FZ204" s="388">
        <f t="shared" ca="1" si="921"/>
        <v>0</v>
      </c>
      <c r="GA204" s="388">
        <f t="shared" ca="1" si="921"/>
        <v>0</v>
      </c>
      <c r="GB204" s="388">
        <f t="shared" ca="1" si="921"/>
        <v>0</v>
      </c>
      <c r="GC204" s="388">
        <f t="shared" ca="1" si="921"/>
        <v>0</v>
      </c>
      <c r="GD204" s="388">
        <f t="shared" ca="1" si="921"/>
        <v>0</v>
      </c>
      <c r="GE204" s="388">
        <f t="shared" ca="1" si="921"/>
        <v>0</v>
      </c>
      <c r="GF204" s="388">
        <f t="shared" ca="1" si="921"/>
        <v>0</v>
      </c>
      <c r="GG204" s="388">
        <f t="shared" ref="GG204:HL204" ca="1" si="922">IF(AW233="",0,AW233)</f>
        <v>0</v>
      </c>
      <c r="GH204" s="388">
        <f t="shared" ca="1" si="922"/>
        <v>0</v>
      </c>
      <c r="GI204" s="388">
        <f t="shared" ca="1" si="922"/>
        <v>0</v>
      </c>
      <c r="GJ204" s="388">
        <f t="shared" ca="1" si="922"/>
        <v>0</v>
      </c>
      <c r="GK204" s="388">
        <f t="shared" ca="1" si="922"/>
        <v>0</v>
      </c>
      <c r="GL204" s="388">
        <f t="shared" si="922"/>
        <v>0</v>
      </c>
      <c r="GM204" s="388">
        <f t="shared" si="922"/>
        <v>0</v>
      </c>
      <c r="GN204" s="388">
        <f t="shared" si="922"/>
        <v>0</v>
      </c>
      <c r="GO204" s="388">
        <f t="shared" si="922"/>
        <v>0</v>
      </c>
      <c r="GP204" s="388">
        <f t="shared" si="922"/>
        <v>0</v>
      </c>
      <c r="GQ204" s="388">
        <f t="shared" si="922"/>
        <v>0</v>
      </c>
      <c r="GR204" s="388">
        <f t="shared" si="922"/>
        <v>0</v>
      </c>
      <c r="GS204" s="388">
        <f t="shared" si="922"/>
        <v>0</v>
      </c>
      <c r="GT204" s="388">
        <f t="shared" si="922"/>
        <v>0</v>
      </c>
      <c r="GU204" s="388">
        <f t="shared" si="922"/>
        <v>0</v>
      </c>
      <c r="GV204" s="388">
        <f t="shared" si="922"/>
        <v>0</v>
      </c>
      <c r="GW204" s="388">
        <f t="shared" si="922"/>
        <v>0</v>
      </c>
      <c r="GX204" s="388">
        <f t="shared" si="922"/>
        <v>0</v>
      </c>
      <c r="GY204" s="388">
        <f t="shared" si="922"/>
        <v>0</v>
      </c>
      <c r="GZ204" s="388">
        <f t="shared" si="922"/>
        <v>0</v>
      </c>
      <c r="HA204" s="388">
        <f t="shared" si="922"/>
        <v>0</v>
      </c>
      <c r="HB204" s="388">
        <f t="shared" si="922"/>
        <v>0</v>
      </c>
      <c r="HC204" s="388">
        <f t="shared" si="922"/>
        <v>0</v>
      </c>
      <c r="HD204" s="388">
        <f t="shared" si="922"/>
        <v>0</v>
      </c>
      <c r="HE204" s="388">
        <f t="shared" si="922"/>
        <v>0</v>
      </c>
      <c r="HF204" s="388">
        <f t="shared" si="922"/>
        <v>0</v>
      </c>
      <c r="HG204" s="388">
        <f t="shared" si="922"/>
        <v>0</v>
      </c>
      <c r="HH204" s="388">
        <f t="shared" si="922"/>
        <v>0</v>
      </c>
      <c r="HI204" s="388">
        <f t="shared" si="922"/>
        <v>0</v>
      </c>
      <c r="HJ204" s="388">
        <f t="shared" si="922"/>
        <v>0</v>
      </c>
      <c r="HK204" s="388">
        <f t="shared" si="922"/>
        <v>0</v>
      </c>
      <c r="HL204" s="388">
        <f t="shared" si="922"/>
        <v>0</v>
      </c>
      <c r="HM204" s="388">
        <f t="shared" ref="HM204:IR204" si="923">IF(CC233="",0,CC233)</f>
        <v>0</v>
      </c>
      <c r="HN204" s="388">
        <f t="shared" si="923"/>
        <v>0</v>
      </c>
      <c r="HO204" s="388">
        <f t="shared" si="923"/>
        <v>0</v>
      </c>
      <c r="HP204" s="388">
        <f t="shared" si="923"/>
        <v>0</v>
      </c>
      <c r="HQ204" s="388">
        <f t="shared" si="923"/>
        <v>0</v>
      </c>
      <c r="HR204" s="388">
        <f t="shared" si="923"/>
        <v>0</v>
      </c>
      <c r="HS204" s="388">
        <f t="shared" si="923"/>
        <v>0</v>
      </c>
      <c r="HT204" s="388">
        <f t="shared" si="923"/>
        <v>0</v>
      </c>
      <c r="HU204" s="388">
        <f t="shared" si="923"/>
        <v>0</v>
      </c>
      <c r="HV204" s="388">
        <f t="shared" si="923"/>
        <v>0</v>
      </c>
      <c r="HW204" s="388">
        <f t="shared" si="923"/>
        <v>0</v>
      </c>
      <c r="HX204" s="388">
        <f t="shared" si="923"/>
        <v>0</v>
      </c>
      <c r="HY204" s="388">
        <f t="shared" si="923"/>
        <v>0</v>
      </c>
      <c r="HZ204" s="388">
        <f t="shared" si="923"/>
        <v>0</v>
      </c>
      <c r="IA204" s="388">
        <f t="shared" si="923"/>
        <v>0</v>
      </c>
      <c r="IB204" s="388">
        <f t="shared" si="923"/>
        <v>0</v>
      </c>
      <c r="IC204" s="388">
        <f t="shared" si="923"/>
        <v>0</v>
      </c>
      <c r="ID204" s="388">
        <f t="shared" si="923"/>
        <v>0</v>
      </c>
      <c r="IE204" s="388">
        <f t="shared" si="923"/>
        <v>0</v>
      </c>
      <c r="IF204" s="388">
        <f t="shared" si="923"/>
        <v>0</v>
      </c>
      <c r="IG204" s="388">
        <f t="shared" si="923"/>
        <v>0</v>
      </c>
      <c r="IH204" s="388">
        <f t="shared" si="923"/>
        <v>0</v>
      </c>
      <c r="II204" s="388">
        <f t="shared" si="923"/>
        <v>0</v>
      </c>
      <c r="IJ204" s="388">
        <f t="shared" si="923"/>
        <v>0</v>
      </c>
      <c r="IK204" s="388">
        <f t="shared" si="923"/>
        <v>0</v>
      </c>
      <c r="IL204" s="388">
        <f t="shared" si="923"/>
        <v>0</v>
      </c>
      <c r="IM204" s="388">
        <f t="shared" si="923"/>
        <v>0</v>
      </c>
      <c r="IN204" s="388">
        <f t="shared" si="923"/>
        <v>0</v>
      </c>
      <c r="IO204" s="388">
        <f t="shared" si="923"/>
        <v>0</v>
      </c>
      <c r="IP204" s="388">
        <f t="shared" si="923"/>
        <v>0</v>
      </c>
      <c r="IQ204" s="388">
        <f t="shared" si="923"/>
        <v>0</v>
      </c>
      <c r="IR204" s="388">
        <f t="shared" si="923"/>
        <v>0</v>
      </c>
      <c r="IS204" s="388">
        <f t="shared" ref="IS204:JX204" si="924">IF(DI233="",0,DI233)</f>
        <v>0</v>
      </c>
      <c r="IT204" s="388">
        <f t="shared" si="924"/>
        <v>0</v>
      </c>
      <c r="IU204" s="388">
        <f t="shared" si="924"/>
        <v>0</v>
      </c>
      <c r="IV204" s="388">
        <f t="shared" si="924"/>
        <v>0</v>
      </c>
      <c r="IW204" s="388">
        <f t="shared" si="924"/>
        <v>0</v>
      </c>
      <c r="IX204" s="388">
        <f t="shared" si="924"/>
        <v>0</v>
      </c>
      <c r="IY204" s="388">
        <f t="shared" si="924"/>
        <v>0</v>
      </c>
      <c r="IZ204" s="388">
        <f t="shared" si="924"/>
        <v>0</v>
      </c>
      <c r="JA204" s="388">
        <f t="shared" si="924"/>
        <v>0</v>
      </c>
      <c r="JB204" s="388">
        <f t="shared" si="924"/>
        <v>0</v>
      </c>
      <c r="JC204" s="388">
        <f t="shared" si="924"/>
        <v>0</v>
      </c>
      <c r="JD204" s="388">
        <f t="shared" si="924"/>
        <v>0</v>
      </c>
      <c r="JE204" s="388">
        <f t="shared" si="924"/>
        <v>0</v>
      </c>
      <c r="JF204" s="388">
        <f t="shared" si="924"/>
        <v>0</v>
      </c>
      <c r="JG204" s="388">
        <f t="shared" si="924"/>
        <v>0</v>
      </c>
      <c r="JH204" s="388">
        <f t="shared" si="924"/>
        <v>0</v>
      </c>
      <c r="JI204" s="388">
        <f t="shared" si="924"/>
        <v>0</v>
      </c>
      <c r="JJ204" s="388">
        <f t="shared" si="924"/>
        <v>0</v>
      </c>
      <c r="JK204" s="388">
        <f t="shared" si="924"/>
        <v>0</v>
      </c>
      <c r="JL204" s="388">
        <f t="shared" si="924"/>
        <v>0</v>
      </c>
      <c r="JM204" s="388">
        <f t="shared" si="924"/>
        <v>0</v>
      </c>
      <c r="JN204" s="388">
        <f t="shared" si="924"/>
        <v>0</v>
      </c>
      <c r="JO204" s="388">
        <f t="shared" si="924"/>
        <v>0</v>
      </c>
      <c r="JP204" s="388">
        <f t="shared" si="924"/>
        <v>0</v>
      </c>
      <c r="JQ204" s="388">
        <f t="shared" si="924"/>
        <v>0</v>
      </c>
      <c r="JR204" s="388">
        <f t="shared" si="924"/>
        <v>0</v>
      </c>
      <c r="JS204" s="388">
        <f t="shared" si="924"/>
        <v>0</v>
      </c>
      <c r="JT204" s="388">
        <f t="shared" si="924"/>
        <v>0</v>
      </c>
      <c r="JU204" s="388">
        <f t="shared" si="924"/>
        <v>0</v>
      </c>
      <c r="JV204" s="388">
        <f t="shared" si="924"/>
        <v>0</v>
      </c>
      <c r="JW204" s="388">
        <f t="shared" si="924"/>
        <v>0</v>
      </c>
      <c r="JX204" s="388">
        <f t="shared" si="924"/>
        <v>0</v>
      </c>
      <c r="JY204" s="388">
        <f t="shared" ref="JY204:KC204" si="925">IF(EO233="",0,EO233)</f>
        <v>0</v>
      </c>
      <c r="JZ204" s="388">
        <f t="shared" si="925"/>
        <v>0</v>
      </c>
      <c r="KA204" s="388">
        <f t="shared" si="925"/>
        <v>0</v>
      </c>
      <c r="KB204" s="388">
        <f t="shared" si="925"/>
        <v>0</v>
      </c>
      <c r="KC204" s="388">
        <f t="shared" si="925"/>
        <v>0</v>
      </c>
    </row>
    <row r="205" spans="1:289" ht="14.25" customHeight="1" x14ac:dyDescent="0.25">
      <c r="B205" s="180"/>
      <c r="C205" s="196"/>
      <c r="D205" s="196"/>
      <c r="E205" s="196"/>
      <c r="F205" s="196"/>
      <c r="G205" s="196"/>
      <c r="H205" s="218"/>
      <c r="I205" s="218"/>
      <c r="Q205" s="220"/>
      <c r="R205" s="220"/>
      <c r="S205" s="220"/>
      <c r="T205" s="220"/>
      <c r="U205" s="220"/>
      <c r="V205" s="220"/>
      <c r="W205" s="220"/>
      <c r="X205" s="220"/>
      <c r="Y205" s="220"/>
      <c r="Z205" s="220"/>
      <c r="AA205" s="220"/>
      <c r="AB205" s="220"/>
      <c r="AC205" s="220"/>
      <c r="AD205" s="220"/>
      <c r="AE205" s="220"/>
      <c r="AF205" s="220"/>
      <c r="AG205" s="220"/>
      <c r="AH205" s="220"/>
      <c r="AI205" s="220"/>
      <c r="AJ205" s="220"/>
      <c r="AK205" s="220"/>
      <c r="AL205" s="220"/>
      <c r="AM205" s="220"/>
      <c r="AN205" s="220"/>
      <c r="AO205" s="220"/>
      <c r="AP205" s="220"/>
      <c r="AQ205" s="220"/>
      <c r="AR205" s="220"/>
      <c r="AS205" s="220"/>
      <c r="AT205" s="220"/>
      <c r="AU205" s="220"/>
      <c r="AV205" s="220"/>
      <c r="AW205" s="220"/>
      <c r="AX205" s="220"/>
      <c r="AY205" s="220"/>
      <c r="AZ205" s="220"/>
      <c r="BA205" s="220"/>
      <c r="BB205" s="220"/>
      <c r="BC205" s="220"/>
      <c r="BD205" s="220"/>
      <c r="BE205" s="220"/>
      <c r="BF205" s="220"/>
      <c r="BG205" s="220"/>
      <c r="BH205" s="220"/>
      <c r="BI205" s="220"/>
      <c r="BJ205" s="220"/>
      <c r="BK205" s="220"/>
      <c r="BL205" s="220"/>
      <c r="BM205" s="220"/>
      <c r="BN205" s="220"/>
      <c r="BO205" s="220"/>
      <c r="BP205" s="220"/>
      <c r="BQ205" s="220"/>
      <c r="BR205" s="220"/>
      <c r="BS205" s="220"/>
      <c r="BT205" s="220"/>
      <c r="BU205" s="220"/>
      <c r="BV205" s="220"/>
      <c r="BW205" s="220"/>
      <c r="BX205" s="220"/>
      <c r="BY205" s="220"/>
      <c r="BZ205" s="220"/>
      <c r="CA205" s="220"/>
      <c r="CB205" s="220"/>
      <c r="CC205" s="220"/>
      <c r="CD205" s="220"/>
      <c r="CE205" s="220"/>
      <c r="CF205" s="220"/>
      <c r="CG205" s="220"/>
      <c r="CH205" s="220"/>
      <c r="CI205" s="220"/>
      <c r="CJ205" s="220"/>
      <c r="CK205" s="220"/>
      <c r="CL205" s="220"/>
      <c r="CM205" s="220"/>
      <c r="CN205" s="220"/>
      <c r="CO205" s="220"/>
      <c r="CP205" s="220"/>
      <c r="CQ205" s="220"/>
      <c r="CR205" s="220"/>
      <c r="CS205" s="220"/>
      <c r="CT205" s="220"/>
      <c r="CU205" s="220"/>
      <c r="CV205" s="220"/>
      <c r="CW205" s="220"/>
      <c r="CX205" s="220"/>
      <c r="CY205" s="220"/>
      <c r="CZ205" s="220"/>
      <c r="DA205" s="220"/>
      <c r="DB205" s="220"/>
      <c r="DC205" s="220"/>
      <c r="DD205" s="220"/>
      <c r="DE205" s="220"/>
      <c r="DF205" s="220"/>
      <c r="DG205" s="220"/>
      <c r="DH205" s="220"/>
      <c r="DI205" s="220"/>
      <c r="DJ205" s="220"/>
      <c r="DK205" s="220"/>
      <c r="DL205" s="220"/>
      <c r="DM205" s="220"/>
      <c r="DN205" s="220"/>
      <c r="DO205" s="220"/>
      <c r="DP205" s="220"/>
      <c r="DQ205" s="220"/>
      <c r="DR205" s="220"/>
      <c r="DS205" s="220"/>
      <c r="DT205" s="220"/>
      <c r="DU205" s="220"/>
      <c r="DV205" s="220"/>
      <c r="DW205" s="220"/>
      <c r="DX205" s="220"/>
      <c r="DY205" s="220"/>
      <c r="DZ205" s="220"/>
      <c r="EA205" s="220"/>
      <c r="EB205" s="220"/>
      <c r="EC205" s="220"/>
      <c r="ED205" s="220"/>
      <c r="EE205" s="220"/>
      <c r="EF205" s="220"/>
      <c r="EG205" s="220"/>
      <c r="EH205" s="220"/>
      <c r="EI205" s="220"/>
      <c r="EJ205" s="220"/>
      <c r="EK205" s="220"/>
      <c r="EL205" s="220"/>
      <c r="EM205" s="220"/>
      <c r="EN205" s="220"/>
      <c r="EO205" s="220"/>
      <c r="EP205" s="220"/>
      <c r="EQ205" s="220"/>
      <c r="ER205" s="220"/>
      <c r="ES205" s="220"/>
      <c r="EU205" s="202"/>
      <c r="EV205" s="153"/>
      <c r="EW205" s="153"/>
      <c r="EX205" s="153"/>
      <c r="EY205" s="154" t="s">
        <v>345</v>
      </c>
      <c r="EZ205" s="154"/>
      <c r="FA205" s="388">
        <f ca="1">(FA$201&lt;=Timing_Reversion_Month)*(MIN(FA202+FA203,MAX(FA200,0)*$I$237))</f>
        <v>0</v>
      </c>
      <c r="FB205" s="388">
        <f ca="1">(FB$201&lt;=Timing_Reversion_Month)*(MIN(FB202+FB203,MAX(FB$200,0)*$I$237))</f>
        <v>0</v>
      </c>
      <c r="FC205" s="388">
        <f t="shared" ref="FC205:GH205" ca="1" si="926">(FC$201&lt;=Timing_Reversion_Month)*(MIN(FC202+FC203,MAX(FC200,0)*$I$237))</f>
        <v>0</v>
      </c>
      <c r="FD205" s="388">
        <f t="shared" ca="1" si="926"/>
        <v>0</v>
      </c>
      <c r="FE205" s="388">
        <f t="shared" ca="1" si="926"/>
        <v>0</v>
      </c>
      <c r="FF205" s="388">
        <f t="shared" ca="1" si="926"/>
        <v>0</v>
      </c>
      <c r="FG205" s="388">
        <f t="shared" ca="1" si="926"/>
        <v>0</v>
      </c>
      <c r="FH205" s="388">
        <f t="shared" ca="1" si="926"/>
        <v>0</v>
      </c>
      <c r="FI205" s="388">
        <f t="shared" ca="1" si="926"/>
        <v>0</v>
      </c>
      <c r="FJ205" s="388">
        <f t="shared" ca="1" si="926"/>
        <v>0</v>
      </c>
      <c r="FK205" s="388">
        <f t="shared" ca="1" si="926"/>
        <v>0</v>
      </c>
      <c r="FL205" s="388">
        <f t="shared" ca="1" si="926"/>
        <v>0</v>
      </c>
      <c r="FM205" s="388">
        <f t="shared" ca="1" si="926"/>
        <v>0</v>
      </c>
      <c r="FN205" s="388">
        <f t="shared" ca="1" si="926"/>
        <v>0</v>
      </c>
      <c r="FO205" s="388">
        <f t="shared" ca="1" si="926"/>
        <v>0</v>
      </c>
      <c r="FP205" s="388">
        <f t="shared" ca="1" si="926"/>
        <v>0</v>
      </c>
      <c r="FQ205" s="388">
        <f t="shared" ca="1" si="926"/>
        <v>0</v>
      </c>
      <c r="FR205" s="388">
        <f t="shared" ca="1" si="926"/>
        <v>0</v>
      </c>
      <c r="FS205" s="388">
        <f t="shared" ca="1" si="926"/>
        <v>0</v>
      </c>
      <c r="FT205" s="388">
        <f t="shared" ca="1" si="926"/>
        <v>0</v>
      </c>
      <c r="FU205" s="388">
        <f t="shared" ca="1" si="926"/>
        <v>0</v>
      </c>
      <c r="FV205" s="388">
        <f t="shared" ca="1" si="926"/>
        <v>0</v>
      </c>
      <c r="FW205" s="388">
        <f t="shared" ca="1" si="926"/>
        <v>0</v>
      </c>
      <c r="FX205" s="388">
        <f t="shared" ca="1" si="926"/>
        <v>0</v>
      </c>
      <c r="FY205" s="388">
        <f t="shared" ca="1" si="926"/>
        <v>0</v>
      </c>
      <c r="FZ205" s="388">
        <f t="shared" ca="1" si="926"/>
        <v>0</v>
      </c>
      <c r="GA205" s="388">
        <f t="shared" ca="1" si="926"/>
        <v>0</v>
      </c>
      <c r="GB205" s="388">
        <f t="shared" ca="1" si="926"/>
        <v>0</v>
      </c>
      <c r="GC205" s="388">
        <f t="shared" ca="1" si="926"/>
        <v>0</v>
      </c>
      <c r="GD205" s="388">
        <f t="shared" ca="1" si="926"/>
        <v>0</v>
      </c>
      <c r="GE205" s="388">
        <f t="shared" ca="1" si="926"/>
        <v>0</v>
      </c>
      <c r="GF205" s="388">
        <f t="shared" ca="1" si="926"/>
        <v>0</v>
      </c>
      <c r="GG205" s="388">
        <f t="shared" ca="1" si="926"/>
        <v>0</v>
      </c>
      <c r="GH205" s="388">
        <f t="shared" ca="1" si="926"/>
        <v>0</v>
      </c>
      <c r="GI205" s="388">
        <f t="shared" ref="GI205:HN205" ca="1" si="927">(GI$201&lt;=Timing_Reversion_Month)*(MIN(GI202+GI203,MAX(GI200,0)*$I$237))</f>
        <v>0</v>
      </c>
      <c r="GJ205" s="388">
        <f t="shared" ca="1" si="927"/>
        <v>0</v>
      </c>
      <c r="GK205" s="388">
        <f t="shared" ca="1" si="927"/>
        <v>0</v>
      </c>
      <c r="GL205" s="388">
        <f t="shared" ca="1" si="927"/>
        <v>0</v>
      </c>
      <c r="GM205" s="388">
        <f t="shared" ca="1" si="927"/>
        <v>0</v>
      </c>
      <c r="GN205" s="388">
        <f t="shared" ca="1" si="927"/>
        <v>0</v>
      </c>
      <c r="GO205" s="388">
        <f t="shared" ca="1" si="927"/>
        <v>0</v>
      </c>
      <c r="GP205" s="388">
        <f t="shared" ca="1" si="927"/>
        <v>0</v>
      </c>
      <c r="GQ205" s="388">
        <f t="shared" ca="1" si="927"/>
        <v>0</v>
      </c>
      <c r="GR205" s="388">
        <f t="shared" ca="1" si="927"/>
        <v>0</v>
      </c>
      <c r="GS205" s="388">
        <f t="shared" ca="1" si="927"/>
        <v>0</v>
      </c>
      <c r="GT205" s="388">
        <f t="shared" ca="1" si="927"/>
        <v>0</v>
      </c>
      <c r="GU205" s="388">
        <f t="shared" ca="1" si="927"/>
        <v>0</v>
      </c>
      <c r="GV205" s="388">
        <f t="shared" ca="1" si="927"/>
        <v>0</v>
      </c>
      <c r="GW205" s="388">
        <f t="shared" ca="1" si="927"/>
        <v>0</v>
      </c>
      <c r="GX205" s="388">
        <f t="shared" ca="1" si="927"/>
        <v>0</v>
      </c>
      <c r="GY205" s="388">
        <f t="shared" ca="1" si="927"/>
        <v>0</v>
      </c>
      <c r="GZ205" s="388">
        <f t="shared" ca="1" si="927"/>
        <v>0</v>
      </c>
      <c r="HA205" s="388">
        <f t="shared" ca="1" si="927"/>
        <v>0</v>
      </c>
      <c r="HB205" s="388">
        <f t="shared" ca="1" si="927"/>
        <v>0</v>
      </c>
      <c r="HC205" s="388">
        <f t="shared" ca="1" si="927"/>
        <v>0</v>
      </c>
      <c r="HD205" s="388">
        <f t="shared" ca="1" si="927"/>
        <v>0</v>
      </c>
      <c r="HE205" s="388">
        <f t="shared" ca="1" si="927"/>
        <v>0</v>
      </c>
      <c r="HF205" s="388">
        <f t="shared" ca="1" si="927"/>
        <v>0</v>
      </c>
      <c r="HG205" s="388">
        <f t="shared" ca="1" si="927"/>
        <v>0</v>
      </c>
      <c r="HH205" s="388">
        <f t="shared" ca="1" si="927"/>
        <v>0</v>
      </c>
      <c r="HI205" s="388">
        <f t="shared" ca="1" si="927"/>
        <v>0</v>
      </c>
      <c r="HJ205" s="388">
        <f t="shared" ca="1" si="927"/>
        <v>0</v>
      </c>
      <c r="HK205" s="388">
        <f t="shared" ca="1" si="927"/>
        <v>0</v>
      </c>
      <c r="HL205" s="388">
        <f t="shared" ca="1" si="927"/>
        <v>0</v>
      </c>
      <c r="HM205" s="388">
        <f t="shared" ca="1" si="927"/>
        <v>0</v>
      </c>
      <c r="HN205" s="388">
        <f t="shared" ca="1" si="927"/>
        <v>0</v>
      </c>
      <c r="HO205" s="388">
        <f t="shared" ref="HO205:IT205" ca="1" si="928">(HO$201&lt;=Timing_Reversion_Month)*(MIN(HO202+HO203,MAX(HO200,0)*$I$237))</f>
        <v>0</v>
      </c>
      <c r="HP205" s="388">
        <f t="shared" ca="1" si="928"/>
        <v>0</v>
      </c>
      <c r="HQ205" s="388">
        <f t="shared" ca="1" si="928"/>
        <v>0</v>
      </c>
      <c r="HR205" s="388">
        <f t="shared" ca="1" si="928"/>
        <v>0</v>
      </c>
      <c r="HS205" s="388">
        <f t="shared" ca="1" si="928"/>
        <v>0</v>
      </c>
      <c r="HT205" s="388">
        <f t="shared" ca="1" si="928"/>
        <v>0</v>
      </c>
      <c r="HU205" s="388">
        <f t="shared" ca="1" si="928"/>
        <v>0</v>
      </c>
      <c r="HV205" s="388">
        <f t="shared" ca="1" si="928"/>
        <v>0</v>
      </c>
      <c r="HW205" s="388">
        <f t="shared" ca="1" si="928"/>
        <v>0</v>
      </c>
      <c r="HX205" s="388">
        <f t="shared" ca="1" si="928"/>
        <v>0</v>
      </c>
      <c r="HY205" s="388">
        <f t="shared" ca="1" si="928"/>
        <v>0</v>
      </c>
      <c r="HZ205" s="388">
        <f t="shared" ca="1" si="928"/>
        <v>0</v>
      </c>
      <c r="IA205" s="388">
        <f t="shared" ca="1" si="928"/>
        <v>0</v>
      </c>
      <c r="IB205" s="388">
        <f t="shared" ca="1" si="928"/>
        <v>0</v>
      </c>
      <c r="IC205" s="388">
        <f t="shared" ca="1" si="928"/>
        <v>0</v>
      </c>
      <c r="ID205" s="388">
        <f t="shared" ca="1" si="928"/>
        <v>0</v>
      </c>
      <c r="IE205" s="388">
        <f t="shared" ca="1" si="928"/>
        <v>0</v>
      </c>
      <c r="IF205" s="388">
        <f t="shared" ca="1" si="928"/>
        <v>0</v>
      </c>
      <c r="IG205" s="388">
        <f t="shared" ca="1" si="928"/>
        <v>0</v>
      </c>
      <c r="IH205" s="388">
        <f t="shared" ca="1" si="928"/>
        <v>0</v>
      </c>
      <c r="II205" s="388">
        <f t="shared" ca="1" si="928"/>
        <v>0</v>
      </c>
      <c r="IJ205" s="388">
        <f t="shared" ca="1" si="928"/>
        <v>0</v>
      </c>
      <c r="IK205" s="388">
        <f t="shared" ca="1" si="928"/>
        <v>0</v>
      </c>
      <c r="IL205" s="388">
        <f t="shared" ca="1" si="928"/>
        <v>0</v>
      </c>
      <c r="IM205" s="388">
        <f t="shared" ca="1" si="928"/>
        <v>0</v>
      </c>
      <c r="IN205" s="388">
        <f t="shared" ca="1" si="928"/>
        <v>0</v>
      </c>
      <c r="IO205" s="388">
        <f t="shared" ca="1" si="928"/>
        <v>0</v>
      </c>
      <c r="IP205" s="388">
        <f t="shared" ca="1" si="928"/>
        <v>0</v>
      </c>
      <c r="IQ205" s="388">
        <f t="shared" ca="1" si="928"/>
        <v>0</v>
      </c>
      <c r="IR205" s="388">
        <f t="shared" ca="1" si="928"/>
        <v>0</v>
      </c>
      <c r="IS205" s="388">
        <f t="shared" ca="1" si="928"/>
        <v>0</v>
      </c>
      <c r="IT205" s="388">
        <f t="shared" ca="1" si="928"/>
        <v>0</v>
      </c>
      <c r="IU205" s="388">
        <f t="shared" ref="IU205:KC205" ca="1" si="929">(IU$201&lt;=Timing_Reversion_Month)*(MIN(IU202+IU203,MAX(IU200,0)*$I$237))</f>
        <v>0</v>
      </c>
      <c r="IV205" s="388">
        <f t="shared" ca="1" si="929"/>
        <v>0</v>
      </c>
      <c r="IW205" s="388">
        <f t="shared" ca="1" si="929"/>
        <v>0</v>
      </c>
      <c r="IX205" s="388">
        <f t="shared" ca="1" si="929"/>
        <v>0</v>
      </c>
      <c r="IY205" s="388">
        <f t="shared" ca="1" si="929"/>
        <v>0</v>
      </c>
      <c r="IZ205" s="388">
        <f t="shared" ca="1" si="929"/>
        <v>0</v>
      </c>
      <c r="JA205" s="388">
        <f t="shared" ca="1" si="929"/>
        <v>0</v>
      </c>
      <c r="JB205" s="388">
        <f t="shared" ca="1" si="929"/>
        <v>0</v>
      </c>
      <c r="JC205" s="388">
        <f t="shared" ca="1" si="929"/>
        <v>0</v>
      </c>
      <c r="JD205" s="388">
        <f t="shared" ca="1" si="929"/>
        <v>0</v>
      </c>
      <c r="JE205" s="388">
        <f t="shared" ca="1" si="929"/>
        <v>0</v>
      </c>
      <c r="JF205" s="388">
        <f t="shared" ca="1" si="929"/>
        <v>0</v>
      </c>
      <c r="JG205" s="388">
        <f t="shared" ca="1" si="929"/>
        <v>0</v>
      </c>
      <c r="JH205" s="388">
        <f t="shared" ca="1" si="929"/>
        <v>0</v>
      </c>
      <c r="JI205" s="388">
        <f t="shared" ca="1" si="929"/>
        <v>0</v>
      </c>
      <c r="JJ205" s="388">
        <f t="shared" ca="1" si="929"/>
        <v>0</v>
      </c>
      <c r="JK205" s="388">
        <f t="shared" ca="1" si="929"/>
        <v>0</v>
      </c>
      <c r="JL205" s="388">
        <f t="shared" ca="1" si="929"/>
        <v>0</v>
      </c>
      <c r="JM205" s="388">
        <f t="shared" ca="1" si="929"/>
        <v>0</v>
      </c>
      <c r="JN205" s="388">
        <f t="shared" ca="1" si="929"/>
        <v>0</v>
      </c>
      <c r="JO205" s="388">
        <f t="shared" ca="1" si="929"/>
        <v>0</v>
      </c>
      <c r="JP205" s="388">
        <f t="shared" ca="1" si="929"/>
        <v>0</v>
      </c>
      <c r="JQ205" s="388">
        <f t="shared" ca="1" si="929"/>
        <v>0</v>
      </c>
      <c r="JR205" s="388">
        <f t="shared" ca="1" si="929"/>
        <v>0</v>
      </c>
      <c r="JS205" s="388">
        <f t="shared" ca="1" si="929"/>
        <v>0</v>
      </c>
      <c r="JT205" s="388">
        <f t="shared" ca="1" si="929"/>
        <v>0</v>
      </c>
      <c r="JU205" s="388">
        <f t="shared" ca="1" si="929"/>
        <v>0</v>
      </c>
      <c r="JV205" s="388">
        <f t="shared" ca="1" si="929"/>
        <v>0</v>
      </c>
      <c r="JW205" s="388">
        <f t="shared" ca="1" si="929"/>
        <v>0</v>
      </c>
      <c r="JX205" s="388">
        <f t="shared" ca="1" si="929"/>
        <v>0</v>
      </c>
      <c r="JY205" s="388">
        <f t="shared" ca="1" si="929"/>
        <v>0</v>
      </c>
      <c r="JZ205" s="388">
        <f t="shared" ca="1" si="929"/>
        <v>0</v>
      </c>
      <c r="KA205" s="388">
        <f t="shared" ca="1" si="929"/>
        <v>0</v>
      </c>
      <c r="KB205" s="388">
        <f t="shared" ca="1" si="929"/>
        <v>0</v>
      </c>
      <c r="KC205" s="388">
        <f t="shared" ca="1" si="929"/>
        <v>0</v>
      </c>
    </row>
    <row r="206" spans="1:289" ht="14.25" customHeight="1" x14ac:dyDescent="0.25">
      <c r="B206" s="180" t="s">
        <v>177</v>
      </c>
      <c r="C206" s="196"/>
      <c r="D206" s="196"/>
      <c r="E206" s="196"/>
      <c r="F206" s="196"/>
      <c r="G206" s="196"/>
      <c r="H206" s="218"/>
      <c r="I206" s="218">
        <f ca="1">SUM(Q206:ES206)</f>
        <v>488369.13788799988</v>
      </c>
      <c r="Q206" s="220">
        <f t="shared" ref="Q206:AV206" si="930">IF(Q198="","",Q141)</f>
        <v>0</v>
      </c>
      <c r="R206" s="220">
        <f t="shared" ca="1" si="930"/>
        <v>0</v>
      </c>
      <c r="S206" s="220">
        <f t="shared" ca="1" si="930"/>
        <v>0</v>
      </c>
      <c r="T206" s="220">
        <f t="shared" ca="1" si="930"/>
        <v>0</v>
      </c>
      <c r="U206" s="220">
        <f t="shared" ca="1" si="930"/>
        <v>0</v>
      </c>
      <c r="V206" s="220">
        <f t="shared" ca="1" si="930"/>
        <v>0</v>
      </c>
      <c r="W206" s="220">
        <f t="shared" ca="1" si="930"/>
        <v>0</v>
      </c>
      <c r="X206" s="220">
        <f t="shared" ca="1" si="930"/>
        <v>0</v>
      </c>
      <c r="Y206" s="220">
        <f t="shared" ca="1" si="930"/>
        <v>0</v>
      </c>
      <c r="Z206" s="220">
        <f t="shared" ca="1" si="930"/>
        <v>0</v>
      </c>
      <c r="AA206" s="220">
        <f t="shared" ca="1" si="930"/>
        <v>0</v>
      </c>
      <c r="AB206" s="220">
        <f t="shared" ca="1" si="930"/>
        <v>0</v>
      </c>
      <c r="AC206" s="220">
        <f t="shared" ca="1" si="930"/>
        <v>854.48499999999933</v>
      </c>
      <c r="AD206" s="220">
        <f t="shared" ca="1" si="930"/>
        <v>10928.922499999999</v>
      </c>
      <c r="AE206" s="220">
        <f t="shared" ca="1" si="930"/>
        <v>21003.360000000001</v>
      </c>
      <c r="AF206" s="220">
        <f t="shared" ca="1" si="930"/>
        <v>21003.360000000001</v>
      </c>
      <c r="AG206" s="220">
        <f t="shared" ca="1" si="930"/>
        <v>21003.360000000001</v>
      </c>
      <c r="AH206" s="220">
        <f t="shared" ca="1" si="930"/>
        <v>21003.360000000001</v>
      </c>
      <c r="AI206" s="220">
        <f t="shared" ca="1" si="930"/>
        <v>21003.360000000001</v>
      </c>
      <c r="AJ206" s="220">
        <f t="shared" ca="1" si="930"/>
        <v>21003.360000000001</v>
      </c>
      <c r="AK206" s="220">
        <f t="shared" ca="1" si="930"/>
        <v>21003.360000000001</v>
      </c>
      <c r="AL206" s="220">
        <f t="shared" ca="1" si="930"/>
        <v>21003.360000000001</v>
      </c>
      <c r="AM206" s="220">
        <f t="shared" ca="1" si="930"/>
        <v>21003.360000000001</v>
      </c>
      <c r="AN206" s="220">
        <f t="shared" ca="1" si="930"/>
        <v>21003.360000000001</v>
      </c>
      <c r="AO206" s="220">
        <f t="shared" ca="1" si="930"/>
        <v>20035.330799999996</v>
      </c>
      <c r="AP206" s="220">
        <f t="shared" ca="1" si="930"/>
        <v>20343.985800000002</v>
      </c>
      <c r="AQ206" s="220">
        <f t="shared" ca="1" si="930"/>
        <v>20652.640800000001</v>
      </c>
      <c r="AR206" s="220">
        <f t="shared" ca="1" si="930"/>
        <v>20652.640800000001</v>
      </c>
      <c r="AS206" s="220">
        <f t="shared" ca="1" si="930"/>
        <v>20652.640800000001</v>
      </c>
      <c r="AT206" s="220">
        <f t="shared" ca="1" si="930"/>
        <v>20652.640800000001</v>
      </c>
      <c r="AU206" s="220">
        <f t="shared" ca="1" si="930"/>
        <v>20652.640800000001</v>
      </c>
      <c r="AV206" s="220">
        <f t="shared" ca="1" si="930"/>
        <v>20652.640800000001</v>
      </c>
      <c r="AW206" s="220">
        <f t="shared" ref="AW206:CB206" ca="1" si="931">IF(AW198="","",AW141)</f>
        <v>20652.640800000001</v>
      </c>
      <c r="AX206" s="220">
        <f t="shared" ca="1" si="931"/>
        <v>20652.640800000001</v>
      </c>
      <c r="AY206" s="220">
        <f t="shared" ca="1" si="931"/>
        <v>20652.640800000001</v>
      </c>
      <c r="AZ206" s="220">
        <f t="shared" ca="1" si="931"/>
        <v>20652.640800000001</v>
      </c>
      <c r="BA206" s="220">
        <f t="shared" ca="1" si="931"/>
        <v>19646.405787999996</v>
      </c>
      <c r="BB206" s="220" t="str">
        <f t="shared" si="931"/>
        <v/>
      </c>
      <c r="BC206" s="220" t="str">
        <f t="shared" si="931"/>
        <v/>
      </c>
      <c r="BD206" s="220" t="str">
        <f t="shared" si="931"/>
        <v/>
      </c>
      <c r="BE206" s="220" t="str">
        <f t="shared" si="931"/>
        <v/>
      </c>
      <c r="BF206" s="220" t="str">
        <f t="shared" si="931"/>
        <v/>
      </c>
      <c r="BG206" s="220" t="str">
        <f t="shared" si="931"/>
        <v/>
      </c>
      <c r="BH206" s="220" t="str">
        <f t="shared" si="931"/>
        <v/>
      </c>
      <c r="BI206" s="220" t="str">
        <f t="shared" si="931"/>
        <v/>
      </c>
      <c r="BJ206" s="220" t="str">
        <f t="shared" si="931"/>
        <v/>
      </c>
      <c r="BK206" s="220" t="str">
        <f t="shared" si="931"/>
        <v/>
      </c>
      <c r="BL206" s="220" t="str">
        <f t="shared" si="931"/>
        <v/>
      </c>
      <c r="BM206" s="220" t="str">
        <f t="shared" si="931"/>
        <v/>
      </c>
      <c r="BN206" s="220" t="str">
        <f t="shared" si="931"/>
        <v/>
      </c>
      <c r="BO206" s="220" t="str">
        <f t="shared" si="931"/>
        <v/>
      </c>
      <c r="BP206" s="220" t="str">
        <f t="shared" si="931"/>
        <v/>
      </c>
      <c r="BQ206" s="220" t="str">
        <f t="shared" si="931"/>
        <v/>
      </c>
      <c r="BR206" s="220" t="str">
        <f t="shared" si="931"/>
        <v/>
      </c>
      <c r="BS206" s="220" t="str">
        <f t="shared" si="931"/>
        <v/>
      </c>
      <c r="BT206" s="220" t="str">
        <f t="shared" si="931"/>
        <v/>
      </c>
      <c r="BU206" s="220" t="str">
        <f t="shared" si="931"/>
        <v/>
      </c>
      <c r="BV206" s="220" t="str">
        <f t="shared" si="931"/>
        <v/>
      </c>
      <c r="BW206" s="220" t="str">
        <f t="shared" si="931"/>
        <v/>
      </c>
      <c r="BX206" s="220" t="str">
        <f t="shared" si="931"/>
        <v/>
      </c>
      <c r="BY206" s="220" t="str">
        <f t="shared" si="931"/>
        <v/>
      </c>
      <c r="BZ206" s="220" t="str">
        <f t="shared" si="931"/>
        <v/>
      </c>
      <c r="CA206" s="220" t="str">
        <f t="shared" si="931"/>
        <v/>
      </c>
      <c r="CB206" s="220" t="str">
        <f t="shared" si="931"/>
        <v/>
      </c>
      <c r="CC206" s="220" t="str">
        <f t="shared" ref="CC206:DH206" si="932">IF(CC198="","",CC141)</f>
        <v/>
      </c>
      <c r="CD206" s="220" t="str">
        <f t="shared" si="932"/>
        <v/>
      </c>
      <c r="CE206" s="220" t="str">
        <f t="shared" si="932"/>
        <v/>
      </c>
      <c r="CF206" s="220" t="str">
        <f t="shared" si="932"/>
        <v/>
      </c>
      <c r="CG206" s="220" t="str">
        <f t="shared" si="932"/>
        <v/>
      </c>
      <c r="CH206" s="220" t="str">
        <f t="shared" si="932"/>
        <v/>
      </c>
      <c r="CI206" s="220" t="str">
        <f t="shared" si="932"/>
        <v/>
      </c>
      <c r="CJ206" s="220" t="str">
        <f t="shared" si="932"/>
        <v/>
      </c>
      <c r="CK206" s="220" t="str">
        <f t="shared" si="932"/>
        <v/>
      </c>
      <c r="CL206" s="220" t="str">
        <f t="shared" si="932"/>
        <v/>
      </c>
      <c r="CM206" s="220" t="str">
        <f t="shared" si="932"/>
        <v/>
      </c>
      <c r="CN206" s="220" t="str">
        <f t="shared" si="932"/>
        <v/>
      </c>
      <c r="CO206" s="220" t="str">
        <f t="shared" si="932"/>
        <v/>
      </c>
      <c r="CP206" s="220" t="str">
        <f t="shared" si="932"/>
        <v/>
      </c>
      <c r="CQ206" s="220" t="str">
        <f t="shared" si="932"/>
        <v/>
      </c>
      <c r="CR206" s="220" t="str">
        <f t="shared" si="932"/>
        <v/>
      </c>
      <c r="CS206" s="220" t="str">
        <f t="shared" si="932"/>
        <v/>
      </c>
      <c r="CT206" s="220" t="str">
        <f t="shared" si="932"/>
        <v/>
      </c>
      <c r="CU206" s="220" t="str">
        <f t="shared" si="932"/>
        <v/>
      </c>
      <c r="CV206" s="220" t="str">
        <f t="shared" si="932"/>
        <v/>
      </c>
      <c r="CW206" s="220" t="str">
        <f t="shared" si="932"/>
        <v/>
      </c>
      <c r="CX206" s="220" t="str">
        <f t="shared" si="932"/>
        <v/>
      </c>
      <c r="CY206" s="220" t="str">
        <f t="shared" si="932"/>
        <v/>
      </c>
      <c r="CZ206" s="220" t="str">
        <f t="shared" si="932"/>
        <v/>
      </c>
      <c r="DA206" s="220" t="str">
        <f t="shared" si="932"/>
        <v/>
      </c>
      <c r="DB206" s="220" t="str">
        <f t="shared" si="932"/>
        <v/>
      </c>
      <c r="DC206" s="220" t="str">
        <f t="shared" si="932"/>
        <v/>
      </c>
      <c r="DD206" s="220" t="str">
        <f t="shared" si="932"/>
        <v/>
      </c>
      <c r="DE206" s="220" t="str">
        <f t="shared" si="932"/>
        <v/>
      </c>
      <c r="DF206" s="220" t="str">
        <f t="shared" si="932"/>
        <v/>
      </c>
      <c r="DG206" s="220" t="str">
        <f t="shared" si="932"/>
        <v/>
      </c>
      <c r="DH206" s="220" t="str">
        <f t="shared" si="932"/>
        <v/>
      </c>
      <c r="DI206" s="220" t="str">
        <f t="shared" ref="DI206:ES206" si="933">IF(DI198="","",DI141)</f>
        <v/>
      </c>
      <c r="DJ206" s="220" t="str">
        <f t="shared" si="933"/>
        <v/>
      </c>
      <c r="DK206" s="220" t="str">
        <f t="shared" si="933"/>
        <v/>
      </c>
      <c r="DL206" s="220" t="str">
        <f t="shared" si="933"/>
        <v/>
      </c>
      <c r="DM206" s="220" t="str">
        <f t="shared" si="933"/>
        <v/>
      </c>
      <c r="DN206" s="220" t="str">
        <f t="shared" si="933"/>
        <v/>
      </c>
      <c r="DO206" s="220" t="str">
        <f t="shared" si="933"/>
        <v/>
      </c>
      <c r="DP206" s="220" t="str">
        <f t="shared" si="933"/>
        <v/>
      </c>
      <c r="DQ206" s="220" t="str">
        <f t="shared" si="933"/>
        <v/>
      </c>
      <c r="DR206" s="220" t="str">
        <f t="shared" si="933"/>
        <v/>
      </c>
      <c r="DS206" s="220" t="str">
        <f t="shared" si="933"/>
        <v/>
      </c>
      <c r="DT206" s="220" t="str">
        <f t="shared" si="933"/>
        <v/>
      </c>
      <c r="DU206" s="220" t="str">
        <f t="shared" si="933"/>
        <v/>
      </c>
      <c r="DV206" s="220" t="str">
        <f t="shared" si="933"/>
        <v/>
      </c>
      <c r="DW206" s="220" t="str">
        <f t="shared" si="933"/>
        <v/>
      </c>
      <c r="DX206" s="220" t="str">
        <f t="shared" si="933"/>
        <v/>
      </c>
      <c r="DY206" s="220" t="str">
        <f t="shared" si="933"/>
        <v/>
      </c>
      <c r="DZ206" s="220" t="str">
        <f t="shared" si="933"/>
        <v/>
      </c>
      <c r="EA206" s="220" t="str">
        <f t="shared" si="933"/>
        <v/>
      </c>
      <c r="EB206" s="220" t="str">
        <f t="shared" si="933"/>
        <v/>
      </c>
      <c r="EC206" s="220" t="str">
        <f t="shared" si="933"/>
        <v/>
      </c>
      <c r="ED206" s="220" t="str">
        <f t="shared" si="933"/>
        <v/>
      </c>
      <c r="EE206" s="220" t="str">
        <f t="shared" si="933"/>
        <v/>
      </c>
      <c r="EF206" s="220" t="str">
        <f t="shared" si="933"/>
        <v/>
      </c>
      <c r="EG206" s="220" t="str">
        <f t="shared" si="933"/>
        <v/>
      </c>
      <c r="EH206" s="220" t="str">
        <f t="shared" si="933"/>
        <v/>
      </c>
      <c r="EI206" s="220" t="str">
        <f t="shared" si="933"/>
        <v/>
      </c>
      <c r="EJ206" s="220" t="str">
        <f t="shared" si="933"/>
        <v/>
      </c>
      <c r="EK206" s="220" t="str">
        <f t="shared" si="933"/>
        <v/>
      </c>
      <c r="EL206" s="220" t="str">
        <f t="shared" si="933"/>
        <v/>
      </c>
      <c r="EM206" s="220" t="str">
        <f t="shared" si="933"/>
        <v/>
      </c>
      <c r="EN206" s="220" t="str">
        <f t="shared" si="933"/>
        <v/>
      </c>
      <c r="EO206" s="220" t="str">
        <f t="shared" si="933"/>
        <v/>
      </c>
      <c r="EP206" s="220" t="str">
        <f t="shared" si="933"/>
        <v/>
      </c>
      <c r="EQ206" s="220" t="str">
        <f t="shared" si="933"/>
        <v/>
      </c>
      <c r="ER206" s="220" t="str">
        <f t="shared" si="933"/>
        <v/>
      </c>
      <c r="ES206" s="220" t="str">
        <f t="shared" si="933"/>
        <v/>
      </c>
      <c r="EU206" s="362">
        <f>F237</f>
        <v>0.09</v>
      </c>
      <c r="EV206" s="153" t="s">
        <v>351</v>
      </c>
      <c r="EW206" s="153"/>
      <c r="EX206" s="153"/>
      <c r="EY206" s="154" t="s">
        <v>346</v>
      </c>
      <c r="EZ206" s="154"/>
      <c r="FA206" s="388">
        <f t="shared" ref="FA206:GF206" ca="1" si="934">(FA$201&lt;=Timing_Reversion_Month)*(FA202+FA203+FA204-FA205)</f>
        <v>0</v>
      </c>
      <c r="FB206" s="388">
        <f t="shared" ca="1" si="934"/>
        <v>0</v>
      </c>
      <c r="FC206" s="388">
        <f t="shared" ca="1" si="934"/>
        <v>0</v>
      </c>
      <c r="FD206" s="388">
        <f t="shared" ca="1" si="934"/>
        <v>0</v>
      </c>
      <c r="FE206" s="388">
        <f t="shared" ca="1" si="934"/>
        <v>0</v>
      </c>
      <c r="FF206" s="388">
        <f t="shared" ca="1" si="934"/>
        <v>0</v>
      </c>
      <c r="FG206" s="388">
        <f t="shared" ca="1" si="934"/>
        <v>0</v>
      </c>
      <c r="FH206" s="388">
        <f t="shared" ca="1" si="934"/>
        <v>0</v>
      </c>
      <c r="FI206" s="388">
        <f t="shared" ca="1" si="934"/>
        <v>0</v>
      </c>
      <c r="FJ206" s="388">
        <f t="shared" ca="1" si="934"/>
        <v>0</v>
      </c>
      <c r="FK206" s="388">
        <f t="shared" ca="1" si="934"/>
        <v>0</v>
      </c>
      <c r="FL206" s="388">
        <f t="shared" ca="1" si="934"/>
        <v>0</v>
      </c>
      <c r="FM206" s="388">
        <f t="shared" ca="1" si="934"/>
        <v>0</v>
      </c>
      <c r="FN206" s="388">
        <f t="shared" ca="1" si="934"/>
        <v>0</v>
      </c>
      <c r="FO206" s="388">
        <f t="shared" ca="1" si="934"/>
        <v>0</v>
      </c>
      <c r="FP206" s="388">
        <f t="shared" ca="1" si="934"/>
        <v>0</v>
      </c>
      <c r="FQ206" s="388">
        <f t="shared" ca="1" si="934"/>
        <v>0</v>
      </c>
      <c r="FR206" s="388">
        <f t="shared" ca="1" si="934"/>
        <v>0</v>
      </c>
      <c r="FS206" s="388">
        <f t="shared" ca="1" si="934"/>
        <v>0</v>
      </c>
      <c r="FT206" s="388">
        <f t="shared" ca="1" si="934"/>
        <v>0</v>
      </c>
      <c r="FU206" s="388">
        <f t="shared" ca="1" si="934"/>
        <v>0</v>
      </c>
      <c r="FV206" s="388">
        <f t="shared" ca="1" si="934"/>
        <v>0</v>
      </c>
      <c r="FW206" s="388">
        <f t="shared" ca="1" si="934"/>
        <v>0</v>
      </c>
      <c r="FX206" s="388">
        <f t="shared" ca="1" si="934"/>
        <v>0</v>
      </c>
      <c r="FY206" s="388">
        <f t="shared" ca="1" si="934"/>
        <v>0</v>
      </c>
      <c r="FZ206" s="388">
        <f t="shared" ca="1" si="934"/>
        <v>0</v>
      </c>
      <c r="GA206" s="388">
        <f t="shared" ca="1" si="934"/>
        <v>0</v>
      </c>
      <c r="GB206" s="388">
        <f t="shared" ca="1" si="934"/>
        <v>0</v>
      </c>
      <c r="GC206" s="388">
        <f t="shared" ca="1" si="934"/>
        <v>0</v>
      </c>
      <c r="GD206" s="388">
        <f t="shared" ca="1" si="934"/>
        <v>0</v>
      </c>
      <c r="GE206" s="388">
        <f t="shared" ca="1" si="934"/>
        <v>0</v>
      </c>
      <c r="GF206" s="388">
        <f t="shared" ca="1" si="934"/>
        <v>0</v>
      </c>
      <c r="GG206" s="388">
        <f t="shared" ref="GG206:HL206" ca="1" si="935">(GG$201&lt;=Timing_Reversion_Month)*(GG202+GG203+GG204-GG205)</f>
        <v>0</v>
      </c>
      <c r="GH206" s="388">
        <f t="shared" ca="1" si="935"/>
        <v>0</v>
      </c>
      <c r="GI206" s="388">
        <f t="shared" ca="1" si="935"/>
        <v>0</v>
      </c>
      <c r="GJ206" s="388">
        <f t="shared" ca="1" si="935"/>
        <v>0</v>
      </c>
      <c r="GK206" s="388">
        <f t="shared" ca="1" si="935"/>
        <v>0</v>
      </c>
      <c r="GL206" s="388">
        <f t="shared" ca="1" si="935"/>
        <v>0</v>
      </c>
      <c r="GM206" s="388">
        <f t="shared" ca="1" si="935"/>
        <v>0</v>
      </c>
      <c r="GN206" s="388">
        <f t="shared" ca="1" si="935"/>
        <v>0</v>
      </c>
      <c r="GO206" s="388">
        <f t="shared" ca="1" si="935"/>
        <v>0</v>
      </c>
      <c r="GP206" s="388">
        <f t="shared" ca="1" si="935"/>
        <v>0</v>
      </c>
      <c r="GQ206" s="388">
        <f t="shared" ca="1" si="935"/>
        <v>0</v>
      </c>
      <c r="GR206" s="388">
        <f t="shared" ca="1" si="935"/>
        <v>0</v>
      </c>
      <c r="GS206" s="388">
        <f t="shared" ca="1" si="935"/>
        <v>0</v>
      </c>
      <c r="GT206" s="388">
        <f t="shared" ca="1" si="935"/>
        <v>0</v>
      </c>
      <c r="GU206" s="388">
        <f t="shared" ca="1" si="935"/>
        <v>0</v>
      </c>
      <c r="GV206" s="388">
        <f t="shared" ca="1" si="935"/>
        <v>0</v>
      </c>
      <c r="GW206" s="388">
        <f t="shared" ca="1" si="935"/>
        <v>0</v>
      </c>
      <c r="GX206" s="388">
        <f t="shared" ca="1" si="935"/>
        <v>0</v>
      </c>
      <c r="GY206" s="388">
        <f t="shared" ca="1" si="935"/>
        <v>0</v>
      </c>
      <c r="GZ206" s="388">
        <f t="shared" ca="1" si="935"/>
        <v>0</v>
      </c>
      <c r="HA206" s="388">
        <f t="shared" ca="1" si="935"/>
        <v>0</v>
      </c>
      <c r="HB206" s="388">
        <f t="shared" ca="1" si="935"/>
        <v>0</v>
      </c>
      <c r="HC206" s="388">
        <f t="shared" ca="1" si="935"/>
        <v>0</v>
      </c>
      <c r="HD206" s="388">
        <f t="shared" ca="1" si="935"/>
        <v>0</v>
      </c>
      <c r="HE206" s="388">
        <f t="shared" ca="1" si="935"/>
        <v>0</v>
      </c>
      <c r="HF206" s="388">
        <f t="shared" ca="1" si="935"/>
        <v>0</v>
      </c>
      <c r="HG206" s="388">
        <f t="shared" ca="1" si="935"/>
        <v>0</v>
      </c>
      <c r="HH206" s="388">
        <f t="shared" ca="1" si="935"/>
        <v>0</v>
      </c>
      <c r="HI206" s="388">
        <f t="shared" ca="1" si="935"/>
        <v>0</v>
      </c>
      <c r="HJ206" s="388">
        <f t="shared" ca="1" si="935"/>
        <v>0</v>
      </c>
      <c r="HK206" s="388">
        <f t="shared" ca="1" si="935"/>
        <v>0</v>
      </c>
      <c r="HL206" s="388">
        <f t="shared" ca="1" si="935"/>
        <v>0</v>
      </c>
      <c r="HM206" s="388">
        <f t="shared" ref="HM206:IR206" ca="1" si="936">(HM$201&lt;=Timing_Reversion_Month)*(HM202+HM203+HM204-HM205)</f>
        <v>0</v>
      </c>
      <c r="HN206" s="388">
        <f t="shared" ca="1" si="936"/>
        <v>0</v>
      </c>
      <c r="HO206" s="388">
        <f t="shared" ca="1" si="936"/>
        <v>0</v>
      </c>
      <c r="HP206" s="388">
        <f t="shared" ca="1" si="936"/>
        <v>0</v>
      </c>
      <c r="HQ206" s="388">
        <f t="shared" ca="1" si="936"/>
        <v>0</v>
      </c>
      <c r="HR206" s="388">
        <f t="shared" ca="1" si="936"/>
        <v>0</v>
      </c>
      <c r="HS206" s="388">
        <f t="shared" ca="1" si="936"/>
        <v>0</v>
      </c>
      <c r="HT206" s="388">
        <f t="shared" ca="1" si="936"/>
        <v>0</v>
      </c>
      <c r="HU206" s="388">
        <f t="shared" ca="1" si="936"/>
        <v>0</v>
      </c>
      <c r="HV206" s="388">
        <f t="shared" ca="1" si="936"/>
        <v>0</v>
      </c>
      <c r="HW206" s="388">
        <f t="shared" ca="1" si="936"/>
        <v>0</v>
      </c>
      <c r="HX206" s="388">
        <f t="shared" ca="1" si="936"/>
        <v>0</v>
      </c>
      <c r="HY206" s="388">
        <f t="shared" ca="1" si="936"/>
        <v>0</v>
      </c>
      <c r="HZ206" s="388">
        <f t="shared" ca="1" si="936"/>
        <v>0</v>
      </c>
      <c r="IA206" s="388">
        <f t="shared" ca="1" si="936"/>
        <v>0</v>
      </c>
      <c r="IB206" s="388">
        <f t="shared" ca="1" si="936"/>
        <v>0</v>
      </c>
      <c r="IC206" s="388">
        <f t="shared" ca="1" si="936"/>
        <v>0</v>
      </c>
      <c r="ID206" s="388">
        <f t="shared" ca="1" si="936"/>
        <v>0</v>
      </c>
      <c r="IE206" s="388">
        <f t="shared" ca="1" si="936"/>
        <v>0</v>
      </c>
      <c r="IF206" s="388">
        <f t="shared" ca="1" si="936"/>
        <v>0</v>
      </c>
      <c r="IG206" s="388">
        <f t="shared" ca="1" si="936"/>
        <v>0</v>
      </c>
      <c r="IH206" s="388">
        <f t="shared" ca="1" si="936"/>
        <v>0</v>
      </c>
      <c r="II206" s="388">
        <f t="shared" ca="1" si="936"/>
        <v>0</v>
      </c>
      <c r="IJ206" s="388">
        <f t="shared" ca="1" si="936"/>
        <v>0</v>
      </c>
      <c r="IK206" s="388">
        <f t="shared" ca="1" si="936"/>
        <v>0</v>
      </c>
      <c r="IL206" s="388">
        <f t="shared" ca="1" si="936"/>
        <v>0</v>
      </c>
      <c r="IM206" s="388">
        <f t="shared" ca="1" si="936"/>
        <v>0</v>
      </c>
      <c r="IN206" s="388">
        <f t="shared" ca="1" si="936"/>
        <v>0</v>
      </c>
      <c r="IO206" s="388">
        <f t="shared" ca="1" si="936"/>
        <v>0</v>
      </c>
      <c r="IP206" s="388">
        <f t="shared" ca="1" si="936"/>
        <v>0</v>
      </c>
      <c r="IQ206" s="388">
        <f t="shared" ca="1" si="936"/>
        <v>0</v>
      </c>
      <c r="IR206" s="388">
        <f t="shared" ca="1" si="936"/>
        <v>0</v>
      </c>
      <c r="IS206" s="388">
        <f t="shared" ref="IS206:JX206" ca="1" si="937">(IS$201&lt;=Timing_Reversion_Month)*(IS202+IS203+IS204-IS205)</f>
        <v>0</v>
      </c>
      <c r="IT206" s="388">
        <f t="shared" ca="1" si="937"/>
        <v>0</v>
      </c>
      <c r="IU206" s="388">
        <f t="shared" ca="1" si="937"/>
        <v>0</v>
      </c>
      <c r="IV206" s="388">
        <f t="shared" ca="1" si="937"/>
        <v>0</v>
      </c>
      <c r="IW206" s="388">
        <f t="shared" ca="1" si="937"/>
        <v>0</v>
      </c>
      <c r="IX206" s="388">
        <f t="shared" ca="1" si="937"/>
        <v>0</v>
      </c>
      <c r="IY206" s="388">
        <f t="shared" ca="1" si="937"/>
        <v>0</v>
      </c>
      <c r="IZ206" s="388">
        <f t="shared" ca="1" si="937"/>
        <v>0</v>
      </c>
      <c r="JA206" s="388">
        <f t="shared" ca="1" si="937"/>
        <v>0</v>
      </c>
      <c r="JB206" s="388">
        <f t="shared" ca="1" si="937"/>
        <v>0</v>
      </c>
      <c r="JC206" s="388">
        <f t="shared" ca="1" si="937"/>
        <v>0</v>
      </c>
      <c r="JD206" s="388">
        <f t="shared" ca="1" si="937"/>
        <v>0</v>
      </c>
      <c r="JE206" s="388">
        <f t="shared" ca="1" si="937"/>
        <v>0</v>
      </c>
      <c r="JF206" s="388">
        <f t="shared" ca="1" si="937"/>
        <v>0</v>
      </c>
      <c r="JG206" s="388">
        <f t="shared" ca="1" si="937"/>
        <v>0</v>
      </c>
      <c r="JH206" s="388">
        <f t="shared" ca="1" si="937"/>
        <v>0</v>
      </c>
      <c r="JI206" s="388">
        <f t="shared" ca="1" si="937"/>
        <v>0</v>
      </c>
      <c r="JJ206" s="388">
        <f t="shared" ca="1" si="937"/>
        <v>0</v>
      </c>
      <c r="JK206" s="388">
        <f t="shared" ca="1" si="937"/>
        <v>0</v>
      </c>
      <c r="JL206" s="388">
        <f t="shared" ca="1" si="937"/>
        <v>0</v>
      </c>
      <c r="JM206" s="388">
        <f t="shared" ca="1" si="937"/>
        <v>0</v>
      </c>
      <c r="JN206" s="388">
        <f t="shared" ca="1" si="937"/>
        <v>0</v>
      </c>
      <c r="JO206" s="388">
        <f t="shared" ca="1" si="937"/>
        <v>0</v>
      </c>
      <c r="JP206" s="388">
        <f t="shared" ca="1" si="937"/>
        <v>0</v>
      </c>
      <c r="JQ206" s="388">
        <f t="shared" ca="1" si="937"/>
        <v>0</v>
      </c>
      <c r="JR206" s="388">
        <f t="shared" ca="1" si="937"/>
        <v>0</v>
      </c>
      <c r="JS206" s="388">
        <f t="shared" ca="1" si="937"/>
        <v>0</v>
      </c>
      <c r="JT206" s="388">
        <f t="shared" ca="1" si="937"/>
        <v>0</v>
      </c>
      <c r="JU206" s="388">
        <f t="shared" ca="1" si="937"/>
        <v>0</v>
      </c>
      <c r="JV206" s="388">
        <f t="shared" ca="1" si="937"/>
        <v>0</v>
      </c>
      <c r="JW206" s="388">
        <f t="shared" ca="1" si="937"/>
        <v>0</v>
      </c>
      <c r="JX206" s="388">
        <f t="shared" ca="1" si="937"/>
        <v>0</v>
      </c>
      <c r="JY206" s="388">
        <f t="shared" ref="JY206:KC206" ca="1" si="938">(JY$201&lt;=Timing_Reversion_Month)*(JY202+JY203+JY204-JY205)</f>
        <v>0</v>
      </c>
      <c r="JZ206" s="388">
        <f t="shared" ca="1" si="938"/>
        <v>0</v>
      </c>
      <c r="KA206" s="388">
        <f t="shared" ca="1" si="938"/>
        <v>0</v>
      </c>
      <c r="KB206" s="388">
        <f t="shared" ca="1" si="938"/>
        <v>0</v>
      </c>
      <c r="KC206" s="388">
        <f t="shared" ca="1" si="938"/>
        <v>0</v>
      </c>
    </row>
    <row r="207" spans="1:289" ht="14.25" customHeight="1" x14ac:dyDescent="0.25">
      <c r="B207" s="180" t="s">
        <v>582</v>
      </c>
      <c r="C207" s="196"/>
      <c r="D207" s="196"/>
      <c r="E207" s="196"/>
      <c r="F207" s="196"/>
      <c r="G207" s="196"/>
      <c r="H207" s="218"/>
      <c r="I207" s="218">
        <f ca="1">SUM(Q207:ES207)</f>
        <v>360071.06930370495</v>
      </c>
      <c r="Q207" s="389">
        <f t="shared" ref="Q207:AV207" si="939">IF(Q198="","",Q142)</f>
        <v>0</v>
      </c>
      <c r="R207" s="389">
        <f t="shared" ca="1" si="939"/>
        <v>0</v>
      </c>
      <c r="S207" s="389">
        <f t="shared" ca="1" si="939"/>
        <v>0</v>
      </c>
      <c r="T207" s="389">
        <f t="shared" ca="1" si="939"/>
        <v>0</v>
      </c>
      <c r="U207" s="389">
        <f t="shared" ca="1" si="939"/>
        <v>0</v>
      </c>
      <c r="V207" s="389">
        <f t="shared" ca="1" si="939"/>
        <v>0</v>
      </c>
      <c r="W207" s="389">
        <f t="shared" ca="1" si="939"/>
        <v>0</v>
      </c>
      <c r="X207" s="389">
        <f t="shared" ca="1" si="939"/>
        <v>0</v>
      </c>
      <c r="Y207" s="389">
        <f t="shared" ca="1" si="939"/>
        <v>0</v>
      </c>
      <c r="Z207" s="389">
        <f t="shared" ca="1" si="939"/>
        <v>0</v>
      </c>
      <c r="AA207" s="389">
        <f t="shared" ca="1" si="939"/>
        <v>0</v>
      </c>
      <c r="AB207" s="389">
        <f t="shared" ca="1" si="939"/>
        <v>0</v>
      </c>
      <c r="AC207" s="389">
        <f t="shared" ca="1" si="939"/>
        <v>0</v>
      </c>
      <c r="AD207" s="389">
        <f t="shared" ca="1" si="939"/>
        <v>0</v>
      </c>
      <c r="AE207" s="389">
        <f t="shared" ca="1" si="939"/>
        <v>0</v>
      </c>
      <c r="AF207" s="389">
        <f t="shared" ca="1" si="939"/>
        <v>16366.86678653204</v>
      </c>
      <c r="AG207" s="389">
        <f t="shared" ca="1" si="939"/>
        <v>16366.86678653204</v>
      </c>
      <c r="AH207" s="389">
        <f t="shared" ca="1" si="939"/>
        <v>16366.86678653204</v>
      </c>
      <c r="AI207" s="389">
        <f t="shared" ca="1" si="939"/>
        <v>16366.86678653204</v>
      </c>
      <c r="AJ207" s="389">
        <f t="shared" ca="1" si="939"/>
        <v>16366.86678653204</v>
      </c>
      <c r="AK207" s="389">
        <f t="shared" ca="1" si="939"/>
        <v>16366.86678653204</v>
      </c>
      <c r="AL207" s="389">
        <f t="shared" ca="1" si="939"/>
        <v>16366.86678653204</v>
      </c>
      <c r="AM207" s="389">
        <f t="shared" ca="1" si="939"/>
        <v>16366.86678653204</v>
      </c>
      <c r="AN207" s="389">
        <f t="shared" ca="1" si="939"/>
        <v>16366.86678653204</v>
      </c>
      <c r="AO207" s="389">
        <f t="shared" ca="1" si="939"/>
        <v>16366.86678653204</v>
      </c>
      <c r="AP207" s="389">
        <f t="shared" ca="1" si="939"/>
        <v>16366.86678653204</v>
      </c>
      <c r="AQ207" s="389">
        <f t="shared" ca="1" si="939"/>
        <v>16366.86678653204</v>
      </c>
      <c r="AR207" s="389">
        <f t="shared" ca="1" si="939"/>
        <v>16366.86678653204</v>
      </c>
      <c r="AS207" s="389">
        <f t="shared" ca="1" si="939"/>
        <v>16366.86678653204</v>
      </c>
      <c r="AT207" s="389">
        <f t="shared" ca="1" si="939"/>
        <v>16366.86678653204</v>
      </c>
      <c r="AU207" s="389">
        <f t="shared" ca="1" si="939"/>
        <v>16366.86678653204</v>
      </c>
      <c r="AV207" s="389">
        <f t="shared" ca="1" si="939"/>
        <v>16366.86678653204</v>
      </c>
      <c r="AW207" s="389">
        <f t="shared" ref="AW207:CB207" ca="1" si="940">IF(AW198="","",AW142)</f>
        <v>16366.86678653204</v>
      </c>
      <c r="AX207" s="389">
        <f t="shared" ca="1" si="940"/>
        <v>16366.86678653204</v>
      </c>
      <c r="AY207" s="389">
        <f t="shared" ca="1" si="940"/>
        <v>16366.86678653204</v>
      </c>
      <c r="AZ207" s="389">
        <f t="shared" ca="1" si="940"/>
        <v>16366.86678653204</v>
      </c>
      <c r="BA207" s="389">
        <f t="shared" ca="1" si="940"/>
        <v>16366.86678653204</v>
      </c>
      <c r="BB207" s="389" t="str">
        <f t="shared" si="940"/>
        <v/>
      </c>
      <c r="BC207" s="389" t="str">
        <f t="shared" si="940"/>
        <v/>
      </c>
      <c r="BD207" s="389" t="str">
        <f t="shared" si="940"/>
        <v/>
      </c>
      <c r="BE207" s="389" t="str">
        <f t="shared" si="940"/>
        <v/>
      </c>
      <c r="BF207" s="389" t="str">
        <f t="shared" si="940"/>
        <v/>
      </c>
      <c r="BG207" s="389" t="str">
        <f t="shared" si="940"/>
        <v/>
      </c>
      <c r="BH207" s="389" t="str">
        <f t="shared" si="940"/>
        <v/>
      </c>
      <c r="BI207" s="389" t="str">
        <f t="shared" si="940"/>
        <v/>
      </c>
      <c r="BJ207" s="389" t="str">
        <f t="shared" si="940"/>
        <v/>
      </c>
      <c r="BK207" s="389" t="str">
        <f t="shared" si="940"/>
        <v/>
      </c>
      <c r="BL207" s="389" t="str">
        <f t="shared" si="940"/>
        <v/>
      </c>
      <c r="BM207" s="389" t="str">
        <f t="shared" si="940"/>
        <v/>
      </c>
      <c r="BN207" s="389" t="str">
        <f t="shared" si="940"/>
        <v/>
      </c>
      <c r="BO207" s="389" t="str">
        <f t="shared" si="940"/>
        <v/>
      </c>
      <c r="BP207" s="389" t="str">
        <f t="shared" si="940"/>
        <v/>
      </c>
      <c r="BQ207" s="389" t="str">
        <f t="shared" si="940"/>
        <v/>
      </c>
      <c r="BR207" s="389" t="str">
        <f t="shared" si="940"/>
        <v/>
      </c>
      <c r="BS207" s="389" t="str">
        <f t="shared" si="940"/>
        <v/>
      </c>
      <c r="BT207" s="389" t="str">
        <f t="shared" si="940"/>
        <v/>
      </c>
      <c r="BU207" s="389" t="str">
        <f t="shared" si="940"/>
        <v/>
      </c>
      <c r="BV207" s="389" t="str">
        <f t="shared" si="940"/>
        <v/>
      </c>
      <c r="BW207" s="389" t="str">
        <f t="shared" si="940"/>
        <v/>
      </c>
      <c r="BX207" s="389" t="str">
        <f t="shared" si="940"/>
        <v/>
      </c>
      <c r="BY207" s="389" t="str">
        <f t="shared" si="940"/>
        <v/>
      </c>
      <c r="BZ207" s="389" t="str">
        <f t="shared" si="940"/>
        <v/>
      </c>
      <c r="CA207" s="389" t="str">
        <f t="shared" si="940"/>
        <v/>
      </c>
      <c r="CB207" s="389" t="str">
        <f t="shared" si="940"/>
        <v/>
      </c>
      <c r="CC207" s="389" t="str">
        <f t="shared" ref="CC207:DH207" si="941">IF(CC198="","",CC142)</f>
        <v/>
      </c>
      <c r="CD207" s="389" t="str">
        <f t="shared" si="941"/>
        <v/>
      </c>
      <c r="CE207" s="389" t="str">
        <f t="shared" si="941"/>
        <v/>
      </c>
      <c r="CF207" s="389" t="str">
        <f t="shared" si="941"/>
        <v/>
      </c>
      <c r="CG207" s="389" t="str">
        <f t="shared" si="941"/>
        <v/>
      </c>
      <c r="CH207" s="389" t="str">
        <f t="shared" si="941"/>
        <v/>
      </c>
      <c r="CI207" s="389" t="str">
        <f t="shared" si="941"/>
        <v/>
      </c>
      <c r="CJ207" s="389" t="str">
        <f t="shared" si="941"/>
        <v/>
      </c>
      <c r="CK207" s="389" t="str">
        <f t="shared" si="941"/>
        <v/>
      </c>
      <c r="CL207" s="389" t="str">
        <f t="shared" si="941"/>
        <v/>
      </c>
      <c r="CM207" s="389" t="str">
        <f t="shared" si="941"/>
        <v/>
      </c>
      <c r="CN207" s="389" t="str">
        <f t="shared" si="941"/>
        <v/>
      </c>
      <c r="CO207" s="389" t="str">
        <f t="shared" si="941"/>
        <v/>
      </c>
      <c r="CP207" s="389" t="str">
        <f t="shared" si="941"/>
        <v/>
      </c>
      <c r="CQ207" s="389" t="str">
        <f t="shared" si="941"/>
        <v/>
      </c>
      <c r="CR207" s="389" t="str">
        <f t="shared" si="941"/>
        <v/>
      </c>
      <c r="CS207" s="389" t="str">
        <f t="shared" si="941"/>
        <v/>
      </c>
      <c r="CT207" s="389" t="str">
        <f t="shared" si="941"/>
        <v/>
      </c>
      <c r="CU207" s="389" t="str">
        <f t="shared" si="941"/>
        <v/>
      </c>
      <c r="CV207" s="389" t="str">
        <f t="shared" si="941"/>
        <v/>
      </c>
      <c r="CW207" s="389" t="str">
        <f t="shared" si="941"/>
        <v/>
      </c>
      <c r="CX207" s="389" t="str">
        <f t="shared" si="941"/>
        <v/>
      </c>
      <c r="CY207" s="389" t="str">
        <f t="shared" si="941"/>
        <v/>
      </c>
      <c r="CZ207" s="389" t="str">
        <f t="shared" si="941"/>
        <v/>
      </c>
      <c r="DA207" s="389" t="str">
        <f t="shared" si="941"/>
        <v/>
      </c>
      <c r="DB207" s="389" t="str">
        <f t="shared" si="941"/>
        <v/>
      </c>
      <c r="DC207" s="389" t="str">
        <f t="shared" si="941"/>
        <v/>
      </c>
      <c r="DD207" s="389" t="str">
        <f t="shared" si="941"/>
        <v/>
      </c>
      <c r="DE207" s="389" t="str">
        <f t="shared" si="941"/>
        <v/>
      </c>
      <c r="DF207" s="389" t="str">
        <f t="shared" si="941"/>
        <v/>
      </c>
      <c r="DG207" s="389" t="str">
        <f t="shared" si="941"/>
        <v/>
      </c>
      <c r="DH207" s="389" t="str">
        <f t="shared" si="941"/>
        <v/>
      </c>
      <c r="DI207" s="389" t="str">
        <f t="shared" ref="DI207:ES207" si="942">IF(DI198="","",DI142)</f>
        <v/>
      </c>
      <c r="DJ207" s="389" t="str">
        <f t="shared" si="942"/>
        <v/>
      </c>
      <c r="DK207" s="389" t="str">
        <f t="shared" si="942"/>
        <v/>
      </c>
      <c r="DL207" s="389" t="str">
        <f t="shared" si="942"/>
        <v/>
      </c>
      <c r="DM207" s="389" t="str">
        <f t="shared" si="942"/>
        <v/>
      </c>
      <c r="DN207" s="389" t="str">
        <f t="shared" si="942"/>
        <v/>
      </c>
      <c r="DO207" s="389" t="str">
        <f t="shared" si="942"/>
        <v/>
      </c>
      <c r="DP207" s="389" t="str">
        <f t="shared" si="942"/>
        <v/>
      </c>
      <c r="DQ207" s="389" t="str">
        <f t="shared" si="942"/>
        <v/>
      </c>
      <c r="DR207" s="389" t="str">
        <f t="shared" si="942"/>
        <v/>
      </c>
      <c r="DS207" s="389" t="str">
        <f t="shared" si="942"/>
        <v/>
      </c>
      <c r="DT207" s="389" t="str">
        <f t="shared" si="942"/>
        <v/>
      </c>
      <c r="DU207" s="389" t="str">
        <f t="shared" si="942"/>
        <v/>
      </c>
      <c r="DV207" s="389" t="str">
        <f t="shared" si="942"/>
        <v/>
      </c>
      <c r="DW207" s="389" t="str">
        <f t="shared" si="942"/>
        <v/>
      </c>
      <c r="DX207" s="389" t="str">
        <f t="shared" si="942"/>
        <v/>
      </c>
      <c r="DY207" s="389" t="str">
        <f t="shared" si="942"/>
        <v/>
      </c>
      <c r="DZ207" s="389" t="str">
        <f t="shared" si="942"/>
        <v/>
      </c>
      <c r="EA207" s="389" t="str">
        <f t="shared" si="942"/>
        <v/>
      </c>
      <c r="EB207" s="389" t="str">
        <f t="shared" si="942"/>
        <v/>
      </c>
      <c r="EC207" s="389" t="str">
        <f t="shared" si="942"/>
        <v/>
      </c>
      <c r="ED207" s="389" t="str">
        <f t="shared" si="942"/>
        <v/>
      </c>
      <c r="EE207" s="389" t="str">
        <f t="shared" si="942"/>
        <v/>
      </c>
      <c r="EF207" s="389" t="str">
        <f t="shared" si="942"/>
        <v/>
      </c>
      <c r="EG207" s="389" t="str">
        <f t="shared" si="942"/>
        <v/>
      </c>
      <c r="EH207" s="389" t="str">
        <f t="shared" si="942"/>
        <v/>
      </c>
      <c r="EI207" s="389" t="str">
        <f t="shared" si="942"/>
        <v/>
      </c>
      <c r="EJ207" s="389" t="str">
        <f t="shared" si="942"/>
        <v/>
      </c>
      <c r="EK207" s="389" t="str">
        <f t="shared" si="942"/>
        <v/>
      </c>
      <c r="EL207" s="389" t="str">
        <f t="shared" si="942"/>
        <v/>
      </c>
      <c r="EM207" s="389" t="str">
        <f t="shared" si="942"/>
        <v/>
      </c>
      <c r="EN207" s="389" t="str">
        <f t="shared" si="942"/>
        <v/>
      </c>
      <c r="EO207" s="389" t="str">
        <f t="shared" si="942"/>
        <v/>
      </c>
      <c r="EP207" s="389" t="str">
        <f t="shared" si="942"/>
        <v/>
      </c>
      <c r="EQ207" s="389" t="str">
        <f t="shared" si="942"/>
        <v/>
      </c>
      <c r="ER207" s="389" t="str">
        <f t="shared" si="942"/>
        <v/>
      </c>
      <c r="ES207" s="389" t="str">
        <f t="shared" si="942"/>
        <v/>
      </c>
      <c r="EU207" s="362"/>
      <c r="EV207" s="153"/>
      <c r="EW207" s="153"/>
      <c r="EX207" s="177" t="s">
        <v>354</v>
      </c>
      <c r="EY207" s="390" t="e">
        <f ca="1">XIRR(OFFSET(FA207,,,1,Timing_Reversion_Month+1),OFFSET($FA$23,,,1,Timing_Reversion_Month+1))</f>
        <v>#NUM!</v>
      </c>
      <c r="EZ207" s="177"/>
      <c r="FA207" s="391">
        <f t="shared" ref="FA207:GF207" ca="1" si="943">+-FA204+FA205</f>
        <v>0</v>
      </c>
      <c r="FB207" s="391">
        <f t="shared" ca="1" si="943"/>
        <v>0</v>
      </c>
      <c r="FC207" s="391">
        <f t="shared" ca="1" si="943"/>
        <v>0</v>
      </c>
      <c r="FD207" s="391">
        <f t="shared" ca="1" si="943"/>
        <v>0</v>
      </c>
      <c r="FE207" s="391">
        <f t="shared" ca="1" si="943"/>
        <v>0</v>
      </c>
      <c r="FF207" s="391">
        <f t="shared" ca="1" si="943"/>
        <v>0</v>
      </c>
      <c r="FG207" s="391">
        <f t="shared" ca="1" si="943"/>
        <v>0</v>
      </c>
      <c r="FH207" s="391">
        <f t="shared" ca="1" si="943"/>
        <v>0</v>
      </c>
      <c r="FI207" s="391">
        <f t="shared" ca="1" si="943"/>
        <v>0</v>
      </c>
      <c r="FJ207" s="391">
        <f t="shared" ca="1" si="943"/>
        <v>0</v>
      </c>
      <c r="FK207" s="391">
        <f t="shared" ca="1" si="943"/>
        <v>0</v>
      </c>
      <c r="FL207" s="391">
        <f t="shared" ca="1" si="943"/>
        <v>0</v>
      </c>
      <c r="FM207" s="391">
        <f t="shared" ca="1" si="943"/>
        <v>0</v>
      </c>
      <c r="FN207" s="391">
        <f t="shared" ca="1" si="943"/>
        <v>0</v>
      </c>
      <c r="FO207" s="391">
        <f t="shared" ca="1" si="943"/>
        <v>0</v>
      </c>
      <c r="FP207" s="391">
        <f t="shared" ca="1" si="943"/>
        <v>0</v>
      </c>
      <c r="FQ207" s="391">
        <f t="shared" ca="1" si="943"/>
        <v>0</v>
      </c>
      <c r="FR207" s="391">
        <f t="shared" ca="1" si="943"/>
        <v>0</v>
      </c>
      <c r="FS207" s="391">
        <f t="shared" ca="1" si="943"/>
        <v>0</v>
      </c>
      <c r="FT207" s="391">
        <f t="shared" ca="1" si="943"/>
        <v>0</v>
      </c>
      <c r="FU207" s="391">
        <f t="shared" ca="1" si="943"/>
        <v>0</v>
      </c>
      <c r="FV207" s="391">
        <f t="shared" ca="1" si="943"/>
        <v>0</v>
      </c>
      <c r="FW207" s="391">
        <f t="shared" ca="1" si="943"/>
        <v>0</v>
      </c>
      <c r="FX207" s="391">
        <f t="shared" ca="1" si="943"/>
        <v>0</v>
      </c>
      <c r="FY207" s="391">
        <f t="shared" ca="1" si="943"/>
        <v>0</v>
      </c>
      <c r="FZ207" s="391">
        <f t="shared" ca="1" si="943"/>
        <v>0</v>
      </c>
      <c r="GA207" s="391">
        <f t="shared" ca="1" si="943"/>
        <v>0</v>
      </c>
      <c r="GB207" s="391">
        <f t="shared" ca="1" si="943"/>
        <v>0</v>
      </c>
      <c r="GC207" s="391">
        <f t="shared" ca="1" si="943"/>
        <v>0</v>
      </c>
      <c r="GD207" s="391">
        <f t="shared" ca="1" si="943"/>
        <v>0</v>
      </c>
      <c r="GE207" s="391">
        <f t="shared" ca="1" si="943"/>
        <v>0</v>
      </c>
      <c r="GF207" s="391">
        <f t="shared" ca="1" si="943"/>
        <v>0</v>
      </c>
      <c r="GG207" s="391">
        <f t="shared" ref="GG207:HL207" ca="1" si="944">+-GG204+GG205</f>
        <v>0</v>
      </c>
      <c r="GH207" s="391">
        <f t="shared" ca="1" si="944"/>
        <v>0</v>
      </c>
      <c r="GI207" s="391">
        <f t="shared" ca="1" si="944"/>
        <v>0</v>
      </c>
      <c r="GJ207" s="391">
        <f t="shared" ca="1" si="944"/>
        <v>0</v>
      </c>
      <c r="GK207" s="391">
        <f t="shared" ca="1" si="944"/>
        <v>0</v>
      </c>
      <c r="GL207" s="391">
        <f t="shared" ca="1" si="944"/>
        <v>0</v>
      </c>
      <c r="GM207" s="391">
        <f t="shared" ca="1" si="944"/>
        <v>0</v>
      </c>
      <c r="GN207" s="391">
        <f t="shared" ca="1" si="944"/>
        <v>0</v>
      </c>
      <c r="GO207" s="391">
        <f t="shared" ca="1" si="944"/>
        <v>0</v>
      </c>
      <c r="GP207" s="391">
        <f t="shared" ca="1" si="944"/>
        <v>0</v>
      </c>
      <c r="GQ207" s="391">
        <f t="shared" ca="1" si="944"/>
        <v>0</v>
      </c>
      <c r="GR207" s="391">
        <f t="shared" ca="1" si="944"/>
        <v>0</v>
      </c>
      <c r="GS207" s="391">
        <f t="shared" ca="1" si="944"/>
        <v>0</v>
      </c>
      <c r="GT207" s="391">
        <f t="shared" ca="1" si="944"/>
        <v>0</v>
      </c>
      <c r="GU207" s="391">
        <f t="shared" ca="1" si="944"/>
        <v>0</v>
      </c>
      <c r="GV207" s="391">
        <f t="shared" ca="1" si="944"/>
        <v>0</v>
      </c>
      <c r="GW207" s="391">
        <f t="shared" ca="1" si="944"/>
        <v>0</v>
      </c>
      <c r="GX207" s="391">
        <f t="shared" ca="1" si="944"/>
        <v>0</v>
      </c>
      <c r="GY207" s="391">
        <f t="shared" ca="1" si="944"/>
        <v>0</v>
      </c>
      <c r="GZ207" s="391">
        <f t="shared" ca="1" si="944"/>
        <v>0</v>
      </c>
      <c r="HA207" s="391">
        <f t="shared" ca="1" si="944"/>
        <v>0</v>
      </c>
      <c r="HB207" s="391">
        <f t="shared" ca="1" si="944"/>
        <v>0</v>
      </c>
      <c r="HC207" s="391">
        <f t="shared" ca="1" si="944"/>
        <v>0</v>
      </c>
      <c r="HD207" s="391">
        <f t="shared" ca="1" si="944"/>
        <v>0</v>
      </c>
      <c r="HE207" s="391">
        <f t="shared" ca="1" si="944"/>
        <v>0</v>
      </c>
      <c r="HF207" s="391">
        <f t="shared" ca="1" si="944"/>
        <v>0</v>
      </c>
      <c r="HG207" s="391">
        <f t="shared" ca="1" si="944"/>
        <v>0</v>
      </c>
      <c r="HH207" s="391">
        <f t="shared" ca="1" si="944"/>
        <v>0</v>
      </c>
      <c r="HI207" s="391">
        <f t="shared" ca="1" si="944"/>
        <v>0</v>
      </c>
      <c r="HJ207" s="391">
        <f t="shared" ca="1" si="944"/>
        <v>0</v>
      </c>
      <c r="HK207" s="391">
        <f t="shared" ca="1" si="944"/>
        <v>0</v>
      </c>
      <c r="HL207" s="391">
        <f t="shared" ca="1" si="944"/>
        <v>0</v>
      </c>
      <c r="HM207" s="391">
        <f t="shared" ref="HM207:IR207" ca="1" si="945">+-HM204+HM205</f>
        <v>0</v>
      </c>
      <c r="HN207" s="391">
        <f t="shared" ca="1" si="945"/>
        <v>0</v>
      </c>
      <c r="HO207" s="391">
        <f t="shared" ca="1" si="945"/>
        <v>0</v>
      </c>
      <c r="HP207" s="391">
        <f t="shared" ca="1" si="945"/>
        <v>0</v>
      </c>
      <c r="HQ207" s="391">
        <f t="shared" ca="1" si="945"/>
        <v>0</v>
      </c>
      <c r="HR207" s="391">
        <f t="shared" ca="1" si="945"/>
        <v>0</v>
      </c>
      <c r="HS207" s="391">
        <f t="shared" ca="1" si="945"/>
        <v>0</v>
      </c>
      <c r="HT207" s="391">
        <f t="shared" ca="1" si="945"/>
        <v>0</v>
      </c>
      <c r="HU207" s="391">
        <f t="shared" ca="1" si="945"/>
        <v>0</v>
      </c>
      <c r="HV207" s="391">
        <f t="shared" ca="1" si="945"/>
        <v>0</v>
      </c>
      <c r="HW207" s="391">
        <f t="shared" ca="1" si="945"/>
        <v>0</v>
      </c>
      <c r="HX207" s="391">
        <f t="shared" ca="1" si="945"/>
        <v>0</v>
      </c>
      <c r="HY207" s="391">
        <f t="shared" ca="1" si="945"/>
        <v>0</v>
      </c>
      <c r="HZ207" s="391">
        <f t="shared" ca="1" si="945"/>
        <v>0</v>
      </c>
      <c r="IA207" s="391">
        <f t="shared" ca="1" si="945"/>
        <v>0</v>
      </c>
      <c r="IB207" s="391">
        <f t="shared" ca="1" si="945"/>
        <v>0</v>
      </c>
      <c r="IC207" s="391">
        <f t="shared" ca="1" si="945"/>
        <v>0</v>
      </c>
      <c r="ID207" s="391">
        <f t="shared" ca="1" si="945"/>
        <v>0</v>
      </c>
      <c r="IE207" s="391">
        <f t="shared" ca="1" si="945"/>
        <v>0</v>
      </c>
      <c r="IF207" s="391">
        <f t="shared" ca="1" si="945"/>
        <v>0</v>
      </c>
      <c r="IG207" s="391">
        <f t="shared" ca="1" si="945"/>
        <v>0</v>
      </c>
      <c r="IH207" s="391">
        <f t="shared" ca="1" si="945"/>
        <v>0</v>
      </c>
      <c r="II207" s="391">
        <f t="shared" ca="1" si="945"/>
        <v>0</v>
      </c>
      <c r="IJ207" s="391">
        <f t="shared" ca="1" si="945"/>
        <v>0</v>
      </c>
      <c r="IK207" s="391">
        <f t="shared" ca="1" si="945"/>
        <v>0</v>
      </c>
      <c r="IL207" s="391">
        <f t="shared" ca="1" si="945"/>
        <v>0</v>
      </c>
      <c r="IM207" s="391">
        <f t="shared" ca="1" si="945"/>
        <v>0</v>
      </c>
      <c r="IN207" s="391">
        <f t="shared" ca="1" si="945"/>
        <v>0</v>
      </c>
      <c r="IO207" s="391">
        <f t="shared" ca="1" si="945"/>
        <v>0</v>
      </c>
      <c r="IP207" s="391">
        <f t="shared" ca="1" si="945"/>
        <v>0</v>
      </c>
      <c r="IQ207" s="391">
        <f t="shared" ca="1" si="945"/>
        <v>0</v>
      </c>
      <c r="IR207" s="391">
        <f t="shared" ca="1" si="945"/>
        <v>0</v>
      </c>
      <c r="IS207" s="391">
        <f t="shared" ref="IS207:KC207" ca="1" si="946">+-IS204+IS205</f>
        <v>0</v>
      </c>
      <c r="IT207" s="391">
        <f t="shared" ca="1" si="946"/>
        <v>0</v>
      </c>
      <c r="IU207" s="391">
        <f t="shared" ca="1" si="946"/>
        <v>0</v>
      </c>
      <c r="IV207" s="391">
        <f t="shared" ca="1" si="946"/>
        <v>0</v>
      </c>
      <c r="IW207" s="391">
        <f t="shared" ca="1" si="946"/>
        <v>0</v>
      </c>
      <c r="IX207" s="391">
        <f t="shared" ca="1" si="946"/>
        <v>0</v>
      </c>
      <c r="IY207" s="391">
        <f t="shared" ca="1" si="946"/>
        <v>0</v>
      </c>
      <c r="IZ207" s="391">
        <f t="shared" ca="1" si="946"/>
        <v>0</v>
      </c>
      <c r="JA207" s="391">
        <f t="shared" ca="1" si="946"/>
        <v>0</v>
      </c>
      <c r="JB207" s="391">
        <f t="shared" ca="1" si="946"/>
        <v>0</v>
      </c>
      <c r="JC207" s="391">
        <f t="shared" ca="1" si="946"/>
        <v>0</v>
      </c>
      <c r="JD207" s="391">
        <f t="shared" ca="1" si="946"/>
        <v>0</v>
      </c>
      <c r="JE207" s="391">
        <f t="shared" ca="1" si="946"/>
        <v>0</v>
      </c>
      <c r="JF207" s="391">
        <f t="shared" ca="1" si="946"/>
        <v>0</v>
      </c>
      <c r="JG207" s="391">
        <f t="shared" ca="1" si="946"/>
        <v>0</v>
      </c>
      <c r="JH207" s="391">
        <f t="shared" ca="1" si="946"/>
        <v>0</v>
      </c>
      <c r="JI207" s="391">
        <f t="shared" ca="1" si="946"/>
        <v>0</v>
      </c>
      <c r="JJ207" s="391">
        <f t="shared" ca="1" si="946"/>
        <v>0</v>
      </c>
      <c r="JK207" s="391">
        <f t="shared" ca="1" si="946"/>
        <v>0</v>
      </c>
      <c r="JL207" s="391">
        <f t="shared" ca="1" si="946"/>
        <v>0</v>
      </c>
      <c r="JM207" s="391">
        <f t="shared" ca="1" si="946"/>
        <v>0</v>
      </c>
      <c r="JN207" s="391">
        <f t="shared" ca="1" si="946"/>
        <v>0</v>
      </c>
      <c r="JO207" s="391">
        <f t="shared" ca="1" si="946"/>
        <v>0</v>
      </c>
      <c r="JP207" s="391">
        <f t="shared" ca="1" si="946"/>
        <v>0</v>
      </c>
      <c r="JQ207" s="391">
        <f t="shared" ca="1" si="946"/>
        <v>0</v>
      </c>
      <c r="JR207" s="391">
        <f t="shared" ca="1" si="946"/>
        <v>0</v>
      </c>
      <c r="JS207" s="391">
        <f t="shared" ca="1" si="946"/>
        <v>0</v>
      </c>
      <c r="JT207" s="391">
        <f t="shared" ca="1" si="946"/>
        <v>0</v>
      </c>
      <c r="JU207" s="391">
        <f t="shared" ca="1" si="946"/>
        <v>0</v>
      </c>
      <c r="JV207" s="391">
        <f t="shared" ca="1" si="946"/>
        <v>0</v>
      </c>
      <c r="JW207" s="391">
        <f t="shared" ca="1" si="946"/>
        <v>0</v>
      </c>
      <c r="JX207" s="391">
        <f t="shared" ca="1" si="946"/>
        <v>0</v>
      </c>
      <c r="JY207" s="391">
        <f t="shared" ca="1" si="946"/>
        <v>0</v>
      </c>
      <c r="JZ207" s="391">
        <f t="shared" ca="1" si="946"/>
        <v>0</v>
      </c>
      <c r="KA207" s="391">
        <f t="shared" ca="1" si="946"/>
        <v>0</v>
      </c>
      <c r="KB207" s="391">
        <f t="shared" ca="1" si="946"/>
        <v>0</v>
      </c>
      <c r="KC207" s="391">
        <f t="shared" ca="1" si="946"/>
        <v>0</v>
      </c>
    </row>
    <row r="208" spans="1:289" ht="14.25" customHeight="1" x14ac:dyDescent="0.25">
      <c r="B208" s="180"/>
      <c r="C208" s="196"/>
      <c r="D208" s="196"/>
      <c r="E208" s="196"/>
      <c r="F208" s="196"/>
      <c r="G208" s="196"/>
      <c r="H208" s="196"/>
      <c r="I208" s="196"/>
      <c r="Q208" s="220"/>
      <c r="R208" s="220"/>
      <c r="S208" s="220"/>
      <c r="T208" s="220"/>
      <c r="U208" s="220"/>
      <c r="V208" s="220"/>
      <c r="W208" s="220"/>
      <c r="X208" s="220"/>
      <c r="Y208" s="220"/>
      <c r="Z208" s="220"/>
      <c r="AA208" s="220"/>
      <c r="AB208" s="220"/>
      <c r="AC208" s="220"/>
      <c r="AD208" s="220"/>
      <c r="AE208" s="220"/>
      <c r="AF208" s="220"/>
      <c r="AG208" s="220"/>
      <c r="AH208" s="220"/>
      <c r="AI208" s="220"/>
      <c r="AJ208" s="220"/>
      <c r="AK208" s="220"/>
      <c r="AL208" s="220"/>
      <c r="AM208" s="220"/>
      <c r="AN208" s="220"/>
      <c r="AO208" s="220"/>
      <c r="AP208" s="220"/>
      <c r="AQ208" s="220"/>
      <c r="AR208" s="220"/>
      <c r="AS208" s="220"/>
      <c r="AT208" s="220"/>
      <c r="AU208" s="220"/>
      <c r="AV208" s="220"/>
      <c r="AW208" s="220"/>
      <c r="AX208" s="220"/>
      <c r="AY208" s="220"/>
      <c r="AZ208" s="220"/>
      <c r="BA208" s="220"/>
      <c r="BB208" s="220"/>
      <c r="BC208" s="220"/>
      <c r="BD208" s="220"/>
      <c r="BE208" s="220"/>
      <c r="BF208" s="220"/>
      <c r="BG208" s="220"/>
      <c r="BH208" s="220"/>
      <c r="BI208" s="220"/>
      <c r="BJ208" s="220"/>
      <c r="BK208" s="220"/>
      <c r="BL208" s="220"/>
      <c r="BM208" s="220"/>
      <c r="BN208" s="220"/>
      <c r="BO208" s="220"/>
      <c r="BP208" s="220"/>
      <c r="BQ208" s="220"/>
      <c r="BR208" s="220"/>
      <c r="BS208" s="220"/>
      <c r="BT208" s="220"/>
      <c r="BU208" s="220"/>
      <c r="BV208" s="220"/>
      <c r="BW208" s="220"/>
      <c r="BX208" s="220"/>
      <c r="BY208" s="220"/>
      <c r="BZ208" s="220"/>
      <c r="CA208" s="220"/>
      <c r="CB208" s="220"/>
      <c r="CC208" s="220"/>
      <c r="CD208" s="220"/>
      <c r="CE208" s="220"/>
      <c r="CF208" s="220"/>
      <c r="CG208" s="220"/>
      <c r="CH208" s="220"/>
      <c r="CI208" s="220"/>
      <c r="CJ208" s="220"/>
      <c r="CK208" s="220"/>
      <c r="CL208" s="220"/>
      <c r="CM208" s="220"/>
      <c r="CN208" s="220"/>
      <c r="CO208" s="220"/>
      <c r="CP208" s="220"/>
      <c r="CQ208" s="220"/>
      <c r="CR208" s="220"/>
      <c r="CS208" s="220"/>
      <c r="CT208" s="220"/>
      <c r="CU208" s="220"/>
      <c r="CV208" s="220"/>
      <c r="CW208" s="220"/>
      <c r="CX208" s="220"/>
      <c r="CY208" s="220"/>
      <c r="CZ208" s="220"/>
      <c r="DA208" s="220"/>
      <c r="DB208" s="220"/>
      <c r="DC208" s="220"/>
      <c r="DD208" s="220"/>
      <c r="DE208" s="220"/>
      <c r="DF208" s="220"/>
      <c r="DG208" s="220"/>
      <c r="DH208" s="220"/>
      <c r="DI208" s="220"/>
      <c r="DJ208" s="220"/>
      <c r="DK208" s="220"/>
      <c r="DL208" s="220"/>
      <c r="DM208" s="220"/>
      <c r="DN208" s="220"/>
      <c r="DO208" s="220"/>
      <c r="DP208" s="220"/>
      <c r="DQ208" s="220"/>
      <c r="DR208" s="220"/>
      <c r="DS208" s="220"/>
      <c r="DT208" s="220"/>
      <c r="DU208" s="220"/>
      <c r="DV208" s="220"/>
      <c r="DW208" s="220"/>
      <c r="DX208" s="220"/>
      <c r="DY208" s="220"/>
      <c r="DZ208" s="220"/>
      <c r="EA208" s="220"/>
      <c r="EB208" s="220"/>
      <c r="EC208" s="220"/>
      <c r="ED208" s="220"/>
      <c r="EE208" s="220"/>
      <c r="EF208" s="220"/>
      <c r="EG208" s="220"/>
      <c r="EH208" s="220"/>
      <c r="EI208" s="220"/>
      <c r="EJ208" s="220"/>
      <c r="EK208" s="220"/>
      <c r="EL208" s="220"/>
      <c r="EM208" s="220"/>
      <c r="EN208" s="220"/>
      <c r="EO208" s="220"/>
      <c r="EP208" s="220"/>
      <c r="EQ208" s="220"/>
      <c r="ER208" s="220"/>
      <c r="ES208" s="220"/>
      <c r="EU208" s="202"/>
      <c r="EV208" s="153"/>
      <c r="EW208" s="153"/>
      <c r="EX208" s="153"/>
      <c r="EY208" s="154" t="s">
        <v>610</v>
      </c>
      <c r="EZ208" s="154"/>
      <c r="FA208" s="388">
        <f t="shared" ref="FA208:GF208" si="947">(FA$201&lt;=Timing_Reversion_Month)*EZ212</f>
        <v>0</v>
      </c>
      <c r="FB208" s="388">
        <f t="shared" ca="1" si="947"/>
        <v>822502.85714285716</v>
      </c>
      <c r="FC208" s="388">
        <f t="shared" ca="1" si="947"/>
        <v>845271.80942827126</v>
      </c>
      <c r="FD208" s="388">
        <f t="shared" ca="1" si="947"/>
        <v>903868.87993627484</v>
      </c>
      <c r="FE208" s="388">
        <f t="shared" ca="1" si="947"/>
        <v>1046903.1567306228</v>
      </c>
      <c r="FF208" s="388">
        <f t="shared" ca="1" si="947"/>
        <v>1336885.8195490404</v>
      </c>
      <c r="FG208" s="388">
        <f t="shared" ca="1" si="947"/>
        <v>1651155.5364815963</v>
      </c>
      <c r="FH208" s="388">
        <f t="shared" ca="1" si="947"/>
        <v>1663055.9482782483</v>
      </c>
      <c r="FI208" s="388">
        <f t="shared" ca="1" si="947"/>
        <v>1675042.130190314</v>
      </c>
      <c r="FJ208" s="388">
        <f t="shared" ca="1" si="947"/>
        <v>1687114.7003907459</v>
      </c>
      <c r="FK208" s="388">
        <f t="shared" ca="1" si="947"/>
        <v>1699274.281507869</v>
      </c>
      <c r="FL208" s="388">
        <f t="shared" ca="1" si="947"/>
        <v>1711521.5006574921</v>
      </c>
      <c r="FM208" s="388">
        <f t="shared" ca="1" si="947"/>
        <v>1723856.9894752502</v>
      </c>
      <c r="FN208" s="388">
        <f t="shared" ca="1" si="947"/>
        <v>1736281.3841491805</v>
      </c>
      <c r="FO208" s="388">
        <f t="shared" ca="1" si="947"/>
        <v>1748795.3254525331</v>
      </c>
      <c r="FP208" s="388">
        <f t="shared" ca="1" si="947"/>
        <v>1761399.4587768181</v>
      </c>
      <c r="FQ208" s="388">
        <f t="shared" ca="1" si="947"/>
        <v>1774094.4341650908</v>
      </c>
      <c r="FR208" s="388">
        <f t="shared" ca="1" si="947"/>
        <v>1786880.9063454773</v>
      </c>
      <c r="FS208" s="388">
        <f t="shared" ca="1" si="947"/>
        <v>1799759.5347649406</v>
      </c>
      <c r="FT208" s="388">
        <f t="shared" ca="1" si="947"/>
        <v>1812730.9836232914</v>
      </c>
      <c r="FU208" s="388">
        <f t="shared" ca="1" si="947"/>
        <v>1825795.9219074429</v>
      </c>
      <c r="FV208" s="388">
        <f t="shared" ca="1" si="947"/>
        <v>1838955.0234259136</v>
      </c>
      <c r="FW208" s="388">
        <f t="shared" ca="1" si="947"/>
        <v>1852208.966843578</v>
      </c>
      <c r="FX208" s="388">
        <f t="shared" ca="1" si="947"/>
        <v>1865558.4357166672</v>
      </c>
      <c r="FY208" s="388">
        <f t="shared" ca="1" si="947"/>
        <v>1879004.1185280236</v>
      </c>
      <c r="FZ208" s="388">
        <f t="shared" ca="1" si="947"/>
        <v>1892546.7087226075</v>
      </c>
      <c r="GA208" s="388">
        <f t="shared" ca="1" si="947"/>
        <v>1906186.9047432616</v>
      </c>
      <c r="GB208" s="388">
        <f t="shared" ca="1" si="947"/>
        <v>1919925.4100667322</v>
      </c>
      <c r="GC208" s="388">
        <f t="shared" ca="1" si="947"/>
        <v>1933762.9332399494</v>
      </c>
      <c r="GD208" s="388">
        <f t="shared" ca="1" si="947"/>
        <v>1947700.1879165706</v>
      </c>
      <c r="GE208" s="388">
        <f t="shared" ca="1" si="947"/>
        <v>1961737.8928937856</v>
      </c>
      <c r="GF208" s="388">
        <f t="shared" ca="1" si="947"/>
        <v>1975876.772149388</v>
      </c>
      <c r="GG208" s="388">
        <f t="shared" ref="GG208:HL208" ca="1" si="948">(GG$201&lt;=Timing_Reversion_Month)*GF212</f>
        <v>1990117.5548791131</v>
      </c>
      <c r="GH208" s="388">
        <f t="shared" ca="1" si="948"/>
        <v>2004460.9755342463</v>
      </c>
      <c r="GI208" s="388">
        <f t="shared" ca="1" si="948"/>
        <v>2018907.7738595004</v>
      </c>
      <c r="GJ208" s="388">
        <f t="shared" ca="1" si="948"/>
        <v>2033458.6949311676</v>
      </c>
      <c r="GK208" s="388">
        <f t="shared" ca="1" si="948"/>
        <v>2048114.4891955459</v>
      </c>
      <c r="GL208" s="388">
        <f t="shared" ca="1" si="948"/>
        <v>0</v>
      </c>
      <c r="GM208" s="388">
        <f t="shared" ca="1" si="948"/>
        <v>0</v>
      </c>
      <c r="GN208" s="388">
        <f t="shared" ca="1" si="948"/>
        <v>0</v>
      </c>
      <c r="GO208" s="388">
        <f t="shared" ca="1" si="948"/>
        <v>0</v>
      </c>
      <c r="GP208" s="388">
        <f t="shared" ca="1" si="948"/>
        <v>0</v>
      </c>
      <c r="GQ208" s="388">
        <f t="shared" ca="1" si="948"/>
        <v>0</v>
      </c>
      <c r="GR208" s="388">
        <f t="shared" ca="1" si="948"/>
        <v>0</v>
      </c>
      <c r="GS208" s="388">
        <f t="shared" ca="1" si="948"/>
        <v>0</v>
      </c>
      <c r="GT208" s="388">
        <f t="shared" ca="1" si="948"/>
        <v>0</v>
      </c>
      <c r="GU208" s="388">
        <f t="shared" ca="1" si="948"/>
        <v>0</v>
      </c>
      <c r="GV208" s="388">
        <f t="shared" ca="1" si="948"/>
        <v>0</v>
      </c>
      <c r="GW208" s="388">
        <f t="shared" ca="1" si="948"/>
        <v>0</v>
      </c>
      <c r="GX208" s="388">
        <f t="shared" ca="1" si="948"/>
        <v>0</v>
      </c>
      <c r="GY208" s="388">
        <f t="shared" ca="1" si="948"/>
        <v>0</v>
      </c>
      <c r="GZ208" s="388">
        <f t="shared" ca="1" si="948"/>
        <v>0</v>
      </c>
      <c r="HA208" s="388">
        <f t="shared" ca="1" si="948"/>
        <v>0</v>
      </c>
      <c r="HB208" s="388">
        <f t="shared" ca="1" si="948"/>
        <v>0</v>
      </c>
      <c r="HC208" s="388">
        <f t="shared" ca="1" si="948"/>
        <v>0</v>
      </c>
      <c r="HD208" s="388">
        <f t="shared" ca="1" si="948"/>
        <v>0</v>
      </c>
      <c r="HE208" s="388">
        <f t="shared" ca="1" si="948"/>
        <v>0</v>
      </c>
      <c r="HF208" s="388">
        <f t="shared" ca="1" si="948"/>
        <v>0</v>
      </c>
      <c r="HG208" s="388">
        <f t="shared" ca="1" si="948"/>
        <v>0</v>
      </c>
      <c r="HH208" s="388">
        <f t="shared" ca="1" si="948"/>
        <v>0</v>
      </c>
      <c r="HI208" s="388">
        <f t="shared" ca="1" si="948"/>
        <v>0</v>
      </c>
      <c r="HJ208" s="388">
        <f t="shared" ca="1" si="948"/>
        <v>0</v>
      </c>
      <c r="HK208" s="388">
        <f t="shared" ca="1" si="948"/>
        <v>0</v>
      </c>
      <c r="HL208" s="388">
        <f t="shared" ca="1" si="948"/>
        <v>0</v>
      </c>
      <c r="HM208" s="388">
        <f t="shared" ref="HM208:IR208" ca="1" si="949">(HM$201&lt;=Timing_Reversion_Month)*HL212</f>
        <v>0</v>
      </c>
      <c r="HN208" s="388">
        <f t="shared" ca="1" si="949"/>
        <v>0</v>
      </c>
      <c r="HO208" s="388">
        <f t="shared" ca="1" si="949"/>
        <v>0</v>
      </c>
      <c r="HP208" s="388">
        <f t="shared" ca="1" si="949"/>
        <v>0</v>
      </c>
      <c r="HQ208" s="388">
        <f t="shared" ca="1" si="949"/>
        <v>0</v>
      </c>
      <c r="HR208" s="388">
        <f t="shared" ca="1" si="949"/>
        <v>0</v>
      </c>
      <c r="HS208" s="388">
        <f t="shared" ca="1" si="949"/>
        <v>0</v>
      </c>
      <c r="HT208" s="388">
        <f t="shared" ca="1" si="949"/>
        <v>0</v>
      </c>
      <c r="HU208" s="388">
        <f t="shared" ca="1" si="949"/>
        <v>0</v>
      </c>
      <c r="HV208" s="388">
        <f t="shared" ca="1" si="949"/>
        <v>0</v>
      </c>
      <c r="HW208" s="388">
        <f t="shared" ca="1" si="949"/>
        <v>0</v>
      </c>
      <c r="HX208" s="388">
        <f t="shared" ca="1" si="949"/>
        <v>0</v>
      </c>
      <c r="HY208" s="388">
        <f t="shared" ca="1" si="949"/>
        <v>0</v>
      </c>
      <c r="HZ208" s="388">
        <f t="shared" ca="1" si="949"/>
        <v>0</v>
      </c>
      <c r="IA208" s="388">
        <f t="shared" ca="1" si="949"/>
        <v>0</v>
      </c>
      <c r="IB208" s="388">
        <f t="shared" ca="1" si="949"/>
        <v>0</v>
      </c>
      <c r="IC208" s="388">
        <f t="shared" ca="1" si="949"/>
        <v>0</v>
      </c>
      <c r="ID208" s="388">
        <f t="shared" ca="1" si="949"/>
        <v>0</v>
      </c>
      <c r="IE208" s="388">
        <f t="shared" ca="1" si="949"/>
        <v>0</v>
      </c>
      <c r="IF208" s="388">
        <f t="shared" ca="1" si="949"/>
        <v>0</v>
      </c>
      <c r="IG208" s="388">
        <f t="shared" ca="1" si="949"/>
        <v>0</v>
      </c>
      <c r="IH208" s="388">
        <f t="shared" ca="1" si="949"/>
        <v>0</v>
      </c>
      <c r="II208" s="388">
        <f t="shared" ca="1" si="949"/>
        <v>0</v>
      </c>
      <c r="IJ208" s="388">
        <f t="shared" ca="1" si="949"/>
        <v>0</v>
      </c>
      <c r="IK208" s="388">
        <f t="shared" ca="1" si="949"/>
        <v>0</v>
      </c>
      <c r="IL208" s="388">
        <f t="shared" ca="1" si="949"/>
        <v>0</v>
      </c>
      <c r="IM208" s="388">
        <f t="shared" ca="1" si="949"/>
        <v>0</v>
      </c>
      <c r="IN208" s="388">
        <f t="shared" ca="1" si="949"/>
        <v>0</v>
      </c>
      <c r="IO208" s="388">
        <f t="shared" ca="1" si="949"/>
        <v>0</v>
      </c>
      <c r="IP208" s="388">
        <f t="shared" ca="1" si="949"/>
        <v>0</v>
      </c>
      <c r="IQ208" s="388">
        <f t="shared" ca="1" si="949"/>
        <v>0</v>
      </c>
      <c r="IR208" s="388">
        <f t="shared" ca="1" si="949"/>
        <v>0</v>
      </c>
      <c r="IS208" s="388">
        <f t="shared" ref="IS208:KC208" ca="1" si="950">(IS$201&lt;=Timing_Reversion_Month)*IR212</f>
        <v>0</v>
      </c>
      <c r="IT208" s="388">
        <f t="shared" ca="1" si="950"/>
        <v>0</v>
      </c>
      <c r="IU208" s="388">
        <f t="shared" ca="1" si="950"/>
        <v>0</v>
      </c>
      <c r="IV208" s="388">
        <f t="shared" ca="1" si="950"/>
        <v>0</v>
      </c>
      <c r="IW208" s="388">
        <f t="shared" ca="1" si="950"/>
        <v>0</v>
      </c>
      <c r="IX208" s="388">
        <f t="shared" ca="1" si="950"/>
        <v>0</v>
      </c>
      <c r="IY208" s="388">
        <f t="shared" ca="1" si="950"/>
        <v>0</v>
      </c>
      <c r="IZ208" s="388">
        <f t="shared" ca="1" si="950"/>
        <v>0</v>
      </c>
      <c r="JA208" s="388">
        <f t="shared" ca="1" si="950"/>
        <v>0</v>
      </c>
      <c r="JB208" s="388">
        <f t="shared" ca="1" si="950"/>
        <v>0</v>
      </c>
      <c r="JC208" s="388">
        <f t="shared" ca="1" si="950"/>
        <v>0</v>
      </c>
      <c r="JD208" s="388">
        <f t="shared" ca="1" si="950"/>
        <v>0</v>
      </c>
      <c r="JE208" s="388">
        <f t="shared" ca="1" si="950"/>
        <v>0</v>
      </c>
      <c r="JF208" s="388">
        <f t="shared" ca="1" si="950"/>
        <v>0</v>
      </c>
      <c r="JG208" s="388">
        <f t="shared" ca="1" si="950"/>
        <v>0</v>
      </c>
      <c r="JH208" s="388">
        <f t="shared" ca="1" si="950"/>
        <v>0</v>
      </c>
      <c r="JI208" s="388">
        <f t="shared" ca="1" si="950"/>
        <v>0</v>
      </c>
      <c r="JJ208" s="388">
        <f t="shared" ca="1" si="950"/>
        <v>0</v>
      </c>
      <c r="JK208" s="388">
        <f t="shared" ca="1" si="950"/>
        <v>0</v>
      </c>
      <c r="JL208" s="388">
        <f t="shared" ca="1" si="950"/>
        <v>0</v>
      </c>
      <c r="JM208" s="388">
        <f t="shared" ca="1" si="950"/>
        <v>0</v>
      </c>
      <c r="JN208" s="388">
        <f t="shared" ca="1" si="950"/>
        <v>0</v>
      </c>
      <c r="JO208" s="388">
        <f t="shared" ca="1" si="950"/>
        <v>0</v>
      </c>
      <c r="JP208" s="388">
        <f t="shared" ca="1" si="950"/>
        <v>0</v>
      </c>
      <c r="JQ208" s="388">
        <f t="shared" ca="1" si="950"/>
        <v>0</v>
      </c>
      <c r="JR208" s="388">
        <f t="shared" ca="1" si="950"/>
        <v>0</v>
      </c>
      <c r="JS208" s="388">
        <f t="shared" ca="1" si="950"/>
        <v>0</v>
      </c>
      <c r="JT208" s="388">
        <f t="shared" ca="1" si="950"/>
        <v>0</v>
      </c>
      <c r="JU208" s="388">
        <f t="shared" ca="1" si="950"/>
        <v>0</v>
      </c>
      <c r="JV208" s="388">
        <f t="shared" ca="1" si="950"/>
        <v>0</v>
      </c>
      <c r="JW208" s="388">
        <f t="shared" ca="1" si="950"/>
        <v>0</v>
      </c>
      <c r="JX208" s="388">
        <f t="shared" ca="1" si="950"/>
        <v>0</v>
      </c>
      <c r="JY208" s="388">
        <f t="shared" ca="1" si="950"/>
        <v>0</v>
      </c>
      <c r="JZ208" s="388">
        <f t="shared" ca="1" si="950"/>
        <v>0</v>
      </c>
      <c r="KA208" s="388">
        <f t="shared" ca="1" si="950"/>
        <v>0</v>
      </c>
      <c r="KB208" s="388">
        <f t="shared" ca="1" si="950"/>
        <v>0</v>
      </c>
      <c r="KC208" s="388">
        <f t="shared" ca="1" si="950"/>
        <v>0</v>
      </c>
    </row>
    <row r="209" spans="1:289" ht="14.25" customHeight="1" x14ac:dyDescent="0.25">
      <c r="B209" s="180" t="s">
        <v>182</v>
      </c>
      <c r="C209" s="196"/>
      <c r="D209" s="196"/>
      <c r="E209" s="196"/>
      <c r="F209" s="196"/>
      <c r="G209" s="196"/>
      <c r="H209" s="218"/>
      <c r="I209" s="218">
        <f t="shared" ref="I209:I211" ca="1" si="951">SUM(Q209:ER209)</f>
        <v>4238423.9970223606</v>
      </c>
      <c r="Q209" s="220">
        <f t="shared" ref="Q209:AV209" ca="1" si="952">IF(Q198="","",(Q198=Timing_Reversion_Month)*$E$193)</f>
        <v>0</v>
      </c>
      <c r="R209" s="220">
        <f t="shared" ca="1" si="952"/>
        <v>0</v>
      </c>
      <c r="S209" s="220">
        <f t="shared" ca="1" si="952"/>
        <v>0</v>
      </c>
      <c r="T209" s="220">
        <f t="shared" ca="1" si="952"/>
        <v>0</v>
      </c>
      <c r="U209" s="220">
        <f t="shared" ca="1" si="952"/>
        <v>0</v>
      </c>
      <c r="V209" s="220">
        <f t="shared" ca="1" si="952"/>
        <v>0</v>
      </c>
      <c r="W209" s="220">
        <f t="shared" ca="1" si="952"/>
        <v>0</v>
      </c>
      <c r="X209" s="220">
        <f t="shared" ca="1" si="952"/>
        <v>0</v>
      </c>
      <c r="Y209" s="220">
        <f t="shared" ca="1" si="952"/>
        <v>0</v>
      </c>
      <c r="Z209" s="220">
        <f t="shared" ca="1" si="952"/>
        <v>0</v>
      </c>
      <c r="AA209" s="220">
        <f t="shared" ca="1" si="952"/>
        <v>0</v>
      </c>
      <c r="AB209" s="220">
        <f t="shared" ca="1" si="952"/>
        <v>0</v>
      </c>
      <c r="AC209" s="220">
        <f t="shared" ca="1" si="952"/>
        <v>0</v>
      </c>
      <c r="AD209" s="220">
        <f t="shared" ca="1" si="952"/>
        <v>0</v>
      </c>
      <c r="AE209" s="220">
        <f t="shared" ca="1" si="952"/>
        <v>0</v>
      </c>
      <c r="AF209" s="220">
        <f t="shared" ca="1" si="952"/>
        <v>0</v>
      </c>
      <c r="AG209" s="220">
        <f t="shared" ca="1" si="952"/>
        <v>0</v>
      </c>
      <c r="AH209" s="220">
        <f t="shared" ca="1" si="952"/>
        <v>0</v>
      </c>
      <c r="AI209" s="220">
        <f t="shared" ca="1" si="952"/>
        <v>0</v>
      </c>
      <c r="AJ209" s="220">
        <f t="shared" ca="1" si="952"/>
        <v>0</v>
      </c>
      <c r="AK209" s="220">
        <f t="shared" ca="1" si="952"/>
        <v>0</v>
      </c>
      <c r="AL209" s="220">
        <f t="shared" ca="1" si="952"/>
        <v>0</v>
      </c>
      <c r="AM209" s="220">
        <f t="shared" ca="1" si="952"/>
        <v>0</v>
      </c>
      <c r="AN209" s="220">
        <f t="shared" ca="1" si="952"/>
        <v>0</v>
      </c>
      <c r="AO209" s="220">
        <f t="shared" ca="1" si="952"/>
        <v>0</v>
      </c>
      <c r="AP209" s="220">
        <f t="shared" ca="1" si="952"/>
        <v>0</v>
      </c>
      <c r="AQ209" s="220">
        <f t="shared" ca="1" si="952"/>
        <v>0</v>
      </c>
      <c r="AR209" s="220">
        <f t="shared" ca="1" si="952"/>
        <v>0</v>
      </c>
      <c r="AS209" s="220">
        <f t="shared" ca="1" si="952"/>
        <v>0</v>
      </c>
      <c r="AT209" s="220">
        <f t="shared" ca="1" si="952"/>
        <v>0</v>
      </c>
      <c r="AU209" s="220">
        <f t="shared" ca="1" si="952"/>
        <v>0</v>
      </c>
      <c r="AV209" s="220">
        <f t="shared" ca="1" si="952"/>
        <v>0</v>
      </c>
      <c r="AW209" s="220">
        <f t="shared" ref="AW209:CB209" ca="1" si="953">IF(AW198="","",(AW198=Timing_Reversion_Month)*$E$193)</f>
        <v>0</v>
      </c>
      <c r="AX209" s="220">
        <f t="shared" ca="1" si="953"/>
        <v>0</v>
      </c>
      <c r="AY209" s="220">
        <f t="shared" ca="1" si="953"/>
        <v>0</v>
      </c>
      <c r="AZ209" s="220">
        <f t="shared" ca="1" si="953"/>
        <v>0</v>
      </c>
      <c r="BA209" s="220">
        <f t="shared" ca="1" si="953"/>
        <v>4238423.9970223606</v>
      </c>
      <c r="BB209" s="220" t="str">
        <f t="shared" si="953"/>
        <v/>
      </c>
      <c r="BC209" s="220" t="str">
        <f t="shared" si="953"/>
        <v/>
      </c>
      <c r="BD209" s="220" t="str">
        <f t="shared" si="953"/>
        <v/>
      </c>
      <c r="BE209" s="220" t="str">
        <f t="shared" si="953"/>
        <v/>
      </c>
      <c r="BF209" s="220" t="str">
        <f t="shared" si="953"/>
        <v/>
      </c>
      <c r="BG209" s="220" t="str">
        <f t="shared" si="953"/>
        <v/>
      </c>
      <c r="BH209" s="220" t="str">
        <f t="shared" si="953"/>
        <v/>
      </c>
      <c r="BI209" s="220" t="str">
        <f t="shared" si="953"/>
        <v/>
      </c>
      <c r="BJ209" s="220" t="str">
        <f t="shared" si="953"/>
        <v/>
      </c>
      <c r="BK209" s="220" t="str">
        <f t="shared" si="953"/>
        <v/>
      </c>
      <c r="BL209" s="220" t="str">
        <f t="shared" si="953"/>
        <v/>
      </c>
      <c r="BM209" s="220" t="str">
        <f t="shared" si="953"/>
        <v/>
      </c>
      <c r="BN209" s="220" t="str">
        <f t="shared" si="953"/>
        <v/>
      </c>
      <c r="BO209" s="220" t="str">
        <f t="shared" si="953"/>
        <v/>
      </c>
      <c r="BP209" s="220" t="str">
        <f t="shared" si="953"/>
        <v/>
      </c>
      <c r="BQ209" s="220" t="str">
        <f t="shared" si="953"/>
        <v/>
      </c>
      <c r="BR209" s="220" t="str">
        <f t="shared" si="953"/>
        <v/>
      </c>
      <c r="BS209" s="220" t="str">
        <f t="shared" si="953"/>
        <v/>
      </c>
      <c r="BT209" s="220" t="str">
        <f t="shared" si="953"/>
        <v/>
      </c>
      <c r="BU209" s="220" t="str">
        <f t="shared" si="953"/>
        <v/>
      </c>
      <c r="BV209" s="220" t="str">
        <f t="shared" si="953"/>
        <v/>
      </c>
      <c r="BW209" s="220" t="str">
        <f t="shared" si="953"/>
        <v/>
      </c>
      <c r="BX209" s="220" t="str">
        <f t="shared" si="953"/>
        <v/>
      </c>
      <c r="BY209" s="220" t="str">
        <f t="shared" si="953"/>
        <v/>
      </c>
      <c r="BZ209" s="220" t="str">
        <f t="shared" si="953"/>
        <v/>
      </c>
      <c r="CA209" s="220" t="str">
        <f t="shared" si="953"/>
        <v/>
      </c>
      <c r="CB209" s="220" t="str">
        <f t="shared" si="953"/>
        <v/>
      </c>
      <c r="CC209" s="220" t="str">
        <f t="shared" ref="CC209:DH209" si="954">IF(CC198="","",(CC198=Timing_Reversion_Month)*$E$193)</f>
        <v/>
      </c>
      <c r="CD209" s="220" t="str">
        <f t="shared" si="954"/>
        <v/>
      </c>
      <c r="CE209" s="220" t="str">
        <f t="shared" si="954"/>
        <v/>
      </c>
      <c r="CF209" s="220" t="str">
        <f t="shared" si="954"/>
        <v/>
      </c>
      <c r="CG209" s="220" t="str">
        <f t="shared" si="954"/>
        <v/>
      </c>
      <c r="CH209" s="220" t="str">
        <f t="shared" si="954"/>
        <v/>
      </c>
      <c r="CI209" s="220" t="str">
        <f t="shared" si="954"/>
        <v/>
      </c>
      <c r="CJ209" s="220" t="str">
        <f t="shared" si="954"/>
        <v/>
      </c>
      <c r="CK209" s="220" t="str">
        <f t="shared" si="954"/>
        <v/>
      </c>
      <c r="CL209" s="220" t="str">
        <f t="shared" si="954"/>
        <v/>
      </c>
      <c r="CM209" s="220" t="str">
        <f t="shared" si="954"/>
        <v/>
      </c>
      <c r="CN209" s="220" t="str">
        <f t="shared" si="954"/>
        <v/>
      </c>
      <c r="CO209" s="220" t="str">
        <f t="shared" si="954"/>
        <v/>
      </c>
      <c r="CP209" s="220" t="str">
        <f t="shared" si="954"/>
        <v/>
      </c>
      <c r="CQ209" s="220" t="str">
        <f t="shared" si="954"/>
        <v/>
      </c>
      <c r="CR209" s="220" t="str">
        <f t="shared" si="954"/>
        <v/>
      </c>
      <c r="CS209" s="220" t="str">
        <f t="shared" si="954"/>
        <v/>
      </c>
      <c r="CT209" s="220" t="str">
        <f t="shared" si="954"/>
        <v/>
      </c>
      <c r="CU209" s="220" t="str">
        <f t="shared" si="954"/>
        <v/>
      </c>
      <c r="CV209" s="220" t="str">
        <f t="shared" si="954"/>
        <v/>
      </c>
      <c r="CW209" s="220" t="str">
        <f t="shared" si="954"/>
        <v/>
      </c>
      <c r="CX209" s="220" t="str">
        <f t="shared" si="954"/>
        <v/>
      </c>
      <c r="CY209" s="220" t="str">
        <f t="shared" si="954"/>
        <v/>
      </c>
      <c r="CZ209" s="220" t="str">
        <f t="shared" si="954"/>
        <v/>
      </c>
      <c r="DA209" s="220" t="str">
        <f t="shared" si="954"/>
        <v/>
      </c>
      <c r="DB209" s="220" t="str">
        <f t="shared" si="954"/>
        <v/>
      </c>
      <c r="DC209" s="220" t="str">
        <f t="shared" si="954"/>
        <v/>
      </c>
      <c r="DD209" s="220" t="str">
        <f t="shared" si="954"/>
        <v/>
      </c>
      <c r="DE209" s="220" t="str">
        <f t="shared" si="954"/>
        <v/>
      </c>
      <c r="DF209" s="220" t="str">
        <f t="shared" si="954"/>
        <v/>
      </c>
      <c r="DG209" s="220" t="str">
        <f t="shared" si="954"/>
        <v/>
      </c>
      <c r="DH209" s="220" t="str">
        <f t="shared" si="954"/>
        <v/>
      </c>
      <c r="DI209" s="220" t="str">
        <f t="shared" ref="DI209:ES209" si="955">IF(DI198="","",(DI198=Timing_Reversion_Month)*$E$193)</f>
        <v/>
      </c>
      <c r="DJ209" s="220" t="str">
        <f t="shared" si="955"/>
        <v/>
      </c>
      <c r="DK209" s="220" t="str">
        <f t="shared" si="955"/>
        <v/>
      </c>
      <c r="DL209" s="220" t="str">
        <f t="shared" si="955"/>
        <v/>
      </c>
      <c r="DM209" s="220" t="str">
        <f t="shared" si="955"/>
        <v/>
      </c>
      <c r="DN209" s="220" t="str">
        <f t="shared" si="955"/>
        <v/>
      </c>
      <c r="DO209" s="220" t="str">
        <f t="shared" si="955"/>
        <v/>
      </c>
      <c r="DP209" s="220" t="str">
        <f t="shared" si="955"/>
        <v/>
      </c>
      <c r="DQ209" s="220" t="str">
        <f t="shared" si="955"/>
        <v/>
      </c>
      <c r="DR209" s="220" t="str">
        <f t="shared" si="955"/>
        <v/>
      </c>
      <c r="DS209" s="220" t="str">
        <f t="shared" si="955"/>
        <v/>
      </c>
      <c r="DT209" s="220" t="str">
        <f t="shared" si="955"/>
        <v/>
      </c>
      <c r="DU209" s="220" t="str">
        <f t="shared" si="955"/>
        <v/>
      </c>
      <c r="DV209" s="220" t="str">
        <f t="shared" si="955"/>
        <v/>
      </c>
      <c r="DW209" s="220" t="str">
        <f t="shared" si="955"/>
        <v/>
      </c>
      <c r="DX209" s="220" t="str">
        <f t="shared" si="955"/>
        <v/>
      </c>
      <c r="DY209" s="220" t="str">
        <f t="shared" si="955"/>
        <v/>
      </c>
      <c r="DZ209" s="220" t="str">
        <f t="shared" si="955"/>
        <v/>
      </c>
      <c r="EA209" s="220" t="str">
        <f t="shared" si="955"/>
        <v/>
      </c>
      <c r="EB209" s="220" t="str">
        <f t="shared" si="955"/>
        <v/>
      </c>
      <c r="EC209" s="220" t="str">
        <f t="shared" si="955"/>
        <v/>
      </c>
      <c r="ED209" s="220" t="str">
        <f t="shared" si="955"/>
        <v/>
      </c>
      <c r="EE209" s="220" t="str">
        <f t="shared" si="955"/>
        <v/>
      </c>
      <c r="EF209" s="220" t="str">
        <f t="shared" si="955"/>
        <v/>
      </c>
      <c r="EG209" s="220" t="str">
        <f t="shared" si="955"/>
        <v/>
      </c>
      <c r="EH209" s="220" t="str">
        <f t="shared" si="955"/>
        <v/>
      </c>
      <c r="EI209" s="220" t="str">
        <f t="shared" si="955"/>
        <v/>
      </c>
      <c r="EJ209" s="220" t="str">
        <f t="shared" si="955"/>
        <v/>
      </c>
      <c r="EK209" s="220" t="str">
        <f t="shared" si="955"/>
        <v/>
      </c>
      <c r="EL209" s="220" t="str">
        <f t="shared" si="955"/>
        <v/>
      </c>
      <c r="EM209" s="220" t="str">
        <f t="shared" si="955"/>
        <v/>
      </c>
      <c r="EN209" s="220" t="str">
        <f t="shared" si="955"/>
        <v/>
      </c>
      <c r="EO209" s="220" t="str">
        <f t="shared" si="955"/>
        <v/>
      </c>
      <c r="EP209" s="220" t="str">
        <f t="shared" si="955"/>
        <v/>
      </c>
      <c r="EQ209" s="220" t="str">
        <f t="shared" si="955"/>
        <v/>
      </c>
      <c r="ER209" s="220" t="str">
        <f t="shared" si="955"/>
        <v/>
      </c>
      <c r="ES209" s="220" t="str">
        <f t="shared" si="955"/>
        <v/>
      </c>
      <c r="EU209" s="202"/>
      <c r="EV209" s="153"/>
      <c r="EW209" s="153"/>
      <c r="EX209" s="153"/>
      <c r="EY209" s="154" t="s">
        <v>611</v>
      </c>
      <c r="EZ209" s="154"/>
      <c r="FA209" s="388">
        <f t="shared" ref="FA209:GF209" si="956">(FA$201&lt;=Timing_Reversion_Month)*(FA208*((1+$EU206)^(1/12)-1))</f>
        <v>0</v>
      </c>
      <c r="FB209" s="388">
        <f t="shared" ca="1" si="956"/>
        <v>5928.0440198747801</v>
      </c>
      <c r="FC209" s="388">
        <f t="shared" ca="1" si="956"/>
        <v>6092.14722056545</v>
      </c>
      <c r="FD209" s="388">
        <f t="shared" ca="1" si="956"/>
        <v>6514.4752530950909</v>
      </c>
      <c r="FE209" s="388">
        <f t="shared" ca="1" si="956"/>
        <v>7545.3695312417476</v>
      </c>
      <c r="FF209" s="388">
        <f t="shared" ca="1" si="956"/>
        <v>9635.3683382483414</v>
      </c>
      <c r="FG209" s="388">
        <f t="shared" ca="1" si="956"/>
        <v>11900.411796652037</v>
      </c>
      <c r="FH209" s="388">
        <f t="shared" ca="1" si="956"/>
        <v>11986.181912065675</v>
      </c>
      <c r="FI209" s="388">
        <f t="shared" ca="1" si="956"/>
        <v>12072.570200431963</v>
      </c>
      <c r="FJ209" s="388">
        <f t="shared" ca="1" si="956"/>
        <v>12159.581117123233</v>
      </c>
      <c r="FK209" s="388">
        <f t="shared" ca="1" si="956"/>
        <v>12247.21914962313</v>
      </c>
      <c r="FL209" s="388">
        <f t="shared" ca="1" si="956"/>
        <v>12335.488817758043</v>
      </c>
      <c r="FM209" s="388">
        <f t="shared" ca="1" si="956"/>
        <v>12424.394673930216</v>
      </c>
      <c r="FN209" s="388">
        <f t="shared" ca="1" si="956"/>
        <v>12513.941303352518</v>
      </c>
      <c r="FO209" s="388">
        <f t="shared" ca="1" si="956"/>
        <v>12604.133324284938</v>
      </c>
      <c r="FP209" s="388">
        <f t="shared" ca="1" si="956"/>
        <v>12694.975388272753</v>
      </c>
      <c r="FQ209" s="388">
        <f t="shared" ca="1" si="956"/>
        <v>12786.472180386432</v>
      </c>
      <c r="FR209" s="388">
        <f t="shared" ca="1" si="956"/>
        <v>12878.628419463266</v>
      </c>
      <c r="FS209" s="388">
        <f t="shared" ca="1" si="956"/>
        <v>12971.448858350725</v>
      </c>
      <c r="FT209" s="388">
        <f t="shared" ca="1" si="956"/>
        <v>13064.938284151591</v>
      </c>
      <c r="FU209" s="388">
        <f t="shared" ca="1" si="956"/>
        <v>13159.101518470843</v>
      </c>
      <c r="FV209" s="388">
        <f t="shared" ca="1" si="956"/>
        <v>13253.943417664328</v>
      </c>
      <c r="FW209" s="388">
        <f t="shared" ca="1" si="956"/>
        <v>13349.468873089218</v>
      </c>
      <c r="FX209" s="388">
        <f t="shared" ca="1" si="956"/>
        <v>13445.682811356273</v>
      </c>
      <c r="FY209" s="388">
        <f t="shared" ca="1" si="956"/>
        <v>13542.590194583941</v>
      </c>
      <c r="FZ209" s="388">
        <f t="shared" ca="1" si="956"/>
        <v>13640.19602065425</v>
      </c>
      <c r="GA209" s="388">
        <f t="shared" ca="1" si="956"/>
        <v>13738.505323470587</v>
      </c>
      <c r="GB209" s="388">
        <f t="shared" ca="1" si="956"/>
        <v>13837.523173217303</v>
      </c>
      <c r="GC209" s="388">
        <f t="shared" ca="1" si="956"/>
        <v>13937.254676621214</v>
      </c>
      <c r="GD209" s="388">
        <f t="shared" ca="1" si="956"/>
        <v>14037.704977214962</v>
      </c>
      <c r="GE209" s="388">
        <f t="shared" ca="1" si="956"/>
        <v>14138.879255602293</v>
      </c>
      <c r="GF209" s="388">
        <f t="shared" ca="1" si="956"/>
        <v>14240.782729725237</v>
      </c>
      <c r="GG209" s="388">
        <f t="shared" ref="GG209:HL209" ca="1" si="957">(GG$201&lt;=Timing_Reversion_Month)*(GG208*((1+$EU206)^(1/12)-1))</f>
        <v>14343.420655133221</v>
      </c>
      <c r="GH209" s="388">
        <f t="shared" ca="1" si="957"/>
        <v>14446.79832525412</v>
      </c>
      <c r="GI209" s="388">
        <f t="shared" ca="1" si="957"/>
        <v>14550.92107166725</v>
      </c>
      <c r="GJ209" s="388">
        <f t="shared" ca="1" si="957"/>
        <v>14655.794264378341</v>
      </c>
      <c r="GK209" s="388">
        <f t="shared" ca="1" si="957"/>
        <v>14761.423312096498</v>
      </c>
      <c r="GL209" s="388">
        <f t="shared" ca="1" si="957"/>
        <v>0</v>
      </c>
      <c r="GM209" s="388">
        <f t="shared" ca="1" si="957"/>
        <v>0</v>
      </c>
      <c r="GN209" s="388">
        <f t="shared" ca="1" si="957"/>
        <v>0</v>
      </c>
      <c r="GO209" s="388">
        <f t="shared" ca="1" si="957"/>
        <v>0</v>
      </c>
      <c r="GP209" s="388">
        <f t="shared" ca="1" si="957"/>
        <v>0</v>
      </c>
      <c r="GQ209" s="388">
        <f t="shared" ca="1" si="957"/>
        <v>0</v>
      </c>
      <c r="GR209" s="388">
        <f t="shared" ca="1" si="957"/>
        <v>0</v>
      </c>
      <c r="GS209" s="388">
        <f t="shared" ca="1" si="957"/>
        <v>0</v>
      </c>
      <c r="GT209" s="388">
        <f t="shared" ca="1" si="957"/>
        <v>0</v>
      </c>
      <c r="GU209" s="388">
        <f t="shared" ca="1" si="957"/>
        <v>0</v>
      </c>
      <c r="GV209" s="388">
        <f t="shared" ca="1" si="957"/>
        <v>0</v>
      </c>
      <c r="GW209" s="388">
        <f t="shared" ca="1" si="957"/>
        <v>0</v>
      </c>
      <c r="GX209" s="388">
        <f t="shared" ca="1" si="957"/>
        <v>0</v>
      </c>
      <c r="GY209" s="388">
        <f t="shared" ca="1" si="957"/>
        <v>0</v>
      </c>
      <c r="GZ209" s="388">
        <f t="shared" ca="1" si="957"/>
        <v>0</v>
      </c>
      <c r="HA209" s="388">
        <f t="shared" ca="1" si="957"/>
        <v>0</v>
      </c>
      <c r="HB209" s="388">
        <f t="shared" ca="1" si="957"/>
        <v>0</v>
      </c>
      <c r="HC209" s="388">
        <f t="shared" ca="1" si="957"/>
        <v>0</v>
      </c>
      <c r="HD209" s="388">
        <f t="shared" ca="1" si="957"/>
        <v>0</v>
      </c>
      <c r="HE209" s="388">
        <f t="shared" ca="1" si="957"/>
        <v>0</v>
      </c>
      <c r="HF209" s="388">
        <f t="shared" ca="1" si="957"/>
        <v>0</v>
      </c>
      <c r="HG209" s="388">
        <f t="shared" ca="1" si="957"/>
        <v>0</v>
      </c>
      <c r="HH209" s="388">
        <f t="shared" ca="1" si="957"/>
        <v>0</v>
      </c>
      <c r="HI209" s="388">
        <f t="shared" ca="1" si="957"/>
        <v>0</v>
      </c>
      <c r="HJ209" s="388">
        <f t="shared" ca="1" si="957"/>
        <v>0</v>
      </c>
      <c r="HK209" s="388">
        <f t="shared" ca="1" si="957"/>
        <v>0</v>
      </c>
      <c r="HL209" s="388">
        <f t="shared" ca="1" si="957"/>
        <v>0</v>
      </c>
      <c r="HM209" s="388">
        <f t="shared" ref="HM209:IR209" ca="1" si="958">(HM$201&lt;=Timing_Reversion_Month)*(HM208*((1+$EU206)^(1/12)-1))</f>
        <v>0</v>
      </c>
      <c r="HN209" s="388">
        <f t="shared" ca="1" si="958"/>
        <v>0</v>
      </c>
      <c r="HO209" s="388">
        <f t="shared" ca="1" si="958"/>
        <v>0</v>
      </c>
      <c r="HP209" s="388">
        <f t="shared" ca="1" si="958"/>
        <v>0</v>
      </c>
      <c r="HQ209" s="388">
        <f t="shared" ca="1" si="958"/>
        <v>0</v>
      </c>
      <c r="HR209" s="388">
        <f t="shared" ca="1" si="958"/>
        <v>0</v>
      </c>
      <c r="HS209" s="388">
        <f t="shared" ca="1" si="958"/>
        <v>0</v>
      </c>
      <c r="HT209" s="388">
        <f t="shared" ca="1" si="958"/>
        <v>0</v>
      </c>
      <c r="HU209" s="388">
        <f t="shared" ca="1" si="958"/>
        <v>0</v>
      </c>
      <c r="HV209" s="388">
        <f t="shared" ca="1" si="958"/>
        <v>0</v>
      </c>
      <c r="HW209" s="388">
        <f t="shared" ca="1" si="958"/>
        <v>0</v>
      </c>
      <c r="HX209" s="388">
        <f t="shared" ca="1" si="958"/>
        <v>0</v>
      </c>
      <c r="HY209" s="388">
        <f t="shared" ca="1" si="958"/>
        <v>0</v>
      </c>
      <c r="HZ209" s="388">
        <f t="shared" ca="1" si="958"/>
        <v>0</v>
      </c>
      <c r="IA209" s="388">
        <f t="shared" ca="1" si="958"/>
        <v>0</v>
      </c>
      <c r="IB209" s="388">
        <f t="shared" ca="1" si="958"/>
        <v>0</v>
      </c>
      <c r="IC209" s="388">
        <f t="shared" ca="1" si="958"/>
        <v>0</v>
      </c>
      <c r="ID209" s="388">
        <f t="shared" ca="1" si="958"/>
        <v>0</v>
      </c>
      <c r="IE209" s="388">
        <f t="shared" ca="1" si="958"/>
        <v>0</v>
      </c>
      <c r="IF209" s="388">
        <f t="shared" ca="1" si="958"/>
        <v>0</v>
      </c>
      <c r="IG209" s="388">
        <f t="shared" ca="1" si="958"/>
        <v>0</v>
      </c>
      <c r="IH209" s="388">
        <f t="shared" ca="1" si="958"/>
        <v>0</v>
      </c>
      <c r="II209" s="388">
        <f t="shared" ca="1" si="958"/>
        <v>0</v>
      </c>
      <c r="IJ209" s="388">
        <f t="shared" ca="1" si="958"/>
        <v>0</v>
      </c>
      <c r="IK209" s="388">
        <f t="shared" ca="1" si="958"/>
        <v>0</v>
      </c>
      <c r="IL209" s="388">
        <f t="shared" ca="1" si="958"/>
        <v>0</v>
      </c>
      <c r="IM209" s="388">
        <f t="shared" ca="1" si="958"/>
        <v>0</v>
      </c>
      <c r="IN209" s="388">
        <f t="shared" ca="1" si="958"/>
        <v>0</v>
      </c>
      <c r="IO209" s="388">
        <f t="shared" ca="1" si="958"/>
        <v>0</v>
      </c>
      <c r="IP209" s="388">
        <f t="shared" ca="1" si="958"/>
        <v>0</v>
      </c>
      <c r="IQ209" s="388">
        <f t="shared" ca="1" si="958"/>
        <v>0</v>
      </c>
      <c r="IR209" s="388">
        <f t="shared" ca="1" si="958"/>
        <v>0</v>
      </c>
      <c r="IS209" s="388">
        <f t="shared" ref="IS209:JX209" ca="1" si="959">(IS$201&lt;=Timing_Reversion_Month)*(IS208*((1+$EU206)^(1/12)-1))</f>
        <v>0</v>
      </c>
      <c r="IT209" s="388">
        <f t="shared" ca="1" si="959"/>
        <v>0</v>
      </c>
      <c r="IU209" s="388">
        <f t="shared" ca="1" si="959"/>
        <v>0</v>
      </c>
      <c r="IV209" s="388">
        <f t="shared" ca="1" si="959"/>
        <v>0</v>
      </c>
      <c r="IW209" s="388">
        <f t="shared" ca="1" si="959"/>
        <v>0</v>
      </c>
      <c r="IX209" s="388">
        <f t="shared" ca="1" si="959"/>
        <v>0</v>
      </c>
      <c r="IY209" s="388">
        <f t="shared" ca="1" si="959"/>
        <v>0</v>
      </c>
      <c r="IZ209" s="388">
        <f t="shared" ca="1" si="959"/>
        <v>0</v>
      </c>
      <c r="JA209" s="388">
        <f t="shared" ca="1" si="959"/>
        <v>0</v>
      </c>
      <c r="JB209" s="388">
        <f t="shared" ca="1" si="959"/>
        <v>0</v>
      </c>
      <c r="JC209" s="388">
        <f t="shared" ca="1" si="959"/>
        <v>0</v>
      </c>
      <c r="JD209" s="388">
        <f t="shared" ca="1" si="959"/>
        <v>0</v>
      </c>
      <c r="JE209" s="388">
        <f t="shared" ca="1" si="959"/>
        <v>0</v>
      </c>
      <c r="JF209" s="388">
        <f t="shared" ca="1" si="959"/>
        <v>0</v>
      </c>
      <c r="JG209" s="388">
        <f t="shared" ca="1" si="959"/>
        <v>0</v>
      </c>
      <c r="JH209" s="388">
        <f t="shared" ca="1" si="959"/>
        <v>0</v>
      </c>
      <c r="JI209" s="388">
        <f t="shared" ca="1" si="959"/>
        <v>0</v>
      </c>
      <c r="JJ209" s="388">
        <f t="shared" ca="1" si="959"/>
        <v>0</v>
      </c>
      <c r="JK209" s="388">
        <f t="shared" ca="1" si="959"/>
        <v>0</v>
      </c>
      <c r="JL209" s="388">
        <f t="shared" ca="1" si="959"/>
        <v>0</v>
      </c>
      <c r="JM209" s="388">
        <f t="shared" ca="1" si="959"/>
        <v>0</v>
      </c>
      <c r="JN209" s="388">
        <f t="shared" ca="1" si="959"/>
        <v>0</v>
      </c>
      <c r="JO209" s="388">
        <f t="shared" ca="1" si="959"/>
        <v>0</v>
      </c>
      <c r="JP209" s="388">
        <f t="shared" ca="1" si="959"/>
        <v>0</v>
      </c>
      <c r="JQ209" s="388">
        <f t="shared" ca="1" si="959"/>
        <v>0</v>
      </c>
      <c r="JR209" s="388">
        <f t="shared" ca="1" si="959"/>
        <v>0</v>
      </c>
      <c r="JS209" s="388">
        <f t="shared" ca="1" si="959"/>
        <v>0</v>
      </c>
      <c r="JT209" s="388">
        <f t="shared" ca="1" si="959"/>
        <v>0</v>
      </c>
      <c r="JU209" s="388">
        <f t="shared" ca="1" si="959"/>
        <v>0</v>
      </c>
      <c r="JV209" s="388">
        <f t="shared" ca="1" si="959"/>
        <v>0</v>
      </c>
      <c r="JW209" s="388">
        <f t="shared" ca="1" si="959"/>
        <v>0</v>
      </c>
      <c r="JX209" s="388">
        <f t="shared" ca="1" si="959"/>
        <v>0</v>
      </c>
      <c r="JY209" s="388">
        <f t="shared" ref="JY209:KC209" ca="1" si="960">(JY$201&lt;=Timing_Reversion_Month)*(JY208*((1+$EU206)^(1/12)-1))</f>
        <v>0</v>
      </c>
      <c r="JZ209" s="388">
        <f t="shared" ca="1" si="960"/>
        <v>0</v>
      </c>
      <c r="KA209" s="388">
        <f t="shared" ca="1" si="960"/>
        <v>0</v>
      </c>
      <c r="KB209" s="388">
        <f t="shared" ca="1" si="960"/>
        <v>0</v>
      </c>
      <c r="KC209" s="388">
        <f t="shared" ca="1" si="960"/>
        <v>0</v>
      </c>
    </row>
    <row r="210" spans="1:289" ht="14.25" customHeight="1" x14ac:dyDescent="0.35">
      <c r="B210" s="392" t="s">
        <v>580</v>
      </c>
      <c r="C210" s="196"/>
      <c r="D210" s="196"/>
      <c r="E210" s="196"/>
      <c r="F210" s="196"/>
      <c r="G210" s="196"/>
      <c r="H210" s="341"/>
      <c r="I210" s="218">
        <f t="shared" ca="1" si="951"/>
        <v>-2423162.9824854573</v>
      </c>
      <c r="Q210" s="220">
        <f t="shared" ref="Q210:AV210" ca="1" si="961">IF(Q198="","",(Q198=ConstDebt_Payoff)*-$I$77)</f>
        <v>0</v>
      </c>
      <c r="R210" s="220">
        <f t="shared" ca="1" si="961"/>
        <v>0</v>
      </c>
      <c r="S210" s="220">
        <f t="shared" ca="1" si="961"/>
        <v>0</v>
      </c>
      <c r="T210" s="220">
        <f t="shared" ca="1" si="961"/>
        <v>0</v>
      </c>
      <c r="U210" s="220">
        <f t="shared" ca="1" si="961"/>
        <v>0</v>
      </c>
      <c r="V210" s="220">
        <f t="shared" ca="1" si="961"/>
        <v>0</v>
      </c>
      <c r="W210" s="220">
        <f t="shared" ca="1" si="961"/>
        <v>0</v>
      </c>
      <c r="X210" s="220">
        <f t="shared" ca="1" si="961"/>
        <v>0</v>
      </c>
      <c r="Y210" s="220">
        <f t="shared" ca="1" si="961"/>
        <v>0</v>
      </c>
      <c r="Z210" s="220">
        <f t="shared" ca="1" si="961"/>
        <v>0</v>
      </c>
      <c r="AA210" s="220">
        <f t="shared" ca="1" si="961"/>
        <v>0</v>
      </c>
      <c r="AB210" s="220">
        <f t="shared" ca="1" si="961"/>
        <v>0</v>
      </c>
      <c r="AC210" s="220">
        <f t="shared" ca="1" si="961"/>
        <v>0</v>
      </c>
      <c r="AD210" s="220">
        <f t="shared" ca="1" si="961"/>
        <v>0</v>
      </c>
      <c r="AE210" s="220">
        <f t="shared" ca="1" si="961"/>
        <v>-2423162.9824854573</v>
      </c>
      <c r="AF210" s="220">
        <f t="shared" ca="1" si="961"/>
        <v>0</v>
      </c>
      <c r="AG210" s="220">
        <f t="shared" ca="1" si="961"/>
        <v>0</v>
      </c>
      <c r="AH210" s="220">
        <f t="shared" ca="1" si="961"/>
        <v>0</v>
      </c>
      <c r="AI210" s="220">
        <f t="shared" ca="1" si="961"/>
        <v>0</v>
      </c>
      <c r="AJ210" s="220">
        <f t="shared" ca="1" si="961"/>
        <v>0</v>
      </c>
      <c r="AK210" s="220">
        <f t="shared" ca="1" si="961"/>
        <v>0</v>
      </c>
      <c r="AL210" s="220">
        <f t="shared" ca="1" si="961"/>
        <v>0</v>
      </c>
      <c r="AM210" s="220">
        <f t="shared" ca="1" si="961"/>
        <v>0</v>
      </c>
      <c r="AN210" s="220">
        <f t="shared" ca="1" si="961"/>
        <v>0</v>
      </c>
      <c r="AO210" s="220">
        <f t="shared" ca="1" si="961"/>
        <v>0</v>
      </c>
      <c r="AP210" s="220">
        <f t="shared" ca="1" si="961"/>
        <v>0</v>
      </c>
      <c r="AQ210" s="220">
        <f t="shared" ca="1" si="961"/>
        <v>0</v>
      </c>
      <c r="AR210" s="220">
        <f t="shared" ca="1" si="961"/>
        <v>0</v>
      </c>
      <c r="AS210" s="220">
        <f t="shared" ca="1" si="961"/>
        <v>0</v>
      </c>
      <c r="AT210" s="220">
        <f t="shared" ca="1" si="961"/>
        <v>0</v>
      </c>
      <c r="AU210" s="220">
        <f t="shared" ca="1" si="961"/>
        <v>0</v>
      </c>
      <c r="AV210" s="220">
        <f t="shared" ca="1" si="961"/>
        <v>0</v>
      </c>
      <c r="AW210" s="220">
        <f t="shared" ref="AW210:CB210" ca="1" si="962">IF(AW198="","",(AW198=ConstDebt_Payoff)*-$I$77)</f>
        <v>0</v>
      </c>
      <c r="AX210" s="220">
        <f t="shared" ca="1" si="962"/>
        <v>0</v>
      </c>
      <c r="AY210" s="220">
        <f t="shared" ca="1" si="962"/>
        <v>0</v>
      </c>
      <c r="AZ210" s="220">
        <f t="shared" ca="1" si="962"/>
        <v>0</v>
      </c>
      <c r="BA210" s="220">
        <f t="shared" ca="1" si="962"/>
        <v>0</v>
      </c>
      <c r="BB210" s="220" t="str">
        <f t="shared" si="962"/>
        <v/>
      </c>
      <c r="BC210" s="220" t="str">
        <f t="shared" si="962"/>
        <v/>
      </c>
      <c r="BD210" s="220" t="str">
        <f t="shared" si="962"/>
        <v/>
      </c>
      <c r="BE210" s="220" t="str">
        <f t="shared" si="962"/>
        <v/>
      </c>
      <c r="BF210" s="220" t="str">
        <f t="shared" si="962"/>
        <v/>
      </c>
      <c r="BG210" s="220" t="str">
        <f t="shared" si="962"/>
        <v/>
      </c>
      <c r="BH210" s="220" t="str">
        <f t="shared" si="962"/>
        <v/>
      </c>
      <c r="BI210" s="220" t="str">
        <f t="shared" si="962"/>
        <v/>
      </c>
      <c r="BJ210" s="220" t="str">
        <f t="shared" si="962"/>
        <v/>
      </c>
      <c r="BK210" s="220" t="str">
        <f t="shared" si="962"/>
        <v/>
      </c>
      <c r="BL210" s="220" t="str">
        <f t="shared" si="962"/>
        <v/>
      </c>
      <c r="BM210" s="220" t="str">
        <f t="shared" si="962"/>
        <v/>
      </c>
      <c r="BN210" s="220" t="str">
        <f t="shared" si="962"/>
        <v/>
      </c>
      <c r="BO210" s="220" t="str">
        <f t="shared" si="962"/>
        <v/>
      </c>
      <c r="BP210" s="220" t="str">
        <f t="shared" si="962"/>
        <v/>
      </c>
      <c r="BQ210" s="220" t="str">
        <f t="shared" si="962"/>
        <v/>
      </c>
      <c r="BR210" s="220" t="str">
        <f t="shared" si="962"/>
        <v/>
      </c>
      <c r="BS210" s="220" t="str">
        <f t="shared" si="962"/>
        <v/>
      </c>
      <c r="BT210" s="220" t="str">
        <f t="shared" si="962"/>
        <v/>
      </c>
      <c r="BU210" s="220" t="str">
        <f t="shared" si="962"/>
        <v/>
      </c>
      <c r="BV210" s="220" t="str">
        <f t="shared" si="962"/>
        <v/>
      </c>
      <c r="BW210" s="220" t="str">
        <f t="shared" si="962"/>
        <v/>
      </c>
      <c r="BX210" s="220" t="str">
        <f t="shared" si="962"/>
        <v/>
      </c>
      <c r="BY210" s="220" t="str">
        <f t="shared" si="962"/>
        <v/>
      </c>
      <c r="BZ210" s="220" t="str">
        <f t="shared" si="962"/>
        <v/>
      </c>
      <c r="CA210" s="220" t="str">
        <f t="shared" si="962"/>
        <v/>
      </c>
      <c r="CB210" s="220" t="str">
        <f t="shared" si="962"/>
        <v/>
      </c>
      <c r="CC210" s="220" t="str">
        <f t="shared" ref="CC210:DH210" si="963">IF(CC198="","",(CC198=ConstDebt_Payoff)*-$I$77)</f>
        <v/>
      </c>
      <c r="CD210" s="220" t="str">
        <f t="shared" si="963"/>
        <v/>
      </c>
      <c r="CE210" s="220" t="str">
        <f t="shared" si="963"/>
        <v/>
      </c>
      <c r="CF210" s="220" t="str">
        <f t="shared" si="963"/>
        <v/>
      </c>
      <c r="CG210" s="220" t="str">
        <f t="shared" si="963"/>
        <v/>
      </c>
      <c r="CH210" s="220" t="str">
        <f t="shared" si="963"/>
        <v/>
      </c>
      <c r="CI210" s="220" t="str">
        <f t="shared" si="963"/>
        <v/>
      </c>
      <c r="CJ210" s="220" t="str">
        <f t="shared" si="963"/>
        <v/>
      </c>
      <c r="CK210" s="220" t="str">
        <f t="shared" si="963"/>
        <v/>
      </c>
      <c r="CL210" s="220" t="str">
        <f t="shared" si="963"/>
        <v/>
      </c>
      <c r="CM210" s="220" t="str">
        <f t="shared" si="963"/>
        <v/>
      </c>
      <c r="CN210" s="220" t="str">
        <f t="shared" si="963"/>
        <v/>
      </c>
      <c r="CO210" s="220" t="str">
        <f t="shared" si="963"/>
        <v/>
      </c>
      <c r="CP210" s="220" t="str">
        <f t="shared" si="963"/>
        <v/>
      </c>
      <c r="CQ210" s="220" t="str">
        <f t="shared" si="963"/>
        <v/>
      </c>
      <c r="CR210" s="220" t="str">
        <f t="shared" si="963"/>
        <v/>
      </c>
      <c r="CS210" s="220" t="str">
        <f t="shared" si="963"/>
        <v/>
      </c>
      <c r="CT210" s="220" t="str">
        <f t="shared" si="963"/>
        <v/>
      </c>
      <c r="CU210" s="220" t="str">
        <f t="shared" si="963"/>
        <v/>
      </c>
      <c r="CV210" s="220" t="str">
        <f t="shared" si="963"/>
        <v/>
      </c>
      <c r="CW210" s="220" t="str">
        <f t="shared" si="963"/>
        <v/>
      </c>
      <c r="CX210" s="220" t="str">
        <f t="shared" si="963"/>
        <v/>
      </c>
      <c r="CY210" s="220" t="str">
        <f t="shared" si="963"/>
        <v/>
      </c>
      <c r="CZ210" s="220" t="str">
        <f t="shared" si="963"/>
        <v/>
      </c>
      <c r="DA210" s="220" t="str">
        <f t="shared" si="963"/>
        <v/>
      </c>
      <c r="DB210" s="220" t="str">
        <f t="shared" si="963"/>
        <v/>
      </c>
      <c r="DC210" s="220" t="str">
        <f t="shared" si="963"/>
        <v/>
      </c>
      <c r="DD210" s="220" t="str">
        <f t="shared" si="963"/>
        <v/>
      </c>
      <c r="DE210" s="220" t="str">
        <f t="shared" si="963"/>
        <v/>
      </c>
      <c r="DF210" s="220" t="str">
        <f t="shared" si="963"/>
        <v/>
      </c>
      <c r="DG210" s="220" t="str">
        <f t="shared" si="963"/>
        <v/>
      </c>
      <c r="DH210" s="220" t="str">
        <f t="shared" si="963"/>
        <v/>
      </c>
      <c r="DI210" s="220" t="str">
        <f t="shared" ref="DI210:ES210" si="964">IF(DI198="","",(DI198=ConstDebt_Payoff)*-$I$77)</f>
        <v/>
      </c>
      <c r="DJ210" s="220" t="str">
        <f t="shared" si="964"/>
        <v/>
      </c>
      <c r="DK210" s="220" t="str">
        <f t="shared" si="964"/>
        <v/>
      </c>
      <c r="DL210" s="220" t="str">
        <f t="shared" si="964"/>
        <v/>
      </c>
      <c r="DM210" s="220" t="str">
        <f t="shared" si="964"/>
        <v/>
      </c>
      <c r="DN210" s="220" t="str">
        <f t="shared" si="964"/>
        <v/>
      </c>
      <c r="DO210" s="220" t="str">
        <f t="shared" si="964"/>
        <v/>
      </c>
      <c r="DP210" s="220" t="str">
        <f t="shared" si="964"/>
        <v/>
      </c>
      <c r="DQ210" s="220" t="str">
        <f t="shared" si="964"/>
        <v/>
      </c>
      <c r="DR210" s="220" t="str">
        <f t="shared" si="964"/>
        <v/>
      </c>
      <c r="DS210" s="220" t="str">
        <f t="shared" si="964"/>
        <v/>
      </c>
      <c r="DT210" s="220" t="str">
        <f t="shared" si="964"/>
        <v/>
      </c>
      <c r="DU210" s="220" t="str">
        <f t="shared" si="964"/>
        <v/>
      </c>
      <c r="DV210" s="220" t="str">
        <f t="shared" si="964"/>
        <v/>
      </c>
      <c r="DW210" s="220" t="str">
        <f t="shared" si="964"/>
        <v/>
      </c>
      <c r="DX210" s="220" t="str">
        <f t="shared" si="964"/>
        <v/>
      </c>
      <c r="DY210" s="220" t="str">
        <f t="shared" si="964"/>
        <v/>
      </c>
      <c r="DZ210" s="220" t="str">
        <f t="shared" si="964"/>
        <v/>
      </c>
      <c r="EA210" s="220" t="str">
        <f t="shared" si="964"/>
        <v/>
      </c>
      <c r="EB210" s="220" t="str">
        <f t="shared" si="964"/>
        <v/>
      </c>
      <c r="EC210" s="220" t="str">
        <f t="shared" si="964"/>
        <v/>
      </c>
      <c r="ED210" s="220" t="str">
        <f t="shared" si="964"/>
        <v/>
      </c>
      <c r="EE210" s="220" t="str">
        <f t="shared" si="964"/>
        <v/>
      </c>
      <c r="EF210" s="220" t="str">
        <f t="shared" si="964"/>
        <v/>
      </c>
      <c r="EG210" s="220" t="str">
        <f t="shared" si="964"/>
        <v/>
      </c>
      <c r="EH210" s="220" t="str">
        <f t="shared" si="964"/>
        <v/>
      </c>
      <c r="EI210" s="220" t="str">
        <f t="shared" si="964"/>
        <v/>
      </c>
      <c r="EJ210" s="220" t="str">
        <f t="shared" si="964"/>
        <v/>
      </c>
      <c r="EK210" s="220" t="str">
        <f t="shared" si="964"/>
        <v/>
      </c>
      <c r="EL210" s="220" t="str">
        <f t="shared" si="964"/>
        <v/>
      </c>
      <c r="EM210" s="220" t="str">
        <f t="shared" si="964"/>
        <v/>
      </c>
      <c r="EN210" s="220" t="str">
        <f t="shared" si="964"/>
        <v/>
      </c>
      <c r="EO210" s="220" t="str">
        <f t="shared" si="964"/>
        <v/>
      </c>
      <c r="EP210" s="220" t="str">
        <f t="shared" si="964"/>
        <v/>
      </c>
      <c r="EQ210" s="220" t="str">
        <f t="shared" si="964"/>
        <v/>
      </c>
      <c r="ER210" s="220" t="str">
        <f t="shared" si="964"/>
        <v/>
      </c>
      <c r="ES210" s="220" t="str">
        <f t="shared" si="964"/>
        <v/>
      </c>
      <c r="EU210" s="202"/>
      <c r="EV210" s="153"/>
      <c r="EW210" s="153"/>
      <c r="EX210" s="154"/>
      <c r="EY210" s="388" t="s">
        <v>612</v>
      </c>
      <c r="EZ210" s="388"/>
      <c r="FA210" s="388">
        <f ca="1">IF(Q232="",0,Q232)</f>
        <v>822502.85714285716</v>
      </c>
      <c r="FB210" s="388">
        <f ca="1">IF(R232="",0,R232)</f>
        <v>16840.908265539307</v>
      </c>
      <c r="FC210" s="388">
        <f t="shared" ref="FC210:HN210" ca="1" si="965">IF(S232="",0,S232)</f>
        <v>52504.923287438098</v>
      </c>
      <c r="FD210" s="388">
        <f t="shared" ca="1" si="965"/>
        <v>136519.80154125288</v>
      </c>
      <c r="FE210" s="388">
        <f t="shared" ca="1" si="965"/>
        <v>282437.29328717594</v>
      </c>
      <c r="FF210" s="388">
        <f t="shared" ca="1" si="965"/>
        <v>304634.34859430767</v>
      </c>
      <c r="FG210" s="388">
        <f t="shared" ca="1" si="965"/>
        <v>0</v>
      </c>
      <c r="FH210" s="388">
        <f t="shared" ca="1" si="965"/>
        <v>0</v>
      </c>
      <c r="FI210" s="388">
        <f t="shared" ca="1" si="965"/>
        <v>0</v>
      </c>
      <c r="FJ210" s="388">
        <f t="shared" ca="1" si="965"/>
        <v>0</v>
      </c>
      <c r="FK210" s="388">
        <f t="shared" ca="1" si="965"/>
        <v>0</v>
      </c>
      <c r="FL210" s="388">
        <f t="shared" ca="1" si="965"/>
        <v>0</v>
      </c>
      <c r="FM210" s="388">
        <f t="shared" ca="1" si="965"/>
        <v>0</v>
      </c>
      <c r="FN210" s="388">
        <f t="shared" ca="1" si="965"/>
        <v>0</v>
      </c>
      <c r="FO210" s="388">
        <f t="shared" ca="1" si="965"/>
        <v>0</v>
      </c>
      <c r="FP210" s="388">
        <f t="shared" ca="1" si="965"/>
        <v>0</v>
      </c>
      <c r="FQ210" s="388">
        <f t="shared" ca="1" si="965"/>
        <v>0</v>
      </c>
      <c r="FR210" s="388">
        <f t="shared" ca="1" si="965"/>
        <v>0</v>
      </c>
      <c r="FS210" s="388">
        <f t="shared" ca="1" si="965"/>
        <v>0</v>
      </c>
      <c r="FT210" s="388">
        <f t="shared" ca="1" si="965"/>
        <v>0</v>
      </c>
      <c r="FU210" s="388">
        <f t="shared" ca="1" si="965"/>
        <v>0</v>
      </c>
      <c r="FV210" s="388">
        <f t="shared" ca="1" si="965"/>
        <v>0</v>
      </c>
      <c r="FW210" s="388">
        <f t="shared" ca="1" si="965"/>
        <v>0</v>
      </c>
      <c r="FX210" s="388">
        <f t="shared" ca="1" si="965"/>
        <v>0</v>
      </c>
      <c r="FY210" s="388">
        <f t="shared" ca="1" si="965"/>
        <v>0</v>
      </c>
      <c r="FZ210" s="388">
        <f t="shared" ca="1" si="965"/>
        <v>0</v>
      </c>
      <c r="GA210" s="388">
        <f t="shared" ca="1" si="965"/>
        <v>0</v>
      </c>
      <c r="GB210" s="388">
        <f t="shared" ca="1" si="965"/>
        <v>0</v>
      </c>
      <c r="GC210" s="388">
        <f t="shared" ca="1" si="965"/>
        <v>0</v>
      </c>
      <c r="GD210" s="388">
        <f t="shared" ca="1" si="965"/>
        <v>0</v>
      </c>
      <c r="GE210" s="388">
        <f t="shared" ca="1" si="965"/>
        <v>0</v>
      </c>
      <c r="GF210" s="388">
        <f t="shared" ca="1" si="965"/>
        <v>0</v>
      </c>
      <c r="GG210" s="388">
        <f t="shared" ca="1" si="965"/>
        <v>0</v>
      </c>
      <c r="GH210" s="388">
        <f t="shared" ca="1" si="965"/>
        <v>0</v>
      </c>
      <c r="GI210" s="388">
        <f t="shared" ca="1" si="965"/>
        <v>0</v>
      </c>
      <c r="GJ210" s="388">
        <f t="shared" ca="1" si="965"/>
        <v>0</v>
      </c>
      <c r="GK210" s="388">
        <f t="shared" ca="1" si="965"/>
        <v>0</v>
      </c>
      <c r="GL210" s="388">
        <f t="shared" si="965"/>
        <v>0</v>
      </c>
      <c r="GM210" s="388">
        <f t="shared" si="965"/>
        <v>0</v>
      </c>
      <c r="GN210" s="388">
        <f t="shared" si="965"/>
        <v>0</v>
      </c>
      <c r="GO210" s="388">
        <f t="shared" si="965"/>
        <v>0</v>
      </c>
      <c r="GP210" s="388">
        <f t="shared" si="965"/>
        <v>0</v>
      </c>
      <c r="GQ210" s="388">
        <f t="shared" si="965"/>
        <v>0</v>
      </c>
      <c r="GR210" s="388">
        <f t="shared" si="965"/>
        <v>0</v>
      </c>
      <c r="GS210" s="388">
        <f t="shared" si="965"/>
        <v>0</v>
      </c>
      <c r="GT210" s="388">
        <f t="shared" si="965"/>
        <v>0</v>
      </c>
      <c r="GU210" s="388">
        <f t="shared" si="965"/>
        <v>0</v>
      </c>
      <c r="GV210" s="388">
        <f t="shared" si="965"/>
        <v>0</v>
      </c>
      <c r="GW210" s="388">
        <f t="shared" si="965"/>
        <v>0</v>
      </c>
      <c r="GX210" s="388">
        <f t="shared" si="965"/>
        <v>0</v>
      </c>
      <c r="GY210" s="388">
        <f t="shared" si="965"/>
        <v>0</v>
      </c>
      <c r="GZ210" s="388">
        <f t="shared" si="965"/>
        <v>0</v>
      </c>
      <c r="HA210" s="388">
        <f t="shared" si="965"/>
        <v>0</v>
      </c>
      <c r="HB210" s="388">
        <f t="shared" si="965"/>
        <v>0</v>
      </c>
      <c r="HC210" s="388">
        <f t="shared" si="965"/>
        <v>0</v>
      </c>
      <c r="HD210" s="388">
        <f t="shared" si="965"/>
        <v>0</v>
      </c>
      <c r="HE210" s="388">
        <f t="shared" si="965"/>
        <v>0</v>
      </c>
      <c r="HF210" s="388">
        <f t="shared" si="965"/>
        <v>0</v>
      </c>
      <c r="HG210" s="388">
        <f t="shared" si="965"/>
        <v>0</v>
      </c>
      <c r="HH210" s="388">
        <f t="shared" si="965"/>
        <v>0</v>
      </c>
      <c r="HI210" s="388">
        <f t="shared" si="965"/>
        <v>0</v>
      </c>
      <c r="HJ210" s="388">
        <f t="shared" si="965"/>
        <v>0</v>
      </c>
      <c r="HK210" s="388">
        <f t="shared" si="965"/>
        <v>0</v>
      </c>
      <c r="HL210" s="388">
        <f t="shared" si="965"/>
        <v>0</v>
      </c>
      <c r="HM210" s="388">
        <f t="shared" si="965"/>
        <v>0</v>
      </c>
      <c r="HN210" s="388">
        <f t="shared" si="965"/>
        <v>0</v>
      </c>
      <c r="HO210" s="388">
        <f t="shared" ref="HO210:JZ210" si="966">IF(CE232="",0,CE232)</f>
        <v>0</v>
      </c>
      <c r="HP210" s="388">
        <f t="shared" si="966"/>
        <v>0</v>
      </c>
      <c r="HQ210" s="388">
        <f t="shared" si="966"/>
        <v>0</v>
      </c>
      <c r="HR210" s="388">
        <f t="shared" si="966"/>
        <v>0</v>
      </c>
      <c r="HS210" s="388">
        <f t="shared" si="966"/>
        <v>0</v>
      </c>
      <c r="HT210" s="388">
        <f t="shared" si="966"/>
        <v>0</v>
      </c>
      <c r="HU210" s="388">
        <f t="shared" si="966"/>
        <v>0</v>
      </c>
      <c r="HV210" s="388">
        <f t="shared" si="966"/>
        <v>0</v>
      </c>
      <c r="HW210" s="388">
        <f t="shared" si="966"/>
        <v>0</v>
      </c>
      <c r="HX210" s="388">
        <f t="shared" si="966"/>
        <v>0</v>
      </c>
      <c r="HY210" s="388">
        <f t="shared" si="966"/>
        <v>0</v>
      </c>
      <c r="HZ210" s="388">
        <f t="shared" si="966"/>
        <v>0</v>
      </c>
      <c r="IA210" s="388">
        <f t="shared" si="966"/>
        <v>0</v>
      </c>
      <c r="IB210" s="388">
        <f t="shared" si="966"/>
        <v>0</v>
      </c>
      <c r="IC210" s="388">
        <f t="shared" si="966"/>
        <v>0</v>
      </c>
      <c r="ID210" s="388">
        <f t="shared" si="966"/>
        <v>0</v>
      </c>
      <c r="IE210" s="388">
        <f t="shared" si="966"/>
        <v>0</v>
      </c>
      <c r="IF210" s="388">
        <f t="shared" si="966"/>
        <v>0</v>
      </c>
      <c r="IG210" s="388">
        <f t="shared" si="966"/>
        <v>0</v>
      </c>
      <c r="IH210" s="388">
        <f t="shared" si="966"/>
        <v>0</v>
      </c>
      <c r="II210" s="388">
        <f t="shared" si="966"/>
        <v>0</v>
      </c>
      <c r="IJ210" s="388">
        <f t="shared" si="966"/>
        <v>0</v>
      </c>
      <c r="IK210" s="388">
        <f t="shared" si="966"/>
        <v>0</v>
      </c>
      <c r="IL210" s="388">
        <f t="shared" si="966"/>
        <v>0</v>
      </c>
      <c r="IM210" s="388">
        <f t="shared" si="966"/>
        <v>0</v>
      </c>
      <c r="IN210" s="388">
        <f t="shared" si="966"/>
        <v>0</v>
      </c>
      <c r="IO210" s="388">
        <f t="shared" si="966"/>
        <v>0</v>
      </c>
      <c r="IP210" s="388">
        <f t="shared" si="966"/>
        <v>0</v>
      </c>
      <c r="IQ210" s="388">
        <f t="shared" si="966"/>
        <v>0</v>
      </c>
      <c r="IR210" s="388">
        <f t="shared" si="966"/>
        <v>0</v>
      </c>
      <c r="IS210" s="388">
        <f t="shared" si="966"/>
        <v>0</v>
      </c>
      <c r="IT210" s="388">
        <f t="shared" si="966"/>
        <v>0</v>
      </c>
      <c r="IU210" s="388">
        <f t="shared" si="966"/>
        <v>0</v>
      </c>
      <c r="IV210" s="388">
        <f t="shared" si="966"/>
        <v>0</v>
      </c>
      <c r="IW210" s="388">
        <f t="shared" si="966"/>
        <v>0</v>
      </c>
      <c r="IX210" s="388">
        <f t="shared" si="966"/>
        <v>0</v>
      </c>
      <c r="IY210" s="388">
        <f t="shared" si="966"/>
        <v>0</v>
      </c>
      <c r="IZ210" s="388">
        <f t="shared" si="966"/>
        <v>0</v>
      </c>
      <c r="JA210" s="388">
        <f t="shared" si="966"/>
        <v>0</v>
      </c>
      <c r="JB210" s="388">
        <f t="shared" si="966"/>
        <v>0</v>
      </c>
      <c r="JC210" s="388">
        <f t="shared" si="966"/>
        <v>0</v>
      </c>
      <c r="JD210" s="388">
        <f t="shared" si="966"/>
        <v>0</v>
      </c>
      <c r="JE210" s="388">
        <f t="shared" si="966"/>
        <v>0</v>
      </c>
      <c r="JF210" s="388">
        <f t="shared" si="966"/>
        <v>0</v>
      </c>
      <c r="JG210" s="388">
        <f t="shared" si="966"/>
        <v>0</v>
      </c>
      <c r="JH210" s="388">
        <f t="shared" si="966"/>
        <v>0</v>
      </c>
      <c r="JI210" s="388">
        <f t="shared" si="966"/>
        <v>0</v>
      </c>
      <c r="JJ210" s="388">
        <f t="shared" si="966"/>
        <v>0</v>
      </c>
      <c r="JK210" s="388">
        <f t="shared" si="966"/>
        <v>0</v>
      </c>
      <c r="JL210" s="388">
        <f t="shared" si="966"/>
        <v>0</v>
      </c>
      <c r="JM210" s="388">
        <f t="shared" si="966"/>
        <v>0</v>
      </c>
      <c r="JN210" s="388">
        <f t="shared" si="966"/>
        <v>0</v>
      </c>
      <c r="JO210" s="388">
        <f t="shared" si="966"/>
        <v>0</v>
      </c>
      <c r="JP210" s="388">
        <f t="shared" si="966"/>
        <v>0</v>
      </c>
      <c r="JQ210" s="388">
        <f t="shared" si="966"/>
        <v>0</v>
      </c>
      <c r="JR210" s="388">
        <f t="shared" si="966"/>
        <v>0</v>
      </c>
      <c r="JS210" s="388">
        <f t="shared" si="966"/>
        <v>0</v>
      </c>
      <c r="JT210" s="388">
        <f t="shared" si="966"/>
        <v>0</v>
      </c>
      <c r="JU210" s="388">
        <f t="shared" si="966"/>
        <v>0</v>
      </c>
      <c r="JV210" s="388">
        <f t="shared" si="966"/>
        <v>0</v>
      </c>
      <c r="JW210" s="388">
        <f t="shared" si="966"/>
        <v>0</v>
      </c>
      <c r="JX210" s="388">
        <f t="shared" si="966"/>
        <v>0</v>
      </c>
      <c r="JY210" s="388">
        <f t="shared" si="966"/>
        <v>0</v>
      </c>
      <c r="JZ210" s="388">
        <f t="shared" si="966"/>
        <v>0</v>
      </c>
      <c r="KA210" s="388">
        <f t="shared" ref="KA210:KC210" si="967">IF(EQ232="",0,EQ232)</f>
        <v>0</v>
      </c>
      <c r="KB210" s="388">
        <f t="shared" si="967"/>
        <v>0</v>
      </c>
      <c r="KC210" s="388">
        <f t="shared" si="967"/>
        <v>0</v>
      </c>
    </row>
    <row r="211" spans="1:289" ht="14.25" customHeight="1" x14ac:dyDescent="0.35">
      <c r="B211" s="392" t="s">
        <v>581</v>
      </c>
      <c r="C211" s="196"/>
      <c r="D211" s="196"/>
      <c r="E211" s="196"/>
      <c r="F211" s="196"/>
      <c r="G211" s="196"/>
      <c r="H211" s="341"/>
      <c r="I211" s="218">
        <f t="shared" ca="1" si="951"/>
        <v>-2412875.1924297237</v>
      </c>
      <c r="Q211" s="220">
        <f t="shared" ref="Q211:AV211" ca="1" si="968">IF(Q198="","",Q85)</f>
        <v>0</v>
      </c>
      <c r="R211" s="220">
        <f t="shared" ca="1" si="968"/>
        <v>0</v>
      </c>
      <c r="S211" s="220">
        <f t="shared" ca="1" si="968"/>
        <v>0</v>
      </c>
      <c r="T211" s="220">
        <f t="shared" ca="1" si="968"/>
        <v>0</v>
      </c>
      <c r="U211" s="220">
        <f t="shared" ca="1" si="968"/>
        <v>0</v>
      </c>
      <c r="V211" s="220">
        <f t="shared" ca="1" si="968"/>
        <v>0</v>
      </c>
      <c r="W211" s="220">
        <f t="shared" ca="1" si="968"/>
        <v>0</v>
      </c>
      <c r="X211" s="220">
        <f t="shared" ca="1" si="968"/>
        <v>0</v>
      </c>
      <c r="Y211" s="220">
        <f t="shared" ca="1" si="968"/>
        <v>0</v>
      </c>
      <c r="Z211" s="220">
        <f t="shared" ca="1" si="968"/>
        <v>0</v>
      </c>
      <c r="AA211" s="220">
        <f t="shared" ca="1" si="968"/>
        <v>0</v>
      </c>
      <c r="AB211" s="220">
        <f t="shared" ca="1" si="968"/>
        <v>0</v>
      </c>
      <c r="AC211" s="220">
        <f t="shared" ca="1" si="968"/>
        <v>0</v>
      </c>
      <c r="AD211" s="220">
        <f t="shared" ca="1" si="968"/>
        <v>0</v>
      </c>
      <c r="AE211" s="220">
        <f t="shared" ca="1" si="968"/>
        <v>0</v>
      </c>
      <c r="AF211" s="220">
        <f t="shared" ca="1" si="968"/>
        <v>0</v>
      </c>
      <c r="AG211" s="220">
        <f t="shared" ca="1" si="968"/>
        <v>0</v>
      </c>
      <c r="AH211" s="220">
        <f t="shared" ca="1" si="968"/>
        <v>0</v>
      </c>
      <c r="AI211" s="220">
        <f t="shared" ca="1" si="968"/>
        <v>0</v>
      </c>
      <c r="AJ211" s="220">
        <f t="shared" ca="1" si="968"/>
        <v>0</v>
      </c>
      <c r="AK211" s="220">
        <f t="shared" ca="1" si="968"/>
        <v>0</v>
      </c>
      <c r="AL211" s="220">
        <f t="shared" ca="1" si="968"/>
        <v>0</v>
      </c>
      <c r="AM211" s="220">
        <f t="shared" ca="1" si="968"/>
        <v>0</v>
      </c>
      <c r="AN211" s="220">
        <f t="shared" ca="1" si="968"/>
        <v>0</v>
      </c>
      <c r="AO211" s="220">
        <f t="shared" ca="1" si="968"/>
        <v>0</v>
      </c>
      <c r="AP211" s="220">
        <f t="shared" ca="1" si="968"/>
        <v>0</v>
      </c>
      <c r="AQ211" s="220">
        <f t="shared" ca="1" si="968"/>
        <v>0</v>
      </c>
      <c r="AR211" s="220">
        <f t="shared" ca="1" si="968"/>
        <v>0</v>
      </c>
      <c r="AS211" s="220">
        <f t="shared" ca="1" si="968"/>
        <v>0</v>
      </c>
      <c r="AT211" s="220">
        <f t="shared" ca="1" si="968"/>
        <v>0</v>
      </c>
      <c r="AU211" s="220">
        <f t="shared" ca="1" si="968"/>
        <v>0</v>
      </c>
      <c r="AV211" s="220">
        <f t="shared" ca="1" si="968"/>
        <v>0</v>
      </c>
      <c r="AW211" s="220">
        <f t="shared" ref="AW211:CB211" ca="1" si="969">IF(AW198="","",AW85)</f>
        <v>0</v>
      </c>
      <c r="AX211" s="220">
        <f t="shared" ca="1" si="969"/>
        <v>0</v>
      </c>
      <c r="AY211" s="220">
        <f t="shared" ca="1" si="969"/>
        <v>0</v>
      </c>
      <c r="AZ211" s="220">
        <f t="shared" ca="1" si="969"/>
        <v>0</v>
      </c>
      <c r="BA211" s="220">
        <f t="shared" ca="1" si="969"/>
        <v>-2412875.1924297237</v>
      </c>
      <c r="BB211" s="220" t="str">
        <f t="shared" si="969"/>
        <v/>
      </c>
      <c r="BC211" s="220" t="str">
        <f t="shared" si="969"/>
        <v/>
      </c>
      <c r="BD211" s="220" t="str">
        <f t="shared" si="969"/>
        <v/>
      </c>
      <c r="BE211" s="220" t="str">
        <f t="shared" si="969"/>
        <v/>
      </c>
      <c r="BF211" s="220" t="str">
        <f t="shared" si="969"/>
        <v/>
      </c>
      <c r="BG211" s="220" t="str">
        <f t="shared" si="969"/>
        <v/>
      </c>
      <c r="BH211" s="220" t="str">
        <f t="shared" si="969"/>
        <v/>
      </c>
      <c r="BI211" s="220" t="str">
        <f t="shared" si="969"/>
        <v/>
      </c>
      <c r="BJ211" s="220" t="str">
        <f t="shared" si="969"/>
        <v/>
      </c>
      <c r="BK211" s="220" t="str">
        <f t="shared" si="969"/>
        <v/>
      </c>
      <c r="BL211" s="220" t="str">
        <f t="shared" si="969"/>
        <v/>
      </c>
      <c r="BM211" s="220" t="str">
        <f t="shared" si="969"/>
        <v/>
      </c>
      <c r="BN211" s="220" t="str">
        <f t="shared" si="969"/>
        <v/>
      </c>
      <c r="BO211" s="220" t="str">
        <f t="shared" si="969"/>
        <v/>
      </c>
      <c r="BP211" s="220" t="str">
        <f t="shared" si="969"/>
        <v/>
      </c>
      <c r="BQ211" s="220" t="str">
        <f t="shared" si="969"/>
        <v/>
      </c>
      <c r="BR211" s="220" t="str">
        <f t="shared" si="969"/>
        <v/>
      </c>
      <c r="BS211" s="220" t="str">
        <f t="shared" si="969"/>
        <v/>
      </c>
      <c r="BT211" s="220" t="str">
        <f t="shared" si="969"/>
        <v/>
      </c>
      <c r="BU211" s="220" t="str">
        <f t="shared" si="969"/>
        <v/>
      </c>
      <c r="BV211" s="220" t="str">
        <f t="shared" si="969"/>
        <v/>
      </c>
      <c r="BW211" s="220" t="str">
        <f t="shared" si="969"/>
        <v/>
      </c>
      <c r="BX211" s="220" t="str">
        <f t="shared" si="969"/>
        <v/>
      </c>
      <c r="BY211" s="220" t="str">
        <f t="shared" si="969"/>
        <v/>
      </c>
      <c r="BZ211" s="220" t="str">
        <f t="shared" si="969"/>
        <v/>
      </c>
      <c r="CA211" s="220" t="str">
        <f t="shared" si="969"/>
        <v/>
      </c>
      <c r="CB211" s="220" t="str">
        <f t="shared" si="969"/>
        <v/>
      </c>
      <c r="CC211" s="220" t="str">
        <f t="shared" ref="CC211:DH211" si="970">IF(CC198="","",CC85)</f>
        <v/>
      </c>
      <c r="CD211" s="220" t="str">
        <f t="shared" si="970"/>
        <v/>
      </c>
      <c r="CE211" s="220" t="str">
        <f t="shared" si="970"/>
        <v/>
      </c>
      <c r="CF211" s="220" t="str">
        <f t="shared" si="970"/>
        <v/>
      </c>
      <c r="CG211" s="220" t="str">
        <f t="shared" si="970"/>
        <v/>
      </c>
      <c r="CH211" s="220" t="str">
        <f t="shared" si="970"/>
        <v/>
      </c>
      <c r="CI211" s="220" t="str">
        <f t="shared" si="970"/>
        <v/>
      </c>
      <c r="CJ211" s="220" t="str">
        <f t="shared" si="970"/>
        <v/>
      </c>
      <c r="CK211" s="220" t="str">
        <f t="shared" si="970"/>
        <v/>
      </c>
      <c r="CL211" s="220" t="str">
        <f t="shared" si="970"/>
        <v/>
      </c>
      <c r="CM211" s="220" t="str">
        <f t="shared" si="970"/>
        <v/>
      </c>
      <c r="CN211" s="220" t="str">
        <f t="shared" si="970"/>
        <v/>
      </c>
      <c r="CO211" s="220" t="str">
        <f t="shared" si="970"/>
        <v/>
      </c>
      <c r="CP211" s="220" t="str">
        <f t="shared" si="970"/>
        <v/>
      </c>
      <c r="CQ211" s="220" t="str">
        <f t="shared" si="970"/>
        <v/>
      </c>
      <c r="CR211" s="220" t="str">
        <f t="shared" si="970"/>
        <v/>
      </c>
      <c r="CS211" s="220" t="str">
        <f t="shared" si="970"/>
        <v/>
      </c>
      <c r="CT211" s="220" t="str">
        <f t="shared" si="970"/>
        <v/>
      </c>
      <c r="CU211" s="220" t="str">
        <f t="shared" si="970"/>
        <v/>
      </c>
      <c r="CV211" s="220" t="str">
        <f t="shared" si="970"/>
        <v/>
      </c>
      <c r="CW211" s="220" t="str">
        <f t="shared" si="970"/>
        <v/>
      </c>
      <c r="CX211" s="220" t="str">
        <f t="shared" si="970"/>
        <v/>
      </c>
      <c r="CY211" s="220" t="str">
        <f t="shared" si="970"/>
        <v/>
      </c>
      <c r="CZ211" s="220" t="str">
        <f t="shared" si="970"/>
        <v/>
      </c>
      <c r="DA211" s="220" t="str">
        <f t="shared" si="970"/>
        <v/>
      </c>
      <c r="DB211" s="220" t="str">
        <f t="shared" si="970"/>
        <v/>
      </c>
      <c r="DC211" s="220" t="str">
        <f t="shared" si="970"/>
        <v/>
      </c>
      <c r="DD211" s="220" t="str">
        <f t="shared" si="970"/>
        <v/>
      </c>
      <c r="DE211" s="220" t="str">
        <f t="shared" si="970"/>
        <v/>
      </c>
      <c r="DF211" s="220" t="str">
        <f t="shared" si="970"/>
        <v/>
      </c>
      <c r="DG211" s="220" t="str">
        <f t="shared" si="970"/>
        <v/>
      </c>
      <c r="DH211" s="220" t="str">
        <f t="shared" si="970"/>
        <v/>
      </c>
      <c r="DI211" s="220" t="str">
        <f t="shared" ref="DI211:ES211" si="971">IF(DI198="","",DI85)</f>
        <v/>
      </c>
      <c r="DJ211" s="220" t="str">
        <f t="shared" si="971"/>
        <v/>
      </c>
      <c r="DK211" s="220" t="str">
        <f t="shared" si="971"/>
        <v/>
      </c>
      <c r="DL211" s="220" t="str">
        <f t="shared" si="971"/>
        <v/>
      </c>
      <c r="DM211" s="220" t="str">
        <f t="shared" si="971"/>
        <v/>
      </c>
      <c r="DN211" s="220" t="str">
        <f t="shared" si="971"/>
        <v/>
      </c>
      <c r="DO211" s="220" t="str">
        <f t="shared" si="971"/>
        <v/>
      </c>
      <c r="DP211" s="220" t="str">
        <f t="shared" si="971"/>
        <v/>
      </c>
      <c r="DQ211" s="220" t="str">
        <f t="shared" si="971"/>
        <v/>
      </c>
      <c r="DR211" s="220" t="str">
        <f t="shared" si="971"/>
        <v/>
      </c>
      <c r="DS211" s="220" t="str">
        <f t="shared" si="971"/>
        <v/>
      </c>
      <c r="DT211" s="220" t="str">
        <f t="shared" si="971"/>
        <v/>
      </c>
      <c r="DU211" s="220" t="str">
        <f t="shared" si="971"/>
        <v/>
      </c>
      <c r="DV211" s="220" t="str">
        <f t="shared" si="971"/>
        <v/>
      </c>
      <c r="DW211" s="220" t="str">
        <f t="shared" si="971"/>
        <v/>
      </c>
      <c r="DX211" s="220" t="str">
        <f t="shared" si="971"/>
        <v/>
      </c>
      <c r="DY211" s="220" t="str">
        <f t="shared" si="971"/>
        <v/>
      </c>
      <c r="DZ211" s="220" t="str">
        <f t="shared" si="971"/>
        <v/>
      </c>
      <c r="EA211" s="220" t="str">
        <f t="shared" si="971"/>
        <v/>
      </c>
      <c r="EB211" s="220" t="str">
        <f t="shared" si="971"/>
        <v/>
      </c>
      <c r="EC211" s="220" t="str">
        <f t="shared" si="971"/>
        <v/>
      </c>
      <c r="ED211" s="220" t="str">
        <f t="shared" si="971"/>
        <v/>
      </c>
      <c r="EE211" s="220" t="str">
        <f t="shared" si="971"/>
        <v/>
      </c>
      <c r="EF211" s="220" t="str">
        <f t="shared" si="971"/>
        <v/>
      </c>
      <c r="EG211" s="220" t="str">
        <f t="shared" si="971"/>
        <v/>
      </c>
      <c r="EH211" s="220" t="str">
        <f t="shared" si="971"/>
        <v/>
      </c>
      <c r="EI211" s="220" t="str">
        <f t="shared" si="971"/>
        <v/>
      </c>
      <c r="EJ211" s="220" t="str">
        <f t="shared" si="971"/>
        <v/>
      </c>
      <c r="EK211" s="220" t="str">
        <f t="shared" si="971"/>
        <v/>
      </c>
      <c r="EL211" s="220" t="str">
        <f t="shared" si="971"/>
        <v/>
      </c>
      <c r="EM211" s="220" t="str">
        <f t="shared" si="971"/>
        <v/>
      </c>
      <c r="EN211" s="220" t="str">
        <f t="shared" si="971"/>
        <v/>
      </c>
      <c r="EO211" s="220" t="str">
        <f t="shared" si="971"/>
        <v/>
      </c>
      <c r="EP211" s="220" t="str">
        <f t="shared" si="971"/>
        <v/>
      </c>
      <c r="EQ211" s="220" t="str">
        <f t="shared" si="971"/>
        <v/>
      </c>
      <c r="ER211" s="220" t="str">
        <f t="shared" si="971"/>
        <v/>
      </c>
      <c r="ES211" s="220" t="str">
        <f t="shared" si="971"/>
        <v/>
      </c>
      <c r="EU211" s="202" t="s">
        <v>617</v>
      </c>
      <c r="EV211" s="230" t="b">
        <f>AND(H237&lt;H232,D237="Yes")</f>
        <v>0</v>
      </c>
      <c r="EW211" s="153"/>
      <c r="EX211" s="153"/>
      <c r="EY211" s="154" t="s">
        <v>614</v>
      </c>
      <c r="EZ211" s="154"/>
      <c r="FA211" s="388">
        <f t="shared" ref="FA211:GF211" ca="1" si="972">(FA$201&lt;=Timing_Reversion_Month)*IFERROR((IF(CU?,MAX(MIN(FA200-FA205,FA208+FA209+FA210),0),FA205/$I$237*$H$237)),0)</f>
        <v>0</v>
      </c>
      <c r="FB211" s="388">
        <f t="shared" ca="1" si="972"/>
        <v>0</v>
      </c>
      <c r="FC211" s="388">
        <f t="shared" ca="1" si="972"/>
        <v>0</v>
      </c>
      <c r="FD211" s="388">
        <f t="shared" ca="1" si="972"/>
        <v>0</v>
      </c>
      <c r="FE211" s="388">
        <f t="shared" ca="1" si="972"/>
        <v>0</v>
      </c>
      <c r="FF211" s="388">
        <f t="shared" ca="1" si="972"/>
        <v>0</v>
      </c>
      <c r="FG211" s="388">
        <f t="shared" ca="1" si="972"/>
        <v>0</v>
      </c>
      <c r="FH211" s="388">
        <f t="shared" ca="1" si="972"/>
        <v>0</v>
      </c>
      <c r="FI211" s="388">
        <f t="shared" ca="1" si="972"/>
        <v>0</v>
      </c>
      <c r="FJ211" s="388">
        <f t="shared" ca="1" si="972"/>
        <v>0</v>
      </c>
      <c r="FK211" s="388">
        <f t="shared" ca="1" si="972"/>
        <v>0</v>
      </c>
      <c r="FL211" s="388">
        <f t="shared" ca="1" si="972"/>
        <v>0</v>
      </c>
      <c r="FM211" s="388">
        <f t="shared" ca="1" si="972"/>
        <v>0</v>
      </c>
      <c r="FN211" s="388">
        <f t="shared" ca="1" si="972"/>
        <v>0</v>
      </c>
      <c r="FO211" s="388">
        <f t="shared" ca="1" si="972"/>
        <v>0</v>
      </c>
      <c r="FP211" s="388">
        <f t="shared" ca="1" si="972"/>
        <v>0</v>
      </c>
      <c r="FQ211" s="388">
        <f t="shared" ca="1" si="972"/>
        <v>0</v>
      </c>
      <c r="FR211" s="388">
        <f t="shared" ca="1" si="972"/>
        <v>0</v>
      </c>
      <c r="FS211" s="388">
        <f t="shared" ca="1" si="972"/>
        <v>0</v>
      </c>
      <c r="FT211" s="388">
        <f t="shared" ca="1" si="972"/>
        <v>0</v>
      </c>
      <c r="FU211" s="388">
        <f t="shared" ca="1" si="972"/>
        <v>0</v>
      </c>
      <c r="FV211" s="388">
        <f t="shared" ca="1" si="972"/>
        <v>0</v>
      </c>
      <c r="FW211" s="388">
        <f t="shared" ca="1" si="972"/>
        <v>0</v>
      </c>
      <c r="FX211" s="388">
        <f t="shared" ca="1" si="972"/>
        <v>0</v>
      </c>
      <c r="FY211" s="388">
        <f t="shared" ca="1" si="972"/>
        <v>0</v>
      </c>
      <c r="FZ211" s="388">
        <f t="shared" ca="1" si="972"/>
        <v>0</v>
      </c>
      <c r="GA211" s="388">
        <f t="shared" ca="1" si="972"/>
        <v>0</v>
      </c>
      <c r="GB211" s="388">
        <f t="shared" ca="1" si="972"/>
        <v>0</v>
      </c>
      <c r="GC211" s="388">
        <f t="shared" ca="1" si="972"/>
        <v>0</v>
      </c>
      <c r="GD211" s="388">
        <f t="shared" ca="1" si="972"/>
        <v>0</v>
      </c>
      <c r="GE211" s="388">
        <f t="shared" ca="1" si="972"/>
        <v>0</v>
      </c>
      <c r="GF211" s="388">
        <f t="shared" ca="1" si="972"/>
        <v>0</v>
      </c>
      <c r="GG211" s="388">
        <f t="shared" ref="GG211:HL211" ca="1" si="973">(GG$201&lt;=Timing_Reversion_Month)*IFERROR((IF(CU?,MAX(MIN(GG200-GG205,GG208+GG209+GG210),0),GG205/$I$237*$H$237)),0)</f>
        <v>0</v>
      </c>
      <c r="GH211" s="388">
        <f t="shared" ca="1" si="973"/>
        <v>0</v>
      </c>
      <c r="GI211" s="388">
        <f t="shared" ca="1" si="973"/>
        <v>0</v>
      </c>
      <c r="GJ211" s="388">
        <f t="shared" ca="1" si="973"/>
        <v>0</v>
      </c>
      <c r="GK211" s="388">
        <f t="shared" ca="1" si="973"/>
        <v>0</v>
      </c>
      <c r="GL211" s="388">
        <f t="shared" ca="1" si="973"/>
        <v>0</v>
      </c>
      <c r="GM211" s="388">
        <f t="shared" ca="1" si="973"/>
        <v>0</v>
      </c>
      <c r="GN211" s="388">
        <f t="shared" ca="1" si="973"/>
        <v>0</v>
      </c>
      <c r="GO211" s="388">
        <f t="shared" ca="1" si="973"/>
        <v>0</v>
      </c>
      <c r="GP211" s="388">
        <f t="shared" ca="1" si="973"/>
        <v>0</v>
      </c>
      <c r="GQ211" s="388">
        <f t="shared" ca="1" si="973"/>
        <v>0</v>
      </c>
      <c r="GR211" s="388">
        <f t="shared" ca="1" si="973"/>
        <v>0</v>
      </c>
      <c r="GS211" s="388">
        <f t="shared" ca="1" si="973"/>
        <v>0</v>
      </c>
      <c r="GT211" s="388">
        <f t="shared" ca="1" si="973"/>
        <v>0</v>
      </c>
      <c r="GU211" s="388">
        <f t="shared" ca="1" si="973"/>
        <v>0</v>
      </c>
      <c r="GV211" s="388">
        <f t="shared" ca="1" si="973"/>
        <v>0</v>
      </c>
      <c r="GW211" s="388">
        <f t="shared" ca="1" si="973"/>
        <v>0</v>
      </c>
      <c r="GX211" s="388">
        <f t="shared" ca="1" si="973"/>
        <v>0</v>
      </c>
      <c r="GY211" s="388">
        <f t="shared" ca="1" si="973"/>
        <v>0</v>
      </c>
      <c r="GZ211" s="388">
        <f t="shared" ca="1" si="973"/>
        <v>0</v>
      </c>
      <c r="HA211" s="388">
        <f t="shared" ca="1" si="973"/>
        <v>0</v>
      </c>
      <c r="HB211" s="388">
        <f t="shared" ca="1" si="973"/>
        <v>0</v>
      </c>
      <c r="HC211" s="388">
        <f t="shared" ca="1" si="973"/>
        <v>0</v>
      </c>
      <c r="HD211" s="388">
        <f t="shared" ca="1" si="973"/>
        <v>0</v>
      </c>
      <c r="HE211" s="388">
        <f t="shared" ca="1" si="973"/>
        <v>0</v>
      </c>
      <c r="HF211" s="388">
        <f t="shared" ca="1" si="973"/>
        <v>0</v>
      </c>
      <c r="HG211" s="388">
        <f t="shared" ca="1" si="973"/>
        <v>0</v>
      </c>
      <c r="HH211" s="388">
        <f t="shared" ca="1" si="973"/>
        <v>0</v>
      </c>
      <c r="HI211" s="388">
        <f t="shared" ca="1" si="973"/>
        <v>0</v>
      </c>
      <c r="HJ211" s="388">
        <f t="shared" ca="1" si="973"/>
        <v>0</v>
      </c>
      <c r="HK211" s="388">
        <f t="shared" ca="1" si="973"/>
        <v>0</v>
      </c>
      <c r="HL211" s="388">
        <f t="shared" ca="1" si="973"/>
        <v>0</v>
      </c>
      <c r="HM211" s="388">
        <f t="shared" ref="HM211:IR211" ca="1" si="974">(HM$201&lt;=Timing_Reversion_Month)*IFERROR((IF(CU?,MAX(MIN(HM200-HM205,HM208+HM209+HM210),0),HM205/$I$237*$H$237)),0)</f>
        <v>0</v>
      </c>
      <c r="HN211" s="388">
        <f t="shared" ca="1" si="974"/>
        <v>0</v>
      </c>
      <c r="HO211" s="388">
        <f t="shared" ca="1" si="974"/>
        <v>0</v>
      </c>
      <c r="HP211" s="388">
        <f t="shared" ca="1" si="974"/>
        <v>0</v>
      </c>
      <c r="HQ211" s="388">
        <f t="shared" ca="1" si="974"/>
        <v>0</v>
      </c>
      <c r="HR211" s="388">
        <f t="shared" ca="1" si="974"/>
        <v>0</v>
      </c>
      <c r="HS211" s="388">
        <f t="shared" ca="1" si="974"/>
        <v>0</v>
      </c>
      <c r="HT211" s="388">
        <f t="shared" ca="1" si="974"/>
        <v>0</v>
      </c>
      <c r="HU211" s="388">
        <f t="shared" ca="1" si="974"/>
        <v>0</v>
      </c>
      <c r="HV211" s="388">
        <f t="shared" ca="1" si="974"/>
        <v>0</v>
      </c>
      <c r="HW211" s="388">
        <f t="shared" ca="1" si="974"/>
        <v>0</v>
      </c>
      <c r="HX211" s="388">
        <f t="shared" ca="1" si="974"/>
        <v>0</v>
      </c>
      <c r="HY211" s="388">
        <f t="shared" ca="1" si="974"/>
        <v>0</v>
      </c>
      <c r="HZ211" s="388">
        <f t="shared" ca="1" si="974"/>
        <v>0</v>
      </c>
      <c r="IA211" s="388">
        <f t="shared" ca="1" si="974"/>
        <v>0</v>
      </c>
      <c r="IB211" s="388">
        <f t="shared" ca="1" si="974"/>
        <v>0</v>
      </c>
      <c r="IC211" s="388">
        <f t="shared" ca="1" si="974"/>
        <v>0</v>
      </c>
      <c r="ID211" s="388">
        <f t="shared" ca="1" si="974"/>
        <v>0</v>
      </c>
      <c r="IE211" s="388">
        <f t="shared" ca="1" si="974"/>
        <v>0</v>
      </c>
      <c r="IF211" s="388">
        <f t="shared" ca="1" si="974"/>
        <v>0</v>
      </c>
      <c r="IG211" s="388">
        <f t="shared" ca="1" si="974"/>
        <v>0</v>
      </c>
      <c r="IH211" s="388">
        <f t="shared" ca="1" si="974"/>
        <v>0</v>
      </c>
      <c r="II211" s="388">
        <f t="shared" ca="1" si="974"/>
        <v>0</v>
      </c>
      <c r="IJ211" s="388">
        <f t="shared" ca="1" si="974"/>
        <v>0</v>
      </c>
      <c r="IK211" s="388">
        <f t="shared" ca="1" si="974"/>
        <v>0</v>
      </c>
      <c r="IL211" s="388">
        <f t="shared" ca="1" si="974"/>
        <v>0</v>
      </c>
      <c r="IM211" s="388">
        <f t="shared" ca="1" si="974"/>
        <v>0</v>
      </c>
      <c r="IN211" s="388">
        <f t="shared" ca="1" si="974"/>
        <v>0</v>
      </c>
      <c r="IO211" s="388">
        <f t="shared" ca="1" si="974"/>
        <v>0</v>
      </c>
      <c r="IP211" s="388">
        <f t="shared" ca="1" si="974"/>
        <v>0</v>
      </c>
      <c r="IQ211" s="388">
        <f t="shared" ca="1" si="974"/>
        <v>0</v>
      </c>
      <c r="IR211" s="388">
        <f t="shared" ca="1" si="974"/>
        <v>0</v>
      </c>
      <c r="IS211" s="388">
        <f t="shared" ref="IS211:JX211" ca="1" si="975">(IS$201&lt;=Timing_Reversion_Month)*IFERROR((IF(CU?,MAX(MIN(IS200-IS205,IS208+IS209+IS210),0),IS205/$I$237*$H$237)),0)</f>
        <v>0</v>
      </c>
      <c r="IT211" s="388">
        <f t="shared" ca="1" si="975"/>
        <v>0</v>
      </c>
      <c r="IU211" s="388">
        <f t="shared" ca="1" si="975"/>
        <v>0</v>
      </c>
      <c r="IV211" s="388">
        <f t="shared" ca="1" si="975"/>
        <v>0</v>
      </c>
      <c r="IW211" s="388">
        <f t="shared" ca="1" si="975"/>
        <v>0</v>
      </c>
      <c r="IX211" s="388">
        <f t="shared" ca="1" si="975"/>
        <v>0</v>
      </c>
      <c r="IY211" s="388">
        <f t="shared" ca="1" si="975"/>
        <v>0</v>
      </c>
      <c r="IZ211" s="388">
        <f t="shared" ca="1" si="975"/>
        <v>0</v>
      </c>
      <c r="JA211" s="388">
        <f t="shared" ca="1" si="975"/>
        <v>0</v>
      </c>
      <c r="JB211" s="388">
        <f t="shared" ca="1" si="975"/>
        <v>0</v>
      </c>
      <c r="JC211" s="388">
        <f t="shared" ca="1" si="975"/>
        <v>0</v>
      </c>
      <c r="JD211" s="388">
        <f t="shared" ca="1" si="975"/>
        <v>0</v>
      </c>
      <c r="JE211" s="388">
        <f t="shared" ca="1" si="975"/>
        <v>0</v>
      </c>
      <c r="JF211" s="388">
        <f t="shared" ca="1" si="975"/>
        <v>0</v>
      </c>
      <c r="JG211" s="388">
        <f t="shared" ca="1" si="975"/>
        <v>0</v>
      </c>
      <c r="JH211" s="388">
        <f t="shared" ca="1" si="975"/>
        <v>0</v>
      </c>
      <c r="JI211" s="388">
        <f t="shared" ca="1" si="975"/>
        <v>0</v>
      </c>
      <c r="JJ211" s="388">
        <f t="shared" ca="1" si="975"/>
        <v>0</v>
      </c>
      <c r="JK211" s="388">
        <f t="shared" ca="1" si="975"/>
        <v>0</v>
      </c>
      <c r="JL211" s="388">
        <f t="shared" ca="1" si="975"/>
        <v>0</v>
      </c>
      <c r="JM211" s="388">
        <f t="shared" ca="1" si="975"/>
        <v>0</v>
      </c>
      <c r="JN211" s="388">
        <f t="shared" ca="1" si="975"/>
        <v>0</v>
      </c>
      <c r="JO211" s="388">
        <f t="shared" ca="1" si="975"/>
        <v>0</v>
      </c>
      <c r="JP211" s="388">
        <f t="shared" ca="1" si="975"/>
        <v>0</v>
      </c>
      <c r="JQ211" s="388">
        <f t="shared" ca="1" si="975"/>
        <v>0</v>
      </c>
      <c r="JR211" s="388">
        <f t="shared" ca="1" si="975"/>
        <v>0</v>
      </c>
      <c r="JS211" s="388">
        <f t="shared" ca="1" si="975"/>
        <v>0</v>
      </c>
      <c r="JT211" s="388">
        <f t="shared" ca="1" si="975"/>
        <v>0</v>
      </c>
      <c r="JU211" s="388">
        <f t="shared" ca="1" si="975"/>
        <v>0</v>
      </c>
      <c r="JV211" s="388">
        <f t="shared" ca="1" si="975"/>
        <v>0</v>
      </c>
      <c r="JW211" s="388">
        <f t="shared" ca="1" si="975"/>
        <v>0</v>
      </c>
      <c r="JX211" s="388">
        <f t="shared" ca="1" si="975"/>
        <v>0</v>
      </c>
      <c r="JY211" s="388">
        <f t="shared" ref="JY211:KC211" ca="1" si="976">(JY$201&lt;=Timing_Reversion_Month)*IFERROR((IF(CU?,MAX(MIN(JY200-JY205,JY208+JY209+JY210),0),JY205/$I$237*$H$237)),0)</f>
        <v>0</v>
      </c>
      <c r="JZ211" s="388">
        <f t="shared" ca="1" si="976"/>
        <v>0</v>
      </c>
      <c r="KA211" s="388">
        <f t="shared" ca="1" si="976"/>
        <v>0</v>
      </c>
      <c r="KB211" s="388">
        <f t="shared" ca="1" si="976"/>
        <v>0</v>
      </c>
      <c r="KC211" s="388">
        <f t="shared" ca="1" si="976"/>
        <v>0</v>
      </c>
    </row>
    <row r="212" spans="1:289" ht="14.25" customHeight="1" x14ac:dyDescent="0.25">
      <c r="B212" s="180" t="s">
        <v>590</v>
      </c>
      <c r="C212" s="196"/>
      <c r="D212" s="196"/>
      <c r="E212" s="196"/>
      <c r="F212" s="196"/>
      <c r="G212" s="196"/>
      <c r="H212" s="218"/>
      <c r="I212" s="218">
        <f ca="1">SUM(I209:I211)+I204</f>
        <v>1825548.8045926369</v>
      </c>
      <c r="Q212" s="220">
        <f ca="1">IF(Q198="","",SUM(Q209:Q211,Q204))</f>
        <v>0</v>
      </c>
      <c r="R212" s="220">
        <f t="shared" ref="R212:CC212" ca="1" si="977">IF(R198="","",SUM(R209:R211,R204))</f>
        <v>0</v>
      </c>
      <c r="S212" s="220">
        <f t="shared" ca="1" si="977"/>
        <v>0</v>
      </c>
      <c r="T212" s="220">
        <f t="shared" ca="1" si="977"/>
        <v>0</v>
      </c>
      <c r="U212" s="220">
        <f t="shared" ca="1" si="977"/>
        <v>0</v>
      </c>
      <c r="V212" s="220">
        <f t="shared" ca="1" si="977"/>
        <v>0</v>
      </c>
      <c r="W212" s="220">
        <f t="shared" ca="1" si="977"/>
        <v>0</v>
      </c>
      <c r="X212" s="220">
        <f t="shared" ca="1" si="977"/>
        <v>0</v>
      </c>
      <c r="Y212" s="220">
        <f t="shared" ca="1" si="977"/>
        <v>0</v>
      </c>
      <c r="Z212" s="220">
        <f t="shared" ca="1" si="977"/>
        <v>0</v>
      </c>
      <c r="AA212" s="220">
        <f t="shared" ca="1" si="977"/>
        <v>0</v>
      </c>
      <c r="AB212" s="220">
        <f t="shared" ca="1" si="977"/>
        <v>0</v>
      </c>
      <c r="AC212" s="220">
        <f t="shared" ca="1" si="977"/>
        <v>0</v>
      </c>
      <c r="AD212" s="220">
        <f t="shared" ca="1" si="977"/>
        <v>0</v>
      </c>
      <c r="AE212" s="220">
        <f t="shared" ca="1" si="977"/>
        <v>0</v>
      </c>
      <c r="AF212" s="220">
        <f t="shared" ca="1" si="977"/>
        <v>0</v>
      </c>
      <c r="AG212" s="220">
        <f t="shared" ca="1" si="977"/>
        <v>0</v>
      </c>
      <c r="AH212" s="220">
        <f t="shared" ca="1" si="977"/>
        <v>0</v>
      </c>
      <c r="AI212" s="220">
        <f t="shared" ca="1" si="977"/>
        <v>0</v>
      </c>
      <c r="AJ212" s="220">
        <f t="shared" ca="1" si="977"/>
        <v>0</v>
      </c>
      <c r="AK212" s="220">
        <f t="shared" ca="1" si="977"/>
        <v>0</v>
      </c>
      <c r="AL212" s="220">
        <f t="shared" ca="1" si="977"/>
        <v>0</v>
      </c>
      <c r="AM212" s="220">
        <f t="shared" ca="1" si="977"/>
        <v>0</v>
      </c>
      <c r="AN212" s="220">
        <f t="shared" ca="1" si="977"/>
        <v>0</v>
      </c>
      <c r="AO212" s="220">
        <f t="shared" ca="1" si="977"/>
        <v>0</v>
      </c>
      <c r="AP212" s="220">
        <f t="shared" ca="1" si="977"/>
        <v>0</v>
      </c>
      <c r="AQ212" s="220">
        <f t="shared" ca="1" si="977"/>
        <v>0</v>
      </c>
      <c r="AR212" s="220">
        <f t="shared" ca="1" si="977"/>
        <v>0</v>
      </c>
      <c r="AS212" s="220">
        <f t="shared" ca="1" si="977"/>
        <v>0</v>
      </c>
      <c r="AT212" s="220">
        <f t="shared" ca="1" si="977"/>
        <v>0</v>
      </c>
      <c r="AU212" s="220">
        <f t="shared" ca="1" si="977"/>
        <v>0</v>
      </c>
      <c r="AV212" s="220">
        <f t="shared" ca="1" si="977"/>
        <v>0</v>
      </c>
      <c r="AW212" s="220">
        <f t="shared" ca="1" si="977"/>
        <v>0</v>
      </c>
      <c r="AX212" s="220">
        <f t="shared" ca="1" si="977"/>
        <v>0</v>
      </c>
      <c r="AY212" s="220">
        <f t="shared" ca="1" si="977"/>
        <v>0</v>
      </c>
      <c r="AZ212" s="220">
        <f t="shared" ca="1" si="977"/>
        <v>0</v>
      </c>
      <c r="BA212" s="220">
        <f t="shared" ca="1" si="977"/>
        <v>1825548.8045926369</v>
      </c>
      <c r="BB212" s="220" t="str">
        <f t="shared" si="977"/>
        <v/>
      </c>
      <c r="BC212" s="220" t="str">
        <f t="shared" si="977"/>
        <v/>
      </c>
      <c r="BD212" s="220" t="str">
        <f t="shared" si="977"/>
        <v/>
      </c>
      <c r="BE212" s="220" t="str">
        <f t="shared" si="977"/>
        <v/>
      </c>
      <c r="BF212" s="220" t="str">
        <f t="shared" si="977"/>
        <v/>
      </c>
      <c r="BG212" s="220" t="str">
        <f t="shared" si="977"/>
        <v/>
      </c>
      <c r="BH212" s="220" t="str">
        <f t="shared" si="977"/>
        <v/>
      </c>
      <c r="BI212" s="220" t="str">
        <f t="shared" si="977"/>
        <v/>
      </c>
      <c r="BJ212" s="220" t="str">
        <f t="shared" si="977"/>
        <v/>
      </c>
      <c r="BK212" s="220" t="str">
        <f t="shared" si="977"/>
        <v/>
      </c>
      <c r="BL212" s="220" t="str">
        <f t="shared" si="977"/>
        <v/>
      </c>
      <c r="BM212" s="220" t="str">
        <f t="shared" si="977"/>
        <v/>
      </c>
      <c r="BN212" s="220" t="str">
        <f t="shared" si="977"/>
        <v/>
      </c>
      <c r="BO212" s="220" t="str">
        <f t="shared" si="977"/>
        <v/>
      </c>
      <c r="BP212" s="220" t="str">
        <f t="shared" si="977"/>
        <v/>
      </c>
      <c r="BQ212" s="220" t="str">
        <f t="shared" si="977"/>
        <v/>
      </c>
      <c r="BR212" s="220" t="str">
        <f t="shared" si="977"/>
        <v/>
      </c>
      <c r="BS212" s="220" t="str">
        <f t="shared" si="977"/>
        <v/>
      </c>
      <c r="BT212" s="220" t="str">
        <f t="shared" si="977"/>
        <v/>
      </c>
      <c r="BU212" s="220" t="str">
        <f t="shared" si="977"/>
        <v/>
      </c>
      <c r="BV212" s="220" t="str">
        <f t="shared" si="977"/>
        <v/>
      </c>
      <c r="BW212" s="220" t="str">
        <f t="shared" si="977"/>
        <v/>
      </c>
      <c r="BX212" s="220" t="str">
        <f t="shared" si="977"/>
        <v/>
      </c>
      <c r="BY212" s="220" t="str">
        <f t="shared" si="977"/>
        <v/>
      </c>
      <c r="BZ212" s="220" t="str">
        <f t="shared" si="977"/>
        <v/>
      </c>
      <c r="CA212" s="220" t="str">
        <f t="shared" si="977"/>
        <v/>
      </c>
      <c r="CB212" s="220" t="str">
        <f t="shared" si="977"/>
        <v/>
      </c>
      <c r="CC212" s="220" t="str">
        <f t="shared" si="977"/>
        <v/>
      </c>
      <c r="CD212" s="220" t="str">
        <f t="shared" ref="CD212:EO212" si="978">IF(CD198="","",SUM(CD209:CD211,CD204))</f>
        <v/>
      </c>
      <c r="CE212" s="220" t="str">
        <f t="shared" si="978"/>
        <v/>
      </c>
      <c r="CF212" s="220" t="str">
        <f t="shared" si="978"/>
        <v/>
      </c>
      <c r="CG212" s="220" t="str">
        <f t="shared" si="978"/>
        <v/>
      </c>
      <c r="CH212" s="220" t="str">
        <f t="shared" si="978"/>
        <v/>
      </c>
      <c r="CI212" s="220" t="str">
        <f t="shared" si="978"/>
        <v/>
      </c>
      <c r="CJ212" s="220" t="str">
        <f t="shared" si="978"/>
        <v/>
      </c>
      <c r="CK212" s="220" t="str">
        <f t="shared" si="978"/>
        <v/>
      </c>
      <c r="CL212" s="220" t="str">
        <f t="shared" si="978"/>
        <v/>
      </c>
      <c r="CM212" s="220" t="str">
        <f t="shared" si="978"/>
        <v/>
      </c>
      <c r="CN212" s="220" t="str">
        <f t="shared" si="978"/>
        <v/>
      </c>
      <c r="CO212" s="220" t="str">
        <f t="shared" si="978"/>
        <v/>
      </c>
      <c r="CP212" s="220" t="str">
        <f t="shared" si="978"/>
        <v/>
      </c>
      <c r="CQ212" s="220" t="str">
        <f t="shared" si="978"/>
        <v/>
      </c>
      <c r="CR212" s="220" t="str">
        <f t="shared" si="978"/>
        <v/>
      </c>
      <c r="CS212" s="220" t="str">
        <f t="shared" si="978"/>
        <v/>
      </c>
      <c r="CT212" s="220" t="str">
        <f t="shared" si="978"/>
        <v/>
      </c>
      <c r="CU212" s="220" t="str">
        <f t="shared" si="978"/>
        <v/>
      </c>
      <c r="CV212" s="220" t="str">
        <f t="shared" si="978"/>
        <v/>
      </c>
      <c r="CW212" s="220" t="str">
        <f t="shared" si="978"/>
        <v/>
      </c>
      <c r="CX212" s="220" t="str">
        <f t="shared" si="978"/>
        <v/>
      </c>
      <c r="CY212" s="220" t="str">
        <f t="shared" si="978"/>
        <v/>
      </c>
      <c r="CZ212" s="220" t="str">
        <f t="shared" si="978"/>
        <v/>
      </c>
      <c r="DA212" s="220" t="str">
        <f t="shared" si="978"/>
        <v/>
      </c>
      <c r="DB212" s="220" t="str">
        <f t="shared" si="978"/>
        <v/>
      </c>
      <c r="DC212" s="220" t="str">
        <f t="shared" si="978"/>
        <v/>
      </c>
      <c r="DD212" s="220" t="str">
        <f t="shared" si="978"/>
        <v/>
      </c>
      <c r="DE212" s="220" t="str">
        <f t="shared" si="978"/>
        <v/>
      </c>
      <c r="DF212" s="220" t="str">
        <f t="shared" si="978"/>
        <v/>
      </c>
      <c r="DG212" s="220" t="str">
        <f t="shared" si="978"/>
        <v/>
      </c>
      <c r="DH212" s="220" t="str">
        <f t="shared" si="978"/>
        <v/>
      </c>
      <c r="DI212" s="220" t="str">
        <f t="shared" si="978"/>
        <v/>
      </c>
      <c r="DJ212" s="220" t="str">
        <f t="shared" si="978"/>
        <v/>
      </c>
      <c r="DK212" s="220" t="str">
        <f t="shared" si="978"/>
        <v/>
      </c>
      <c r="DL212" s="220" t="str">
        <f t="shared" si="978"/>
        <v/>
      </c>
      <c r="DM212" s="220" t="str">
        <f t="shared" si="978"/>
        <v/>
      </c>
      <c r="DN212" s="220" t="str">
        <f t="shared" si="978"/>
        <v/>
      </c>
      <c r="DO212" s="220" t="str">
        <f t="shared" si="978"/>
        <v/>
      </c>
      <c r="DP212" s="220" t="str">
        <f t="shared" si="978"/>
        <v/>
      </c>
      <c r="DQ212" s="220" t="str">
        <f t="shared" si="978"/>
        <v/>
      </c>
      <c r="DR212" s="220" t="str">
        <f t="shared" si="978"/>
        <v/>
      </c>
      <c r="DS212" s="220" t="str">
        <f t="shared" si="978"/>
        <v/>
      </c>
      <c r="DT212" s="220" t="str">
        <f t="shared" si="978"/>
        <v/>
      </c>
      <c r="DU212" s="220" t="str">
        <f t="shared" si="978"/>
        <v/>
      </c>
      <c r="DV212" s="220" t="str">
        <f t="shared" si="978"/>
        <v/>
      </c>
      <c r="DW212" s="220" t="str">
        <f t="shared" si="978"/>
        <v/>
      </c>
      <c r="DX212" s="220" t="str">
        <f t="shared" si="978"/>
        <v/>
      </c>
      <c r="DY212" s="220" t="str">
        <f t="shared" si="978"/>
        <v/>
      </c>
      <c r="DZ212" s="220" t="str">
        <f t="shared" si="978"/>
        <v/>
      </c>
      <c r="EA212" s="220" t="str">
        <f t="shared" si="978"/>
        <v/>
      </c>
      <c r="EB212" s="220" t="str">
        <f t="shared" si="978"/>
        <v/>
      </c>
      <c r="EC212" s="220" t="str">
        <f t="shared" si="978"/>
        <v/>
      </c>
      <c r="ED212" s="220" t="str">
        <f t="shared" si="978"/>
        <v/>
      </c>
      <c r="EE212" s="220" t="str">
        <f t="shared" si="978"/>
        <v/>
      </c>
      <c r="EF212" s="220" t="str">
        <f t="shared" si="978"/>
        <v/>
      </c>
      <c r="EG212" s="220" t="str">
        <f t="shared" si="978"/>
        <v/>
      </c>
      <c r="EH212" s="220" t="str">
        <f t="shared" si="978"/>
        <v/>
      </c>
      <c r="EI212" s="220" t="str">
        <f t="shared" si="978"/>
        <v/>
      </c>
      <c r="EJ212" s="220" t="str">
        <f t="shared" si="978"/>
        <v/>
      </c>
      <c r="EK212" s="220" t="str">
        <f t="shared" si="978"/>
        <v/>
      </c>
      <c r="EL212" s="220" t="str">
        <f t="shared" si="978"/>
        <v/>
      </c>
      <c r="EM212" s="220" t="str">
        <f t="shared" si="978"/>
        <v/>
      </c>
      <c r="EN212" s="220" t="str">
        <f t="shared" si="978"/>
        <v/>
      </c>
      <c r="EO212" s="220" t="str">
        <f t="shared" si="978"/>
        <v/>
      </c>
      <c r="EP212" s="220" t="str">
        <f t="shared" ref="EP212:ES212" si="979">IF(EP198="","",SUM(EP209:EP211,EP204))</f>
        <v/>
      </c>
      <c r="EQ212" s="220" t="str">
        <f t="shared" si="979"/>
        <v/>
      </c>
      <c r="ER212" s="220" t="str">
        <f t="shared" si="979"/>
        <v/>
      </c>
      <c r="ES212" s="220" t="str">
        <f t="shared" si="979"/>
        <v/>
      </c>
      <c r="EU212" s="202"/>
      <c r="EV212" s="153"/>
      <c r="EW212" s="153"/>
      <c r="EX212" s="153"/>
      <c r="EY212" s="154" t="s">
        <v>613</v>
      </c>
      <c r="EZ212" s="388"/>
      <c r="FA212" s="388">
        <f t="shared" ref="FA212:GF212" ca="1" si="980">(FA$201&lt;=Timing_Reversion_Month)*(FA208+FA209+FA210-FA211)</f>
        <v>822502.85714285716</v>
      </c>
      <c r="FB212" s="388">
        <f t="shared" ca="1" si="980"/>
        <v>845271.80942827126</v>
      </c>
      <c r="FC212" s="388">
        <f t="shared" ca="1" si="980"/>
        <v>903868.87993627484</v>
      </c>
      <c r="FD212" s="388">
        <f t="shared" ca="1" si="980"/>
        <v>1046903.1567306228</v>
      </c>
      <c r="FE212" s="388">
        <f t="shared" ca="1" si="980"/>
        <v>1336885.8195490404</v>
      </c>
      <c r="FF212" s="388">
        <f t="shared" ca="1" si="980"/>
        <v>1651155.5364815963</v>
      </c>
      <c r="FG212" s="388">
        <f t="shared" ca="1" si="980"/>
        <v>1663055.9482782483</v>
      </c>
      <c r="FH212" s="388">
        <f t="shared" ca="1" si="980"/>
        <v>1675042.130190314</v>
      </c>
      <c r="FI212" s="388">
        <f t="shared" ca="1" si="980"/>
        <v>1687114.7003907459</v>
      </c>
      <c r="FJ212" s="388">
        <f t="shared" ca="1" si="980"/>
        <v>1699274.281507869</v>
      </c>
      <c r="FK212" s="388">
        <f t="shared" ca="1" si="980"/>
        <v>1711521.5006574921</v>
      </c>
      <c r="FL212" s="388">
        <f t="shared" ca="1" si="980"/>
        <v>1723856.9894752502</v>
      </c>
      <c r="FM212" s="388">
        <f t="shared" ca="1" si="980"/>
        <v>1736281.3841491805</v>
      </c>
      <c r="FN212" s="388">
        <f t="shared" ca="1" si="980"/>
        <v>1748795.3254525331</v>
      </c>
      <c r="FO212" s="388">
        <f t="shared" ca="1" si="980"/>
        <v>1761399.4587768181</v>
      </c>
      <c r="FP212" s="388">
        <f t="shared" ca="1" si="980"/>
        <v>1774094.4341650908</v>
      </c>
      <c r="FQ212" s="388">
        <f t="shared" ca="1" si="980"/>
        <v>1786880.9063454773</v>
      </c>
      <c r="FR212" s="388">
        <f t="shared" ca="1" si="980"/>
        <v>1799759.5347649406</v>
      </c>
      <c r="FS212" s="388">
        <f t="shared" ca="1" si="980"/>
        <v>1812730.9836232914</v>
      </c>
      <c r="FT212" s="388">
        <f t="shared" ca="1" si="980"/>
        <v>1825795.9219074429</v>
      </c>
      <c r="FU212" s="388">
        <f t="shared" ca="1" si="980"/>
        <v>1838955.0234259136</v>
      </c>
      <c r="FV212" s="388">
        <f t="shared" ca="1" si="980"/>
        <v>1852208.966843578</v>
      </c>
      <c r="FW212" s="388">
        <f t="shared" ca="1" si="980"/>
        <v>1865558.4357166672</v>
      </c>
      <c r="FX212" s="388">
        <f t="shared" ca="1" si="980"/>
        <v>1879004.1185280236</v>
      </c>
      <c r="FY212" s="388">
        <f t="shared" ca="1" si="980"/>
        <v>1892546.7087226075</v>
      </c>
      <c r="FZ212" s="388">
        <f t="shared" ca="1" si="980"/>
        <v>1906186.9047432616</v>
      </c>
      <c r="GA212" s="388">
        <f t="shared" ca="1" si="980"/>
        <v>1919925.4100667322</v>
      </c>
      <c r="GB212" s="388">
        <f t="shared" ca="1" si="980"/>
        <v>1933762.9332399494</v>
      </c>
      <c r="GC212" s="388">
        <f t="shared" ca="1" si="980"/>
        <v>1947700.1879165706</v>
      </c>
      <c r="GD212" s="388">
        <f t="shared" ca="1" si="980"/>
        <v>1961737.8928937856</v>
      </c>
      <c r="GE212" s="388">
        <f t="shared" ca="1" si="980"/>
        <v>1975876.772149388</v>
      </c>
      <c r="GF212" s="388">
        <f t="shared" ca="1" si="980"/>
        <v>1990117.5548791131</v>
      </c>
      <c r="GG212" s="388">
        <f t="shared" ref="GG212:HL212" ca="1" si="981">(GG$201&lt;=Timing_Reversion_Month)*(GG208+GG209+GG210-GG211)</f>
        <v>2004460.9755342463</v>
      </c>
      <c r="GH212" s="388">
        <f t="shared" ca="1" si="981"/>
        <v>2018907.7738595004</v>
      </c>
      <c r="GI212" s="388">
        <f t="shared" ca="1" si="981"/>
        <v>2033458.6949311676</v>
      </c>
      <c r="GJ212" s="388">
        <f t="shared" ca="1" si="981"/>
        <v>2048114.4891955459</v>
      </c>
      <c r="GK212" s="388">
        <f t="shared" ca="1" si="981"/>
        <v>2062875.9125076423</v>
      </c>
      <c r="GL212" s="388">
        <f t="shared" ca="1" si="981"/>
        <v>0</v>
      </c>
      <c r="GM212" s="388">
        <f t="shared" ca="1" si="981"/>
        <v>0</v>
      </c>
      <c r="GN212" s="388">
        <f t="shared" ca="1" si="981"/>
        <v>0</v>
      </c>
      <c r="GO212" s="388">
        <f t="shared" ca="1" si="981"/>
        <v>0</v>
      </c>
      <c r="GP212" s="388">
        <f t="shared" ca="1" si="981"/>
        <v>0</v>
      </c>
      <c r="GQ212" s="388">
        <f t="shared" ca="1" si="981"/>
        <v>0</v>
      </c>
      <c r="GR212" s="388">
        <f t="shared" ca="1" si="981"/>
        <v>0</v>
      </c>
      <c r="GS212" s="388">
        <f t="shared" ca="1" si="981"/>
        <v>0</v>
      </c>
      <c r="GT212" s="388">
        <f t="shared" ca="1" si="981"/>
        <v>0</v>
      </c>
      <c r="GU212" s="388">
        <f t="shared" ca="1" si="981"/>
        <v>0</v>
      </c>
      <c r="GV212" s="388">
        <f t="shared" ca="1" si="981"/>
        <v>0</v>
      </c>
      <c r="GW212" s="388">
        <f t="shared" ca="1" si="981"/>
        <v>0</v>
      </c>
      <c r="GX212" s="388">
        <f t="shared" ca="1" si="981"/>
        <v>0</v>
      </c>
      <c r="GY212" s="388">
        <f t="shared" ca="1" si="981"/>
        <v>0</v>
      </c>
      <c r="GZ212" s="388">
        <f t="shared" ca="1" si="981"/>
        <v>0</v>
      </c>
      <c r="HA212" s="388">
        <f t="shared" ca="1" si="981"/>
        <v>0</v>
      </c>
      <c r="HB212" s="388">
        <f t="shared" ca="1" si="981"/>
        <v>0</v>
      </c>
      <c r="HC212" s="388">
        <f t="shared" ca="1" si="981"/>
        <v>0</v>
      </c>
      <c r="HD212" s="388">
        <f t="shared" ca="1" si="981"/>
        <v>0</v>
      </c>
      <c r="HE212" s="388">
        <f t="shared" ca="1" si="981"/>
        <v>0</v>
      </c>
      <c r="HF212" s="388">
        <f t="shared" ca="1" si="981"/>
        <v>0</v>
      </c>
      <c r="HG212" s="388">
        <f t="shared" ca="1" si="981"/>
        <v>0</v>
      </c>
      <c r="HH212" s="388">
        <f t="shared" ca="1" si="981"/>
        <v>0</v>
      </c>
      <c r="HI212" s="388">
        <f t="shared" ca="1" si="981"/>
        <v>0</v>
      </c>
      <c r="HJ212" s="388">
        <f t="shared" ca="1" si="981"/>
        <v>0</v>
      </c>
      <c r="HK212" s="388">
        <f t="shared" ca="1" si="981"/>
        <v>0</v>
      </c>
      <c r="HL212" s="388">
        <f t="shared" ca="1" si="981"/>
        <v>0</v>
      </c>
      <c r="HM212" s="388">
        <f t="shared" ref="HM212:IR212" ca="1" si="982">(HM$201&lt;=Timing_Reversion_Month)*(HM208+HM209+HM210-HM211)</f>
        <v>0</v>
      </c>
      <c r="HN212" s="388">
        <f t="shared" ca="1" si="982"/>
        <v>0</v>
      </c>
      <c r="HO212" s="388">
        <f t="shared" ca="1" si="982"/>
        <v>0</v>
      </c>
      <c r="HP212" s="388">
        <f t="shared" ca="1" si="982"/>
        <v>0</v>
      </c>
      <c r="HQ212" s="388">
        <f t="shared" ca="1" si="982"/>
        <v>0</v>
      </c>
      <c r="HR212" s="388">
        <f t="shared" ca="1" si="982"/>
        <v>0</v>
      </c>
      <c r="HS212" s="388">
        <f t="shared" ca="1" si="982"/>
        <v>0</v>
      </c>
      <c r="HT212" s="388">
        <f t="shared" ca="1" si="982"/>
        <v>0</v>
      </c>
      <c r="HU212" s="388">
        <f t="shared" ca="1" si="982"/>
        <v>0</v>
      </c>
      <c r="HV212" s="388">
        <f t="shared" ca="1" si="982"/>
        <v>0</v>
      </c>
      <c r="HW212" s="388">
        <f t="shared" ca="1" si="982"/>
        <v>0</v>
      </c>
      <c r="HX212" s="388">
        <f t="shared" ca="1" si="982"/>
        <v>0</v>
      </c>
      <c r="HY212" s="388">
        <f t="shared" ca="1" si="982"/>
        <v>0</v>
      </c>
      <c r="HZ212" s="388">
        <f t="shared" ca="1" si="982"/>
        <v>0</v>
      </c>
      <c r="IA212" s="388">
        <f t="shared" ca="1" si="982"/>
        <v>0</v>
      </c>
      <c r="IB212" s="388">
        <f t="shared" ca="1" si="982"/>
        <v>0</v>
      </c>
      <c r="IC212" s="388">
        <f t="shared" ca="1" si="982"/>
        <v>0</v>
      </c>
      <c r="ID212" s="388">
        <f t="shared" ca="1" si="982"/>
        <v>0</v>
      </c>
      <c r="IE212" s="388">
        <f t="shared" ca="1" si="982"/>
        <v>0</v>
      </c>
      <c r="IF212" s="388">
        <f t="shared" ca="1" si="982"/>
        <v>0</v>
      </c>
      <c r="IG212" s="388">
        <f t="shared" ca="1" si="982"/>
        <v>0</v>
      </c>
      <c r="IH212" s="388">
        <f t="shared" ca="1" si="982"/>
        <v>0</v>
      </c>
      <c r="II212" s="388">
        <f t="shared" ca="1" si="982"/>
        <v>0</v>
      </c>
      <c r="IJ212" s="388">
        <f t="shared" ca="1" si="982"/>
        <v>0</v>
      </c>
      <c r="IK212" s="388">
        <f t="shared" ca="1" si="982"/>
        <v>0</v>
      </c>
      <c r="IL212" s="388">
        <f t="shared" ca="1" si="982"/>
        <v>0</v>
      </c>
      <c r="IM212" s="388">
        <f t="shared" ca="1" si="982"/>
        <v>0</v>
      </c>
      <c r="IN212" s="388">
        <f t="shared" ca="1" si="982"/>
        <v>0</v>
      </c>
      <c r="IO212" s="388">
        <f t="shared" ca="1" si="982"/>
        <v>0</v>
      </c>
      <c r="IP212" s="388">
        <f t="shared" ca="1" si="982"/>
        <v>0</v>
      </c>
      <c r="IQ212" s="388">
        <f t="shared" ca="1" si="982"/>
        <v>0</v>
      </c>
      <c r="IR212" s="388">
        <f t="shared" ca="1" si="982"/>
        <v>0</v>
      </c>
      <c r="IS212" s="388">
        <f t="shared" ref="IS212:JX212" ca="1" si="983">(IS$201&lt;=Timing_Reversion_Month)*(IS208+IS209+IS210-IS211)</f>
        <v>0</v>
      </c>
      <c r="IT212" s="388">
        <f t="shared" ca="1" si="983"/>
        <v>0</v>
      </c>
      <c r="IU212" s="388">
        <f t="shared" ca="1" si="983"/>
        <v>0</v>
      </c>
      <c r="IV212" s="388">
        <f t="shared" ca="1" si="983"/>
        <v>0</v>
      </c>
      <c r="IW212" s="388">
        <f t="shared" ca="1" si="983"/>
        <v>0</v>
      </c>
      <c r="IX212" s="388">
        <f t="shared" ca="1" si="983"/>
        <v>0</v>
      </c>
      <c r="IY212" s="388">
        <f t="shared" ca="1" si="983"/>
        <v>0</v>
      </c>
      <c r="IZ212" s="388">
        <f t="shared" ca="1" si="983"/>
        <v>0</v>
      </c>
      <c r="JA212" s="388">
        <f t="shared" ca="1" si="983"/>
        <v>0</v>
      </c>
      <c r="JB212" s="388">
        <f t="shared" ca="1" si="983"/>
        <v>0</v>
      </c>
      <c r="JC212" s="388">
        <f t="shared" ca="1" si="983"/>
        <v>0</v>
      </c>
      <c r="JD212" s="388">
        <f t="shared" ca="1" si="983"/>
        <v>0</v>
      </c>
      <c r="JE212" s="388">
        <f t="shared" ca="1" si="983"/>
        <v>0</v>
      </c>
      <c r="JF212" s="388">
        <f t="shared" ca="1" si="983"/>
        <v>0</v>
      </c>
      <c r="JG212" s="388">
        <f t="shared" ca="1" si="983"/>
        <v>0</v>
      </c>
      <c r="JH212" s="388">
        <f t="shared" ca="1" si="983"/>
        <v>0</v>
      </c>
      <c r="JI212" s="388">
        <f t="shared" ca="1" si="983"/>
        <v>0</v>
      </c>
      <c r="JJ212" s="388">
        <f t="shared" ca="1" si="983"/>
        <v>0</v>
      </c>
      <c r="JK212" s="388">
        <f t="shared" ca="1" si="983"/>
        <v>0</v>
      </c>
      <c r="JL212" s="388">
        <f t="shared" ca="1" si="983"/>
        <v>0</v>
      </c>
      <c r="JM212" s="388">
        <f t="shared" ca="1" si="983"/>
        <v>0</v>
      </c>
      <c r="JN212" s="388">
        <f t="shared" ca="1" si="983"/>
        <v>0</v>
      </c>
      <c r="JO212" s="388">
        <f t="shared" ca="1" si="983"/>
        <v>0</v>
      </c>
      <c r="JP212" s="388">
        <f t="shared" ca="1" si="983"/>
        <v>0</v>
      </c>
      <c r="JQ212" s="388">
        <f t="shared" ca="1" si="983"/>
        <v>0</v>
      </c>
      <c r="JR212" s="388">
        <f t="shared" ca="1" si="983"/>
        <v>0</v>
      </c>
      <c r="JS212" s="388">
        <f t="shared" ca="1" si="983"/>
        <v>0</v>
      </c>
      <c r="JT212" s="388">
        <f t="shared" ca="1" si="983"/>
        <v>0</v>
      </c>
      <c r="JU212" s="388">
        <f t="shared" ca="1" si="983"/>
        <v>0</v>
      </c>
      <c r="JV212" s="388">
        <f t="shared" ca="1" si="983"/>
        <v>0</v>
      </c>
      <c r="JW212" s="388">
        <f t="shared" ca="1" si="983"/>
        <v>0</v>
      </c>
      <c r="JX212" s="388">
        <f t="shared" ca="1" si="983"/>
        <v>0</v>
      </c>
      <c r="JY212" s="388">
        <f t="shared" ref="JY212:KC212" ca="1" si="984">(JY$201&lt;=Timing_Reversion_Month)*(JY208+JY209+JY210-JY211)</f>
        <v>0</v>
      </c>
      <c r="JZ212" s="388">
        <f t="shared" ca="1" si="984"/>
        <v>0</v>
      </c>
      <c r="KA212" s="388">
        <f t="shared" ca="1" si="984"/>
        <v>0</v>
      </c>
      <c r="KB212" s="388">
        <f t="shared" ca="1" si="984"/>
        <v>0</v>
      </c>
      <c r="KC212" s="388">
        <f t="shared" ca="1" si="984"/>
        <v>0</v>
      </c>
    </row>
    <row r="213" spans="1:289" ht="14.25" customHeight="1" x14ac:dyDescent="0.25">
      <c r="B213" s="180"/>
      <c r="C213" s="196"/>
      <c r="D213" s="196"/>
      <c r="E213" s="196"/>
      <c r="F213" s="196"/>
      <c r="G213" s="196"/>
      <c r="H213" s="196"/>
      <c r="I213" s="218"/>
      <c r="Q213" s="220"/>
      <c r="R213" s="220"/>
      <c r="S213" s="220"/>
      <c r="T213" s="220"/>
      <c r="U213" s="220"/>
      <c r="V213" s="220"/>
      <c r="W213" s="220"/>
      <c r="X213" s="220"/>
      <c r="Y213" s="220"/>
      <c r="Z213" s="220"/>
      <c r="AA213" s="220"/>
      <c r="AB213" s="220"/>
      <c r="AC213" s="220"/>
      <c r="AD213" s="220"/>
      <c r="AE213" s="220"/>
      <c r="AF213" s="220"/>
      <c r="AG213" s="220"/>
      <c r="AH213" s="220"/>
      <c r="AI213" s="220"/>
      <c r="AJ213" s="220"/>
      <c r="AK213" s="220"/>
      <c r="AL213" s="220"/>
      <c r="AM213" s="220"/>
      <c r="AN213" s="220"/>
      <c r="AO213" s="220"/>
      <c r="AP213" s="220"/>
      <c r="AQ213" s="220"/>
      <c r="AR213" s="220"/>
      <c r="AS213" s="220"/>
      <c r="AT213" s="220"/>
      <c r="AU213" s="220"/>
      <c r="AV213" s="220"/>
      <c r="AW213" s="220"/>
      <c r="AX213" s="220"/>
      <c r="AY213" s="220"/>
      <c r="AZ213" s="220"/>
      <c r="BA213" s="220"/>
      <c r="BB213" s="220"/>
      <c r="BC213" s="220"/>
      <c r="BD213" s="220"/>
      <c r="BE213" s="220"/>
      <c r="BF213" s="220"/>
      <c r="BG213" s="220"/>
      <c r="BH213" s="220"/>
      <c r="BI213" s="220"/>
      <c r="BJ213" s="220"/>
      <c r="BK213" s="220"/>
      <c r="BL213" s="220"/>
      <c r="BM213" s="220"/>
      <c r="BN213" s="220"/>
      <c r="BO213" s="220"/>
      <c r="BP213" s="220"/>
      <c r="BQ213" s="220"/>
      <c r="BR213" s="220"/>
      <c r="BS213" s="220"/>
      <c r="BT213" s="220"/>
      <c r="BU213" s="220"/>
      <c r="BV213" s="220"/>
      <c r="BW213" s="220"/>
      <c r="BX213" s="220"/>
      <c r="BY213" s="220"/>
      <c r="BZ213" s="220"/>
      <c r="CA213" s="220"/>
      <c r="CB213" s="220"/>
      <c r="CC213" s="220"/>
      <c r="CD213" s="220"/>
      <c r="CE213" s="220"/>
      <c r="CF213" s="220"/>
      <c r="CG213" s="220"/>
      <c r="CH213" s="220"/>
      <c r="CI213" s="220"/>
      <c r="CJ213" s="220"/>
      <c r="CK213" s="220"/>
      <c r="CL213" s="220"/>
      <c r="CM213" s="220"/>
      <c r="CN213" s="220"/>
      <c r="CO213" s="220"/>
      <c r="CP213" s="220"/>
      <c r="CQ213" s="220"/>
      <c r="CR213" s="220"/>
      <c r="CS213" s="220"/>
      <c r="CT213" s="220"/>
      <c r="CU213" s="220"/>
      <c r="CV213" s="220"/>
      <c r="CW213" s="220"/>
      <c r="CX213" s="220"/>
      <c r="CY213" s="220"/>
      <c r="CZ213" s="220"/>
      <c r="DA213" s="220"/>
      <c r="DB213" s="220"/>
      <c r="DC213" s="220"/>
      <c r="DD213" s="220"/>
      <c r="DE213" s="220"/>
      <c r="DF213" s="220"/>
      <c r="DG213" s="220"/>
      <c r="DH213" s="220"/>
      <c r="DI213" s="220"/>
      <c r="DJ213" s="220"/>
      <c r="DK213" s="220"/>
      <c r="DL213" s="220"/>
      <c r="DM213" s="220"/>
      <c r="DN213" s="220"/>
      <c r="DO213" s="220"/>
      <c r="DP213" s="220"/>
      <c r="DQ213" s="220"/>
      <c r="DR213" s="220"/>
      <c r="DS213" s="220"/>
      <c r="DT213" s="220"/>
      <c r="DU213" s="220"/>
      <c r="DV213" s="220"/>
      <c r="DW213" s="220"/>
      <c r="DX213" s="220"/>
      <c r="DY213" s="220"/>
      <c r="DZ213" s="220"/>
      <c r="EA213" s="220"/>
      <c r="EB213" s="220"/>
      <c r="EC213" s="220"/>
      <c r="ED213" s="220"/>
      <c r="EE213" s="220"/>
      <c r="EF213" s="220"/>
      <c r="EG213" s="220"/>
      <c r="EH213" s="220"/>
      <c r="EI213" s="220"/>
      <c r="EJ213" s="220"/>
      <c r="EK213" s="220"/>
      <c r="EL213" s="220"/>
      <c r="EM213" s="220"/>
      <c r="EN213" s="220"/>
      <c r="EO213" s="220"/>
      <c r="EP213" s="220"/>
      <c r="EQ213" s="220"/>
      <c r="ER213" s="220"/>
      <c r="ES213" s="220"/>
      <c r="EU213" s="202"/>
      <c r="EV213" s="153"/>
      <c r="EW213" s="153"/>
      <c r="EX213" s="154" t="s">
        <v>354</v>
      </c>
      <c r="EY213" s="393" t="e">
        <f ca="1">XIRR(OFFSET(FA213,,,1,Timing_Reversion_Month+1),OFFSET($FA$23,,,1,Timing_Reversion_Month+1))</f>
        <v>#NUM!</v>
      </c>
      <c r="EZ213" s="154"/>
      <c r="FA213" s="388">
        <f ca="1">-FA210+FA211</f>
        <v>-822502.85714285716</v>
      </c>
      <c r="FB213" s="388">
        <f ca="1">-FB210+FB211</f>
        <v>-16840.908265539307</v>
      </c>
      <c r="FC213" s="388">
        <f t="shared" ref="FC213:HN213" ca="1" si="985">-FC210+FC211</f>
        <v>-52504.923287438098</v>
      </c>
      <c r="FD213" s="388">
        <f t="shared" ca="1" si="985"/>
        <v>-136519.80154125288</v>
      </c>
      <c r="FE213" s="388">
        <f t="shared" ca="1" si="985"/>
        <v>-282437.29328717594</v>
      </c>
      <c r="FF213" s="388">
        <f t="shared" ca="1" si="985"/>
        <v>-304634.34859430767</v>
      </c>
      <c r="FG213" s="388">
        <f t="shared" ca="1" si="985"/>
        <v>0</v>
      </c>
      <c r="FH213" s="388">
        <f t="shared" ca="1" si="985"/>
        <v>0</v>
      </c>
      <c r="FI213" s="388">
        <f t="shared" ca="1" si="985"/>
        <v>0</v>
      </c>
      <c r="FJ213" s="388">
        <f t="shared" ca="1" si="985"/>
        <v>0</v>
      </c>
      <c r="FK213" s="388">
        <f t="shared" ca="1" si="985"/>
        <v>0</v>
      </c>
      <c r="FL213" s="388">
        <f t="shared" ca="1" si="985"/>
        <v>0</v>
      </c>
      <c r="FM213" s="388">
        <f t="shared" ca="1" si="985"/>
        <v>0</v>
      </c>
      <c r="FN213" s="388">
        <f t="shared" ca="1" si="985"/>
        <v>0</v>
      </c>
      <c r="FO213" s="388">
        <f t="shared" ca="1" si="985"/>
        <v>0</v>
      </c>
      <c r="FP213" s="388">
        <f t="shared" ca="1" si="985"/>
        <v>0</v>
      </c>
      <c r="FQ213" s="388">
        <f t="shared" ca="1" si="985"/>
        <v>0</v>
      </c>
      <c r="FR213" s="388">
        <f t="shared" ca="1" si="985"/>
        <v>0</v>
      </c>
      <c r="FS213" s="388">
        <f t="shared" ca="1" si="985"/>
        <v>0</v>
      </c>
      <c r="FT213" s="388">
        <f t="shared" ca="1" si="985"/>
        <v>0</v>
      </c>
      <c r="FU213" s="388">
        <f t="shared" ca="1" si="985"/>
        <v>0</v>
      </c>
      <c r="FV213" s="388">
        <f t="shared" ca="1" si="985"/>
        <v>0</v>
      </c>
      <c r="FW213" s="388">
        <f t="shared" ca="1" si="985"/>
        <v>0</v>
      </c>
      <c r="FX213" s="388">
        <f t="shared" ca="1" si="985"/>
        <v>0</v>
      </c>
      <c r="FY213" s="388">
        <f t="shared" ca="1" si="985"/>
        <v>0</v>
      </c>
      <c r="FZ213" s="388">
        <f t="shared" ca="1" si="985"/>
        <v>0</v>
      </c>
      <c r="GA213" s="388">
        <f t="shared" ca="1" si="985"/>
        <v>0</v>
      </c>
      <c r="GB213" s="388">
        <f t="shared" ca="1" si="985"/>
        <v>0</v>
      </c>
      <c r="GC213" s="388">
        <f t="shared" ca="1" si="985"/>
        <v>0</v>
      </c>
      <c r="GD213" s="388">
        <f t="shared" ca="1" si="985"/>
        <v>0</v>
      </c>
      <c r="GE213" s="388">
        <f t="shared" ca="1" si="985"/>
        <v>0</v>
      </c>
      <c r="GF213" s="388">
        <f t="shared" ca="1" si="985"/>
        <v>0</v>
      </c>
      <c r="GG213" s="388">
        <f t="shared" ca="1" si="985"/>
        <v>0</v>
      </c>
      <c r="GH213" s="388">
        <f t="shared" ca="1" si="985"/>
        <v>0</v>
      </c>
      <c r="GI213" s="388">
        <f t="shared" ca="1" si="985"/>
        <v>0</v>
      </c>
      <c r="GJ213" s="388">
        <f t="shared" ca="1" si="985"/>
        <v>0</v>
      </c>
      <c r="GK213" s="388">
        <f t="shared" ca="1" si="985"/>
        <v>0</v>
      </c>
      <c r="GL213" s="388">
        <f t="shared" ca="1" si="985"/>
        <v>0</v>
      </c>
      <c r="GM213" s="388">
        <f t="shared" ca="1" si="985"/>
        <v>0</v>
      </c>
      <c r="GN213" s="388">
        <f t="shared" ca="1" si="985"/>
        <v>0</v>
      </c>
      <c r="GO213" s="388">
        <f t="shared" ca="1" si="985"/>
        <v>0</v>
      </c>
      <c r="GP213" s="388">
        <f t="shared" ca="1" si="985"/>
        <v>0</v>
      </c>
      <c r="GQ213" s="388">
        <f t="shared" ca="1" si="985"/>
        <v>0</v>
      </c>
      <c r="GR213" s="388">
        <f t="shared" ca="1" si="985"/>
        <v>0</v>
      </c>
      <c r="GS213" s="388">
        <f t="shared" ca="1" si="985"/>
        <v>0</v>
      </c>
      <c r="GT213" s="388">
        <f t="shared" ca="1" si="985"/>
        <v>0</v>
      </c>
      <c r="GU213" s="388">
        <f t="shared" ca="1" si="985"/>
        <v>0</v>
      </c>
      <c r="GV213" s="388">
        <f t="shared" ca="1" si="985"/>
        <v>0</v>
      </c>
      <c r="GW213" s="388">
        <f t="shared" ca="1" si="985"/>
        <v>0</v>
      </c>
      <c r="GX213" s="388">
        <f t="shared" ca="1" si="985"/>
        <v>0</v>
      </c>
      <c r="GY213" s="388">
        <f t="shared" ca="1" si="985"/>
        <v>0</v>
      </c>
      <c r="GZ213" s="388">
        <f t="shared" ca="1" si="985"/>
        <v>0</v>
      </c>
      <c r="HA213" s="388">
        <f t="shared" ca="1" si="985"/>
        <v>0</v>
      </c>
      <c r="HB213" s="388">
        <f t="shared" ca="1" si="985"/>
        <v>0</v>
      </c>
      <c r="HC213" s="388">
        <f t="shared" ca="1" si="985"/>
        <v>0</v>
      </c>
      <c r="HD213" s="388">
        <f t="shared" ca="1" si="985"/>
        <v>0</v>
      </c>
      <c r="HE213" s="388">
        <f t="shared" ca="1" si="985"/>
        <v>0</v>
      </c>
      <c r="HF213" s="388">
        <f t="shared" ca="1" si="985"/>
        <v>0</v>
      </c>
      <c r="HG213" s="388">
        <f t="shared" ca="1" si="985"/>
        <v>0</v>
      </c>
      <c r="HH213" s="388">
        <f t="shared" ca="1" si="985"/>
        <v>0</v>
      </c>
      <c r="HI213" s="388">
        <f t="shared" ca="1" si="985"/>
        <v>0</v>
      </c>
      <c r="HJ213" s="388">
        <f t="shared" ca="1" si="985"/>
        <v>0</v>
      </c>
      <c r="HK213" s="388">
        <f t="shared" ca="1" si="985"/>
        <v>0</v>
      </c>
      <c r="HL213" s="388">
        <f t="shared" ca="1" si="985"/>
        <v>0</v>
      </c>
      <c r="HM213" s="388">
        <f t="shared" ca="1" si="985"/>
        <v>0</v>
      </c>
      <c r="HN213" s="388">
        <f t="shared" ca="1" si="985"/>
        <v>0</v>
      </c>
      <c r="HO213" s="388">
        <f t="shared" ref="HO213:JZ213" ca="1" si="986">-HO210+HO211</f>
        <v>0</v>
      </c>
      <c r="HP213" s="388">
        <f t="shared" ca="1" si="986"/>
        <v>0</v>
      </c>
      <c r="HQ213" s="388">
        <f t="shared" ca="1" si="986"/>
        <v>0</v>
      </c>
      <c r="HR213" s="388">
        <f t="shared" ca="1" si="986"/>
        <v>0</v>
      </c>
      <c r="HS213" s="388">
        <f t="shared" ca="1" si="986"/>
        <v>0</v>
      </c>
      <c r="HT213" s="388">
        <f t="shared" ca="1" si="986"/>
        <v>0</v>
      </c>
      <c r="HU213" s="388">
        <f t="shared" ca="1" si="986"/>
        <v>0</v>
      </c>
      <c r="HV213" s="388">
        <f t="shared" ca="1" si="986"/>
        <v>0</v>
      </c>
      <c r="HW213" s="388">
        <f t="shared" ca="1" si="986"/>
        <v>0</v>
      </c>
      <c r="HX213" s="388">
        <f t="shared" ca="1" si="986"/>
        <v>0</v>
      </c>
      <c r="HY213" s="388">
        <f t="shared" ca="1" si="986"/>
        <v>0</v>
      </c>
      <c r="HZ213" s="388">
        <f t="shared" ca="1" si="986"/>
        <v>0</v>
      </c>
      <c r="IA213" s="388">
        <f t="shared" ca="1" si="986"/>
        <v>0</v>
      </c>
      <c r="IB213" s="388">
        <f t="shared" ca="1" si="986"/>
        <v>0</v>
      </c>
      <c r="IC213" s="388">
        <f t="shared" ca="1" si="986"/>
        <v>0</v>
      </c>
      <c r="ID213" s="388">
        <f t="shared" ca="1" si="986"/>
        <v>0</v>
      </c>
      <c r="IE213" s="388">
        <f t="shared" ca="1" si="986"/>
        <v>0</v>
      </c>
      <c r="IF213" s="388">
        <f t="shared" ca="1" si="986"/>
        <v>0</v>
      </c>
      <c r="IG213" s="388">
        <f t="shared" ca="1" si="986"/>
        <v>0</v>
      </c>
      <c r="IH213" s="388">
        <f t="shared" ca="1" si="986"/>
        <v>0</v>
      </c>
      <c r="II213" s="388">
        <f t="shared" ca="1" si="986"/>
        <v>0</v>
      </c>
      <c r="IJ213" s="388">
        <f t="shared" ca="1" si="986"/>
        <v>0</v>
      </c>
      <c r="IK213" s="388">
        <f t="shared" ca="1" si="986"/>
        <v>0</v>
      </c>
      <c r="IL213" s="388">
        <f t="shared" ca="1" si="986"/>
        <v>0</v>
      </c>
      <c r="IM213" s="388">
        <f t="shared" ca="1" si="986"/>
        <v>0</v>
      </c>
      <c r="IN213" s="388">
        <f t="shared" ca="1" si="986"/>
        <v>0</v>
      </c>
      <c r="IO213" s="388">
        <f t="shared" ca="1" si="986"/>
        <v>0</v>
      </c>
      <c r="IP213" s="388">
        <f t="shared" ca="1" si="986"/>
        <v>0</v>
      </c>
      <c r="IQ213" s="388">
        <f t="shared" ca="1" si="986"/>
        <v>0</v>
      </c>
      <c r="IR213" s="388">
        <f t="shared" ca="1" si="986"/>
        <v>0</v>
      </c>
      <c r="IS213" s="388">
        <f t="shared" ca="1" si="986"/>
        <v>0</v>
      </c>
      <c r="IT213" s="388">
        <f t="shared" ca="1" si="986"/>
        <v>0</v>
      </c>
      <c r="IU213" s="388">
        <f t="shared" ca="1" si="986"/>
        <v>0</v>
      </c>
      <c r="IV213" s="388">
        <f t="shared" ca="1" si="986"/>
        <v>0</v>
      </c>
      <c r="IW213" s="388">
        <f t="shared" ca="1" si="986"/>
        <v>0</v>
      </c>
      <c r="IX213" s="388">
        <f t="shared" ca="1" si="986"/>
        <v>0</v>
      </c>
      <c r="IY213" s="388">
        <f t="shared" ca="1" si="986"/>
        <v>0</v>
      </c>
      <c r="IZ213" s="388">
        <f t="shared" ca="1" si="986"/>
        <v>0</v>
      </c>
      <c r="JA213" s="388">
        <f t="shared" ca="1" si="986"/>
        <v>0</v>
      </c>
      <c r="JB213" s="388">
        <f t="shared" ca="1" si="986"/>
        <v>0</v>
      </c>
      <c r="JC213" s="388">
        <f t="shared" ca="1" si="986"/>
        <v>0</v>
      </c>
      <c r="JD213" s="388">
        <f t="shared" ca="1" si="986"/>
        <v>0</v>
      </c>
      <c r="JE213" s="388">
        <f t="shared" ca="1" si="986"/>
        <v>0</v>
      </c>
      <c r="JF213" s="388">
        <f t="shared" ca="1" si="986"/>
        <v>0</v>
      </c>
      <c r="JG213" s="388">
        <f t="shared" ca="1" si="986"/>
        <v>0</v>
      </c>
      <c r="JH213" s="388">
        <f t="shared" ca="1" si="986"/>
        <v>0</v>
      </c>
      <c r="JI213" s="388">
        <f t="shared" ca="1" si="986"/>
        <v>0</v>
      </c>
      <c r="JJ213" s="388">
        <f t="shared" ca="1" si="986"/>
        <v>0</v>
      </c>
      <c r="JK213" s="388">
        <f t="shared" ca="1" si="986"/>
        <v>0</v>
      </c>
      <c r="JL213" s="388">
        <f t="shared" ca="1" si="986"/>
        <v>0</v>
      </c>
      <c r="JM213" s="388">
        <f t="shared" ca="1" si="986"/>
        <v>0</v>
      </c>
      <c r="JN213" s="388">
        <f t="shared" ca="1" si="986"/>
        <v>0</v>
      </c>
      <c r="JO213" s="388">
        <f t="shared" ca="1" si="986"/>
        <v>0</v>
      </c>
      <c r="JP213" s="388">
        <f t="shared" ca="1" si="986"/>
        <v>0</v>
      </c>
      <c r="JQ213" s="388">
        <f t="shared" ca="1" si="986"/>
        <v>0</v>
      </c>
      <c r="JR213" s="388">
        <f t="shared" ca="1" si="986"/>
        <v>0</v>
      </c>
      <c r="JS213" s="388">
        <f t="shared" ca="1" si="986"/>
        <v>0</v>
      </c>
      <c r="JT213" s="388">
        <f t="shared" ca="1" si="986"/>
        <v>0</v>
      </c>
      <c r="JU213" s="388">
        <f t="shared" ca="1" si="986"/>
        <v>0</v>
      </c>
      <c r="JV213" s="388">
        <f t="shared" ca="1" si="986"/>
        <v>0</v>
      </c>
      <c r="JW213" s="388">
        <f t="shared" ca="1" si="986"/>
        <v>0</v>
      </c>
      <c r="JX213" s="388">
        <f t="shared" ca="1" si="986"/>
        <v>0</v>
      </c>
      <c r="JY213" s="388">
        <f t="shared" ca="1" si="986"/>
        <v>0</v>
      </c>
      <c r="JZ213" s="388">
        <f t="shared" ca="1" si="986"/>
        <v>0</v>
      </c>
      <c r="KA213" s="388">
        <f t="shared" ref="KA213:KC213" ca="1" si="987">-KA210+KA211</f>
        <v>0</v>
      </c>
      <c r="KB213" s="388">
        <f t="shared" ca="1" si="987"/>
        <v>0</v>
      </c>
      <c r="KC213" s="388">
        <f t="shared" ca="1" si="987"/>
        <v>0</v>
      </c>
    </row>
    <row r="214" spans="1:289" ht="14.25" customHeight="1" x14ac:dyDescent="0.25">
      <c r="B214" s="180"/>
      <c r="C214" s="196"/>
      <c r="D214" s="196"/>
      <c r="E214" s="196"/>
      <c r="F214" s="196"/>
      <c r="G214" s="210" t="s">
        <v>851</v>
      </c>
      <c r="H214" s="210" t="s">
        <v>848</v>
      </c>
      <c r="I214" s="210" t="s">
        <v>456</v>
      </c>
      <c r="Q214" s="220"/>
      <c r="R214" s="220"/>
      <c r="S214" s="220"/>
      <c r="T214" s="220"/>
      <c r="U214" s="220"/>
      <c r="V214" s="220"/>
      <c r="W214" s="220"/>
      <c r="X214" s="220"/>
      <c r="Y214" s="220"/>
      <c r="Z214" s="220"/>
      <c r="AA214" s="220"/>
      <c r="AB214" s="220"/>
      <c r="AC214" s="220"/>
      <c r="AD214" s="220"/>
      <c r="AE214" s="220"/>
      <c r="AF214" s="220"/>
      <c r="AG214" s="220"/>
      <c r="AH214" s="220"/>
      <c r="AI214" s="220"/>
      <c r="AJ214" s="220"/>
      <c r="AK214" s="220"/>
      <c r="AL214" s="220"/>
      <c r="AM214" s="220"/>
      <c r="AN214" s="220"/>
      <c r="AO214" s="220"/>
      <c r="AP214" s="220"/>
      <c r="AQ214" s="220"/>
      <c r="AR214" s="220"/>
      <c r="AS214" s="220"/>
      <c r="AT214" s="220"/>
      <c r="AU214" s="220"/>
      <c r="AV214" s="220"/>
      <c r="AW214" s="220"/>
      <c r="AX214" s="220"/>
      <c r="AY214" s="220"/>
      <c r="AZ214" s="220"/>
      <c r="BA214" s="220"/>
      <c r="BB214" s="220"/>
      <c r="BC214" s="220"/>
      <c r="BD214" s="220"/>
      <c r="BE214" s="220"/>
      <c r="BF214" s="220"/>
      <c r="BG214" s="220"/>
      <c r="BH214" s="220"/>
      <c r="BI214" s="220"/>
      <c r="BJ214" s="220"/>
      <c r="BK214" s="220"/>
      <c r="BL214" s="220"/>
      <c r="BM214" s="220"/>
      <c r="BN214" s="220"/>
      <c r="BO214" s="220"/>
      <c r="BP214" s="220"/>
      <c r="BQ214" s="220"/>
      <c r="BR214" s="220"/>
      <c r="BS214" s="220"/>
      <c r="BT214" s="220"/>
      <c r="BU214" s="220"/>
      <c r="BV214" s="220"/>
      <c r="BW214" s="220"/>
      <c r="BX214" s="220"/>
      <c r="BY214" s="220"/>
      <c r="BZ214" s="220"/>
      <c r="CA214" s="220"/>
      <c r="CB214" s="220"/>
      <c r="CC214" s="220"/>
      <c r="CD214" s="220"/>
      <c r="CE214" s="220"/>
      <c r="CF214" s="220"/>
      <c r="CG214" s="220"/>
      <c r="CH214" s="220"/>
      <c r="CI214" s="220"/>
      <c r="CJ214" s="220"/>
      <c r="CK214" s="220"/>
      <c r="CL214" s="220"/>
      <c r="CM214" s="220"/>
      <c r="CN214" s="220"/>
      <c r="CO214" s="220"/>
      <c r="CP214" s="220"/>
      <c r="CQ214" s="220"/>
      <c r="CR214" s="220"/>
      <c r="CS214" s="220"/>
      <c r="CT214" s="220"/>
      <c r="CU214" s="220"/>
      <c r="CV214" s="220"/>
      <c r="CW214" s="220"/>
      <c r="CX214" s="220"/>
      <c r="CY214" s="220"/>
      <c r="CZ214" s="220"/>
      <c r="DA214" s="220"/>
      <c r="DB214" s="220"/>
      <c r="DC214" s="220"/>
      <c r="DD214" s="220"/>
      <c r="DE214" s="220"/>
      <c r="DF214" s="220"/>
      <c r="DG214" s="220"/>
      <c r="DH214" s="220"/>
      <c r="DI214" s="220"/>
      <c r="DJ214" s="220"/>
      <c r="DK214" s="220"/>
      <c r="DL214" s="220"/>
      <c r="DM214" s="220"/>
      <c r="DN214" s="220"/>
      <c r="DO214" s="220"/>
      <c r="DP214" s="220"/>
      <c r="DQ214" s="220"/>
      <c r="DR214" s="220"/>
      <c r="DS214" s="220"/>
      <c r="DT214" s="220"/>
      <c r="DU214" s="220"/>
      <c r="DV214" s="220"/>
      <c r="DW214" s="220"/>
      <c r="DX214" s="220"/>
      <c r="DY214" s="220"/>
      <c r="DZ214" s="220"/>
      <c r="EA214" s="220"/>
      <c r="EB214" s="220"/>
      <c r="EC214" s="220"/>
      <c r="ED214" s="220"/>
      <c r="EE214" s="220"/>
      <c r="EF214" s="220"/>
      <c r="EG214" s="220"/>
      <c r="EH214" s="220"/>
      <c r="EI214" s="220"/>
      <c r="EJ214" s="220"/>
      <c r="EK214" s="220"/>
      <c r="EL214" s="220"/>
      <c r="EM214" s="220"/>
      <c r="EN214" s="220"/>
      <c r="EO214" s="220"/>
      <c r="EP214" s="220"/>
      <c r="EQ214" s="220"/>
      <c r="ER214" s="220"/>
      <c r="ES214" s="220"/>
      <c r="EU214" s="202"/>
      <c r="EV214" s="153"/>
      <c r="EW214" s="153"/>
      <c r="EX214" s="176"/>
      <c r="EY214" s="394" t="s">
        <v>786</v>
      </c>
      <c r="EZ214" s="394"/>
      <c r="FA214" s="395">
        <f t="shared" ref="FA214:GF214" ca="1" si="988">($G$224="Yes")*Q48+FA199</f>
        <v>0</v>
      </c>
      <c r="FB214" s="395">
        <f t="shared" ca="1" si="988"/>
        <v>0</v>
      </c>
      <c r="FC214" s="395">
        <f t="shared" ca="1" si="988"/>
        <v>0</v>
      </c>
      <c r="FD214" s="395">
        <f t="shared" ca="1" si="988"/>
        <v>0</v>
      </c>
      <c r="FE214" s="395">
        <f t="shared" ca="1" si="988"/>
        <v>0</v>
      </c>
      <c r="FF214" s="395">
        <f t="shared" ca="1" si="988"/>
        <v>0</v>
      </c>
      <c r="FG214" s="395">
        <f t="shared" ca="1" si="988"/>
        <v>0</v>
      </c>
      <c r="FH214" s="395">
        <f t="shared" ca="1" si="988"/>
        <v>0</v>
      </c>
      <c r="FI214" s="395">
        <f t="shared" ca="1" si="988"/>
        <v>0</v>
      </c>
      <c r="FJ214" s="395">
        <f t="shared" ca="1" si="988"/>
        <v>0</v>
      </c>
      <c r="FK214" s="395">
        <f t="shared" ca="1" si="988"/>
        <v>0</v>
      </c>
      <c r="FL214" s="395">
        <f t="shared" ca="1" si="988"/>
        <v>0</v>
      </c>
      <c r="FM214" s="395">
        <f t="shared" ca="1" si="988"/>
        <v>0</v>
      </c>
      <c r="FN214" s="395">
        <f t="shared" ca="1" si="988"/>
        <v>0</v>
      </c>
      <c r="FO214" s="395">
        <f t="shared" ca="1" si="988"/>
        <v>1346.201038201343</v>
      </c>
      <c r="FP214" s="395">
        <f t="shared" ca="1" si="988"/>
        <v>1346.201038201343</v>
      </c>
      <c r="FQ214" s="395">
        <f t="shared" ca="1" si="988"/>
        <v>1346.201038201343</v>
      </c>
      <c r="FR214" s="395">
        <f t="shared" ca="1" si="988"/>
        <v>1346.201038201343</v>
      </c>
      <c r="FS214" s="395">
        <f t="shared" ca="1" si="988"/>
        <v>1346.201038201343</v>
      </c>
      <c r="FT214" s="395">
        <f t="shared" ca="1" si="988"/>
        <v>1346.201038201343</v>
      </c>
      <c r="FU214" s="395">
        <f t="shared" ca="1" si="988"/>
        <v>1346.201038201343</v>
      </c>
      <c r="FV214" s="395">
        <f t="shared" ca="1" si="988"/>
        <v>1346.201038201343</v>
      </c>
      <c r="FW214" s="395">
        <f t="shared" ca="1" si="988"/>
        <v>1346.201038201343</v>
      </c>
      <c r="FX214" s="395">
        <f t="shared" ca="1" si="988"/>
        <v>1346.201038201343</v>
      </c>
      <c r="FY214" s="395">
        <f t="shared" ca="1" si="988"/>
        <v>1346.201038201343</v>
      </c>
      <c r="FZ214" s="395">
        <f t="shared" ca="1" si="988"/>
        <v>1346.201038201343</v>
      </c>
      <c r="GA214" s="395">
        <f t="shared" ca="1" si="988"/>
        <v>1346.201038201343</v>
      </c>
      <c r="GB214" s="395">
        <f t="shared" ca="1" si="988"/>
        <v>1346.201038201343</v>
      </c>
      <c r="GC214" s="395">
        <f t="shared" ca="1" si="988"/>
        <v>1346.201038201343</v>
      </c>
      <c r="GD214" s="395">
        <f t="shared" ca="1" si="988"/>
        <v>1346.201038201343</v>
      </c>
      <c r="GE214" s="395">
        <f t="shared" ca="1" si="988"/>
        <v>1346.201038201343</v>
      </c>
      <c r="GF214" s="395">
        <f t="shared" ca="1" si="988"/>
        <v>1346.201038201343</v>
      </c>
      <c r="GG214" s="395">
        <f t="shared" ref="GG214:HL214" ca="1" si="989">($G$224="Yes")*AW48+GG199</f>
        <v>1346.201038201343</v>
      </c>
      <c r="GH214" s="395">
        <f t="shared" ca="1" si="989"/>
        <v>1346.201038201343</v>
      </c>
      <c r="GI214" s="395">
        <f t="shared" ca="1" si="989"/>
        <v>1346.201038201343</v>
      </c>
      <c r="GJ214" s="395">
        <f t="shared" ca="1" si="989"/>
        <v>1346.201038201343</v>
      </c>
      <c r="GK214" s="395">
        <f t="shared" ca="1" si="989"/>
        <v>1346.201038201343</v>
      </c>
      <c r="GL214" s="395">
        <f t="shared" ca="1" si="989"/>
        <v>0</v>
      </c>
      <c r="GM214" s="395">
        <f t="shared" ca="1" si="989"/>
        <v>0</v>
      </c>
      <c r="GN214" s="395">
        <f t="shared" ca="1" si="989"/>
        <v>0</v>
      </c>
      <c r="GO214" s="395">
        <f t="shared" ca="1" si="989"/>
        <v>0</v>
      </c>
      <c r="GP214" s="395">
        <f t="shared" ca="1" si="989"/>
        <v>0</v>
      </c>
      <c r="GQ214" s="395">
        <f t="shared" ca="1" si="989"/>
        <v>0</v>
      </c>
      <c r="GR214" s="395">
        <f t="shared" ca="1" si="989"/>
        <v>0</v>
      </c>
      <c r="GS214" s="395">
        <f t="shared" ca="1" si="989"/>
        <v>0</v>
      </c>
      <c r="GT214" s="395">
        <f t="shared" ca="1" si="989"/>
        <v>0</v>
      </c>
      <c r="GU214" s="395">
        <f t="shared" ca="1" si="989"/>
        <v>0</v>
      </c>
      <c r="GV214" s="395">
        <f t="shared" ca="1" si="989"/>
        <v>0</v>
      </c>
      <c r="GW214" s="395">
        <f t="shared" ca="1" si="989"/>
        <v>0</v>
      </c>
      <c r="GX214" s="395">
        <f t="shared" ca="1" si="989"/>
        <v>0</v>
      </c>
      <c r="GY214" s="395">
        <f t="shared" ca="1" si="989"/>
        <v>0</v>
      </c>
      <c r="GZ214" s="395">
        <f t="shared" ca="1" si="989"/>
        <v>0</v>
      </c>
      <c r="HA214" s="395">
        <f t="shared" ca="1" si="989"/>
        <v>0</v>
      </c>
      <c r="HB214" s="395">
        <f t="shared" ca="1" si="989"/>
        <v>0</v>
      </c>
      <c r="HC214" s="395">
        <f t="shared" ca="1" si="989"/>
        <v>0</v>
      </c>
      <c r="HD214" s="395">
        <f t="shared" ca="1" si="989"/>
        <v>0</v>
      </c>
      <c r="HE214" s="395">
        <f t="shared" ca="1" si="989"/>
        <v>0</v>
      </c>
      <c r="HF214" s="395">
        <f t="shared" ca="1" si="989"/>
        <v>0</v>
      </c>
      <c r="HG214" s="395">
        <f t="shared" ca="1" si="989"/>
        <v>0</v>
      </c>
      <c r="HH214" s="395">
        <f t="shared" ca="1" si="989"/>
        <v>0</v>
      </c>
      <c r="HI214" s="395">
        <f t="shared" ca="1" si="989"/>
        <v>0</v>
      </c>
      <c r="HJ214" s="395">
        <f t="shared" ca="1" si="989"/>
        <v>0</v>
      </c>
      <c r="HK214" s="395">
        <f t="shared" ca="1" si="989"/>
        <v>0</v>
      </c>
      <c r="HL214" s="395">
        <f t="shared" ca="1" si="989"/>
        <v>0</v>
      </c>
      <c r="HM214" s="395">
        <f t="shared" ref="HM214:IR214" ca="1" si="990">($G$224="Yes")*CC48+HM199</f>
        <v>0</v>
      </c>
      <c r="HN214" s="395">
        <f t="shared" ca="1" si="990"/>
        <v>0</v>
      </c>
      <c r="HO214" s="395">
        <f t="shared" ca="1" si="990"/>
        <v>0</v>
      </c>
      <c r="HP214" s="395">
        <f t="shared" ca="1" si="990"/>
        <v>0</v>
      </c>
      <c r="HQ214" s="395">
        <f t="shared" ca="1" si="990"/>
        <v>0</v>
      </c>
      <c r="HR214" s="395">
        <f t="shared" ca="1" si="990"/>
        <v>0</v>
      </c>
      <c r="HS214" s="395">
        <f t="shared" ca="1" si="990"/>
        <v>0</v>
      </c>
      <c r="HT214" s="395">
        <f t="shared" ca="1" si="990"/>
        <v>0</v>
      </c>
      <c r="HU214" s="395">
        <f t="shared" ca="1" si="990"/>
        <v>0</v>
      </c>
      <c r="HV214" s="395">
        <f t="shared" ca="1" si="990"/>
        <v>0</v>
      </c>
      <c r="HW214" s="395">
        <f t="shared" ca="1" si="990"/>
        <v>0</v>
      </c>
      <c r="HX214" s="395">
        <f t="shared" ca="1" si="990"/>
        <v>0</v>
      </c>
      <c r="HY214" s="395">
        <f t="shared" ca="1" si="990"/>
        <v>0</v>
      </c>
      <c r="HZ214" s="395">
        <f t="shared" ca="1" si="990"/>
        <v>0</v>
      </c>
      <c r="IA214" s="395">
        <f t="shared" ca="1" si="990"/>
        <v>0</v>
      </c>
      <c r="IB214" s="395">
        <f t="shared" ca="1" si="990"/>
        <v>0</v>
      </c>
      <c r="IC214" s="395">
        <f t="shared" ca="1" si="990"/>
        <v>0</v>
      </c>
      <c r="ID214" s="395">
        <f t="shared" ca="1" si="990"/>
        <v>0</v>
      </c>
      <c r="IE214" s="395">
        <f t="shared" ca="1" si="990"/>
        <v>0</v>
      </c>
      <c r="IF214" s="395">
        <f t="shared" ca="1" si="990"/>
        <v>0</v>
      </c>
      <c r="IG214" s="395">
        <f t="shared" ca="1" si="990"/>
        <v>0</v>
      </c>
      <c r="IH214" s="395">
        <f t="shared" ca="1" si="990"/>
        <v>0</v>
      </c>
      <c r="II214" s="395">
        <f t="shared" ca="1" si="990"/>
        <v>0</v>
      </c>
      <c r="IJ214" s="395">
        <f t="shared" ca="1" si="990"/>
        <v>0</v>
      </c>
      <c r="IK214" s="395">
        <f t="shared" ca="1" si="990"/>
        <v>0</v>
      </c>
      <c r="IL214" s="395">
        <f t="shared" ca="1" si="990"/>
        <v>0</v>
      </c>
      <c r="IM214" s="395">
        <f t="shared" ca="1" si="990"/>
        <v>0</v>
      </c>
      <c r="IN214" s="395">
        <f t="shared" ca="1" si="990"/>
        <v>0</v>
      </c>
      <c r="IO214" s="395">
        <f t="shared" ca="1" si="990"/>
        <v>0</v>
      </c>
      <c r="IP214" s="395">
        <f t="shared" ca="1" si="990"/>
        <v>0</v>
      </c>
      <c r="IQ214" s="395">
        <f t="shared" ca="1" si="990"/>
        <v>0</v>
      </c>
      <c r="IR214" s="395">
        <f t="shared" ca="1" si="990"/>
        <v>0</v>
      </c>
      <c r="IS214" s="395">
        <f t="shared" ref="IS214:JX214" ca="1" si="991">($G$224="Yes")*DI48+IS199</f>
        <v>0</v>
      </c>
      <c r="IT214" s="395">
        <f t="shared" ca="1" si="991"/>
        <v>0</v>
      </c>
      <c r="IU214" s="395">
        <f t="shared" ca="1" si="991"/>
        <v>0</v>
      </c>
      <c r="IV214" s="395">
        <f t="shared" ca="1" si="991"/>
        <v>0</v>
      </c>
      <c r="IW214" s="395">
        <f t="shared" ca="1" si="991"/>
        <v>0</v>
      </c>
      <c r="IX214" s="395">
        <f t="shared" ca="1" si="991"/>
        <v>0</v>
      </c>
      <c r="IY214" s="395">
        <f t="shared" ca="1" si="991"/>
        <v>0</v>
      </c>
      <c r="IZ214" s="395">
        <f t="shared" ca="1" si="991"/>
        <v>0</v>
      </c>
      <c r="JA214" s="395">
        <f t="shared" ca="1" si="991"/>
        <v>0</v>
      </c>
      <c r="JB214" s="395">
        <f t="shared" ca="1" si="991"/>
        <v>0</v>
      </c>
      <c r="JC214" s="395">
        <f t="shared" ca="1" si="991"/>
        <v>0</v>
      </c>
      <c r="JD214" s="395">
        <f t="shared" ca="1" si="991"/>
        <v>0</v>
      </c>
      <c r="JE214" s="395">
        <f t="shared" ca="1" si="991"/>
        <v>0</v>
      </c>
      <c r="JF214" s="395">
        <f t="shared" ca="1" si="991"/>
        <v>0</v>
      </c>
      <c r="JG214" s="395">
        <f t="shared" ca="1" si="991"/>
        <v>0</v>
      </c>
      <c r="JH214" s="395">
        <f t="shared" ca="1" si="991"/>
        <v>0</v>
      </c>
      <c r="JI214" s="395">
        <f t="shared" ca="1" si="991"/>
        <v>0</v>
      </c>
      <c r="JJ214" s="395">
        <f t="shared" ca="1" si="991"/>
        <v>0</v>
      </c>
      <c r="JK214" s="395">
        <f t="shared" ca="1" si="991"/>
        <v>0</v>
      </c>
      <c r="JL214" s="395">
        <f t="shared" ca="1" si="991"/>
        <v>0</v>
      </c>
      <c r="JM214" s="395">
        <f t="shared" ca="1" si="991"/>
        <v>0</v>
      </c>
      <c r="JN214" s="395">
        <f t="shared" ca="1" si="991"/>
        <v>0</v>
      </c>
      <c r="JO214" s="395">
        <f t="shared" ca="1" si="991"/>
        <v>0</v>
      </c>
      <c r="JP214" s="395">
        <f t="shared" ca="1" si="991"/>
        <v>0</v>
      </c>
      <c r="JQ214" s="395">
        <f t="shared" ca="1" si="991"/>
        <v>0</v>
      </c>
      <c r="JR214" s="395">
        <f t="shared" ca="1" si="991"/>
        <v>0</v>
      </c>
      <c r="JS214" s="395">
        <f t="shared" ca="1" si="991"/>
        <v>0</v>
      </c>
      <c r="JT214" s="395">
        <f t="shared" ca="1" si="991"/>
        <v>0</v>
      </c>
      <c r="JU214" s="395">
        <f t="shared" ca="1" si="991"/>
        <v>0</v>
      </c>
      <c r="JV214" s="395">
        <f t="shared" ca="1" si="991"/>
        <v>0</v>
      </c>
      <c r="JW214" s="395">
        <f t="shared" ca="1" si="991"/>
        <v>0</v>
      </c>
      <c r="JX214" s="395">
        <f t="shared" ca="1" si="991"/>
        <v>0</v>
      </c>
      <c r="JY214" s="395">
        <f t="shared" ref="JY214:KC214" ca="1" si="992">($G$224="Yes")*EO48+JY199</f>
        <v>0</v>
      </c>
      <c r="JZ214" s="395">
        <f t="shared" ca="1" si="992"/>
        <v>0</v>
      </c>
      <c r="KA214" s="395">
        <f t="shared" ca="1" si="992"/>
        <v>0</v>
      </c>
      <c r="KB214" s="395">
        <f t="shared" ca="1" si="992"/>
        <v>0</v>
      </c>
      <c r="KC214" s="395">
        <f t="shared" ca="1" si="992"/>
        <v>0</v>
      </c>
    </row>
    <row r="215" spans="1:289" s="264" customFormat="1" ht="14.25" customHeight="1" x14ac:dyDescent="0.25">
      <c r="A215" s="258"/>
      <c r="B215" s="293" t="s">
        <v>178</v>
      </c>
      <c r="C215" s="294"/>
      <c r="D215" s="294"/>
      <c r="E215" s="294"/>
      <c r="F215" s="294"/>
      <c r="G215" s="396">
        <f ca="1">SUMIF(Q215:ER215,"&gt;0")/-SUMIF(Q215:ER215,"&lt;0")</f>
        <v>1.2327574802571253</v>
      </c>
      <c r="H215" s="363">
        <f ca="1">IF($Q$59=0,XIRR(OFFSET($R$215,0,0,1,Timing_Analysis_End_Month),OFFSET($R$199,0,0,1,Timing_Analysis_End_Month)),XIRR(OFFSET($Q$215,0,0,1,Timing_Analysis_End_Month+1),OFFSET($Q$199,0,0,1,Timing_Analysis_End_Month+1)))</f>
        <v>8.806982338428497E-2</v>
      </c>
      <c r="I215" s="297">
        <f ca="1">SUM(Q215:ER215)</f>
        <v>887373.13491036091</v>
      </c>
      <c r="Q215" s="265">
        <f ca="1">IF(Q198="","",-Q200+Q206+Q209)</f>
        <v>-752002.85714285716</v>
      </c>
      <c r="R215" s="265">
        <f t="shared" ref="R215:CC215" ca="1" si="993">IF(R198="","",-R200+R206+R209)</f>
        <v>-16840.908265539307</v>
      </c>
      <c r="S215" s="265">
        <f t="shared" ca="1" si="993"/>
        <v>-52504.923287438098</v>
      </c>
      <c r="T215" s="265">
        <f t="shared" ca="1" si="993"/>
        <v>-136519.80154125288</v>
      </c>
      <c r="U215" s="265">
        <f t="shared" ca="1" si="993"/>
        <v>-282437.29328717594</v>
      </c>
      <c r="V215" s="265">
        <f t="shared" ca="1" si="993"/>
        <v>-459629.91406893102</v>
      </c>
      <c r="W215" s="265">
        <f t="shared" ca="1" si="993"/>
        <v>-586584.30240680568</v>
      </c>
      <c r="X215" s="265">
        <f t="shared" ca="1" si="993"/>
        <v>-584581.44526394852</v>
      </c>
      <c r="Y215" s="265">
        <f t="shared" ca="1" si="993"/>
        <v>-457627.05692607397</v>
      </c>
      <c r="Z215" s="265">
        <f t="shared" ca="1" si="993"/>
        <v>-280434.43614431861</v>
      </c>
      <c r="AA215" s="265">
        <f t="shared" ca="1" si="993"/>
        <v>-134516.94439839578</v>
      </c>
      <c r="AB215" s="265">
        <f t="shared" ca="1" si="993"/>
        <v>-50502.066144580931</v>
      </c>
      <c r="AC215" s="265">
        <f t="shared" ca="1" si="993"/>
        <v>-13983.566122682214</v>
      </c>
      <c r="AD215" s="265">
        <f t="shared" ca="1" si="993"/>
        <v>-4271.0775000000012</v>
      </c>
      <c r="AE215" s="265">
        <f t="shared" ca="1" si="993"/>
        <v>5803.3600000000006</v>
      </c>
      <c r="AF215" s="265">
        <f t="shared" ca="1" si="993"/>
        <v>21003.360000000001</v>
      </c>
      <c r="AG215" s="265">
        <f t="shared" ca="1" si="993"/>
        <v>21003.360000000001</v>
      </c>
      <c r="AH215" s="265">
        <f t="shared" ca="1" si="993"/>
        <v>21003.360000000001</v>
      </c>
      <c r="AI215" s="265">
        <f t="shared" ca="1" si="993"/>
        <v>21003.360000000001</v>
      </c>
      <c r="AJ215" s="265">
        <f t="shared" ca="1" si="993"/>
        <v>21003.360000000001</v>
      </c>
      <c r="AK215" s="265">
        <f t="shared" ca="1" si="993"/>
        <v>21003.360000000001</v>
      </c>
      <c r="AL215" s="265">
        <f t="shared" ca="1" si="993"/>
        <v>21003.360000000001</v>
      </c>
      <c r="AM215" s="265">
        <f t="shared" ca="1" si="993"/>
        <v>21003.360000000001</v>
      </c>
      <c r="AN215" s="265">
        <f t="shared" ca="1" si="993"/>
        <v>21003.360000000001</v>
      </c>
      <c r="AO215" s="265">
        <f t="shared" ca="1" si="993"/>
        <v>20035.330799999996</v>
      </c>
      <c r="AP215" s="265">
        <f t="shared" ca="1" si="993"/>
        <v>20343.985800000002</v>
      </c>
      <c r="AQ215" s="265">
        <f t="shared" ca="1" si="993"/>
        <v>20652.640800000001</v>
      </c>
      <c r="AR215" s="265">
        <f t="shared" ca="1" si="993"/>
        <v>20652.640800000001</v>
      </c>
      <c r="AS215" s="265">
        <f t="shared" ca="1" si="993"/>
        <v>20652.640800000001</v>
      </c>
      <c r="AT215" s="265">
        <f t="shared" ca="1" si="993"/>
        <v>20652.640800000001</v>
      </c>
      <c r="AU215" s="265">
        <f t="shared" ca="1" si="993"/>
        <v>20652.640800000001</v>
      </c>
      <c r="AV215" s="265">
        <f t="shared" ca="1" si="993"/>
        <v>20652.640800000001</v>
      </c>
      <c r="AW215" s="265">
        <f t="shared" ca="1" si="993"/>
        <v>20652.640800000001</v>
      </c>
      <c r="AX215" s="265">
        <f t="shared" ca="1" si="993"/>
        <v>20652.640800000001</v>
      </c>
      <c r="AY215" s="265">
        <f t="shared" ca="1" si="993"/>
        <v>20652.640800000001</v>
      </c>
      <c r="AZ215" s="265">
        <f t="shared" ca="1" si="993"/>
        <v>20652.640800000001</v>
      </c>
      <c r="BA215" s="265">
        <f t="shared" ca="1" si="993"/>
        <v>4258070.4028103603</v>
      </c>
      <c r="BB215" s="265" t="str">
        <f t="shared" si="993"/>
        <v/>
      </c>
      <c r="BC215" s="265" t="str">
        <f t="shared" si="993"/>
        <v/>
      </c>
      <c r="BD215" s="265" t="str">
        <f t="shared" si="993"/>
        <v/>
      </c>
      <c r="BE215" s="265" t="str">
        <f t="shared" si="993"/>
        <v/>
      </c>
      <c r="BF215" s="265" t="str">
        <f t="shared" si="993"/>
        <v/>
      </c>
      <c r="BG215" s="265" t="str">
        <f t="shared" si="993"/>
        <v/>
      </c>
      <c r="BH215" s="265" t="str">
        <f t="shared" si="993"/>
        <v/>
      </c>
      <c r="BI215" s="265" t="str">
        <f t="shared" si="993"/>
        <v/>
      </c>
      <c r="BJ215" s="265" t="str">
        <f t="shared" si="993"/>
        <v/>
      </c>
      <c r="BK215" s="265" t="str">
        <f t="shared" si="993"/>
        <v/>
      </c>
      <c r="BL215" s="265" t="str">
        <f t="shared" si="993"/>
        <v/>
      </c>
      <c r="BM215" s="265" t="str">
        <f t="shared" si="993"/>
        <v/>
      </c>
      <c r="BN215" s="265" t="str">
        <f t="shared" si="993"/>
        <v/>
      </c>
      <c r="BO215" s="265" t="str">
        <f t="shared" si="993"/>
        <v/>
      </c>
      <c r="BP215" s="265" t="str">
        <f t="shared" si="993"/>
        <v/>
      </c>
      <c r="BQ215" s="265" t="str">
        <f t="shared" si="993"/>
        <v/>
      </c>
      <c r="BR215" s="265" t="str">
        <f t="shared" si="993"/>
        <v/>
      </c>
      <c r="BS215" s="265" t="str">
        <f t="shared" si="993"/>
        <v/>
      </c>
      <c r="BT215" s="265" t="str">
        <f t="shared" si="993"/>
        <v/>
      </c>
      <c r="BU215" s="265" t="str">
        <f t="shared" si="993"/>
        <v/>
      </c>
      <c r="BV215" s="265" t="str">
        <f t="shared" si="993"/>
        <v/>
      </c>
      <c r="BW215" s="265" t="str">
        <f t="shared" si="993"/>
        <v/>
      </c>
      <c r="BX215" s="265" t="str">
        <f t="shared" si="993"/>
        <v/>
      </c>
      <c r="BY215" s="265" t="str">
        <f t="shared" si="993"/>
        <v/>
      </c>
      <c r="BZ215" s="265" t="str">
        <f t="shared" si="993"/>
        <v/>
      </c>
      <c r="CA215" s="265" t="str">
        <f t="shared" si="993"/>
        <v/>
      </c>
      <c r="CB215" s="265" t="str">
        <f t="shared" si="993"/>
        <v/>
      </c>
      <c r="CC215" s="265" t="str">
        <f t="shared" si="993"/>
        <v/>
      </c>
      <c r="CD215" s="265" t="str">
        <f t="shared" ref="CD215:EO215" si="994">IF(CD198="","",-CD200+CD206+CD209)</f>
        <v/>
      </c>
      <c r="CE215" s="265" t="str">
        <f t="shared" si="994"/>
        <v/>
      </c>
      <c r="CF215" s="265" t="str">
        <f t="shared" si="994"/>
        <v/>
      </c>
      <c r="CG215" s="265" t="str">
        <f t="shared" si="994"/>
        <v/>
      </c>
      <c r="CH215" s="265" t="str">
        <f t="shared" si="994"/>
        <v/>
      </c>
      <c r="CI215" s="265" t="str">
        <f t="shared" si="994"/>
        <v/>
      </c>
      <c r="CJ215" s="265" t="str">
        <f t="shared" si="994"/>
        <v/>
      </c>
      <c r="CK215" s="265" t="str">
        <f t="shared" si="994"/>
        <v/>
      </c>
      <c r="CL215" s="265" t="str">
        <f t="shared" si="994"/>
        <v/>
      </c>
      <c r="CM215" s="265" t="str">
        <f t="shared" si="994"/>
        <v/>
      </c>
      <c r="CN215" s="265" t="str">
        <f t="shared" si="994"/>
        <v/>
      </c>
      <c r="CO215" s="265" t="str">
        <f t="shared" si="994"/>
        <v/>
      </c>
      <c r="CP215" s="265" t="str">
        <f t="shared" si="994"/>
        <v/>
      </c>
      <c r="CQ215" s="265" t="str">
        <f t="shared" si="994"/>
        <v/>
      </c>
      <c r="CR215" s="265" t="str">
        <f t="shared" si="994"/>
        <v/>
      </c>
      <c r="CS215" s="265" t="str">
        <f t="shared" si="994"/>
        <v/>
      </c>
      <c r="CT215" s="265" t="str">
        <f t="shared" si="994"/>
        <v/>
      </c>
      <c r="CU215" s="265" t="str">
        <f t="shared" si="994"/>
        <v/>
      </c>
      <c r="CV215" s="265" t="str">
        <f t="shared" si="994"/>
        <v/>
      </c>
      <c r="CW215" s="265" t="str">
        <f t="shared" si="994"/>
        <v/>
      </c>
      <c r="CX215" s="265" t="str">
        <f t="shared" si="994"/>
        <v/>
      </c>
      <c r="CY215" s="265" t="str">
        <f t="shared" si="994"/>
        <v/>
      </c>
      <c r="CZ215" s="265" t="str">
        <f t="shared" si="994"/>
        <v/>
      </c>
      <c r="DA215" s="265" t="str">
        <f t="shared" si="994"/>
        <v/>
      </c>
      <c r="DB215" s="265" t="str">
        <f t="shared" si="994"/>
        <v/>
      </c>
      <c r="DC215" s="265" t="str">
        <f t="shared" si="994"/>
        <v/>
      </c>
      <c r="DD215" s="265" t="str">
        <f t="shared" si="994"/>
        <v/>
      </c>
      <c r="DE215" s="265" t="str">
        <f t="shared" si="994"/>
        <v/>
      </c>
      <c r="DF215" s="265" t="str">
        <f t="shared" si="994"/>
        <v/>
      </c>
      <c r="DG215" s="265" t="str">
        <f t="shared" si="994"/>
        <v/>
      </c>
      <c r="DH215" s="265" t="str">
        <f t="shared" si="994"/>
        <v/>
      </c>
      <c r="DI215" s="265" t="str">
        <f t="shared" si="994"/>
        <v/>
      </c>
      <c r="DJ215" s="265" t="str">
        <f t="shared" si="994"/>
        <v/>
      </c>
      <c r="DK215" s="265" t="str">
        <f t="shared" si="994"/>
        <v/>
      </c>
      <c r="DL215" s="265" t="str">
        <f t="shared" si="994"/>
        <v/>
      </c>
      <c r="DM215" s="265" t="str">
        <f t="shared" si="994"/>
        <v/>
      </c>
      <c r="DN215" s="265" t="str">
        <f t="shared" si="994"/>
        <v/>
      </c>
      <c r="DO215" s="265" t="str">
        <f t="shared" si="994"/>
        <v/>
      </c>
      <c r="DP215" s="265" t="str">
        <f t="shared" si="994"/>
        <v/>
      </c>
      <c r="DQ215" s="265" t="str">
        <f t="shared" si="994"/>
        <v/>
      </c>
      <c r="DR215" s="265" t="str">
        <f t="shared" si="994"/>
        <v/>
      </c>
      <c r="DS215" s="265" t="str">
        <f t="shared" si="994"/>
        <v/>
      </c>
      <c r="DT215" s="265" t="str">
        <f t="shared" si="994"/>
        <v/>
      </c>
      <c r="DU215" s="265" t="str">
        <f t="shared" si="994"/>
        <v/>
      </c>
      <c r="DV215" s="265" t="str">
        <f t="shared" si="994"/>
        <v/>
      </c>
      <c r="DW215" s="265" t="str">
        <f t="shared" si="994"/>
        <v/>
      </c>
      <c r="DX215" s="265" t="str">
        <f t="shared" si="994"/>
        <v/>
      </c>
      <c r="DY215" s="265" t="str">
        <f t="shared" si="994"/>
        <v/>
      </c>
      <c r="DZ215" s="265" t="str">
        <f t="shared" si="994"/>
        <v/>
      </c>
      <c r="EA215" s="265" t="str">
        <f t="shared" si="994"/>
        <v/>
      </c>
      <c r="EB215" s="265" t="str">
        <f t="shared" si="994"/>
        <v/>
      </c>
      <c r="EC215" s="265" t="str">
        <f t="shared" si="994"/>
        <v/>
      </c>
      <c r="ED215" s="265" t="str">
        <f t="shared" si="994"/>
        <v/>
      </c>
      <c r="EE215" s="265" t="str">
        <f t="shared" si="994"/>
        <v/>
      </c>
      <c r="EF215" s="265" t="str">
        <f t="shared" si="994"/>
        <v/>
      </c>
      <c r="EG215" s="265" t="str">
        <f t="shared" si="994"/>
        <v/>
      </c>
      <c r="EH215" s="265" t="str">
        <f t="shared" si="994"/>
        <v/>
      </c>
      <c r="EI215" s="265" t="str">
        <f t="shared" si="994"/>
        <v/>
      </c>
      <c r="EJ215" s="265" t="str">
        <f t="shared" si="994"/>
        <v/>
      </c>
      <c r="EK215" s="265" t="str">
        <f t="shared" si="994"/>
        <v/>
      </c>
      <c r="EL215" s="265" t="str">
        <f t="shared" si="994"/>
        <v/>
      </c>
      <c r="EM215" s="265" t="str">
        <f t="shared" si="994"/>
        <v/>
      </c>
      <c r="EN215" s="265" t="str">
        <f t="shared" si="994"/>
        <v/>
      </c>
      <c r="EO215" s="265" t="str">
        <f t="shared" si="994"/>
        <v/>
      </c>
      <c r="EP215" s="265" t="str">
        <f>IF(EP198="","",-EP200+EP206+EP209)</f>
        <v/>
      </c>
      <c r="EQ215" s="265" t="str">
        <f>IF(EQ198="","",-EQ200+EQ206+EQ209)</f>
        <v/>
      </c>
      <c r="ER215" s="265" t="str">
        <f>IF(ER198="","",-ER200+ER206+ER209)</f>
        <v/>
      </c>
      <c r="ES215" s="265" t="str">
        <f>IF(ES198="","",-ES200+ES206+ES209)</f>
        <v/>
      </c>
      <c r="EU215" s="202"/>
      <c r="EV215" s="153"/>
      <c r="EW215" s="153"/>
      <c r="EX215" s="153"/>
      <c r="EY215" s="154" t="s">
        <v>353</v>
      </c>
      <c r="EZ215" s="154"/>
      <c r="FA215" s="386">
        <f t="shared" ref="FA215:GF215" ca="1" si="995">+FA211+FA205</f>
        <v>0</v>
      </c>
      <c r="FB215" s="386">
        <f t="shared" ca="1" si="995"/>
        <v>0</v>
      </c>
      <c r="FC215" s="386">
        <f t="shared" ca="1" si="995"/>
        <v>0</v>
      </c>
      <c r="FD215" s="386">
        <f t="shared" ca="1" si="995"/>
        <v>0</v>
      </c>
      <c r="FE215" s="386">
        <f t="shared" ca="1" si="995"/>
        <v>0</v>
      </c>
      <c r="FF215" s="386">
        <f t="shared" ca="1" si="995"/>
        <v>0</v>
      </c>
      <c r="FG215" s="386">
        <f t="shared" ca="1" si="995"/>
        <v>0</v>
      </c>
      <c r="FH215" s="386">
        <f t="shared" ca="1" si="995"/>
        <v>0</v>
      </c>
      <c r="FI215" s="386">
        <f t="shared" ca="1" si="995"/>
        <v>0</v>
      </c>
      <c r="FJ215" s="386">
        <f t="shared" ca="1" si="995"/>
        <v>0</v>
      </c>
      <c r="FK215" s="386">
        <f t="shared" ca="1" si="995"/>
        <v>0</v>
      </c>
      <c r="FL215" s="386">
        <f t="shared" ca="1" si="995"/>
        <v>0</v>
      </c>
      <c r="FM215" s="386">
        <f t="shared" ca="1" si="995"/>
        <v>0</v>
      </c>
      <c r="FN215" s="386">
        <f t="shared" ca="1" si="995"/>
        <v>0</v>
      </c>
      <c r="FO215" s="386">
        <f t="shared" ca="1" si="995"/>
        <v>0</v>
      </c>
      <c r="FP215" s="386">
        <f t="shared" ca="1" si="995"/>
        <v>0</v>
      </c>
      <c r="FQ215" s="386">
        <f t="shared" ca="1" si="995"/>
        <v>0</v>
      </c>
      <c r="FR215" s="386">
        <f t="shared" ca="1" si="995"/>
        <v>0</v>
      </c>
      <c r="FS215" s="386">
        <f t="shared" ca="1" si="995"/>
        <v>0</v>
      </c>
      <c r="FT215" s="386">
        <f t="shared" ca="1" si="995"/>
        <v>0</v>
      </c>
      <c r="FU215" s="386">
        <f t="shared" ca="1" si="995"/>
        <v>0</v>
      </c>
      <c r="FV215" s="386">
        <f t="shared" ca="1" si="995"/>
        <v>0</v>
      </c>
      <c r="FW215" s="386">
        <f t="shared" ca="1" si="995"/>
        <v>0</v>
      </c>
      <c r="FX215" s="386">
        <f t="shared" ca="1" si="995"/>
        <v>0</v>
      </c>
      <c r="FY215" s="386">
        <f t="shared" ca="1" si="995"/>
        <v>0</v>
      </c>
      <c r="FZ215" s="386">
        <f t="shared" ca="1" si="995"/>
        <v>0</v>
      </c>
      <c r="GA215" s="386">
        <f t="shared" ca="1" si="995"/>
        <v>0</v>
      </c>
      <c r="GB215" s="386">
        <f t="shared" ca="1" si="995"/>
        <v>0</v>
      </c>
      <c r="GC215" s="386">
        <f t="shared" ca="1" si="995"/>
        <v>0</v>
      </c>
      <c r="GD215" s="386">
        <f t="shared" ca="1" si="995"/>
        <v>0</v>
      </c>
      <c r="GE215" s="386">
        <f t="shared" ca="1" si="995"/>
        <v>0</v>
      </c>
      <c r="GF215" s="386">
        <f t="shared" ca="1" si="995"/>
        <v>0</v>
      </c>
      <c r="GG215" s="386">
        <f t="shared" ref="GG215:HL215" ca="1" si="996">+GG211+GG205</f>
        <v>0</v>
      </c>
      <c r="GH215" s="386">
        <f t="shared" ca="1" si="996"/>
        <v>0</v>
      </c>
      <c r="GI215" s="386">
        <f t="shared" ca="1" si="996"/>
        <v>0</v>
      </c>
      <c r="GJ215" s="386">
        <f t="shared" ca="1" si="996"/>
        <v>0</v>
      </c>
      <c r="GK215" s="386">
        <f t="shared" ca="1" si="996"/>
        <v>0</v>
      </c>
      <c r="GL215" s="386">
        <f t="shared" ca="1" si="996"/>
        <v>0</v>
      </c>
      <c r="GM215" s="386">
        <f t="shared" ca="1" si="996"/>
        <v>0</v>
      </c>
      <c r="GN215" s="386">
        <f t="shared" ca="1" si="996"/>
        <v>0</v>
      </c>
      <c r="GO215" s="386">
        <f t="shared" ca="1" si="996"/>
        <v>0</v>
      </c>
      <c r="GP215" s="386">
        <f t="shared" ca="1" si="996"/>
        <v>0</v>
      </c>
      <c r="GQ215" s="386">
        <f t="shared" ca="1" si="996"/>
        <v>0</v>
      </c>
      <c r="GR215" s="386">
        <f t="shared" ca="1" si="996"/>
        <v>0</v>
      </c>
      <c r="GS215" s="386">
        <f t="shared" ca="1" si="996"/>
        <v>0</v>
      </c>
      <c r="GT215" s="386">
        <f t="shared" ca="1" si="996"/>
        <v>0</v>
      </c>
      <c r="GU215" s="386">
        <f t="shared" ca="1" si="996"/>
        <v>0</v>
      </c>
      <c r="GV215" s="386">
        <f t="shared" ca="1" si="996"/>
        <v>0</v>
      </c>
      <c r="GW215" s="386">
        <f t="shared" ca="1" si="996"/>
        <v>0</v>
      </c>
      <c r="GX215" s="386">
        <f t="shared" ca="1" si="996"/>
        <v>0</v>
      </c>
      <c r="GY215" s="386">
        <f t="shared" ca="1" si="996"/>
        <v>0</v>
      </c>
      <c r="GZ215" s="386">
        <f t="shared" ca="1" si="996"/>
        <v>0</v>
      </c>
      <c r="HA215" s="386">
        <f t="shared" ca="1" si="996"/>
        <v>0</v>
      </c>
      <c r="HB215" s="386">
        <f t="shared" ca="1" si="996"/>
        <v>0</v>
      </c>
      <c r="HC215" s="386">
        <f t="shared" ca="1" si="996"/>
        <v>0</v>
      </c>
      <c r="HD215" s="386">
        <f t="shared" ca="1" si="996"/>
        <v>0</v>
      </c>
      <c r="HE215" s="386">
        <f t="shared" ca="1" si="996"/>
        <v>0</v>
      </c>
      <c r="HF215" s="386">
        <f t="shared" ca="1" si="996"/>
        <v>0</v>
      </c>
      <c r="HG215" s="386">
        <f t="shared" ca="1" si="996"/>
        <v>0</v>
      </c>
      <c r="HH215" s="386">
        <f t="shared" ca="1" si="996"/>
        <v>0</v>
      </c>
      <c r="HI215" s="386">
        <f t="shared" ca="1" si="996"/>
        <v>0</v>
      </c>
      <c r="HJ215" s="386">
        <f t="shared" ca="1" si="996"/>
        <v>0</v>
      </c>
      <c r="HK215" s="386">
        <f t="shared" ca="1" si="996"/>
        <v>0</v>
      </c>
      <c r="HL215" s="386">
        <f t="shared" ca="1" si="996"/>
        <v>0</v>
      </c>
      <c r="HM215" s="386">
        <f t="shared" ref="HM215:IR215" ca="1" si="997">+HM211+HM205</f>
        <v>0</v>
      </c>
      <c r="HN215" s="386">
        <f t="shared" ca="1" si="997"/>
        <v>0</v>
      </c>
      <c r="HO215" s="386">
        <f t="shared" ca="1" si="997"/>
        <v>0</v>
      </c>
      <c r="HP215" s="386">
        <f t="shared" ca="1" si="997"/>
        <v>0</v>
      </c>
      <c r="HQ215" s="386">
        <f t="shared" ca="1" si="997"/>
        <v>0</v>
      </c>
      <c r="HR215" s="386">
        <f t="shared" ca="1" si="997"/>
        <v>0</v>
      </c>
      <c r="HS215" s="386">
        <f t="shared" ca="1" si="997"/>
        <v>0</v>
      </c>
      <c r="HT215" s="386">
        <f t="shared" ca="1" si="997"/>
        <v>0</v>
      </c>
      <c r="HU215" s="386">
        <f t="shared" ca="1" si="997"/>
        <v>0</v>
      </c>
      <c r="HV215" s="386">
        <f t="shared" ca="1" si="997"/>
        <v>0</v>
      </c>
      <c r="HW215" s="386">
        <f t="shared" ca="1" si="997"/>
        <v>0</v>
      </c>
      <c r="HX215" s="386">
        <f t="shared" ca="1" si="997"/>
        <v>0</v>
      </c>
      <c r="HY215" s="386">
        <f t="shared" ca="1" si="997"/>
        <v>0</v>
      </c>
      <c r="HZ215" s="386">
        <f t="shared" ca="1" si="997"/>
        <v>0</v>
      </c>
      <c r="IA215" s="386">
        <f t="shared" ca="1" si="997"/>
        <v>0</v>
      </c>
      <c r="IB215" s="386">
        <f t="shared" ca="1" si="997"/>
        <v>0</v>
      </c>
      <c r="IC215" s="386">
        <f t="shared" ca="1" si="997"/>
        <v>0</v>
      </c>
      <c r="ID215" s="386">
        <f t="shared" ca="1" si="997"/>
        <v>0</v>
      </c>
      <c r="IE215" s="386">
        <f t="shared" ca="1" si="997"/>
        <v>0</v>
      </c>
      <c r="IF215" s="386">
        <f t="shared" ca="1" si="997"/>
        <v>0</v>
      </c>
      <c r="IG215" s="386">
        <f t="shared" ca="1" si="997"/>
        <v>0</v>
      </c>
      <c r="IH215" s="386">
        <f t="shared" ca="1" si="997"/>
        <v>0</v>
      </c>
      <c r="II215" s="386">
        <f t="shared" ca="1" si="997"/>
        <v>0</v>
      </c>
      <c r="IJ215" s="386">
        <f t="shared" ca="1" si="997"/>
        <v>0</v>
      </c>
      <c r="IK215" s="386">
        <f t="shared" ca="1" si="997"/>
        <v>0</v>
      </c>
      <c r="IL215" s="386">
        <f t="shared" ca="1" si="997"/>
        <v>0</v>
      </c>
      <c r="IM215" s="386">
        <f t="shared" ca="1" si="997"/>
        <v>0</v>
      </c>
      <c r="IN215" s="386">
        <f t="shared" ca="1" si="997"/>
        <v>0</v>
      </c>
      <c r="IO215" s="386">
        <f t="shared" ca="1" si="997"/>
        <v>0</v>
      </c>
      <c r="IP215" s="386">
        <f t="shared" ca="1" si="997"/>
        <v>0</v>
      </c>
      <c r="IQ215" s="386">
        <f t="shared" ca="1" si="997"/>
        <v>0</v>
      </c>
      <c r="IR215" s="386">
        <f t="shared" ca="1" si="997"/>
        <v>0</v>
      </c>
      <c r="IS215" s="386">
        <f t="shared" ref="IS215:KC215" ca="1" si="998">+IS211+IS205</f>
        <v>0</v>
      </c>
      <c r="IT215" s="386">
        <f t="shared" ca="1" si="998"/>
        <v>0</v>
      </c>
      <c r="IU215" s="386">
        <f t="shared" ca="1" si="998"/>
        <v>0</v>
      </c>
      <c r="IV215" s="386">
        <f t="shared" ca="1" si="998"/>
        <v>0</v>
      </c>
      <c r="IW215" s="386">
        <f t="shared" ca="1" si="998"/>
        <v>0</v>
      </c>
      <c r="IX215" s="386">
        <f t="shared" ca="1" si="998"/>
        <v>0</v>
      </c>
      <c r="IY215" s="386">
        <f t="shared" ca="1" si="998"/>
        <v>0</v>
      </c>
      <c r="IZ215" s="386">
        <f t="shared" ca="1" si="998"/>
        <v>0</v>
      </c>
      <c r="JA215" s="386">
        <f t="shared" ca="1" si="998"/>
        <v>0</v>
      </c>
      <c r="JB215" s="386">
        <f t="shared" ca="1" si="998"/>
        <v>0</v>
      </c>
      <c r="JC215" s="386">
        <f t="shared" ca="1" si="998"/>
        <v>0</v>
      </c>
      <c r="JD215" s="386">
        <f t="shared" ca="1" si="998"/>
        <v>0</v>
      </c>
      <c r="JE215" s="386">
        <f t="shared" ca="1" si="998"/>
        <v>0</v>
      </c>
      <c r="JF215" s="386">
        <f t="shared" ca="1" si="998"/>
        <v>0</v>
      </c>
      <c r="JG215" s="386">
        <f t="shared" ca="1" si="998"/>
        <v>0</v>
      </c>
      <c r="JH215" s="386">
        <f t="shared" ca="1" si="998"/>
        <v>0</v>
      </c>
      <c r="JI215" s="386">
        <f t="shared" ca="1" si="998"/>
        <v>0</v>
      </c>
      <c r="JJ215" s="386">
        <f t="shared" ca="1" si="998"/>
        <v>0</v>
      </c>
      <c r="JK215" s="386">
        <f t="shared" ca="1" si="998"/>
        <v>0</v>
      </c>
      <c r="JL215" s="386">
        <f t="shared" ca="1" si="998"/>
        <v>0</v>
      </c>
      <c r="JM215" s="386">
        <f t="shared" ca="1" si="998"/>
        <v>0</v>
      </c>
      <c r="JN215" s="386">
        <f t="shared" ca="1" si="998"/>
        <v>0</v>
      </c>
      <c r="JO215" s="386">
        <f t="shared" ca="1" si="998"/>
        <v>0</v>
      </c>
      <c r="JP215" s="386">
        <f t="shared" ca="1" si="998"/>
        <v>0</v>
      </c>
      <c r="JQ215" s="386">
        <f t="shared" ca="1" si="998"/>
        <v>0</v>
      </c>
      <c r="JR215" s="386">
        <f t="shared" ca="1" si="998"/>
        <v>0</v>
      </c>
      <c r="JS215" s="386">
        <f t="shared" ca="1" si="998"/>
        <v>0</v>
      </c>
      <c r="JT215" s="386">
        <f t="shared" ca="1" si="998"/>
        <v>0</v>
      </c>
      <c r="JU215" s="386">
        <f t="shared" ca="1" si="998"/>
        <v>0</v>
      </c>
      <c r="JV215" s="386">
        <f t="shared" ca="1" si="998"/>
        <v>0</v>
      </c>
      <c r="JW215" s="386">
        <f t="shared" ca="1" si="998"/>
        <v>0</v>
      </c>
      <c r="JX215" s="386">
        <f t="shared" ca="1" si="998"/>
        <v>0</v>
      </c>
      <c r="JY215" s="386">
        <f t="shared" ca="1" si="998"/>
        <v>0</v>
      </c>
      <c r="JZ215" s="386">
        <f t="shared" ca="1" si="998"/>
        <v>0</v>
      </c>
      <c r="KA215" s="386">
        <f t="shared" ca="1" si="998"/>
        <v>0</v>
      </c>
      <c r="KB215" s="386">
        <f t="shared" ca="1" si="998"/>
        <v>0</v>
      </c>
      <c r="KC215" s="386">
        <f t="shared" ca="1" si="998"/>
        <v>0</v>
      </c>
    </row>
    <row r="216" spans="1:289" s="264" customFormat="1" x14ac:dyDescent="0.25">
      <c r="A216" s="258"/>
      <c r="B216" s="293" t="s">
        <v>179</v>
      </c>
      <c r="C216" s="294"/>
      <c r="D216" s="294"/>
      <c r="E216" s="294"/>
      <c r="F216" s="294"/>
      <c r="G216" s="396">
        <f ca="1">SUMIF(Q216:ER216,"&gt;0")/-SUMIF(Q216:ER216,"&lt;0")</f>
        <v>1.2094826879251515</v>
      </c>
      <c r="H216" s="363">
        <f ca="1">IF($Q$59=0,XIRR(OFFSET($R$216,0,0,1,Timing_Analysis_End_Month),OFFSET($R$199,0,0,1,Timing_Analysis_End_Month)),XIRR(OFFSET($Q$216,0,0,1,Timing_Analysis_End_Month+1),OFFSET($Q$199,0,0,1,Timing_Analysis_End_Month+1)))</f>
        <v>7.1340659260749825E-2</v>
      </c>
      <c r="I216" s="297">
        <f ca="1">SUM(Q216:ER216)</f>
        <v>338406.74105836172</v>
      </c>
      <c r="Q216" s="265">
        <f t="shared" ref="Q216:AV216" ca="1" si="999">IF(Q198="","",-Q55-Q200-Q201+Q203+Q204+Q206-Q207+Q209+Q210+Q211)</f>
        <v>-822502.85714285716</v>
      </c>
      <c r="R216" s="265">
        <f t="shared" ca="1" si="999"/>
        <v>-16840.908265539307</v>
      </c>
      <c r="S216" s="265">
        <f t="shared" ca="1" si="999"/>
        <v>-52504.923287438098</v>
      </c>
      <c r="T216" s="265">
        <f t="shared" ca="1" si="999"/>
        <v>-136519.80154125288</v>
      </c>
      <c r="U216" s="265">
        <f t="shared" ca="1" si="999"/>
        <v>-282437.29328717594</v>
      </c>
      <c r="V216" s="265">
        <f t="shared" ca="1" si="999"/>
        <v>-304634.34859430767</v>
      </c>
      <c r="W216" s="265">
        <f t="shared" ca="1" si="999"/>
        <v>0</v>
      </c>
      <c r="X216" s="265">
        <f t="shared" ca="1" si="999"/>
        <v>0</v>
      </c>
      <c r="Y216" s="265">
        <f t="shared" ca="1" si="999"/>
        <v>0</v>
      </c>
      <c r="Z216" s="265">
        <f t="shared" ca="1" si="999"/>
        <v>0</v>
      </c>
      <c r="AA216" s="265">
        <f t="shared" ca="1" si="999"/>
        <v>0</v>
      </c>
      <c r="AB216" s="265">
        <f t="shared" ca="1" si="999"/>
        <v>0</v>
      </c>
      <c r="AC216" s="265">
        <f t="shared" ca="1" si="999"/>
        <v>854.48499999999933</v>
      </c>
      <c r="AD216" s="265">
        <f t="shared" ca="1" si="999"/>
        <v>10928.922499999999</v>
      </c>
      <c r="AE216" s="265">
        <f t="shared" ca="1" si="999"/>
        <v>21003.359999999404</v>
      </c>
      <c r="AF216" s="265">
        <f t="shared" ca="1" si="999"/>
        <v>4636.4932134679602</v>
      </c>
      <c r="AG216" s="265">
        <f t="shared" ca="1" si="999"/>
        <v>4636.4932134679602</v>
      </c>
      <c r="AH216" s="265">
        <f t="shared" ca="1" si="999"/>
        <v>4636.4932134679602</v>
      </c>
      <c r="AI216" s="265">
        <f t="shared" ca="1" si="999"/>
        <v>4636.4932134679602</v>
      </c>
      <c r="AJ216" s="265">
        <f t="shared" ca="1" si="999"/>
        <v>4636.4932134679602</v>
      </c>
      <c r="AK216" s="265">
        <f t="shared" ca="1" si="999"/>
        <v>4636.4932134679602</v>
      </c>
      <c r="AL216" s="265">
        <f t="shared" ca="1" si="999"/>
        <v>4636.4932134679602</v>
      </c>
      <c r="AM216" s="265">
        <f t="shared" ca="1" si="999"/>
        <v>4636.4932134679602</v>
      </c>
      <c r="AN216" s="265">
        <f t="shared" ca="1" si="999"/>
        <v>4636.4932134679602</v>
      </c>
      <c r="AO216" s="265">
        <f t="shared" ca="1" si="999"/>
        <v>3668.4640134679557</v>
      </c>
      <c r="AP216" s="265">
        <f t="shared" ca="1" si="999"/>
        <v>3977.1190134679618</v>
      </c>
      <c r="AQ216" s="265">
        <f t="shared" ca="1" si="999"/>
        <v>4285.7740134679607</v>
      </c>
      <c r="AR216" s="265">
        <f t="shared" ca="1" si="999"/>
        <v>4285.7740134679607</v>
      </c>
      <c r="AS216" s="265">
        <f t="shared" ca="1" si="999"/>
        <v>4285.7740134679607</v>
      </c>
      <c r="AT216" s="265">
        <f t="shared" ca="1" si="999"/>
        <v>4285.7740134679607</v>
      </c>
      <c r="AU216" s="265">
        <f t="shared" ca="1" si="999"/>
        <v>4285.7740134679607</v>
      </c>
      <c r="AV216" s="265">
        <f t="shared" ca="1" si="999"/>
        <v>4285.7740134679607</v>
      </c>
      <c r="AW216" s="265">
        <f t="shared" ref="AW216:CB216" ca="1" si="1000">IF(AW198="","",-AW55-AW200-AW201+AW203+AW204+AW206-AW207+AW209+AW210+AW211)</f>
        <v>4285.7740134679607</v>
      </c>
      <c r="AX216" s="265">
        <f t="shared" ca="1" si="1000"/>
        <v>4285.7740134679607</v>
      </c>
      <c r="AY216" s="265">
        <f t="shared" ca="1" si="1000"/>
        <v>4285.7740134679607</v>
      </c>
      <c r="AZ216" s="265">
        <f t="shared" ca="1" si="1000"/>
        <v>4285.7740134679607</v>
      </c>
      <c r="BA216" s="265">
        <f t="shared" ca="1" si="1000"/>
        <v>1828828.3435941045</v>
      </c>
      <c r="BB216" s="265" t="str">
        <f t="shared" si="1000"/>
        <v/>
      </c>
      <c r="BC216" s="265" t="str">
        <f t="shared" si="1000"/>
        <v/>
      </c>
      <c r="BD216" s="265" t="str">
        <f t="shared" si="1000"/>
        <v/>
      </c>
      <c r="BE216" s="265" t="str">
        <f t="shared" si="1000"/>
        <v/>
      </c>
      <c r="BF216" s="265" t="str">
        <f t="shared" si="1000"/>
        <v/>
      </c>
      <c r="BG216" s="265" t="str">
        <f t="shared" si="1000"/>
        <v/>
      </c>
      <c r="BH216" s="265" t="str">
        <f t="shared" si="1000"/>
        <v/>
      </c>
      <c r="BI216" s="265" t="str">
        <f t="shared" si="1000"/>
        <v/>
      </c>
      <c r="BJ216" s="265" t="str">
        <f t="shared" si="1000"/>
        <v/>
      </c>
      <c r="BK216" s="265" t="str">
        <f t="shared" si="1000"/>
        <v/>
      </c>
      <c r="BL216" s="265" t="str">
        <f t="shared" si="1000"/>
        <v/>
      </c>
      <c r="BM216" s="265" t="str">
        <f t="shared" si="1000"/>
        <v/>
      </c>
      <c r="BN216" s="265" t="str">
        <f t="shared" si="1000"/>
        <v/>
      </c>
      <c r="BO216" s="265" t="str">
        <f t="shared" si="1000"/>
        <v/>
      </c>
      <c r="BP216" s="265" t="str">
        <f t="shared" si="1000"/>
        <v/>
      </c>
      <c r="BQ216" s="265" t="str">
        <f t="shared" si="1000"/>
        <v/>
      </c>
      <c r="BR216" s="265" t="str">
        <f t="shared" si="1000"/>
        <v/>
      </c>
      <c r="BS216" s="265" t="str">
        <f t="shared" si="1000"/>
        <v/>
      </c>
      <c r="BT216" s="265" t="str">
        <f t="shared" si="1000"/>
        <v/>
      </c>
      <c r="BU216" s="265" t="str">
        <f t="shared" si="1000"/>
        <v/>
      </c>
      <c r="BV216" s="265" t="str">
        <f t="shared" si="1000"/>
        <v/>
      </c>
      <c r="BW216" s="265" t="str">
        <f t="shared" si="1000"/>
        <v/>
      </c>
      <c r="BX216" s="265" t="str">
        <f t="shared" si="1000"/>
        <v/>
      </c>
      <c r="BY216" s="265" t="str">
        <f t="shared" si="1000"/>
        <v/>
      </c>
      <c r="BZ216" s="265" t="str">
        <f t="shared" si="1000"/>
        <v/>
      </c>
      <c r="CA216" s="265" t="str">
        <f t="shared" si="1000"/>
        <v/>
      </c>
      <c r="CB216" s="265" t="str">
        <f t="shared" si="1000"/>
        <v/>
      </c>
      <c r="CC216" s="265" t="str">
        <f t="shared" ref="CC216:DH216" si="1001">IF(CC198="","",-CC55-CC200-CC201+CC203+CC204+CC206-CC207+CC209+CC210+CC211)</f>
        <v/>
      </c>
      <c r="CD216" s="265" t="str">
        <f t="shared" si="1001"/>
        <v/>
      </c>
      <c r="CE216" s="265" t="str">
        <f t="shared" si="1001"/>
        <v/>
      </c>
      <c r="CF216" s="265" t="str">
        <f t="shared" si="1001"/>
        <v/>
      </c>
      <c r="CG216" s="265" t="str">
        <f t="shared" si="1001"/>
        <v/>
      </c>
      <c r="CH216" s="265" t="str">
        <f t="shared" si="1001"/>
        <v/>
      </c>
      <c r="CI216" s="265" t="str">
        <f t="shared" si="1001"/>
        <v/>
      </c>
      <c r="CJ216" s="265" t="str">
        <f t="shared" si="1001"/>
        <v/>
      </c>
      <c r="CK216" s="265" t="str">
        <f t="shared" si="1001"/>
        <v/>
      </c>
      <c r="CL216" s="265" t="str">
        <f t="shared" si="1001"/>
        <v/>
      </c>
      <c r="CM216" s="265" t="str">
        <f t="shared" si="1001"/>
        <v/>
      </c>
      <c r="CN216" s="265" t="str">
        <f t="shared" si="1001"/>
        <v/>
      </c>
      <c r="CO216" s="265" t="str">
        <f t="shared" si="1001"/>
        <v/>
      </c>
      <c r="CP216" s="265" t="str">
        <f t="shared" si="1001"/>
        <v/>
      </c>
      <c r="CQ216" s="265" t="str">
        <f t="shared" si="1001"/>
        <v/>
      </c>
      <c r="CR216" s="265" t="str">
        <f t="shared" si="1001"/>
        <v/>
      </c>
      <c r="CS216" s="265" t="str">
        <f t="shared" si="1001"/>
        <v/>
      </c>
      <c r="CT216" s="265" t="str">
        <f t="shared" si="1001"/>
        <v/>
      </c>
      <c r="CU216" s="265" t="str">
        <f t="shared" si="1001"/>
        <v/>
      </c>
      <c r="CV216" s="265" t="str">
        <f t="shared" si="1001"/>
        <v/>
      </c>
      <c r="CW216" s="265" t="str">
        <f t="shared" si="1001"/>
        <v/>
      </c>
      <c r="CX216" s="265" t="str">
        <f t="shared" si="1001"/>
        <v/>
      </c>
      <c r="CY216" s="265" t="str">
        <f t="shared" si="1001"/>
        <v/>
      </c>
      <c r="CZ216" s="265" t="str">
        <f t="shared" si="1001"/>
        <v/>
      </c>
      <c r="DA216" s="265" t="str">
        <f t="shared" si="1001"/>
        <v/>
      </c>
      <c r="DB216" s="265" t="str">
        <f t="shared" si="1001"/>
        <v/>
      </c>
      <c r="DC216" s="265" t="str">
        <f t="shared" si="1001"/>
        <v/>
      </c>
      <c r="DD216" s="265" t="str">
        <f t="shared" si="1001"/>
        <v/>
      </c>
      <c r="DE216" s="265" t="str">
        <f t="shared" si="1001"/>
        <v/>
      </c>
      <c r="DF216" s="265" t="str">
        <f t="shared" si="1001"/>
        <v/>
      </c>
      <c r="DG216" s="265" t="str">
        <f t="shared" si="1001"/>
        <v/>
      </c>
      <c r="DH216" s="265" t="str">
        <f t="shared" si="1001"/>
        <v/>
      </c>
      <c r="DI216" s="265" t="str">
        <f t="shared" ref="DI216:ES216" si="1002">IF(DI198="","",-DI55-DI200-DI201+DI203+DI204+DI206-DI207+DI209+DI210+DI211)</f>
        <v/>
      </c>
      <c r="DJ216" s="265" t="str">
        <f t="shared" si="1002"/>
        <v/>
      </c>
      <c r="DK216" s="265" t="str">
        <f t="shared" si="1002"/>
        <v/>
      </c>
      <c r="DL216" s="265" t="str">
        <f t="shared" si="1002"/>
        <v/>
      </c>
      <c r="DM216" s="265" t="str">
        <f t="shared" si="1002"/>
        <v/>
      </c>
      <c r="DN216" s="265" t="str">
        <f t="shared" si="1002"/>
        <v/>
      </c>
      <c r="DO216" s="265" t="str">
        <f t="shared" si="1002"/>
        <v/>
      </c>
      <c r="DP216" s="265" t="str">
        <f t="shared" si="1002"/>
        <v/>
      </c>
      <c r="DQ216" s="265" t="str">
        <f t="shared" si="1002"/>
        <v/>
      </c>
      <c r="DR216" s="265" t="str">
        <f t="shared" si="1002"/>
        <v/>
      </c>
      <c r="DS216" s="265" t="str">
        <f t="shared" si="1002"/>
        <v/>
      </c>
      <c r="DT216" s="265" t="str">
        <f t="shared" si="1002"/>
        <v/>
      </c>
      <c r="DU216" s="265" t="str">
        <f t="shared" si="1002"/>
        <v/>
      </c>
      <c r="DV216" s="265" t="str">
        <f t="shared" si="1002"/>
        <v/>
      </c>
      <c r="DW216" s="265" t="str">
        <f t="shared" si="1002"/>
        <v/>
      </c>
      <c r="DX216" s="265" t="str">
        <f t="shared" si="1002"/>
        <v/>
      </c>
      <c r="DY216" s="265" t="str">
        <f t="shared" si="1002"/>
        <v/>
      </c>
      <c r="DZ216" s="265" t="str">
        <f t="shared" si="1002"/>
        <v/>
      </c>
      <c r="EA216" s="265" t="str">
        <f t="shared" si="1002"/>
        <v/>
      </c>
      <c r="EB216" s="265" t="str">
        <f t="shared" si="1002"/>
        <v/>
      </c>
      <c r="EC216" s="265" t="str">
        <f t="shared" si="1002"/>
        <v/>
      </c>
      <c r="ED216" s="265" t="str">
        <f t="shared" si="1002"/>
        <v/>
      </c>
      <c r="EE216" s="265" t="str">
        <f t="shared" si="1002"/>
        <v/>
      </c>
      <c r="EF216" s="265" t="str">
        <f t="shared" si="1002"/>
        <v/>
      </c>
      <c r="EG216" s="265" t="str">
        <f t="shared" si="1002"/>
        <v/>
      </c>
      <c r="EH216" s="265" t="str">
        <f t="shared" si="1002"/>
        <v/>
      </c>
      <c r="EI216" s="265" t="str">
        <f t="shared" si="1002"/>
        <v/>
      </c>
      <c r="EJ216" s="265" t="str">
        <f t="shared" si="1002"/>
        <v/>
      </c>
      <c r="EK216" s="265" t="str">
        <f t="shared" si="1002"/>
        <v/>
      </c>
      <c r="EL216" s="265" t="str">
        <f t="shared" si="1002"/>
        <v/>
      </c>
      <c r="EM216" s="265" t="str">
        <f t="shared" si="1002"/>
        <v/>
      </c>
      <c r="EN216" s="265" t="str">
        <f t="shared" si="1002"/>
        <v/>
      </c>
      <c r="EO216" s="265" t="str">
        <f t="shared" si="1002"/>
        <v/>
      </c>
      <c r="EP216" s="265" t="str">
        <f t="shared" si="1002"/>
        <v/>
      </c>
      <c r="EQ216" s="265" t="str">
        <f t="shared" si="1002"/>
        <v/>
      </c>
      <c r="ER216" s="265" t="str">
        <f t="shared" si="1002"/>
        <v/>
      </c>
      <c r="ES216" s="265" t="str">
        <f t="shared" si="1002"/>
        <v/>
      </c>
      <c r="EU216" s="397"/>
      <c r="EV216" s="398"/>
      <c r="EW216" s="398"/>
      <c r="EX216" s="398"/>
      <c r="EY216" s="399" t="s">
        <v>348</v>
      </c>
      <c r="EZ216" s="399"/>
      <c r="FA216" s="400">
        <f t="shared" ref="FA216:GF216" ca="1" si="1003">MAX(FA200-FA215,0)</f>
        <v>0</v>
      </c>
      <c r="FB216" s="400">
        <f t="shared" ca="1" si="1003"/>
        <v>0</v>
      </c>
      <c r="FC216" s="400">
        <f t="shared" ca="1" si="1003"/>
        <v>0</v>
      </c>
      <c r="FD216" s="400">
        <f t="shared" ca="1" si="1003"/>
        <v>0</v>
      </c>
      <c r="FE216" s="400">
        <f t="shared" ca="1" si="1003"/>
        <v>0</v>
      </c>
      <c r="FF216" s="400">
        <f t="shared" ca="1" si="1003"/>
        <v>0</v>
      </c>
      <c r="FG216" s="400">
        <f t="shared" ca="1" si="1003"/>
        <v>0</v>
      </c>
      <c r="FH216" s="400">
        <f t="shared" ca="1" si="1003"/>
        <v>0</v>
      </c>
      <c r="FI216" s="400">
        <f t="shared" ca="1" si="1003"/>
        <v>0</v>
      </c>
      <c r="FJ216" s="400">
        <f t="shared" ca="1" si="1003"/>
        <v>0</v>
      </c>
      <c r="FK216" s="400">
        <f t="shared" ca="1" si="1003"/>
        <v>0</v>
      </c>
      <c r="FL216" s="400">
        <f t="shared" ca="1" si="1003"/>
        <v>0</v>
      </c>
      <c r="FM216" s="400">
        <f t="shared" ca="1" si="1003"/>
        <v>854.48499999999933</v>
      </c>
      <c r="FN216" s="400">
        <f t="shared" ca="1" si="1003"/>
        <v>10928.922499999999</v>
      </c>
      <c r="FO216" s="400">
        <f t="shared" ca="1" si="1003"/>
        <v>19657.158961798061</v>
      </c>
      <c r="FP216" s="400">
        <f t="shared" ca="1" si="1003"/>
        <v>3290.2921752666171</v>
      </c>
      <c r="FQ216" s="400">
        <f t="shared" ca="1" si="1003"/>
        <v>3290.2921752666171</v>
      </c>
      <c r="FR216" s="400">
        <f t="shared" ca="1" si="1003"/>
        <v>3290.2921752666171</v>
      </c>
      <c r="FS216" s="400">
        <f t="shared" ca="1" si="1003"/>
        <v>3290.2921752666171</v>
      </c>
      <c r="FT216" s="400">
        <f t="shared" ca="1" si="1003"/>
        <v>3290.2921752666171</v>
      </c>
      <c r="FU216" s="400">
        <f t="shared" ca="1" si="1003"/>
        <v>3290.2921752666171</v>
      </c>
      <c r="FV216" s="400">
        <f t="shared" ca="1" si="1003"/>
        <v>3290.2921752666171</v>
      </c>
      <c r="FW216" s="400">
        <f t="shared" ca="1" si="1003"/>
        <v>3290.2921752666171</v>
      </c>
      <c r="FX216" s="400">
        <f t="shared" ca="1" si="1003"/>
        <v>3290.2921752666171</v>
      </c>
      <c r="FY216" s="400">
        <f t="shared" ca="1" si="1003"/>
        <v>2322.2629752666126</v>
      </c>
      <c r="FZ216" s="400">
        <f t="shared" ca="1" si="1003"/>
        <v>2630.9179752666187</v>
      </c>
      <c r="GA216" s="400">
        <f t="shared" ca="1" si="1003"/>
        <v>2939.5729752666175</v>
      </c>
      <c r="GB216" s="400">
        <f t="shared" ca="1" si="1003"/>
        <v>2939.5729752666175</v>
      </c>
      <c r="GC216" s="400">
        <f t="shared" ca="1" si="1003"/>
        <v>2939.5729752666175</v>
      </c>
      <c r="GD216" s="400">
        <f t="shared" ca="1" si="1003"/>
        <v>2939.5729752666175</v>
      </c>
      <c r="GE216" s="400">
        <f t="shared" ca="1" si="1003"/>
        <v>2939.5729752666175</v>
      </c>
      <c r="GF216" s="400">
        <f t="shared" ca="1" si="1003"/>
        <v>2939.5729752666175</v>
      </c>
      <c r="GG216" s="400">
        <f t="shared" ref="GG216:HL216" ca="1" si="1004">MAX(GG200-GG215,0)</f>
        <v>2939.5729752666175</v>
      </c>
      <c r="GH216" s="400">
        <f t="shared" ca="1" si="1004"/>
        <v>2939.5729752666175</v>
      </c>
      <c r="GI216" s="400">
        <f t="shared" ca="1" si="1004"/>
        <v>2939.5729752666175</v>
      </c>
      <c r="GJ216" s="400">
        <f t="shared" ca="1" si="1004"/>
        <v>2939.5729752666175</v>
      </c>
      <c r="GK216" s="400">
        <f t="shared" ca="1" si="1004"/>
        <v>1827482.1425559032</v>
      </c>
      <c r="GL216" s="400">
        <f t="shared" ca="1" si="1004"/>
        <v>0</v>
      </c>
      <c r="GM216" s="400">
        <f t="shared" ca="1" si="1004"/>
        <v>0</v>
      </c>
      <c r="GN216" s="400">
        <f t="shared" ca="1" si="1004"/>
        <v>0</v>
      </c>
      <c r="GO216" s="400">
        <f t="shared" ca="1" si="1004"/>
        <v>0</v>
      </c>
      <c r="GP216" s="400">
        <f t="shared" ca="1" si="1004"/>
        <v>0</v>
      </c>
      <c r="GQ216" s="400">
        <f t="shared" ca="1" si="1004"/>
        <v>0</v>
      </c>
      <c r="GR216" s="400">
        <f t="shared" ca="1" si="1004"/>
        <v>0</v>
      </c>
      <c r="GS216" s="400">
        <f t="shared" ca="1" si="1004"/>
        <v>0</v>
      </c>
      <c r="GT216" s="400">
        <f t="shared" ca="1" si="1004"/>
        <v>0</v>
      </c>
      <c r="GU216" s="400">
        <f t="shared" ca="1" si="1004"/>
        <v>0</v>
      </c>
      <c r="GV216" s="400">
        <f t="shared" ca="1" si="1004"/>
        <v>0</v>
      </c>
      <c r="GW216" s="400">
        <f t="shared" ca="1" si="1004"/>
        <v>0</v>
      </c>
      <c r="GX216" s="400">
        <f t="shared" ca="1" si="1004"/>
        <v>0</v>
      </c>
      <c r="GY216" s="400">
        <f t="shared" ca="1" si="1004"/>
        <v>0</v>
      </c>
      <c r="GZ216" s="400">
        <f t="shared" ca="1" si="1004"/>
        <v>0</v>
      </c>
      <c r="HA216" s="400">
        <f t="shared" ca="1" si="1004"/>
        <v>0</v>
      </c>
      <c r="HB216" s="400">
        <f t="shared" ca="1" si="1004"/>
        <v>0</v>
      </c>
      <c r="HC216" s="400">
        <f t="shared" ca="1" si="1004"/>
        <v>0</v>
      </c>
      <c r="HD216" s="400">
        <f t="shared" ca="1" si="1004"/>
        <v>0</v>
      </c>
      <c r="HE216" s="400">
        <f t="shared" ca="1" si="1004"/>
        <v>0</v>
      </c>
      <c r="HF216" s="400">
        <f t="shared" ca="1" si="1004"/>
        <v>0</v>
      </c>
      <c r="HG216" s="400">
        <f t="shared" ca="1" si="1004"/>
        <v>0</v>
      </c>
      <c r="HH216" s="400">
        <f t="shared" ca="1" si="1004"/>
        <v>0</v>
      </c>
      <c r="HI216" s="400">
        <f t="shared" ca="1" si="1004"/>
        <v>0</v>
      </c>
      <c r="HJ216" s="400">
        <f t="shared" ca="1" si="1004"/>
        <v>0</v>
      </c>
      <c r="HK216" s="400">
        <f t="shared" ca="1" si="1004"/>
        <v>0</v>
      </c>
      <c r="HL216" s="400">
        <f t="shared" ca="1" si="1004"/>
        <v>0</v>
      </c>
      <c r="HM216" s="400">
        <f t="shared" ref="HM216:IR216" ca="1" si="1005">MAX(HM200-HM215,0)</f>
        <v>0</v>
      </c>
      <c r="HN216" s="400">
        <f t="shared" ca="1" si="1005"/>
        <v>0</v>
      </c>
      <c r="HO216" s="400">
        <f t="shared" ca="1" si="1005"/>
        <v>0</v>
      </c>
      <c r="HP216" s="400">
        <f t="shared" ca="1" si="1005"/>
        <v>0</v>
      </c>
      <c r="HQ216" s="400">
        <f t="shared" ca="1" si="1005"/>
        <v>0</v>
      </c>
      <c r="HR216" s="400">
        <f t="shared" ca="1" si="1005"/>
        <v>0</v>
      </c>
      <c r="HS216" s="400">
        <f t="shared" ca="1" si="1005"/>
        <v>0</v>
      </c>
      <c r="HT216" s="400">
        <f t="shared" ca="1" si="1005"/>
        <v>0</v>
      </c>
      <c r="HU216" s="400">
        <f t="shared" ca="1" si="1005"/>
        <v>0</v>
      </c>
      <c r="HV216" s="400">
        <f t="shared" ca="1" si="1005"/>
        <v>0</v>
      </c>
      <c r="HW216" s="400">
        <f t="shared" ca="1" si="1005"/>
        <v>0</v>
      </c>
      <c r="HX216" s="400">
        <f t="shared" ca="1" si="1005"/>
        <v>0</v>
      </c>
      <c r="HY216" s="400">
        <f t="shared" ca="1" si="1005"/>
        <v>0</v>
      </c>
      <c r="HZ216" s="400">
        <f t="shared" ca="1" si="1005"/>
        <v>0</v>
      </c>
      <c r="IA216" s="400">
        <f t="shared" ca="1" si="1005"/>
        <v>0</v>
      </c>
      <c r="IB216" s="400">
        <f t="shared" ca="1" si="1005"/>
        <v>0</v>
      </c>
      <c r="IC216" s="400">
        <f t="shared" ca="1" si="1005"/>
        <v>0</v>
      </c>
      <c r="ID216" s="400">
        <f t="shared" ca="1" si="1005"/>
        <v>0</v>
      </c>
      <c r="IE216" s="400">
        <f t="shared" ca="1" si="1005"/>
        <v>0</v>
      </c>
      <c r="IF216" s="400">
        <f t="shared" ca="1" si="1005"/>
        <v>0</v>
      </c>
      <c r="IG216" s="400">
        <f t="shared" ca="1" si="1005"/>
        <v>0</v>
      </c>
      <c r="IH216" s="400">
        <f t="shared" ca="1" si="1005"/>
        <v>0</v>
      </c>
      <c r="II216" s="400">
        <f t="shared" ca="1" si="1005"/>
        <v>0</v>
      </c>
      <c r="IJ216" s="400">
        <f t="shared" ca="1" si="1005"/>
        <v>0</v>
      </c>
      <c r="IK216" s="400">
        <f t="shared" ca="1" si="1005"/>
        <v>0</v>
      </c>
      <c r="IL216" s="400">
        <f t="shared" ca="1" si="1005"/>
        <v>0</v>
      </c>
      <c r="IM216" s="400">
        <f t="shared" ca="1" si="1005"/>
        <v>0</v>
      </c>
      <c r="IN216" s="400">
        <f t="shared" ca="1" si="1005"/>
        <v>0</v>
      </c>
      <c r="IO216" s="400">
        <f t="shared" ca="1" si="1005"/>
        <v>0</v>
      </c>
      <c r="IP216" s="400">
        <f t="shared" ca="1" si="1005"/>
        <v>0</v>
      </c>
      <c r="IQ216" s="400">
        <f t="shared" ca="1" si="1005"/>
        <v>0</v>
      </c>
      <c r="IR216" s="400">
        <f t="shared" ca="1" si="1005"/>
        <v>0</v>
      </c>
      <c r="IS216" s="400">
        <f t="shared" ref="IS216:JX216" ca="1" si="1006">MAX(IS200-IS215,0)</f>
        <v>0</v>
      </c>
      <c r="IT216" s="400">
        <f t="shared" ca="1" si="1006"/>
        <v>0</v>
      </c>
      <c r="IU216" s="400">
        <f t="shared" ca="1" si="1006"/>
        <v>0</v>
      </c>
      <c r="IV216" s="400">
        <f t="shared" ca="1" si="1006"/>
        <v>0</v>
      </c>
      <c r="IW216" s="400">
        <f t="shared" ca="1" si="1006"/>
        <v>0</v>
      </c>
      <c r="IX216" s="400">
        <f t="shared" ca="1" si="1006"/>
        <v>0</v>
      </c>
      <c r="IY216" s="400">
        <f t="shared" ca="1" si="1006"/>
        <v>0</v>
      </c>
      <c r="IZ216" s="400">
        <f t="shared" ca="1" si="1006"/>
        <v>0</v>
      </c>
      <c r="JA216" s="400">
        <f t="shared" ca="1" si="1006"/>
        <v>0</v>
      </c>
      <c r="JB216" s="400">
        <f t="shared" ca="1" si="1006"/>
        <v>0</v>
      </c>
      <c r="JC216" s="400">
        <f t="shared" ca="1" si="1006"/>
        <v>0</v>
      </c>
      <c r="JD216" s="400">
        <f t="shared" ca="1" si="1006"/>
        <v>0</v>
      </c>
      <c r="JE216" s="400">
        <f t="shared" ca="1" si="1006"/>
        <v>0</v>
      </c>
      <c r="JF216" s="400">
        <f t="shared" ca="1" si="1006"/>
        <v>0</v>
      </c>
      <c r="JG216" s="400">
        <f t="shared" ca="1" si="1006"/>
        <v>0</v>
      </c>
      <c r="JH216" s="400">
        <f t="shared" ca="1" si="1006"/>
        <v>0</v>
      </c>
      <c r="JI216" s="400">
        <f t="shared" ca="1" si="1006"/>
        <v>0</v>
      </c>
      <c r="JJ216" s="400">
        <f t="shared" ca="1" si="1006"/>
        <v>0</v>
      </c>
      <c r="JK216" s="400">
        <f t="shared" ca="1" si="1006"/>
        <v>0</v>
      </c>
      <c r="JL216" s="400">
        <f t="shared" ca="1" si="1006"/>
        <v>0</v>
      </c>
      <c r="JM216" s="400">
        <f t="shared" ca="1" si="1006"/>
        <v>0</v>
      </c>
      <c r="JN216" s="400">
        <f t="shared" ca="1" si="1006"/>
        <v>0</v>
      </c>
      <c r="JO216" s="400">
        <f t="shared" ca="1" si="1006"/>
        <v>0</v>
      </c>
      <c r="JP216" s="400">
        <f t="shared" ca="1" si="1006"/>
        <v>0</v>
      </c>
      <c r="JQ216" s="400">
        <f t="shared" ca="1" si="1006"/>
        <v>0</v>
      </c>
      <c r="JR216" s="400">
        <f t="shared" ca="1" si="1006"/>
        <v>0</v>
      </c>
      <c r="JS216" s="400">
        <f t="shared" ca="1" si="1006"/>
        <v>0</v>
      </c>
      <c r="JT216" s="400">
        <f t="shared" ca="1" si="1006"/>
        <v>0</v>
      </c>
      <c r="JU216" s="400">
        <f t="shared" ca="1" si="1006"/>
        <v>0</v>
      </c>
      <c r="JV216" s="400">
        <f t="shared" ca="1" si="1006"/>
        <v>0</v>
      </c>
      <c r="JW216" s="400">
        <f t="shared" ca="1" si="1006"/>
        <v>0</v>
      </c>
      <c r="JX216" s="400">
        <f t="shared" ca="1" si="1006"/>
        <v>0</v>
      </c>
      <c r="JY216" s="400">
        <f t="shared" ref="JY216:KC216" ca="1" si="1007">MAX(JY200-JY215,0)</f>
        <v>0</v>
      </c>
      <c r="JZ216" s="400">
        <f t="shared" ca="1" si="1007"/>
        <v>0</v>
      </c>
      <c r="KA216" s="400">
        <f t="shared" ca="1" si="1007"/>
        <v>0</v>
      </c>
      <c r="KB216" s="400">
        <f t="shared" ca="1" si="1007"/>
        <v>0</v>
      </c>
      <c r="KC216" s="400">
        <f t="shared" ca="1" si="1007"/>
        <v>0</v>
      </c>
    </row>
    <row r="217" spans="1:289" s="264" customFormat="1" ht="5.0999999999999996" customHeight="1" x14ac:dyDescent="0.25">
      <c r="A217" s="258"/>
      <c r="B217" s="293"/>
      <c r="C217" s="294"/>
      <c r="D217" s="294"/>
      <c r="E217" s="294"/>
      <c r="F217" s="294"/>
      <c r="G217" s="396"/>
      <c r="H217" s="363"/>
      <c r="I217" s="297"/>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65"/>
      <c r="AN217" s="265"/>
      <c r="AO217" s="265"/>
      <c r="AP217" s="265"/>
      <c r="AQ217" s="265"/>
      <c r="AR217" s="265"/>
      <c r="AS217" s="265"/>
      <c r="AT217" s="265"/>
      <c r="AU217" s="265"/>
      <c r="AV217" s="265"/>
      <c r="AW217" s="265"/>
      <c r="AX217" s="265"/>
      <c r="AY217" s="265"/>
      <c r="AZ217" s="265"/>
      <c r="BA217" s="265"/>
      <c r="BB217" s="265"/>
      <c r="BC217" s="265"/>
      <c r="BD217" s="265"/>
      <c r="BE217" s="265"/>
      <c r="BF217" s="265"/>
      <c r="BG217" s="265"/>
      <c r="BH217" s="265"/>
      <c r="BI217" s="265"/>
      <c r="BJ217" s="265"/>
      <c r="BK217" s="265"/>
      <c r="BL217" s="265"/>
      <c r="BM217" s="265"/>
      <c r="BN217" s="265"/>
      <c r="BO217" s="265"/>
      <c r="BP217" s="265"/>
      <c r="BQ217" s="265"/>
      <c r="BR217" s="265"/>
      <c r="BS217" s="265"/>
      <c r="BT217" s="265"/>
      <c r="BU217" s="265"/>
      <c r="BV217" s="265"/>
      <c r="BW217" s="265"/>
      <c r="BX217" s="265"/>
      <c r="BY217" s="265"/>
      <c r="BZ217" s="265"/>
      <c r="CA217" s="265"/>
      <c r="CB217" s="265"/>
      <c r="CC217" s="265"/>
      <c r="CD217" s="265"/>
      <c r="CE217" s="265"/>
      <c r="CF217" s="265"/>
      <c r="CG217" s="265"/>
      <c r="CH217" s="265"/>
      <c r="CI217" s="265"/>
      <c r="CJ217" s="265"/>
      <c r="CK217" s="265"/>
      <c r="CL217" s="265"/>
      <c r="CM217" s="265"/>
      <c r="CN217" s="265"/>
      <c r="CO217" s="265"/>
      <c r="CP217" s="265"/>
      <c r="CQ217" s="265"/>
      <c r="CR217" s="265"/>
      <c r="CS217" s="265"/>
      <c r="CT217" s="265"/>
      <c r="CU217" s="265"/>
      <c r="CV217" s="265"/>
      <c r="CW217" s="265"/>
      <c r="CX217" s="265"/>
      <c r="CY217" s="265"/>
      <c r="CZ217" s="265"/>
      <c r="DA217" s="265"/>
      <c r="DB217" s="265"/>
      <c r="DC217" s="265"/>
      <c r="DD217" s="265"/>
      <c r="DE217" s="265"/>
      <c r="DF217" s="265"/>
      <c r="DG217" s="265"/>
      <c r="DH217" s="265"/>
      <c r="DI217" s="265"/>
      <c r="DJ217" s="265"/>
      <c r="DK217" s="265"/>
      <c r="DL217" s="265"/>
      <c r="DM217" s="265"/>
      <c r="DN217" s="265"/>
      <c r="DO217" s="265"/>
      <c r="DP217" s="265"/>
      <c r="DQ217" s="265"/>
      <c r="DR217" s="265"/>
      <c r="DS217" s="265"/>
      <c r="DT217" s="265"/>
      <c r="DU217" s="265"/>
      <c r="DV217" s="265"/>
      <c r="DW217" s="265"/>
      <c r="DX217" s="265"/>
      <c r="DY217" s="265"/>
      <c r="DZ217" s="265"/>
      <c r="EA217" s="265"/>
      <c r="EB217" s="265"/>
      <c r="EC217" s="265"/>
      <c r="ED217" s="265"/>
      <c r="EE217" s="265"/>
      <c r="EF217" s="265"/>
      <c r="EG217" s="265"/>
      <c r="EH217" s="265"/>
      <c r="EI217" s="265"/>
      <c r="EJ217" s="265"/>
      <c r="EK217" s="265"/>
      <c r="EL217" s="265"/>
      <c r="EM217" s="265"/>
      <c r="EN217" s="265"/>
      <c r="EO217" s="265"/>
      <c r="EP217" s="265"/>
      <c r="EQ217" s="265"/>
      <c r="ER217" s="265"/>
      <c r="ES217" s="265"/>
      <c r="EU217" s="202"/>
      <c r="EV217" s="153"/>
      <c r="EW217" s="153"/>
      <c r="EX217" s="153"/>
      <c r="EY217" s="154"/>
      <c r="EZ217" s="154"/>
      <c r="FA217" s="386"/>
      <c r="FB217" s="386"/>
      <c r="FC217" s="386"/>
      <c r="FD217" s="386"/>
      <c r="FE217" s="386"/>
      <c r="FF217" s="386"/>
      <c r="FG217" s="386"/>
      <c r="FH217" s="386"/>
      <c r="FI217" s="386"/>
      <c r="FJ217" s="386"/>
      <c r="FK217" s="386"/>
      <c r="FL217" s="386"/>
      <c r="FM217" s="386"/>
      <c r="FN217" s="386"/>
      <c r="FO217" s="386"/>
      <c r="FP217" s="386"/>
      <c r="FQ217" s="386"/>
      <c r="FR217" s="386"/>
      <c r="FS217" s="386"/>
      <c r="FT217" s="386"/>
      <c r="FU217" s="386"/>
      <c r="FV217" s="386"/>
      <c r="FW217" s="386"/>
      <c r="FX217" s="386"/>
      <c r="FY217" s="386"/>
      <c r="FZ217" s="386"/>
      <c r="GA217" s="386"/>
      <c r="GB217" s="386"/>
      <c r="GC217" s="386"/>
      <c r="GD217" s="386"/>
      <c r="GE217" s="386"/>
      <c r="GF217" s="386"/>
      <c r="GG217" s="386"/>
      <c r="GH217" s="386"/>
      <c r="GI217" s="386"/>
      <c r="GJ217" s="386"/>
      <c r="GK217" s="386"/>
      <c r="GL217" s="386"/>
      <c r="GM217" s="386"/>
      <c r="GN217" s="386"/>
      <c r="GO217" s="386"/>
      <c r="GP217" s="386"/>
      <c r="GQ217" s="386"/>
      <c r="GR217" s="386"/>
      <c r="GS217" s="386"/>
      <c r="GT217" s="386"/>
      <c r="GU217" s="386"/>
      <c r="GV217" s="386"/>
      <c r="GW217" s="386"/>
      <c r="GX217" s="386"/>
      <c r="GY217" s="386"/>
      <c r="GZ217" s="386"/>
      <c r="HA217" s="386"/>
      <c r="HB217" s="386"/>
      <c r="HC217" s="386"/>
      <c r="HD217" s="386"/>
      <c r="HE217" s="386"/>
      <c r="HF217" s="386"/>
      <c r="HG217" s="386"/>
      <c r="HH217" s="386"/>
      <c r="HI217" s="386"/>
      <c r="HJ217" s="386"/>
      <c r="HK217" s="386"/>
      <c r="HL217" s="386"/>
      <c r="HM217" s="386"/>
      <c r="HN217" s="386"/>
      <c r="HO217" s="386"/>
      <c r="HP217" s="386"/>
      <c r="HQ217" s="386"/>
      <c r="HR217" s="386"/>
      <c r="HS217" s="386"/>
      <c r="HT217" s="386"/>
      <c r="HU217" s="386"/>
      <c r="HV217" s="386"/>
      <c r="HW217" s="386"/>
      <c r="HX217" s="386"/>
      <c r="HY217" s="386"/>
      <c r="HZ217" s="386"/>
      <c r="IA217" s="386"/>
      <c r="IB217" s="386"/>
      <c r="IC217" s="386"/>
      <c r="ID217" s="386"/>
      <c r="IE217" s="386"/>
      <c r="IF217" s="386"/>
      <c r="IG217" s="386"/>
      <c r="IH217" s="386"/>
      <c r="II217" s="386"/>
      <c r="IJ217" s="386"/>
      <c r="IK217" s="386"/>
      <c r="IL217" s="386"/>
      <c r="IM217" s="386"/>
      <c r="IN217" s="386"/>
      <c r="IO217" s="386"/>
      <c r="IP217" s="386"/>
      <c r="IQ217" s="386"/>
      <c r="IR217" s="386"/>
      <c r="IS217" s="386"/>
      <c r="IT217" s="386"/>
      <c r="IU217" s="386"/>
      <c r="IV217" s="386"/>
      <c r="IW217" s="386"/>
      <c r="IX217" s="386"/>
      <c r="IY217" s="386"/>
      <c r="IZ217" s="386"/>
      <c r="JA217" s="386"/>
      <c r="JB217" s="386"/>
      <c r="JC217" s="386"/>
      <c r="JD217" s="386"/>
      <c r="JE217" s="386"/>
      <c r="JF217" s="386"/>
      <c r="JG217" s="386"/>
      <c r="JH217" s="386"/>
      <c r="JI217" s="386"/>
      <c r="JJ217" s="386"/>
      <c r="JK217" s="386"/>
      <c r="JL217" s="386"/>
      <c r="JM217" s="386"/>
      <c r="JN217" s="386"/>
      <c r="JO217" s="386"/>
      <c r="JP217" s="386"/>
      <c r="JQ217" s="386"/>
      <c r="JR217" s="386"/>
      <c r="JS217" s="386"/>
      <c r="JT217" s="386"/>
      <c r="JU217" s="386"/>
      <c r="JV217" s="386"/>
      <c r="JW217" s="386"/>
      <c r="JX217" s="386"/>
      <c r="JY217" s="386"/>
      <c r="JZ217" s="386"/>
      <c r="KA217" s="386"/>
      <c r="KB217" s="386"/>
      <c r="KC217" s="386"/>
    </row>
    <row r="218" spans="1:289" s="264" customFormat="1" ht="16.5" x14ac:dyDescent="0.35">
      <c r="A218" s="258"/>
      <c r="B218" s="293"/>
      <c r="C218" s="294"/>
      <c r="D218" s="294"/>
      <c r="E218" s="294"/>
      <c r="F218" s="294"/>
      <c r="G218" s="341" t="str">
        <f>G191</f>
        <v>UNTRENDED</v>
      </c>
      <c r="H218" s="341" t="str">
        <f>H191</f>
        <v>TRENDED</v>
      </c>
      <c r="I218" s="341" t="str">
        <f>I191</f>
        <v>SALE</v>
      </c>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65"/>
      <c r="AN218" s="265"/>
      <c r="AO218" s="265"/>
      <c r="AP218" s="265"/>
      <c r="AQ218" s="265"/>
      <c r="AR218" s="265"/>
      <c r="AS218" s="265"/>
      <c r="AT218" s="265"/>
      <c r="AU218" s="265"/>
      <c r="AV218" s="265"/>
      <c r="AW218" s="265"/>
      <c r="AX218" s="265"/>
      <c r="AY218" s="265"/>
      <c r="AZ218" s="265"/>
      <c r="BA218" s="265"/>
      <c r="BB218" s="265"/>
      <c r="BC218" s="265"/>
      <c r="BD218" s="265"/>
      <c r="BE218" s="265"/>
      <c r="BF218" s="265"/>
      <c r="BG218" s="265"/>
      <c r="BH218" s="265"/>
      <c r="BI218" s="265"/>
      <c r="BJ218" s="265"/>
      <c r="BK218" s="265"/>
      <c r="BL218" s="265"/>
      <c r="BM218" s="265"/>
      <c r="BN218" s="265"/>
      <c r="BO218" s="265"/>
      <c r="BP218" s="265"/>
      <c r="BQ218" s="265"/>
      <c r="BR218" s="265"/>
      <c r="BS218" s="265"/>
      <c r="BT218" s="265"/>
      <c r="BU218" s="265"/>
      <c r="BV218" s="265"/>
      <c r="BW218" s="265"/>
      <c r="BX218" s="265"/>
      <c r="BY218" s="265"/>
      <c r="BZ218" s="265"/>
      <c r="CA218" s="265"/>
      <c r="CB218" s="265"/>
      <c r="CC218" s="265"/>
      <c r="CD218" s="265"/>
      <c r="CE218" s="265"/>
      <c r="CF218" s="265"/>
      <c r="CG218" s="265"/>
      <c r="CH218" s="265"/>
      <c r="CI218" s="265"/>
      <c r="CJ218" s="265"/>
      <c r="CK218" s="265"/>
      <c r="CL218" s="265"/>
      <c r="CM218" s="265"/>
      <c r="CN218" s="265"/>
      <c r="CO218" s="265"/>
      <c r="CP218" s="265"/>
      <c r="CQ218" s="265"/>
      <c r="CR218" s="265"/>
      <c r="CS218" s="265"/>
      <c r="CT218" s="265"/>
      <c r="CU218" s="265"/>
      <c r="CV218" s="265"/>
      <c r="CW218" s="265"/>
      <c r="CX218" s="265"/>
      <c r="CY218" s="265"/>
      <c r="CZ218" s="265"/>
      <c r="DA218" s="265"/>
      <c r="DB218" s="265"/>
      <c r="DC218" s="265"/>
      <c r="DD218" s="265"/>
      <c r="DE218" s="265"/>
      <c r="DF218" s="265"/>
      <c r="DG218" s="265"/>
      <c r="DH218" s="265"/>
      <c r="DI218" s="265"/>
      <c r="DJ218" s="265"/>
      <c r="DK218" s="265"/>
      <c r="DL218" s="265"/>
      <c r="DM218" s="265"/>
      <c r="DN218" s="265"/>
      <c r="DO218" s="265"/>
      <c r="DP218" s="265"/>
      <c r="DQ218" s="265"/>
      <c r="DR218" s="265"/>
      <c r="DS218" s="265"/>
      <c r="DT218" s="265"/>
      <c r="DU218" s="265"/>
      <c r="DV218" s="265"/>
      <c r="DW218" s="265"/>
      <c r="DX218" s="265"/>
      <c r="DY218" s="265"/>
      <c r="DZ218" s="265"/>
      <c r="EA218" s="265"/>
      <c r="EB218" s="265"/>
      <c r="EC218" s="265"/>
      <c r="ED218" s="265"/>
      <c r="EE218" s="265"/>
      <c r="EF218" s="265"/>
      <c r="EG218" s="265"/>
      <c r="EH218" s="265"/>
      <c r="EI218" s="265"/>
      <c r="EJ218" s="265"/>
      <c r="EK218" s="265"/>
      <c r="EL218" s="265"/>
      <c r="EM218" s="265"/>
      <c r="EN218" s="265"/>
      <c r="EO218" s="265"/>
      <c r="EP218" s="265"/>
      <c r="EQ218" s="265"/>
      <c r="ER218" s="265"/>
      <c r="ES218" s="265"/>
      <c r="EU218" s="202" t="s">
        <v>355</v>
      </c>
      <c r="EV218" s="153"/>
      <c r="EW218" s="153"/>
      <c r="EX218" s="153"/>
      <c r="EY218" s="154" t="s">
        <v>343</v>
      </c>
      <c r="EZ218" s="154"/>
      <c r="FA218" s="388">
        <f t="shared" ref="FA218:GF218" si="1008">(FA$201&lt;=Timing_Reversion_Month)*EZ222</f>
        <v>0</v>
      </c>
      <c r="FB218" s="388">
        <f t="shared" ca="1" si="1008"/>
        <v>0</v>
      </c>
      <c r="FC218" s="388">
        <f t="shared" ca="1" si="1008"/>
        <v>0</v>
      </c>
      <c r="FD218" s="388">
        <f t="shared" ca="1" si="1008"/>
        <v>0</v>
      </c>
      <c r="FE218" s="388">
        <f t="shared" ca="1" si="1008"/>
        <v>0</v>
      </c>
      <c r="FF218" s="388">
        <f t="shared" ca="1" si="1008"/>
        <v>0</v>
      </c>
      <c r="FG218" s="388">
        <f t="shared" ca="1" si="1008"/>
        <v>0</v>
      </c>
      <c r="FH218" s="388">
        <f t="shared" ca="1" si="1008"/>
        <v>0</v>
      </c>
      <c r="FI218" s="388">
        <f t="shared" ca="1" si="1008"/>
        <v>0</v>
      </c>
      <c r="FJ218" s="388">
        <f t="shared" ca="1" si="1008"/>
        <v>0</v>
      </c>
      <c r="FK218" s="388">
        <f t="shared" ca="1" si="1008"/>
        <v>0</v>
      </c>
      <c r="FL218" s="388">
        <f t="shared" ca="1" si="1008"/>
        <v>0</v>
      </c>
      <c r="FM218" s="388">
        <f t="shared" ca="1" si="1008"/>
        <v>0</v>
      </c>
      <c r="FN218" s="388">
        <f t="shared" ca="1" si="1008"/>
        <v>0</v>
      </c>
      <c r="FO218" s="388">
        <f t="shared" ca="1" si="1008"/>
        <v>0</v>
      </c>
      <c r="FP218" s="388">
        <f t="shared" ca="1" si="1008"/>
        <v>0</v>
      </c>
      <c r="FQ218" s="388">
        <f t="shared" ca="1" si="1008"/>
        <v>0</v>
      </c>
      <c r="FR218" s="388">
        <f t="shared" ca="1" si="1008"/>
        <v>0</v>
      </c>
      <c r="FS218" s="388">
        <f t="shared" ca="1" si="1008"/>
        <v>0</v>
      </c>
      <c r="FT218" s="388">
        <f t="shared" ca="1" si="1008"/>
        <v>0</v>
      </c>
      <c r="FU218" s="388">
        <f t="shared" ca="1" si="1008"/>
        <v>0</v>
      </c>
      <c r="FV218" s="388">
        <f t="shared" ca="1" si="1008"/>
        <v>0</v>
      </c>
      <c r="FW218" s="388">
        <f t="shared" ca="1" si="1008"/>
        <v>0</v>
      </c>
      <c r="FX218" s="388">
        <f t="shared" ca="1" si="1008"/>
        <v>0</v>
      </c>
      <c r="FY218" s="388">
        <f t="shared" ca="1" si="1008"/>
        <v>0</v>
      </c>
      <c r="FZ218" s="388">
        <f t="shared" ca="1" si="1008"/>
        <v>0</v>
      </c>
      <c r="GA218" s="388">
        <f t="shared" ca="1" si="1008"/>
        <v>0</v>
      </c>
      <c r="GB218" s="388">
        <f t="shared" ca="1" si="1008"/>
        <v>0</v>
      </c>
      <c r="GC218" s="388">
        <f t="shared" ca="1" si="1008"/>
        <v>0</v>
      </c>
      <c r="GD218" s="388">
        <f t="shared" ca="1" si="1008"/>
        <v>0</v>
      </c>
      <c r="GE218" s="388">
        <f t="shared" ca="1" si="1008"/>
        <v>0</v>
      </c>
      <c r="GF218" s="388">
        <f t="shared" ca="1" si="1008"/>
        <v>0</v>
      </c>
      <c r="GG218" s="388">
        <f t="shared" ref="GG218:HL218" ca="1" si="1009">(GG$201&lt;=Timing_Reversion_Month)*GF222</f>
        <v>0</v>
      </c>
      <c r="GH218" s="388">
        <f t="shared" ca="1" si="1009"/>
        <v>0</v>
      </c>
      <c r="GI218" s="388">
        <f t="shared" ca="1" si="1009"/>
        <v>0</v>
      </c>
      <c r="GJ218" s="388">
        <f t="shared" ca="1" si="1009"/>
        <v>0</v>
      </c>
      <c r="GK218" s="388">
        <f t="shared" ca="1" si="1009"/>
        <v>0</v>
      </c>
      <c r="GL218" s="388">
        <f t="shared" ca="1" si="1009"/>
        <v>0</v>
      </c>
      <c r="GM218" s="388">
        <f t="shared" ca="1" si="1009"/>
        <v>0</v>
      </c>
      <c r="GN218" s="388">
        <f t="shared" ca="1" si="1009"/>
        <v>0</v>
      </c>
      <c r="GO218" s="388">
        <f t="shared" ca="1" si="1009"/>
        <v>0</v>
      </c>
      <c r="GP218" s="388">
        <f t="shared" ca="1" si="1009"/>
        <v>0</v>
      </c>
      <c r="GQ218" s="388">
        <f t="shared" ca="1" si="1009"/>
        <v>0</v>
      </c>
      <c r="GR218" s="388">
        <f t="shared" ca="1" si="1009"/>
        <v>0</v>
      </c>
      <c r="GS218" s="388">
        <f t="shared" ca="1" si="1009"/>
        <v>0</v>
      </c>
      <c r="GT218" s="388">
        <f t="shared" ca="1" si="1009"/>
        <v>0</v>
      </c>
      <c r="GU218" s="388">
        <f t="shared" ca="1" si="1009"/>
        <v>0</v>
      </c>
      <c r="GV218" s="388">
        <f t="shared" ca="1" si="1009"/>
        <v>0</v>
      </c>
      <c r="GW218" s="388">
        <f t="shared" ca="1" si="1009"/>
        <v>0</v>
      </c>
      <c r="GX218" s="388">
        <f t="shared" ca="1" si="1009"/>
        <v>0</v>
      </c>
      <c r="GY218" s="388">
        <f t="shared" ca="1" si="1009"/>
        <v>0</v>
      </c>
      <c r="GZ218" s="388">
        <f t="shared" ca="1" si="1009"/>
        <v>0</v>
      </c>
      <c r="HA218" s="388">
        <f t="shared" ca="1" si="1009"/>
        <v>0</v>
      </c>
      <c r="HB218" s="388">
        <f t="shared" ca="1" si="1009"/>
        <v>0</v>
      </c>
      <c r="HC218" s="388">
        <f t="shared" ca="1" si="1009"/>
        <v>0</v>
      </c>
      <c r="HD218" s="388">
        <f t="shared" ca="1" si="1009"/>
        <v>0</v>
      </c>
      <c r="HE218" s="388">
        <f t="shared" ca="1" si="1009"/>
        <v>0</v>
      </c>
      <c r="HF218" s="388">
        <f t="shared" ca="1" si="1009"/>
        <v>0</v>
      </c>
      <c r="HG218" s="388">
        <f t="shared" ca="1" si="1009"/>
        <v>0</v>
      </c>
      <c r="HH218" s="388">
        <f t="shared" ca="1" si="1009"/>
        <v>0</v>
      </c>
      <c r="HI218" s="388">
        <f t="shared" ca="1" si="1009"/>
        <v>0</v>
      </c>
      <c r="HJ218" s="388">
        <f t="shared" ca="1" si="1009"/>
        <v>0</v>
      </c>
      <c r="HK218" s="388">
        <f t="shared" ca="1" si="1009"/>
        <v>0</v>
      </c>
      <c r="HL218" s="388">
        <f t="shared" ca="1" si="1009"/>
        <v>0</v>
      </c>
      <c r="HM218" s="388">
        <f t="shared" ref="HM218:IR218" ca="1" si="1010">(HM$201&lt;=Timing_Reversion_Month)*HL222</f>
        <v>0</v>
      </c>
      <c r="HN218" s="388">
        <f t="shared" ca="1" si="1010"/>
        <v>0</v>
      </c>
      <c r="HO218" s="388">
        <f t="shared" ca="1" si="1010"/>
        <v>0</v>
      </c>
      <c r="HP218" s="388">
        <f t="shared" ca="1" si="1010"/>
        <v>0</v>
      </c>
      <c r="HQ218" s="388">
        <f t="shared" ca="1" si="1010"/>
        <v>0</v>
      </c>
      <c r="HR218" s="388">
        <f t="shared" ca="1" si="1010"/>
        <v>0</v>
      </c>
      <c r="HS218" s="388">
        <f t="shared" ca="1" si="1010"/>
        <v>0</v>
      </c>
      <c r="HT218" s="388">
        <f t="shared" ca="1" si="1010"/>
        <v>0</v>
      </c>
      <c r="HU218" s="388">
        <f t="shared" ca="1" si="1010"/>
        <v>0</v>
      </c>
      <c r="HV218" s="388">
        <f t="shared" ca="1" si="1010"/>
        <v>0</v>
      </c>
      <c r="HW218" s="388">
        <f t="shared" ca="1" si="1010"/>
        <v>0</v>
      </c>
      <c r="HX218" s="388">
        <f t="shared" ca="1" si="1010"/>
        <v>0</v>
      </c>
      <c r="HY218" s="388">
        <f t="shared" ca="1" si="1010"/>
        <v>0</v>
      </c>
      <c r="HZ218" s="388">
        <f t="shared" ca="1" si="1010"/>
        <v>0</v>
      </c>
      <c r="IA218" s="388">
        <f t="shared" ca="1" si="1010"/>
        <v>0</v>
      </c>
      <c r="IB218" s="388">
        <f t="shared" ca="1" si="1010"/>
        <v>0</v>
      </c>
      <c r="IC218" s="388">
        <f t="shared" ca="1" si="1010"/>
        <v>0</v>
      </c>
      <c r="ID218" s="388">
        <f t="shared" ca="1" si="1010"/>
        <v>0</v>
      </c>
      <c r="IE218" s="388">
        <f t="shared" ca="1" si="1010"/>
        <v>0</v>
      </c>
      <c r="IF218" s="388">
        <f t="shared" ca="1" si="1010"/>
        <v>0</v>
      </c>
      <c r="IG218" s="388">
        <f t="shared" ca="1" si="1010"/>
        <v>0</v>
      </c>
      <c r="IH218" s="388">
        <f t="shared" ca="1" si="1010"/>
        <v>0</v>
      </c>
      <c r="II218" s="388">
        <f t="shared" ca="1" si="1010"/>
        <v>0</v>
      </c>
      <c r="IJ218" s="388">
        <f t="shared" ca="1" si="1010"/>
        <v>0</v>
      </c>
      <c r="IK218" s="388">
        <f t="shared" ca="1" si="1010"/>
        <v>0</v>
      </c>
      <c r="IL218" s="388">
        <f t="shared" ca="1" si="1010"/>
        <v>0</v>
      </c>
      <c r="IM218" s="388">
        <f t="shared" ca="1" si="1010"/>
        <v>0</v>
      </c>
      <c r="IN218" s="388">
        <f t="shared" ca="1" si="1010"/>
        <v>0</v>
      </c>
      <c r="IO218" s="388">
        <f t="shared" ca="1" si="1010"/>
        <v>0</v>
      </c>
      <c r="IP218" s="388">
        <f t="shared" ca="1" si="1010"/>
        <v>0</v>
      </c>
      <c r="IQ218" s="388">
        <f t="shared" ca="1" si="1010"/>
        <v>0</v>
      </c>
      <c r="IR218" s="388">
        <f t="shared" ca="1" si="1010"/>
        <v>0</v>
      </c>
      <c r="IS218" s="388">
        <f t="shared" ref="IS218:KC218" ca="1" si="1011">(IS$201&lt;=Timing_Reversion_Month)*IR222</f>
        <v>0</v>
      </c>
      <c r="IT218" s="388">
        <f t="shared" ca="1" si="1011"/>
        <v>0</v>
      </c>
      <c r="IU218" s="388">
        <f t="shared" ca="1" si="1011"/>
        <v>0</v>
      </c>
      <c r="IV218" s="388">
        <f t="shared" ca="1" si="1011"/>
        <v>0</v>
      </c>
      <c r="IW218" s="388">
        <f t="shared" ca="1" si="1011"/>
        <v>0</v>
      </c>
      <c r="IX218" s="388">
        <f t="shared" ca="1" si="1011"/>
        <v>0</v>
      </c>
      <c r="IY218" s="388">
        <f t="shared" ca="1" si="1011"/>
        <v>0</v>
      </c>
      <c r="IZ218" s="388">
        <f t="shared" ca="1" si="1011"/>
        <v>0</v>
      </c>
      <c r="JA218" s="388">
        <f t="shared" ca="1" si="1011"/>
        <v>0</v>
      </c>
      <c r="JB218" s="388">
        <f t="shared" ca="1" si="1011"/>
        <v>0</v>
      </c>
      <c r="JC218" s="388">
        <f t="shared" ca="1" si="1011"/>
        <v>0</v>
      </c>
      <c r="JD218" s="388">
        <f t="shared" ca="1" si="1011"/>
        <v>0</v>
      </c>
      <c r="JE218" s="388">
        <f t="shared" ca="1" si="1011"/>
        <v>0</v>
      </c>
      <c r="JF218" s="388">
        <f t="shared" ca="1" si="1011"/>
        <v>0</v>
      </c>
      <c r="JG218" s="388">
        <f t="shared" ca="1" si="1011"/>
        <v>0</v>
      </c>
      <c r="JH218" s="388">
        <f t="shared" ca="1" si="1011"/>
        <v>0</v>
      </c>
      <c r="JI218" s="388">
        <f t="shared" ca="1" si="1011"/>
        <v>0</v>
      </c>
      <c r="JJ218" s="388">
        <f t="shared" ca="1" si="1011"/>
        <v>0</v>
      </c>
      <c r="JK218" s="388">
        <f t="shared" ca="1" si="1011"/>
        <v>0</v>
      </c>
      <c r="JL218" s="388">
        <f t="shared" ca="1" si="1011"/>
        <v>0</v>
      </c>
      <c r="JM218" s="388">
        <f t="shared" ca="1" si="1011"/>
        <v>0</v>
      </c>
      <c r="JN218" s="388">
        <f t="shared" ca="1" si="1011"/>
        <v>0</v>
      </c>
      <c r="JO218" s="388">
        <f t="shared" ca="1" si="1011"/>
        <v>0</v>
      </c>
      <c r="JP218" s="388">
        <f t="shared" ca="1" si="1011"/>
        <v>0</v>
      </c>
      <c r="JQ218" s="388">
        <f t="shared" ca="1" si="1011"/>
        <v>0</v>
      </c>
      <c r="JR218" s="388">
        <f t="shared" ca="1" si="1011"/>
        <v>0</v>
      </c>
      <c r="JS218" s="388">
        <f t="shared" ca="1" si="1011"/>
        <v>0</v>
      </c>
      <c r="JT218" s="388">
        <f t="shared" ca="1" si="1011"/>
        <v>0</v>
      </c>
      <c r="JU218" s="388">
        <f t="shared" ca="1" si="1011"/>
        <v>0</v>
      </c>
      <c r="JV218" s="388">
        <f t="shared" ca="1" si="1011"/>
        <v>0</v>
      </c>
      <c r="JW218" s="388">
        <f t="shared" ca="1" si="1011"/>
        <v>0</v>
      </c>
      <c r="JX218" s="388">
        <f t="shared" ca="1" si="1011"/>
        <v>0</v>
      </c>
      <c r="JY218" s="388">
        <f t="shared" ca="1" si="1011"/>
        <v>0</v>
      </c>
      <c r="JZ218" s="388">
        <f t="shared" ca="1" si="1011"/>
        <v>0</v>
      </c>
      <c r="KA218" s="388">
        <f t="shared" ca="1" si="1011"/>
        <v>0</v>
      </c>
      <c r="KB218" s="388">
        <f t="shared" ca="1" si="1011"/>
        <v>0</v>
      </c>
      <c r="KC218" s="388">
        <f t="shared" ca="1" si="1011"/>
        <v>0</v>
      </c>
    </row>
    <row r="219" spans="1:289" s="264" customFormat="1" x14ac:dyDescent="0.25">
      <c r="A219" s="258"/>
      <c r="B219" s="293" t="s">
        <v>282</v>
      </c>
      <c r="C219" s="294"/>
      <c r="D219" s="294"/>
      <c r="E219" s="294"/>
      <c r="F219" s="294"/>
      <c r="G219" s="363">
        <f ca="1">G181/Project_Cost_Total</f>
        <v>5.6714817846729035E-2</v>
      </c>
      <c r="H219" s="363">
        <f ca="1">H181/Project_Cost_Total</f>
        <v>5.6790160283548261E-2</v>
      </c>
      <c r="I219" s="363">
        <f ca="1">I181/Project_Cost_Total</f>
        <v>6.0441125354287951E-2</v>
      </c>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65"/>
      <c r="AN219" s="265"/>
      <c r="AO219" s="265"/>
      <c r="AP219" s="265"/>
      <c r="AQ219" s="265"/>
      <c r="AR219" s="265"/>
      <c r="AS219" s="265"/>
      <c r="AT219" s="265"/>
      <c r="AU219" s="265"/>
      <c r="AV219" s="265"/>
      <c r="AW219" s="265"/>
      <c r="AX219" s="265"/>
      <c r="AY219" s="265"/>
      <c r="AZ219" s="265"/>
      <c r="BA219" s="265"/>
      <c r="BB219" s="265"/>
      <c r="BC219" s="265"/>
      <c r="BD219" s="265"/>
      <c r="BE219" s="265"/>
      <c r="BF219" s="265"/>
      <c r="BG219" s="265"/>
      <c r="BH219" s="265"/>
      <c r="BI219" s="265"/>
      <c r="BJ219" s="265"/>
      <c r="BK219" s="265"/>
      <c r="BL219" s="265"/>
      <c r="BM219" s="265"/>
      <c r="BN219" s="265"/>
      <c r="BO219" s="265"/>
      <c r="BP219" s="265"/>
      <c r="BQ219" s="265"/>
      <c r="BR219" s="265"/>
      <c r="BS219" s="265"/>
      <c r="BT219" s="265"/>
      <c r="BU219" s="265"/>
      <c r="BV219" s="265"/>
      <c r="BW219" s="265"/>
      <c r="BX219" s="265"/>
      <c r="BY219" s="265"/>
      <c r="BZ219" s="265"/>
      <c r="CA219" s="265"/>
      <c r="CB219" s="265"/>
      <c r="CC219" s="265"/>
      <c r="CD219" s="265"/>
      <c r="CE219" s="265"/>
      <c r="CF219" s="265"/>
      <c r="CG219" s="265"/>
      <c r="CH219" s="265"/>
      <c r="CI219" s="265"/>
      <c r="CJ219" s="265"/>
      <c r="CK219" s="265"/>
      <c r="CL219" s="265"/>
      <c r="CM219" s="265"/>
      <c r="CN219" s="265"/>
      <c r="CO219" s="265"/>
      <c r="CP219" s="265"/>
      <c r="CQ219" s="265"/>
      <c r="CR219" s="265"/>
      <c r="CS219" s="265"/>
      <c r="CT219" s="265"/>
      <c r="CU219" s="265"/>
      <c r="CV219" s="265"/>
      <c r="CW219" s="265"/>
      <c r="CX219" s="265"/>
      <c r="CY219" s="265"/>
      <c r="CZ219" s="265"/>
      <c r="DA219" s="265"/>
      <c r="DB219" s="265"/>
      <c r="DC219" s="265"/>
      <c r="DD219" s="265"/>
      <c r="DE219" s="265"/>
      <c r="DF219" s="265"/>
      <c r="DG219" s="265"/>
      <c r="DH219" s="265"/>
      <c r="DI219" s="265"/>
      <c r="DJ219" s="265"/>
      <c r="DK219" s="265"/>
      <c r="DL219" s="265"/>
      <c r="DM219" s="265"/>
      <c r="DN219" s="265"/>
      <c r="DO219" s="265"/>
      <c r="DP219" s="265"/>
      <c r="DQ219" s="265"/>
      <c r="DR219" s="265"/>
      <c r="DS219" s="265"/>
      <c r="DT219" s="265"/>
      <c r="DU219" s="265"/>
      <c r="DV219" s="265"/>
      <c r="DW219" s="265"/>
      <c r="DX219" s="265"/>
      <c r="DY219" s="265"/>
      <c r="DZ219" s="265"/>
      <c r="EA219" s="265"/>
      <c r="EB219" s="265"/>
      <c r="EC219" s="265"/>
      <c r="ED219" s="265"/>
      <c r="EE219" s="265"/>
      <c r="EF219" s="265"/>
      <c r="EG219" s="265"/>
      <c r="EH219" s="265"/>
      <c r="EI219" s="265"/>
      <c r="EJ219" s="265"/>
      <c r="EK219" s="265"/>
      <c r="EL219" s="265"/>
      <c r="EM219" s="265"/>
      <c r="EN219" s="265"/>
      <c r="EO219" s="265"/>
      <c r="EP219" s="265"/>
      <c r="EQ219" s="265"/>
      <c r="ER219" s="265"/>
      <c r="ES219" s="265"/>
      <c r="EU219" s="202"/>
      <c r="EV219" s="153"/>
      <c r="EW219" s="153"/>
      <c r="EX219" s="153"/>
      <c r="EY219" s="154" t="s">
        <v>352</v>
      </c>
      <c r="EZ219" s="154"/>
      <c r="FA219" s="388">
        <f t="shared" ref="FA219:GF219" si="1012">(FA$201&lt;=Timing_Reversion_Month)*(FA218*((1+$EU220)^(1/12)-1))</f>
        <v>0</v>
      </c>
      <c r="FB219" s="388">
        <f t="shared" ca="1" si="1012"/>
        <v>0</v>
      </c>
      <c r="FC219" s="388">
        <f t="shared" ca="1" si="1012"/>
        <v>0</v>
      </c>
      <c r="FD219" s="388">
        <f t="shared" ca="1" si="1012"/>
        <v>0</v>
      </c>
      <c r="FE219" s="388">
        <f t="shared" ca="1" si="1012"/>
        <v>0</v>
      </c>
      <c r="FF219" s="388">
        <f t="shared" ca="1" si="1012"/>
        <v>0</v>
      </c>
      <c r="FG219" s="388">
        <f t="shared" ca="1" si="1012"/>
        <v>0</v>
      </c>
      <c r="FH219" s="388">
        <f t="shared" ca="1" si="1012"/>
        <v>0</v>
      </c>
      <c r="FI219" s="388">
        <f t="shared" ca="1" si="1012"/>
        <v>0</v>
      </c>
      <c r="FJ219" s="388">
        <f t="shared" ca="1" si="1012"/>
        <v>0</v>
      </c>
      <c r="FK219" s="388">
        <f t="shared" ca="1" si="1012"/>
        <v>0</v>
      </c>
      <c r="FL219" s="388">
        <f t="shared" ca="1" si="1012"/>
        <v>0</v>
      </c>
      <c r="FM219" s="388">
        <f t="shared" ca="1" si="1012"/>
        <v>0</v>
      </c>
      <c r="FN219" s="388">
        <f t="shared" ca="1" si="1012"/>
        <v>0</v>
      </c>
      <c r="FO219" s="388">
        <f t="shared" ca="1" si="1012"/>
        <v>0</v>
      </c>
      <c r="FP219" s="388">
        <f t="shared" ca="1" si="1012"/>
        <v>0</v>
      </c>
      <c r="FQ219" s="388">
        <f t="shared" ca="1" si="1012"/>
        <v>0</v>
      </c>
      <c r="FR219" s="388">
        <f t="shared" ca="1" si="1012"/>
        <v>0</v>
      </c>
      <c r="FS219" s="388">
        <f t="shared" ca="1" si="1012"/>
        <v>0</v>
      </c>
      <c r="FT219" s="388">
        <f t="shared" ca="1" si="1012"/>
        <v>0</v>
      </c>
      <c r="FU219" s="388">
        <f t="shared" ca="1" si="1012"/>
        <v>0</v>
      </c>
      <c r="FV219" s="388">
        <f t="shared" ca="1" si="1012"/>
        <v>0</v>
      </c>
      <c r="FW219" s="388">
        <f t="shared" ca="1" si="1012"/>
        <v>0</v>
      </c>
      <c r="FX219" s="388">
        <f t="shared" ca="1" si="1012"/>
        <v>0</v>
      </c>
      <c r="FY219" s="388">
        <f t="shared" ca="1" si="1012"/>
        <v>0</v>
      </c>
      <c r="FZ219" s="388">
        <f t="shared" ca="1" si="1012"/>
        <v>0</v>
      </c>
      <c r="GA219" s="388">
        <f t="shared" ca="1" si="1012"/>
        <v>0</v>
      </c>
      <c r="GB219" s="388">
        <f t="shared" ca="1" si="1012"/>
        <v>0</v>
      </c>
      <c r="GC219" s="388">
        <f t="shared" ca="1" si="1012"/>
        <v>0</v>
      </c>
      <c r="GD219" s="388">
        <f t="shared" ca="1" si="1012"/>
        <v>0</v>
      </c>
      <c r="GE219" s="388">
        <f t="shared" ca="1" si="1012"/>
        <v>0</v>
      </c>
      <c r="GF219" s="388">
        <f t="shared" ca="1" si="1012"/>
        <v>0</v>
      </c>
      <c r="GG219" s="388">
        <f t="shared" ref="GG219:HL219" ca="1" si="1013">(GG$201&lt;=Timing_Reversion_Month)*(GG218*((1+$EU220)^(1/12)-1))</f>
        <v>0</v>
      </c>
      <c r="GH219" s="388">
        <f t="shared" ca="1" si="1013"/>
        <v>0</v>
      </c>
      <c r="GI219" s="388">
        <f t="shared" ca="1" si="1013"/>
        <v>0</v>
      </c>
      <c r="GJ219" s="388">
        <f t="shared" ca="1" si="1013"/>
        <v>0</v>
      </c>
      <c r="GK219" s="388">
        <f t="shared" ca="1" si="1013"/>
        <v>0</v>
      </c>
      <c r="GL219" s="388">
        <f t="shared" ca="1" si="1013"/>
        <v>0</v>
      </c>
      <c r="GM219" s="388">
        <f t="shared" ca="1" si="1013"/>
        <v>0</v>
      </c>
      <c r="GN219" s="388">
        <f t="shared" ca="1" si="1013"/>
        <v>0</v>
      </c>
      <c r="GO219" s="388">
        <f t="shared" ca="1" si="1013"/>
        <v>0</v>
      </c>
      <c r="GP219" s="388">
        <f t="shared" ca="1" si="1013"/>
        <v>0</v>
      </c>
      <c r="GQ219" s="388">
        <f t="shared" ca="1" si="1013"/>
        <v>0</v>
      </c>
      <c r="GR219" s="388">
        <f t="shared" ca="1" si="1013"/>
        <v>0</v>
      </c>
      <c r="GS219" s="388">
        <f t="shared" ca="1" si="1013"/>
        <v>0</v>
      </c>
      <c r="GT219" s="388">
        <f t="shared" ca="1" si="1013"/>
        <v>0</v>
      </c>
      <c r="GU219" s="388">
        <f t="shared" ca="1" si="1013"/>
        <v>0</v>
      </c>
      <c r="GV219" s="388">
        <f t="shared" ca="1" si="1013"/>
        <v>0</v>
      </c>
      <c r="GW219" s="388">
        <f t="shared" ca="1" si="1013"/>
        <v>0</v>
      </c>
      <c r="GX219" s="388">
        <f t="shared" ca="1" si="1013"/>
        <v>0</v>
      </c>
      <c r="GY219" s="388">
        <f t="shared" ca="1" si="1013"/>
        <v>0</v>
      </c>
      <c r="GZ219" s="388">
        <f t="shared" ca="1" si="1013"/>
        <v>0</v>
      </c>
      <c r="HA219" s="388">
        <f t="shared" ca="1" si="1013"/>
        <v>0</v>
      </c>
      <c r="HB219" s="388">
        <f t="shared" ca="1" si="1013"/>
        <v>0</v>
      </c>
      <c r="HC219" s="388">
        <f t="shared" ca="1" si="1013"/>
        <v>0</v>
      </c>
      <c r="HD219" s="388">
        <f t="shared" ca="1" si="1013"/>
        <v>0</v>
      </c>
      <c r="HE219" s="388">
        <f t="shared" ca="1" si="1013"/>
        <v>0</v>
      </c>
      <c r="HF219" s="388">
        <f t="shared" ca="1" si="1013"/>
        <v>0</v>
      </c>
      <c r="HG219" s="388">
        <f t="shared" ca="1" si="1013"/>
        <v>0</v>
      </c>
      <c r="HH219" s="388">
        <f t="shared" ca="1" si="1013"/>
        <v>0</v>
      </c>
      <c r="HI219" s="388">
        <f t="shared" ca="1" si="1013"/>
        <v>0</v>
      </c>
      <c r="HJ219" s="388">
        <f t="shared" ca="1" si="1013"/>
        <v>0</v>
      </c>
      <c r="HK219" s="388">
        <f t="shared" ca="1" si="1013"/>
        <v>0</v>
      </c>
      <c r="HL219" s="388">
        <f t="shared" ca="1" si="1013"/>
        <v>0</v>
      </c>
      <c r="HM219" s="388">
        <f t="shared" ref="HM219:IR219" ca="1" si="1014">(HM$201&lt;=Timing_Reversion_Month)*(HM218*((1+$EU220)^(1/12)-1))</f>
        <v>0</v>
      </c>
      <c r="HN219" s="388">
        <f t="shared" ca="1" si="1014"/>
        <v>0</v>
      </c>
      <c r="HO219" s="388">
        <f t="shared" ca="1" si="1014"/>
        <v>0</v>
      </c>
      <c r="HP219" s="388">
        <f t="shared" ca="1" si="1014"/>
        <v>0</v>
      </c>
      <c r="HQ219" s="388">
        <f t="shared" ca="1" si="1014"/>
        <v>0</v>
      </c>
      <c r="HR219" s="388">
        <f t="shared" ca="1" si="1014"/>
        <v>0</v>
      </c>
      <c r="HS219" s="388">
        <f t="shared" ca="1" si="1014"/>
        <v>0</v>
      </c>
      <c r="HT219" s="388">
        <f t="shared" ca="1" si="1014"/>
        <v>0</v>
      </c>
      <c r="HU219" s="388">
        <f t="shared" ca="1" si="1014"/>
        <v>0</v>
      </c>
      <c r="HV219" s="388">
        <f t="shared" ca="1" si="1014"/>
        <v>0</v>
      </c>
      <c r="HW219" s="388">
        <f t="shared" ca="1" si="1014"/>
        <v>0</v>
      </c>
      <c r="HX219" s="388">
        <f t="shared" ca="1" si="1014"/>
        <v>0</v>
      </c>
      <c r="HY219" s="388">
        <f t="shared" ca="1" si="1014"/>
        <v>0</v>
      </c>
      <c r="HZ219" s="388">
        <f t="shared" ca="1" si="1014"/>
        <v>0</v>
      </c>
      <c r="IA219" s="388">
        <f t="shared" ca="1" si="1014"/>
        <v>0</v>
      </c>
      <c r="IB219" s="388">
        <f t="shared" ca="1" si="1014"/>
        <v>0</v>
      </c>
      <c r="IC219" s="388">
        <f t="shared" ca="1" si="1014"/>
        <v>0</v>
      </c>
      <c r="ID219" s="388">
        <f t="shared" ca="1" si="1014"/>
        <v>0</v>
      </c>
      <c r="IE219" s="388">
        <f t="shared" ca="1" si="1014"/>
        <v>0</v>
      </c>
      <c r="IF219" s="388">
        <f t="shared" ca="1" si="1014"/>
        <v>0</v>
      </c>
      <c r="IG219" s="388">
        <f t="shared" ca="1" si="1014"/>
        <v>0</v>
      </c>
      <c r="IH219" s="388">
        <f t="shared" ca="1" si="1014"/>
        <v>0</v>
      </c>
      <c r="II219" s="388">
        <f t="shared" ca="1" si="1014"/>
        <v>0</v>
      </c>
      <c r="IJ219" s="388">
        <f t="shared" ca="1" si="1014"/>
        <v>0</v>
      </c>
      <c r="IK219" s="388">
        <f t="shared" ca="1" si="1014"/>
        <v>0</v>
      </c>
      <c r="IL219" s="388">
        <f t="shared" ca="1" si="1014"/>
        <v>0</v>
      </c>
      <c r="IM219" s="388">
        <f t="shared" ca="1" si="1014"/>
        <v>0</v>
      </c>
      <c r="IN219" s="388">
        <f t="shared" ca="1" si="1014"/>
        <v>0</v>
      </c>
      <c r="IO219" s="388">
        <f t="shared" ca="1" si="1014"/>
        <v>0</v>
      </c>
      <c r="IP219" s="388">
        <f t="shared" ca="1" si="1014"/>
        <v>0</v>
      </c>
      <c r="IQ219" s="388">
        <f t="shared" ca="1" si="1014"/>
        <v>0</v>
      </c>
      <c r="IR219" s="388">
        <f t="shared" ca="1" si="1014"/>
        <v>0</v>
      </c>
      <c r="IS219" s="388">
        <f t="shared" ref="IS219:JX219" ca="1" si="1015">(IS$201&lt;=Timing_Reversion_Month)*(IS218*((1+$EU220)^(1/12)-1))</f>
        <v>0</v>
      </c>
      <c r="IT219" s="388">
        <f t="shared" ca="1" si="1015"/>
        <v>0</v>
      </c>
      <c r="IU219" s="388">
        <f t="shared" ca="1" si="1015"/>
        <v>0</v>
      </c>
      <c r="IV219" s="388">
        <f t="shared" ca="1" si="1015"/>
        <v>0</v>
      </c>
      <c r="IW219" s="388">
        <f t="shared" ca="1" si="1015"/>
        <v>0</v>
      </c>
      <c r="IX219" s="388">
        <f t="shared" ca="1" si="1015"/>
        <v>0</v>
      </c>
      <c r="IY219" s="388">
        <f t="shared" ca="1" si="1015"/>
        <v>0</v>
      </c>
      <c r="IZ219" s="388">
        <f t="shared" ca="1" si="1015"/>
        <v>0</v>
      </c>
      <c r="JA219" s="388">
        <f t="shared" ca="1" si="1015"/>
        <v>0</v>
      </c>
      <c r="JB219" s="388">
        <f t="shared" ca="1" si="1015"/>
        <v>0</v>
      </c>
      <c r="JC219" s="388">
        <f t="shared" ca="1" si="1015"/>
        <v>0</v>
      </c>
      <c r="JD219" s="388">
        <f t="shared" ca="1" si="1015"/>
        <v>0</v>
      </c>
      <c r="JE219" s="388">
        <f t="shared" ca="1" si="1015"/>
        <v>0</v>
      </c>
      <c r="JF219" s="388">
        <f t="shared" ca="1" si="1015"/>
        <v>0</v>
      </c>
      <c r="JG219" s="388">
        <f t="shared" ca="1" si="1015"/>
        <v>0</v>
      </c>
      <c r="JH219" s="388">
        <f t="shared" ca="1" si="1015"/>
        <v>0</v>
      </c>
      <c r="JI219" s="388">
        <f t="shared" ca="1" si="1015"/>
        <v>0</v>
      </c>
      <c r="JJ219" s="388">
        <f t="shared" ca="1" si="1015"/>
        <v>0</v>
      </c>
      <c r="JK219" s="388">
        <f t="shared" ca="1" si="1015"/>
        <v>0</v>
      </c>
      <c r="JL219" s="388">
        <f t="shared" ca="1" si="1015"/>
        <v>0</v>
      </c>
      <c r="JM219" s="388">
        <f t="shared" ca="1" si="1015"/>
        <v>0</v>
      </c>
      <c r="JN219" s="388">
        <f t="shared" ca="1" si="1015"/>
        <v>0</v>
      </c>
      <c r="JO219" s="388">
        <f t="shared" ca="1" si="1015"/>
        <v>0</v>
      </c>
      <c r="JP219" s="388">
        <f t="shared" ca="1" si="1015"/>
        <v>0</v>
      </c>
      <c r="JQ219" s="388">
        <f t="shared" ca="1" si="1015"/>
        <v>0</v>
      </c>
      <c r="JR219" s="388">
        <f t="shared" ca="1" si="1015"/>
        <v>0</v>
      </c>
      <c r="JS219" s="388">
        <f t="shared" ca="1" si="1015"/>
        <v>0</v>
      </c>
      <c r="JT219" s="388">
        <f t="shared" ca="1" si="1015"/>
        <v>0</v>
      </c>
      <c r="JU219" s="388">
        <f t="shared" ca="1" si="1015"/>
        <v>0</v>
      </c>
      <c r="JV219" s="388">
        <f t="shared" ca="1" si="1015"/>
        <v>0</v>
      </c>
      <c r="JW219" s="388">
        <f t="shared" ca="1" si="1015"/>
        <v>0</v>
      </c>
      <c r="JX219" s="388">
        <f t="shared" ca="1" si="1015"/>
        <v>0</v>
      </c>
      <c r="JY219" s="388">
        <f t="shared" ref="JY219:KC219" ca="1" si="1016">(JY$201&lt;=Timing_Reversion_Month)*(JY218*((1+$EU220)^(1/12)-1))</f>
        <v>0</v>
      </c>
      <c r="JZ219" s="388">
        <f t="shared" ca="1" si="1016"/>
        <v>0</v>
      </c>
      <c r="KA219" s="388">
        <f t="shared" ca="1" si="1016"/>
        <v>0</v>
      </c>
      <c r="KB219" s="388">
        <f t="shared" ca="1" si="1016"/>
        <v>0</v>
      </c>
      <c r="KC219" s="388">
        <f t="shared" ca="1" si="1016"/>
        <v>0</v>
      </c>
    </row>
    <row r="220" spans="1:289" s="264" customFormat="1" x14ac:dyDescent="0.25">
      <c r="A220" s="258"/>
      <c r="B220" s="293" t="s">
        <v>283</v>
      </c>
      <c r="C220" s="294"/>
      <c r="D220" s="294"/>
      <c r="E220" s="294"/>
      <c r="F220" s="294"/>
      <c r="G220" s="363">
        <f>G192</f>
        <v>5.5E-2</v>
      </c>
      <c r="H220" s="363">
        <f>H192</f>
        <v>5.5E-2</v>
      </c>
      <c r="I220" s="363">
        <f>I192</f>
        <v>5.5E-2</v>
      </c>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65"/>
      <c r="AN220" s="265"/>
      <c r="AO220" s="265"/>
      <c r="AP220" s="265"/>
      <c r="AQ220" s="265"/>
      <c r="AR220" s="265"/>
      <c r="AS220" s="265"/>
      <c r="AT220" s="265"/>
      <c r="AU220" s="265"/>
      <c r="AV220" s="265"/>
      <c r="AW220" s="265"/>
      <c r="AX220" s="265"/>
      <c r="AY220" s="265"/>
      <c r="AZ220" s="265"/>
      <c r="BA220" s="265"/>
      <c r="BB220" s="265"/>
      <c r="BC220" s="265"/>
      <c r="BD220" s="265"/>
      <c r="BE220" s="265"/>
      <c r="BF220" s="265"/>
      <c r="BG220" s="265"/>
      <c r="BH220" s="265"/>
      <c r="BI220" s="265"/>
      <c r="BJ220" s="265"/>
      <c r="BK220" s="265"/>
      <c r="BL220" s="265"/>
      <c r="BM220" s="265"/>
      <c r="BN220" s="265"/>
      <c r="BO220" s="265"/>
      <c r="BP220" s="265"/>
      <c r="BQ220" s="265"/>
      <c r="BR220" s="265"/>
      <c r="BS220" s="265"/>
      <c r="BT220" s="265"/>
      <c r="BU220" s="265"/>
      <c r="BV220" s="265"/>
      <c r="BW220" s="265"/>
      <c r="BX220" s="265"/>
      <c r="BY220" s="265"/>
      <c r="BZ220" s="265"/>
      <c r="CA220" s="265"/>
      <c r="CB220" s="265"/>
      <c r="CC220" s="26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5"/>
      <c r="DA220" s="265"/>
      <c r="DB220" s="265"/>
      <c r="DC220" s="265"/>
      <c r="DD220" s="265"/>
      <c r="DE220" s="265"/>
      <c r="DF220" s="265"/>
      <c r="DG220" s="265"/>
      <c r="DH220" s="265"/>
      <c r="DI220" s="265"/>
      <c r="DJ220" s="265"/>
      <c r="DK220" s="265"/>
      <c r="DL220" s="265"/>
      <c r="DM220" s="265"/>
      <c r="DN220" s="265"/>
      <c r="DO220" s="265"/>
      <c r="DP220" s="265"/>
      <c r="DQ220" s="265"/>
      <c r="DR220" s="265"/>
      <c r="DS220" s="265"/>
      <c r="DT220" s="265"/>
      <c r="DU220" s="265"/>
      <c r="DV220" s="265"/>
      <c r="DW220" s="265"/>
      <c r="DX220" s="265"/>
      <c r="DY220" s="265"/>
      <c r="DZ220" s="265"/>
      <c r="EA220" s="265"/>
      <c r="EB220" s="265"/>
      <c r="EC220" s="265"/>
      <c r="ED220" s="265"/>
      <c r="EE220" s="265"/>
      <c r="EF220" s="265"/>
      <c r="EG220" s="265"/>
      <c r="EH220" s="265"/>
      <c r="EI220" s="265"/>
      <c r="EJ220" s="265"/>
      <c r="EK220" s="265"/>
      <c r="EL220" s="265"/>
      <c r="EM220" s="265"/>
      <c r="EN220" s="265"/>
      <c r="EO220" s="265"/>
      <c r="EP220" s="265"/>
      <c r="EQ220" s="265"/>
      <c r="ER220" s="265"/>
      <c r="ES220" s="265"/>
      <c r="EU220" s="362">
        <f>F238</f>
        <v>0.12</v>
      </c>
      <c r="EV220" s="153" t="s">
        <v>351</v>
      </c>
      <c r="EW220" s="153"/>
      <c r="EX220" s="153"/>
      <c r="EY220" s="154" t="s">
        <v>357</v>
      </c>
      <c r="EZ220" s="154"/>
      <c r="FA220" s="388">
        <f t="shared" ref="FA220:GF220" ca="1" si="1017">FA205</f>
        <v>0</v>
      </c>
      <c r="FB220" s="388">
        <f t="shared" ca="1" si="1017"/>
        <v>0</v>
      </c>
      <c r="FC220" s="388">
        <f t="shared" ca="1" si="1017"/>
        <v>0</v>
      </c>
      <c r="FD220" s="388">
        <f t="shared" ca="1" si="1017"/>
        <v>0</v>
      </c>
      <c r="FE220" s="388">
        <f t="shared" ca="1" si="1017"/>
        <v>0</v>
      </c>
      <c r="FF220" s="388">
        <f t="shared" ca="1" si="1017"/>
        <v>0</v>
      </c>
      <c r="FG220" s="388">
        <f t="shared" ca="1" si="1017"/>
        <v>0</v>
      </c>
      <c r="FH220" s="388">
        <f t="shared" ca="1" si="1017"/>
        <v>0</v>
      </c>
      <c r="FI220" s="388">
        <f t="shared" ca="1" si="1017"/>
        <v>0</v>
      </c>
      <c r="FJ220" s="388">
        <f t="shared" ca="1" si="1017"/>
        <v>0</v>
      </c>
      <c r="FK220" s="388">
        <f t="shared" ca="1" si="1017"/>
        <v>0</v>
      </c>
      <c r="FL220" s="388">
        <f t="shared" ca="1" si="1017"/>
        <v>0</v>
      </c>
      <c r="FM220" s="388">
        <f t="shared" ca="1" si="1017"/>
        <v>0</v>
      </c>
      <c r="FN220" s="388">
        <f t="shared" ca="1" si="1017"/>
        <v>0</v>
      </c>
      <c r="FO220" s="388">
        <f t="shared" ca="1" si="1017"/>
        <v>0</v>
      </c>
      <c r="FP220" s="388">
        <f t="shared" ca="1" si="1017"/>
        <v>0</v>
      </c>
      <c r="FQ220" s="388">
        <f t="shared" ca="1" si="1017"/>
        <v>0</v>
      </c>
      <c r="FR220" s="388">
        <f t="shared" ca="1" si="1017"/>
        <v>0</v>
      </c>
      <c r="FS220" s="388">
        <f t="shared" ca="1" si="1017"/>
        <v>0</v>
      </c>
      <c r="FT220" s="388">
        <f t="shared" ca="1" si="1017"/>
        <v>0</v>
      </c>
      <c r="FU220" s="388">
        <f t="shared" ca="1" si="1017"/>
        <v>0</v>
      </c>
      <c r="FV220" s="388">
        <f t="shared" ca="1" si="1017"/>
        <v>0</v>
      </c>
      <c r="FW220" s="388">
        <f t="shared" ca="1" si="1017"/>
        <v>0</v>
      </c>
      <c r="FX220" s="388">
        <f t="shared" ca="1" si="1017"/>
        <v>0</v>
      </c>
      <c r="FY220" s="388">
        <f t="shared" ca="1" si="1017"/>
        <v>0</v>
      </c>
      <c r="FZ220" s="388">
        <f t="shared" ca="1" si="1017"/>
        <v>0</v>
      </c>
      <c r="GA220" s="388">
        <f t="shared" ca="1" si="1017"/>
        <v>0</v>
      </c>
      <c r="GB220" s="388">
        <f t="shared" ca="1" si="1017"/>
        <v>0</v>
      </c>
      <c r="GC220" s="388">
        <f t="shared" ca="1" si="1017"/>
        <v>0</v>
      </c>
      <c r="GD220" s="388">
        <f t="shared" ca="1" si="1017"/>
        <v>0</v>
      </c>
      <c r="GE220" s="388">
        <f t="shared" ca="1" si="1017"/>
        <v>0</v>
      </c>
      <c r="GF220" s="388">
        <f t="shared" ca="1" si="1017"/>
        <v>0</v>
      </c>
      <c r="GG220" s="388">
        <f t="shared" ref="GG220:HL220" ca="1" si="1018">GG205</f>
        <v>0</v>
      </c>
      <c r="GH220" s="388">
        <f t="shared" ca="1" si="1018"/>
        <v>0</v>
      </c>
      <c r="GI220" s="388">
        <f t="shared" ca="1" si="1018"/>
        <v>0</v>
      </c>
      <c r="GJ220" s="388">
        <f t="shared" ca="1" si="1018"/>
        <v>0</v>
      </c>
      <c r="GK220" s="388">
        <f t="shared" ca="1" si="1018"/>
        <v>0</v>
      </c>
      <c r="GL220" s="388">
        <f t="shared" ca="1" si="1018"/>
        <v>0</v>
      </c>
      <c r="GM220" s="388">
        <f t="shared" ca="1" si="1018"/>
        <v>0</v>
      </c>
      <c r="GN220" s="388">
        <f t="shared" ca="1" si="1018"/>
        <v>0</v>
      </c>
      <c r="GO220" s="388">
        <f t="shared" ca="1" si="1018"/>
        <v>0</v>
      </c>
      <c r="GP220" s="388">
        <f t="shared" ca="1" si="1018"/>
        <v>0</v>
      </c>
      <c r="GQ220" s="388">
        <f t="shared" ca="1" si="1018"/>
        <v>0</v>
      </c>
      <c r="GR220" s="388">
        <f t="shared" ca="1" si="1018"/>
        <v>0</v>
      </c>
      <c r="GS220" s="388">
        <f t="shared" ca="1" si="1018"/>
        <v>0</v>
      </c>
      <c r="GT220" s="388">
        <f t="shared" ca="1" si="1018"/>
        <v>0</v>
      </c>
      <c r="GU220" s="388">
        <f t="shared" ca="1" si="1018"/>
        <v>0</v>
      </c>
      <c r="GV220" s="388">
        <f t="shared" ca="1" si="1018"/>
        <v>0</v>
      </c>
      <c r="GW220" s="388">
        <f t="shared" ca="1" si="1018"/>
        <v>0</v>
      </c>
      <c r="GX220" s="388">
        <f t="shared" ca="1" si="1018"/>
        <v>0</v>
      </c>
      <c r="GY220" s="388">
        <f t="shared" ca="1" si="1018"/>
        <v>0</v>
      </c>
      <c r="GZ220" s="388">
        <f t="shared" ca="1" si="1018"/>
        <v>0</v>
      </c>
      <c r="HA220" s="388">
        <f t="shared" ca="1" si="1018"/>
        <v>0</v>
      </c>
      <c r="HB220" s="388">
        <f t="shared" ca="1" si="1018"/>
        <v>0</v>
      </c>
      <c r="HC220" s="388">
        <f t="shared" ca="1" si="1018"/>
        <v>0</v>
      </c>
      <c r="HD220" s="388">
        <f t="shared" ca="1" si="1018"/>
        <v>0</v>
      </c>
      <c r="HE220" s="388">
        <f t="shared" ca="1" si="1018"/>
        <v>0</v>
      </c>
      <c r="HF220" s="388">
        <f t="shared" ca="1" si="1018"/>
        <v>0</v>
      </c>
      <c r="HG220" s="388">
        <f t="shared" ca="1" si="1018"/>
        <v>0</v>
      </c>
      <c r="HH220" s="388">
        <f t="shared" ca="1" si="1018"/>
        <v>0</v>
      </c>
      <c r="HI220" s="388">
        <f t="shared" ca="1" si="1018"/>
        <v>0</v>
      </c>
      <c r="HJ220" s="388">
        <f t="shared" ca="1" si="1018"/>
        <v>0</v>
      </c>
      <c r="HK220" s="388">
        <f t="shared" ca="1" si="1018"/>
        <v>0</v>
      </c>
      <c r="HL220" s="388">
        <f t="shared" ca="1" si="1018"/>
        <v>0</v>
      </c>
      <c r="HM220" s="388">
        <f t="shared" ref="HM220:IR220" ca="1" si="1019">HM205</f>
        <v>0</v>
      </c>
      <c r="HN220" s="388">
        <f t="shared" ca="1" si="1019"/>
        <v>0</v>
      </c>
      <c r="HO220" s="388">
        <f t="shared" ca="1" si="1019"/>
        <v>0</v>
      </c>
      <c r="HP220" s="388">
        <f t="shared" ca="1" si="1019"/>
        <v>0</v>
      </c>
      <c r="HQ220" s="388">
        <f t="shared" ca="1" si="1019"/>
        <v>0</v>
      </c>
      <c r="HR220" s="388">
        <f t="shared" ca="1" si="1019"/>
        <v>0</v>
      </c>
      <c r="HS220" s="388">
        <f t="shared" ca="1" si="1019"/>
        <v>0</v>
      </c>
      <c r="HT220" s="388">
        <f t="shared" ca="1" si="1019"/>
        <v>0</v>
      </c>
      <c r="HU220" s="388">
        <f t="shared" ca="1" si="1019"/>
        <v>0</v>
      </c>
      <c r="HV220" s="388">
        <f t="shared" ca="1" si="1019"/>
        <v>0</v>
      </c>
      <c r="HW220" s="388">
        <f t="shared" ca="1" si="1019"/>
        <v>0</v>
      </c>
      <c r="HX220" s="388">
        <f t="shared" ca="1" si="1019"/>
        <v>0</v>
      </c>
      <c r="HY220" s="388">
        <f t="shared" ca="1" si="1019"/>
        <v>0</v>
      </c>
      <c r="HZ220" s="388">
        <f t="shared" ca="1" si="1019"/>
        <v>0</v>
      </c>
      <c r="IA220" s="388">
        <f t="shared" ca="1" si="1019"/>
        <v>0</v>
      </c>
      <c r="IB220" s="388">
        <f t="shared" ca="1" si="1019"/>
        <v>0</v>
      </c>
      <c r="IC220" s="388">
        <f t="shared" ca="1" si="1019"/>
        <v>0</v>
      </c>
      <c r="ID220" s="388">
        <f t="shared" ca="1" si="1019"/>
        <v>0</v>
      </c>
      <c r="IE220" s="388">
        <f t="shared" ca="1" si="1019"/>
        <v>0</v>
      </c>
      <c r="IF220" s="388">
        <f t="shared" ca="1" si="1019"/>
        <v>0</v>
      </c>
      <c r="IG220" s="388">
        <f t="shared" ca="1" si="1019"/>
        <v>0</v>
      </c>
      <c r="IH220" s="388">
        <f t="shared" ca="1" si="1019"/>
        <v>0</v>
      </c>
      <c r="II220" s="388">
        <f t="shared" ca="1" si="1019"/>
        <v>0</v>
      </c>
      <c r="IJ220" s="388">
        <f t="shared" ca="1" si="1019"/>
        <v>0</v>
      </c>
      <c r="IK220" s="388">
        <f t="shared" ca="1" si="1019"/>
        <v>0</v>
      </c>
      <c r="IL220" s="388">
        <f t="shared" ca="1" si="1019"/>
        <v>0</v>
      </c>
      <c r="IM220" s="388">
        <f t="shared" ca="1" si="1019"/>
        <v>0</v>
      </c>
      <c r="IN220" s="388">
        <f t="shared" ca="1" si="1019"/>
        <v>0</v>
      </c>
      <c r="IO220" s="388">
        <f t="shared" ca="1" si="1019"/>
        <v>0</v>
      </c>
      <c r="IP220" s="388">
        <f t="shared" ca="1" si="1019"/>
        <v>0</v>
      </c>
      <c r="IQ220" s="388">
        <f t="shared" ca="1" si="1019"/>
        <v>0</v>
      </c>
      <c r="IR220" s="388">
        <f t="shared" ca="1" si="1019"/>
        <v>0</v>
      </c>
      <c r="IS220" s="388">
        <f t="shared" ref="IS220:KC220" ca="1" si="1020">IS205</f>
        <v>0</v>
      </c>
      <c r="IT220" s="388">
        <f t="shared" ca="1" si="1020"/>
        <v>0</v>
      </c>
      <c r="IU220" s="388">
        <f t="shared" ca="1" si="1020"/>
        <v>0</v>
      </c>
      <c r="IV220" s="388">
        <f t="shared" ca="1" si="1020"/>
        <v>0</v>
      </c>
      <c r="IW220" s="388">
        <f t="shared" ca="1" si="1020"/>
        <v>0</v>
      </c>
      <c r="IX220" s="388">
        <f t="shared" ca="1" si="1020"/>
        <v>0</v>
      </c>
      <c r="IY220" s="388">
        <f t="shared" ca="1" si="1020"/>
        <v>0</v>
      </c>
      <c r="IZ220" s="388">
        <f t="shared" ca="1" si="1020"/>
        <v>0</v>
      </c>
      <c r="JA220" s="388">
        <f t="shared" ca="1" si="1020"/>
        <v>0</v>
      </c>
      <c r="JB220" s="388">
        <f t="shared" ca="1" si="1020"/>
        <v>0</v>
      </c>
      <c r="JC220" s="388">
        <f t="shared" ca="1" si="1020"/>
        <v>0</v>
      </c>
      <c r="JD220" s="388">
        <f t="shared" ca="1" si="1020"/>
        <v>0</v>
      </c>
      <c r="JE220" s="388">
        <f t="shared" ca="1" si="1020"/>
        <v>0</v>
      </c>
      <c r="JF220" s="388">
        <f t="shared" ca="1" si="1020"/>
        <v>0</v>
      </c>
      <c r="JG220" s="388">
        <f t="shared" ca="1" si="1020"/>
        <v>0</v>
      </c>
      <c r="JH220" s="388">
        <f t="shared" ca="1" si="1020"/>
        <v>0</v>
      </c>
      <c r="JI220" s="388">
        <f t="shared" ca="1" si="1020"/>
        <v>0</v>
      </c>
      <c r="JJ220" s="388">
        <f t="shared" ca="1" si="1020"/>
        <v>0</v>
      </c>
      <c r="JK220" s="388">
        <f t="shared" ca="1" si="1020"/>
        <v>0</v>
      </c>
      <c r="JL220" s="388">
        <f t="shared" ca="1" si="1020"/>
        <v>0</v>
      </c>
      <c r="JM220" s="388">
        <f t="shared" ca="1" si="1020"/>
        <v>0</v>
      </c>
      <c r="JN220" s="388">
        <f t="shared" ca="1" si="1020"/>
        <v>0</v>
      </c>
      <c r="JO220" s="388">
        <f t="shared" ca="1" si="1020"/>
        <v>0</v>
      </c>
      <c r="JP220" s="388">
        <f t="shared" ca="1" si="1020"/>
        <v>0</v>
      </c>
      <c r="JQ220" s="388">
        <f t="shared" ca="1" si="1020"/>
        <v>0</v>
      </c>
      <c r="JR220" s="388">
        <f t="shared" ca="1" si="1020"/>
        <v>0</v>
      </c>
      <c r="JS220" s="388">
        <f t="shared" ca="1" si="1020"/>
        <v>0</v>
      </c>
      <c r="JT220" s="388">
        <f t="shared" ca="1" si="1020"/>
        <v>0</v>
      </c>
      <c r="JU220" s="388">
        <f t="shared" ca="1" si="1020"/>
        <v>0</v>
      </c>
      <c r="JV220" s="388">
        <f t="shared" ca="1" si="1020"/>
        <v>0</v>
      </c>
      <c r="JW220" s="388">
        <f t="shared" ca="1" si="1020"/>
        <v>0</v>
      </c>
      <c r="JX220" s="388">
        <f t="shared" ca="1" si="1020"/>
        <v>0</v>
      </c>
      <c r="JY220" s="388">
        <f t="shared" ca="1" si="1020"/>
        <v>0</v>
      </c>
      <c r="JZ220" s="388">
        <f t="shared" ca="1" si="1020"/>
        <v>0</v>
      </c>
      <c r="KA220" s="388">
        <f t="shared" ca="1" si="1020"/>
        <v>0</v>
      </c>
      <c r="KB220" s="388">
        <f t="shared" ca="1" si="1020"/>
        <v>0</v>
      </c>
      <c r="KC220" s="388">
        <f t="shared" ca="1" si="1020"/>
        <v>0</v>
      </c>
    </row>
    <row r="221" spans="1:289" s="264" customFormat="1" x14ac:dyDescent="0.25">
      <c r="A221" s="258"/>
      <c r="B221" s="293" t="s">
        <v>281</v>
      </c>
      <c r="C221" s="294"/>
      <c r="D221" s="294"/>
      <c r="E221" s="294"/>
      <c r="F221" s="294"/>
      <c r="G221" s="401">
        <f ca="1">(G219-G220)*10000</f>
        <v>17.148178467290347</v>
      </c>
      <c r="H221" s="401">
        <f ca="1">(H219-H220)*10000</f>
        <v>17.901602835482603</v>
      </c>
      <c r="I221" s="401">
        <f ca="1">(I219-I220)*10000</f>
        <v>54.411253542879514</v>
      </c>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65"/>
      <c r="AN221" s="265"/>
      <c r="AO221" s="265"/>
      <c r="AP221" s="265"/>
      <c r="AQ221" s="265"/>
      <c r="AR221" s="265"/>
      <c r="AS221" s="265"/>
      <c r="AT221" s="265"/>
      <c r="AU221" s="265"/>
      <c r="AV221" s="265"/>
      <c r="AW221" s="265"/>
      <c r="AX221" s="265"/>
      <c r="AY221" s="265"/>
      <c r="AZ221" s="265"/>
      <c r="BA221" s="265"/>
      <c r="BB221" s="265"/>
      <c r="BC221" s="265"/>
      <c r="BD221" s="265"/>
      <c r="BE221" s="265"/>
      <c r="BF221" s="265"/>
      <c r="BG221" s="265"/>
      <c r="BH221" s="265"/>
      <c r="BI221" s="265"/>
      <c r="BJ221" s="265"/>
      <c r="BK221" s="265"/>
      <c r="BL221" s="265"/>
      <c r="BM221" s="265"/>
      <c r="BN221" s="265"/>
      <c r="BO221" s="265"/>
      <c r="BP221" s="265"/>
      <c r="BQ221" s="265"/>
      <c r="BR221" s="265"/>
      <c r="BS221" s="265"/>
      <c r="BT221" s="265"/>
      <c r="BU221" s="265"/>
      <c r="BV221" s="265"/>
      <c r="BW221" s="265"/>
      <c r="BX221" s="265"/>
      <c r="BY221" s="265"/>
      <c r="BZ221" s="265"/>
      <c r="CA221" s="265"/>
      <c r="CB221" s="265"/>
      <c r="CC221" s="265"/>
      <c r="CD221" s="265"/>
      <c r="CE221" s="265"/>
      <c r="CF221" s="265"/>
      <c r="CG221" s="265"/>
      <c r="CH221" s="265"/>
      <c r="CI221" s="265"/>
      <c r="CJ221" s="265"/>
      <c r="CK221" s="265"/>
      <c r="CL221" s="265"/>
      <c r="CM221" s="265"/>
      <c r="CN221" s="265"/>
      <c r="CO221" s="265"/>
      <c r="CP221" s="265"/>
      <c r="CQ221" s="265"/>
      <c r="CR221" s="265"/>
      <c r="CS221" s="265"/>
      <c r="CT221" s="265"/>
      <c r="CU221" s="265"/>
      <c r="CV221" s="265"/>
      <c r="CW221" s="265"/>
      <c r="CX221" s="265"/>
      <c r="CY221" s="265"/>
      <c r="CZ221" s="265"/>
      <c r="DA221" s="265"/>
      <c r="DB221" s="265"/>
      <c r="DC221" s="265"/>
      <c r="DD221" s="265"/>
      <c r="DE221" s="265"/>
      <c r="DF221" s="265"/>
      <c r="DG221" s="265"/>
      <c r="DH221" s="265"/>
      <c r="DI221" s="265"/>
      <c r="DJ221" s="265"/>
      <c r="DK221" s="265"/>
      <c r="DL221" s="265"/>
      <c r="DM221" s="265"/>
      <c r="DN221" s="265"/>
      <c r="DO221" s="265"/>
      <c r="DP221" s="265"/>
      <c r="DQ221" s="265"/>
      <c r="DR221" s="265"/>
      <c r="DS221" s="265"/>
      <c r="DT221" s="265"/>
      <c r="DU221" s="265"/>
      <c r="DV221" s="265"/>
      <c r="DW221" s="265"/>
      <c r="DX221" s="265"/>
      <c r="DY221" s="265"/>
      <c r="DZ221" s="265"/>
      <c r="EA221" s="265"/>
      <c r="EB221" s="265"/>
      <c r="EC221" s="265"/>
      <c r="ED221" s="265"/>
      <c r="EE221" s="265"/>
      <c r="EF221" s="265"/>
      <c r="EG221" s="265"/>
      <c r="EH221" s="265"/>
      <c r="EI221" s="265"/>
      <c r="EJ221" s="265"/>
      <c r="EK221" s="265"/>
      <c r="EL221" s="265"/>
      <c r="EM221" s="265"/>
      <c r="EN221" s="265"/>
      <c r="EO221" s="265"/>
      <c r="EP221" s="265"/>
      <c r="EQ221" s="265"/>
      <c r="ER221" s="265"/>
      <c r="ES221" s="265"/>
      <c r="EU221" s="202"/>
      <c r="EV221" s="153"/>
      <c r="EW221" s="153"/>
      <c r="EX221" s="153"/>
      <c r="EY221" s="154" t="s">
        <v>359</v>
      </c>
      <c r="EZ221" s="154"/>
      <c r="FA221" s="388">
        <f t="shared" ref="FA221:GF221" ca="1" si="1021">(FA$201&lt;=Timing_Reversion_Month)*(MIN(FA218+FA219-FA220,MAX(FA216,0)*$I$238))</f>
        <v>0</v>
      </c>
      <c r="FB221" s="388">
        <f t="shared" ca="1" si="1021"/>
        <v>0</v>
      </c>
      <c r="FC221" s="388">
        <f t="shared" ca="1" si="1021"/>
        <v>0</v>
      </c>
      <c r="FD221" s="388">
        <f t="shared" ca="1" si="1021"/>
        <v>0</v>
      </c>
      <c r="FE221" s="388">
        <f t="shared" ca="1" si="1021"/>
        <v>0</v>
      </c>
      <c r="FF221" s="388">
        <f t="shared" ca="1" si="1021"/>
        <v>0</v>
      </c>
      <c r="FG221" s="388">
        <f t="shared" ca="1" si="1021"/>
        <v>0</v>
      </c>
      <c r="FH221" s="388">
        <f t="shared" ca="1" si="1021"/>
        <v>0</v>
      </c>
      <c r="FI221" s="388">
        <f t="shared" ca="1" si="1021"/>
        <v>0</v>
      </c>
      <c r="FJ221" s="388">
        <f t="shared" ca="1" si="1021"/>
        <v>0</v>
      </c>
      <c r="FK221" s="388">
        <f t="shared" ca="1" si="1021"/>
        <v>0</v>
      </c>
      <c r="FL221" s="388">
        <f t="shared" ca="1" si="1021"/>
        <v>0</v>
      </c>
      <c r="FM221" s="388">
        <f t="shared" ca="1" si="1021"/>
        <v>0</v>
      </c>
      <c r="FN221" s="388">
        <f t="shared" ca="1" si="1021"/>
        <v>0</v>
      </c>
      <c r="FO221" s="388">
        <f t="shared" ca="1" si="1021"/>
        <v>0</v>
      </c>
      <c r="FP221" s="388">
        <f t="shared" ca="1" si="1021"/>
        <v>0</v>
      </c>
      <c r="FQ221" s="388">
        <f t="shared" ca="1" si="1021"/>
        <v>0</v>
      </c>
      <c r="FR221" s="388">
        <f t="shared" ca="1" si="1021"/>
        <v>0</v>
      </c>
      <c r="FS221" s="388">
        <f t="shared" ca="1" si="1021"/>
        <v>0</v>
      </c>
      <c r="FT221" s="388">
        <f t="shared" ca="1" si="1021"/>
        <v>0</v>
      </c>
      <c r="FU221" s="388">
        <f t="shared" ca="1" si="1021"/>
        <v>0</v>
      </c>
      <c r="FV221" s="388">
        <f t="shared" ca="1" si="1021"/>
        <v>0</v>
      </c>
      <c r="FW221" s="388">
        <f t="shared" ca="1" si="1021"/>
        <v>0</v>
      </c>
      <c r="FX221" s="388">
        <f t="shared" ca="1" si="1021"/>
        <v>0</v>
      </c>
      <c r="FY221" s="388">
        <f t="shared" ca="1" si="1021"/>
        <v>0</v>
      </c>
      <c r="FZ221" s="388">
        <f t="shared" ca="1" si="1021"/>
        <v>0</v>
      </c>
      <c r="GA221" s="388">
        <f t="shared" ca="1" si="1021"/>
        <v>0</v>
      </c>
      <c r="GB221" s="388">
        <f t="shared" ca="1" si="1021"/>
        <v>0</v>
      </c>
      <c r="GC221" s="388">
        <f t="shared" ca="1" si="1021"/>
        <v>0</v>
      </c>
      <c r="GD221" s="388">
        <f t="shared" ca="1" si="1021"/>
        <v>0</v>
      </c>
      <c r="GE221" s="388">
        <f t="shared" ca="1" si="1021"/>
        <v>0</v>
      </c>
      <c r="GF221" s="388">
        <f t="shared" ca="1" si="1021"/>
        <v>0</v>
      </c>
      <c r="GG221" s="388">
        <f t="shared" ref="GG221:HL221" ca="1" si="1022">(GG$201&lt;=Timing_Reversion_Month)*(MIN(GG218+GG219-GG220,MAX(GG216,0)*$I$238))</f>
        <v>0</v>
      </c>
      <c r="GH221" s="388">
        <f t="shared" ca="1" si="1022"/>
        <v>0</v>
      </c>
      <c r="GI221" s="388">
        <f t="shared" ca="1" si="1022"/>
        <v>0</v>
      </c>
      <c r="GJ221" s="388">
        <f t="shared" ca="1" si="1022"/>
        <v>0</v>
      </c>
      <c r="GK221" s="388">
        <f t="shared" ca="1" si="1022"/>
        <v>0</v>
      </c>
      <c r="GL221" s="388">
        <f t="shared" ca="1" si="1022"/>
        <v>0</v>
      </c>
      <c r="GM221" s="388">
        <f t="shared" ca="1" si="1022"/>
        <v>0</v>
      </c>
      <c r="GN221" s="388">
        <f t="shared" ca="1" si="1022"/>
        <v>0</v>
      </c>
      <c r="GO221" s="388">
        <f t="shared" ca="1" si="1022"/>
        <v>0</v>
      </c>
      <c r="GP221" s="388">
        <f t="shared" ca="1" si="1022"/>
        <v>0</v>
      </c>
      <c r="GQ221" s="388">
        <f t="shared" ca="1" si="1022"/>
        <v>0</v>
      </c>
      <c r="GR221" s="388">
        <f t="shared" ca="1" si="1022"/>
        <v>0</v>
      </c>
      <c r="GS221" s="388">
        <f t="shared" ca="1" si="1022"/>
        <v>0</v>
      </c>
      <c r="GT221" s="388">
        <f t="shared" ca="1" si="1022"/>
        <v>0</v>
      </c>
      <c r="GU221" s="388">
        <f t="shared" ca="1" si="1022"/>
        <v>0</v>
      </c>
      <c r="GV221" s="388">
        <f t="shared" ca="1" si="1022"/>
        <v>0</v>
      </c>
      <c r="GW221" s="388">
        <f t="shared" ca="1" si="1022"/>
        <v>0</v>
      </c>
      <c r="GX221" s="388">
        <f t="shared" ca="1" si="1022"/>
        <v>0</v>
      </c>
      <c r="GY221" s="388">
        <f t="shared" ca="1" si="1022"/>
        <v>0</v>
      </c>
      <c r="GZ221" s="388">
        <f t="shared" ca="1" si="1022"/>
        <v>0</v>
      </c>
      <c r="HA221" s="388">
        <f t="shared" ca="1" si="1022"/>
        <v>0</v>
      </c>
      <c r="HB221" s="388">
        <f t="shared" ca="1" si="1022"/>
        <v>0</v>
      </c>
      <c r="HC221" s="388">
        <f t="shared" ca="1" si="1022"/>
        <v>0</v>
      </c>
      <c r="HD221" s="388">
        <f t="shared" ca="1" si="1022"/>
        <v>0</v>
      </c>
      <c r="HE221" s="388">
        <f t="shared" ca="1" si="1022"/>
        <v>0</v>
      </c>
      <c r="HF221" s="388">
        <f t="shared" ca="1" si="1022"/>
        <v>0</v>
      </c>
      <c r="HG221" s="388">
        <f t="shared" ca="1" si="1022"/>
        <v>0</v>
      </c>
      <c r="HH221" s="388">
        <f t="shared" ca="1" si="1022"/>
        <v>0</v>
      </c>
      <c r="HI221" s="388">
        <f t="shared" ca="1" si="1022"/>
        <v>0</v>
      </c>
      <c r="HJ221" s="388">
        <f t="shared" ca="1" si="1022"/>
        <v>0</v>
      </c>
      <c r="HK221" s="388">
        <f t="shared" ca="1" si="1022"/>
        <v>0</v>
      </c>
      <c r="HL221" s="388">
        <f t="shared" ca="1" si="1022"/>
        <v>0</v>
      </c>
      <c r="HM221" s="388">
        <f t="shared" ref="HM221:IR221" ca="1" si="1023">(HM$201&lt;=Timing_Reversion_Month)*(MIN(HM218+HM219-HM220,MAX(HM216,0)*$I$238))</f>
        <v>0</v>
      </c>
      <c r="HN221" s="388">
        <f t="shared" ca="1" si="1023"/>
        <v>0</v>
      </c>
      <c r="HO221" s="388">
        <f t="shared" ca="1" si="1023"/>
        <v>0</v>
      </c>
      <c r="HP221" s="388">
        <f t="shared" ca="1" si="1023"/>
        <v>0</v>
      </c>
      <c r="HQ221" s="388">
        <f t="shared" ca="1" si="1023"/>
        <v>0</v>
      </c>
      <c r="HR221" s="388">
        <f t="shared" ca="1" si="1023"/>
        <v>0</v>
      </c>
      <c r="HS221" s="388">
        <f t="shared" ca="1" si="1023"/>
        <v>0</v>
      </c>
      <c r="HT221" s="388">
        <f t="shared" ca="1" si="1023"/>
        <v>0</v>
      </c>
      <c r="HU221" s="388">
        <f t="shared" ca="1" si="1023"/>
        <v>0</v>
      </c>
      <c r="HV221" s="388">
        <f t="shared" ca="1" si="1023"/>
        <v>0</v>
      </c>
      <c r="HW221" s="388">
        <f t="shared" ca="1" si="1023"/>
        <v>0</v>
      </c>
      <c r="HX221" s="388">
        <f t="shared" ca="1" si="1023"/>
        <v>0</v>
      </c>
      <c r="HY221" s="388">
        <f t="shared" ca="1" si="1023"/>
        <v>0</v>
      </c>
      <c r="HZ221" s="388">
        <f t="shared" ca="1" si="1023"/>
        <v>0</v>
      </c>
      <c r="IA221" s="388">
        <f t="shared" ca="1" si="1023"/>
        <v>0</v>
      </c>
      <c r="IB221" s="388">
        <f t="shared" ca="1" si="1023"/>
        <v>0</v>
      </c>
      <c r="IC221" s="388">
        <f t="shared" ca="1" si="1023"/>
        <v>0</v>
      </c>
      <c r="ID221" s="388">
        <f t="shared" ca="1" si="1023"/>
        <v>0</v>
      </c>
      <c r="IE221" s="388">
        <f t="shared" ca="1" si="1023"/>
        <v>0</v>
      </c>
      <c r="IF221" s="388">
        <f t="shared" ca="1" si="1023"/>
        <v>0</v>
      </c>
      <c r="IG221" s="388">
        <f t="shared" ca="1" si="1023"/>
        <v>0</v>
      </c>
      <c r="IH221" s="388">
        <f t="shared" ca="1" si="1023"/>
        <v>0</v>
      </c>
      <c r="II221" s="388">
        <f t="shared" ca="1" si="1023"/>
        <v>0</v>
      </c>
      <c r="IJ221" s="388">
        <f t="shared" ca="1" si="1023"/>
        <v>0</v>
      </c>
      <c r="IK221" s="388">
        <f t="shared" ca="1" si="1023"/>
        <v>0</v>
      </c>
      <c r="IL221" s="388">
        <f t="shared" ca="1" si="1023"/>
        <v>0</v>
      </c>
      <c r="IM221" s="388">
        <f t="shared" ca="1" si="1023"/>
        <v>0</v>
      </c>
      <c r="IN221" s="388">
        <f t="shared" ca="1" si="1023"/>
        <v>0</v>
      </c>
      <c r="IO221" s="388">
        <f t="shared" ca="1" si="1023"/>
        <v>0</v>
      </c>
      <c r="IP221" s="388">
        <f t="shared" ca="1" si="1023"/>
        <v>0</v>
      </c>
      <c r="IQ221" s="388">
        <f t="shared" ca="1" si="1023"/>
        <v>0</v>
      </c>
      <c r="IR221" s="388">
        <f t="shared" ca="1" si="1023"/>
        <v>0</v>
      </c>
      <c r="IS221" s="388">
        <f t="shared" ref="IS221:JX221" ca="1" si="1024">(IS$201&lt;=Timing_Reversion_Month)*(MIN(IS218+IS219-IS220,MAX(IS216,0)*$I$238))</f>
        <v>0</v>
      </c>
      <c r="IT221" s="388">
        <f t="shared" ca="1" si="1024"/>
        <v>0</v>
      </c>
      <c r="IU221" s="388">
        <f t="shared" ca="1" si="1024"/>
        <v>0</v>
      </c>
      <c r="IV221" s="388">
        <f t="shared" ca="1" si="1024"/>
        <v>0</v>
      </c>
      <c r="IW221" s="388">
        <f t="shared" ca="1" si="1024"/>
        <v>0</v>
      </c>
      <c r="IX221" s="388">
        <f t="shared" ca="1" si="1024"/>
        <v>0</v>
      </c>
      <c r="IY221" s="388">
        <f t="shared" ca="1" si="1024"/>
        <v>0</v>
      </c>
      <c r="IZ221" s="388">
        <f t="shared" ca="1" si="1024"/>
        <v>0</v>
      </c>
      <c r="JA221" s="388">
        <f t="shared" ca="1" si="1024"/>
        <v>0</v>
      </c>
      <c r="JB221" s="388">
        <f t="shared" ca="1" si="1024"/>
        <v>0</v>
      </c>
      <c r="JC221" s="388">
        <f t="shared" ca="1" si="1024"/>
        <v>0</v>
      </c>
      <c r="JD221" s="388">
        <f t="shared" ca="1" si="1024"/>
        <v>0</v>
      </c>
      <c r="JE221" s="388">
        <f t="shared" ca="1" si="1024"/>
        <v>0</v>
      </c>
      <c r="JF221" s="388">
        <f t="shared" ca="1" si="1024"/>
        <v>0</v>
      </c>
      <c r="JG221" s="388">
        <f t="shared" ca="1" si="1024"/>
        <v>0</v>
      </c>
      <c r="JH221" s="388">
        <f t="shared" ca="1" si="1024"/>
        <v>0</v>
      </c>
      <c r="JI221" s="388">
        <f t="shared" ca="1" si="1024"/>
        <v>0</v>
      </c>
      <c r="JJ221" s="388">
        <f t="shared" ca="1" si="1024"/>
        <v>0</v>
      </c>
      <c r="JK221" s="388">
        <f t="shared" ca="1" si="1024"/>
        <v>0</v>
      </c>
      <c r="JL221" s="388">
        <f t="shared" ca="1" si="1024"/>
        <v>0</v>
      </c>
      <c r="JM221" s="388">
        <f t="shared" ca="1" si="1024"/>
        <v>0</v>
      </c>
      <c r="JN221" s="388">
        <f t="shared" ca="1" si="1024"/>
        <v>0</v>
      </c>
      <c r="JO221" s="388">
        <f t="shared" ca="1" si="1024"/>
        <v>0</v>
      </c>
      <c r="JP221" s="388">
        <f t="shared" ca="1" si="1024"/>
        <v>0</v>
      </c>
      <c r="JQ221" s="388">
        <f t="shared" ca="1" si="1024"/>
        <v>0</v>
      </c>
      <c r="JR221" s="388">
        <f t="shared" ca="1" si="1024"/>
        <v>0</v>
      </c>
      <c r="JS221" s="388">
        <f t="shared" ca="1" si="1024"/>
        <v>0</v>
      </c>
      <c r="JT221" s="388">
        <f t="shared" ca="1" si="1024"/>
        <v>0</v>
      </c>
      <c r="JU221" s="388">
        <f t="shared" ca="1" si="1024"/>
        <v>0</v>
      </c>
      <c r="JV221" s="388">
        <f t="shared" ca="1" si="1024"/>
        <v>0</v>
      </c>
      <c r="JW221" s="388">
        <f t="shared" ca="1" si="1024"/>
        <v>0</v>
      </c>
      <c r="JX221" s="388">
        <f t="shared" ca="1" si="1024"/>
        <v>0</v>
      </c>
      <c r="JY221" s="388">
        <f t="shared" ref="JY221:KC221" ca="1" si="1025">(JY$201&lt;=Timing_Reversion_Month)*(MIN(JY218+JY219-JY220,MAX(JY216,0)*$I$238))</f>
        <v>0</v>
      </c>
      <c r="JZ221" s="388">
        <f t="shared" ca="1" si="1025"/>
        <v>0</v>
      </c>
      <c r="KA221" s="388">
        <f t="shared" ca="1" si="1025"/>
        <v>0</v>
      </c>
      <c r="KB221" s="388">
        <f t="shared" ca="1" si="1025"/>
        <v>0</v>
      </c>
      <c r="KC221" s="388">
        <f t="shared" ca="1" si="1025"/>
        <v>0</v>
      </c>
    </row>
    <row r="222" spans="1:289" x14ac:dyDescent="0.25">
      <c r="B222" s="369" t="s">
        <v>185</v>
      </c>
      <c r="C222" s="385"/>
      <c r="D222" s="402"/>
      <c r="E222" s="403"/>
      <c r="F222" s="385"/>
      <c r="G222" s="385"/>
      <c r="H222" s="385"/>
      <c r="I222" s="385"/>
      <c r="EU222" s="202"/>
      <c r="EV222" s="153"/>
      <c r="EW222" s="153"/>
      <c r="EX222" s="153"/>
      <c r="EY222" s="154" t="s">
        <v>346</v>
      </c>
      <c r="EZ222" s="154"/>
      <c r="FA222" s="388">
        <f t="shared" ref="FA222:GF222" ca="1" si="1026">(FA$201&lt;=Timing_Reversion_Month)*(FA218+FA219+FA204-FA220-FA221)</f>
        <v>0</v>
      </c>
      <c r="FB222" s="388">
        <f t="shared" ca="1" si="1026"/>
        <v>0</v>
      </c>
      <c r="FC222" s="388">
        <f t="shared" ca="1" si="1026"/>
        <v>0</v>
      </c>
      <c r="FD222" s="388">
        <f t="shared" ca="1" si="1026"/>
        <v>0</v>
      </c>
      <c r="FE222" s="388">
        <f t="shared" ca="1" si="1026"/>
        <v>0</v>
      </c>
      <c r="FF222" s="388">
        <f t="shared" ca="1" si="1026"/>
        <v>0</v>
      </c>
      <c r="FG222" s="388">
        <f t="shared" ca="1" si="1026"/>
        <v>0</v>
      </c>
      <c r="FH222" s="388">
        <f t="shared" ca="1" si="1026"/>
        <v>0</v>
      </c>
      <c r="FI222" s="388">
        <f t="shared" ca="1" si="1026"/>
        <v>0</v>
      </c>
      <c r="FJ222" s="388">
        <f t="shared" ca="1" si="1026"/>
        <v>0</v>
      </c>
      <c r="FK222" s="388">
        <f t="shared" ca="1" si="1026"/>
        <v>0</v>
      </c>
      <c r="FL222" s="388">
        <f t="shared" ca="1" si="1026"/>
        <v>0</v>
      </c>
      <c r="FM222" s="388">
        <f t="shared" ca="1" si="1026"/>
        <v>0</v>
      </c>
      <c r="FN222" s="388">
        <f t="shared" ca="1" si="1026"/>
        <v>0</v>
      </c>
      <c r="FO222" s="388">
        <f t="shared" ca="1" si="1026"/>
        <v>0</v>
      </c>
      <c r="FP222" s="388">
        <f t="shared" ca="1" si="1026"/>
        <v>0</v>
      </c>
      <c r="FQ222" s="388">
        <f t="shared" ca="1" si="1026"/>
        <v>0</v>
      </c>
      <c r="FR222" s="388">
        <f t="shared" ca="1" si="1026"/>
        <v>0</v>
      </c>
      <c r="FS222" s="388">
        <f t="shared" ca="1" si="1026"/>
        <v>0</v>
      </c>
      <c r="FT222" s="388">
        <f t="shared" ca="1" si="1026"/>
        <v>0</v>
      </c>
      <c r="FU222" s="388">
        <f t="shared" ca="1" si="1026"/>
        <v>0</v>
      </c>
      <c r="FV222" s="388">
        <f t="shared" ca="1" si="1026"/>
        <v>0</v>
      </c>
      <c r="FW222" s="388">
        <f t="shared" ca="1" si="1026"/>
        <v>0</v>
      </c>
      <c r="FX222" s="388">
        <f t="shared" ca="1" si="1026"/>
        <v>0</v>
      </c>
      <c r="FY222" s="388">
        <f t="shared" ca="1" si="1026"/>
        <v>0</v>
      </c>
      <c r="FZ222" s="388">
        <f t="shared" ca="1" si="1026"/>
        <v>0</v>
      </c>
      <c r="GA222" s="388">
        <f t="shared" ca="1" si="1026"/>
        <v>0</v>
      </c>
      <c r="GB222" s="388">
        <f t="shared" ca="1" si="1026"/>
        <v>0</v>
      </c>
      <c r="GC222" s="388">
        <f t="shared" ca="1" si="1026"/>
        <v>0</v>
      </c>
      <c r="GD222" s="388">
        <f t="shared" ca="1" si="1026"/>
        <v>0</v>
      </c>
      <c r="GE222" s="388">
        <f t="shared" ca="1" si="1026"/>
        <v>0</v>
      </c>
      <c r="GF222" s="388">
        <f t="shared" ca="1" si="1026"/>
        <v>0</v>
      </c>
      <c r="GG222" s="388">
        <f t="shared" ref="GG222:HL222" ca="1" si="1027">(GG$201&lt;=Timing_Reversion_Month)*(GG218+GG219+GG204-GG220-GG221)</f>
        <v>0</v>
      </c>
      <c r="GH222" s="388">
        <f t="shared" ca="1" si="1027"/>
        <v>0</v>
      </c>
      <c r="GI222" s="388">
        <f t="shared" ca="1" si="1027"/>
        <v>0</v>
      </c>
      <c r="GJ222" s="388">
        <f t="shared" ca="1" si="1027"/>
        <v>0</v>
      </c>
      <c r="GK222" s="388">
        <f t="shared" ca="1" si="1027"/>
        <v>0</v>
      </c>
      <c r="GL222" s="388">
        <f t="shared" ca="1" si="1027"/>
        <v>0</v>
      </c>
      <c r="GM222" s="388">
        <f t="shared" ca="1" si="1027"/>
        <v>0</v>
      </c>
      <c r="GN222" s="388">
        <f t="shared" ca="1" si="1027"/>
        <v>0</v>
      </c>
      <c r="GO222" s="388">
        <f t="shared" ca="1" si="1027"/>
        <v>0</v>
      </c>
      <c r="GP222" s="388">
        <f t="shared" ca="1" si="1027"/>
        <v>0</v>
      </c>
      <c r="GQ222" s="388">
        <f t="shared" ca="1" si="1027"/>
        <v>0</v>
      </c>
      <c r="GR222" s="388">
        <f t="shared" ca="1" si="1027"/>
        <v>0</v>
      </c>
      <c r="GS222" s="388">
        <f t="shared" ca="1" si="1027"/>
        <v>0</v>
      </c>
      <c r="GT222" s="388">
        <f t="shared" ca="1" si="1027"/>
        <v>0</v>
      </c>
      <c r="GU222" s="388">
        <f t="shared" ca="1" si="1027"/>
        <v>0</v>
      </c>
      <c r="GV222" s="388">
        <f t="shared" ca="1" si="1027"/>
        <v>0</v>
      </c>
      <c r="GW222" s="388">
        <f t="shared" ca="1" si="1027"/>
        <v>0</v>
      </c>
      <c r="GX222" s="388">
        <f t="shared" ca="1" si="1027"/>
        <v>0</v>
      </c>
      <c r="GY222" s="388">
        <f t="shared" ca="1" si="1027"/>
        <v>0</v>
      </c>
      <c r="GZ222" s="388">
        <f t="shared" ca="1" si="1027"/>
        <v>0</v>
      </c>
      <c r="HA222" s="388">
        <f t="shared" ca="1" si="1027"/>
        <v>0</v>
      </c>
      <c r="HB222" s="388">
        <f t="shared" ca="1" si="1027"/>
        <v>0</v>
      </c>
      <c r="HC222" s="388">
        <f t="shared" ca="1" si="1027"/>
        <v>0</v>
      </c>
      <c r="HD222" s="388">
        <f t="shared" ca="1" si="1027"/>
        <v>0</v>
      </c>
      <c r="HE222" s="388">
        <f t="shared" ca="1" si="1027"/>
        <v>0</v>
      </c>
      <c r="HF222" s="388">
        <f t="shared" ca="1" si="1027"/>
        <v>0</v>
      </c>
      <c r="HG222" s="388">
        <f t="shared" ca="1" si="1027"/>
        <v>0</v>
      </c>
      <c r="HH222" s="388">
        <f t="shared" ca="1" si="1027"/>
        <v>0</v>
      </c>
      <c r="HI222" s="388">
        <f t="shared" ca="1" si="1027"/>
        <v>0</v>
      </c>
      <c r="HJ222" s="388">
        <f t="shared" ca="1" si="1027"/>
        <v>0</v>
      </c>
      <c r="HK222" s="388">
        <f t="shared" ca="1" si="1027"/>
        <v>0</v>
      </c>
      <c r="HL222" s="388">
        <f t="shared" ca="1" si="1027"/>
        <v>0</v>
      </c>
      <c r="HM222" s="388">
        <f t="shared" ref="HM222:IR222" ca="1" si="1028">(HM$201&lt;=Timing_Reversion_Month)*(HM218+HM219+HM204-HM220-HM221)</f>
        <v>0</v>
      </c>
      <c r="HN222" s="388">
        <f t="shared" ca="1" si="1028"/>
        <v>0</v>
      </c>
      <c r="HO222" s="388">
        <f t="shared" ca="1" si="1028"/>
        <v>0</v>
      </c>
      <c r="HP222" s="388">
        <f t="shared" ca="1" si="1028"/>
        <v>0</v>
      </c>
      <c r="HQ222" s="388">
        <f t="shared" ca="1" si="1028"/>
        <v>0</v>
      </c>
      <c r="HR222" s="388">
        <f t="shared" ca="1" si="1028"/>
        <v>0</v>
      </c>
      <c r="HS222" s="388">
        <f t="shared" ca="1" si="1028"/>
        <v>0</v>
      </c>
      <c r="HT222" s="388">
        <f t="shared" ca="1" si="1028"/>
        <v>0</v>
      </c>
      <c r="HU222" s="388">
        <f t="shared" ca="1" si="1028"/>
        <v>0</v>
      </c>
      <c r="HV222" s="388">
        <f t="shared" ca="1" si="1028"/>
        <v>0</v>
      </c>
      <c r="HW222" s="388">
        <f t="shared" ca="1" si="1028"/>
        <v>0</v>
      </c>
      <c r="HX222" s="388">
        <f t="shared" ca="1" si="1028"/>
        <v>0</v>
      </c>
      <c r="HY222" s="388">
        <f t="shared" ca="1" si="1028"/>
        <v>0</v>
      </c>
      <c r="HZ222" s="388">
        <f t="shared" ca="1" si="1028"/>
        <v>0</v>
      </c>
      <c r="IA222" s="388">
        <f t="shared" ca="1" si="1028"/>
        <v>0</v>
      </c>
      <c r="IB222" s="388">
        <f t="shared" ca="1" si="1028"/>
        <v>0</v>
      </c>
      <c r="IC222" s="388">
        <f t="shared" ca="1" si="1028"/>
        <v>0</v>
      </c>
      <c r="ID222" s="388">
        <f t="shared" ca="1" si="1028"/>
        <v>0</v>
      </c>
      <c r="IE222" s="388">
        <f t="shared" ca="1" si="1028"/>
        <v>0</v>
      </c>
      <c r="IF222" s="388">
        <f t="shared" ca="1" si="1028"/>
        <v>0</v>
      </c>
      <c r="IG222" s="388">
        <f t="shared" ca="1" si="1028"/>
        <v>0</v>
      </c>
      <c r="IH222" s="388">
        <f t="shared" ca="1" si="1028"/>
        <v>0</v>
      </c>
      <c r="II222" s="388">
        <f t="shared" ca="1" si="1028"/>
        <v>0</v>
      </c>
      <c r="IJ222" s="388">
        <f t="shared" ca="1" si="1028"/>
        <v>0</v>
      </c>
      <c r="IK222" s="388">
        <f t="shared" ca="1" si="1028"/>
        <v>0</v>
      </c>
      <c r="IL222" s="388">
        <f t="shared" ca="1" si="1028"/>
        <v>0</v>
      </c>
      <c r="IM222" s="388">
        <f t="shared" ca="1" si="1028"/>
        <v>0</v>
      </c>
      <c r="IN222" s="388">
        <f t="shared" ca="1" si="1028"/>
        <v>0</v>
      </c>
      <c r="IO222" s="388">
        <f t="shared" ca="1" si="1028"/>
        <v>0</v>
      </c>
      <c r="IP222" s="388">
        <f t="shared" ca="1" si="1028"/>
        <v>0</v>
      </c>
      <c r="IQ222" s="388">
        <f t="shared" ca="1" si="1028"/>
        <v>0</v>
      </c>
      <c r="IR222" s="388">
        <f t="shared" ca="1" si="1028"/>
        <v>0</v>
      </c>
      <c r="IS222" s="388">
        <f t="shared" ref="IS222:JX222" ca="1" si="1029">(IS$201&lt;=Timing_Reversion_Month)*(IS218+IS219+IS204-IS220-IS221)</f>
        <v>0</v>
      </c>
      <c r="IT222" s="388">
        <f t="shared" ca="1" si="1029"/>
        <v>0</v>
      </c>
      <c r="IU222" s="388">
        <f t="shared" ca="1" si="1029"/>
        <v>0</v>
      </c>
      <c r="IV222" s="388">
        <f t="shared" ca="1" si="1029"/>
        <v>0</v>
      </c>
      <c r="IW222" s="388">
        <f t="shared" ca="1" si="1029"/>
        <v>0</v>
      </c>
      <c r="IX222" s="388">
        <f t="shared" ca="1" si="1029"/>
        <v>0</v>
      </c>
      <c r="IY222" s="388">
        <f t="shared" ca="1" si="1029"/>
        <v>0</v>
      </c>
      <c r="IZ222" s="388">
        <f t="shared" ca="1" si="1029"/>
        <v>0</v>
      </c>
      <c r="JA222" s="388">
        <f t="shared" ca="1" si="1029"/>
        <v>0</v>
      </c>
      <c r="JB222" s="388">
        <f t="shared" ca="1" si="1029"/>
        <v>0</v>
      </c>
      <c r="JC222" s="388">
        <f t="shared" ca="1" si="1029"/>
        <v>0</v>
      </c>
      <c r="JD222" s="388">
        <f t="shared" ca="1" si="1029"/>
        <v>0</v>
      </c>
      <c r="JE222" s="388">
        <f t="shared" ca="1" si="1029"/>
        <v>0</v>
      </c>
      <c r="JF222" s="388">
        <f t="shared" ca="1" si="1029"/>
        <v>0</v>
      </c>
      <c r="JG222" s="388">
        <f t="shared" ca="1" si="1029"/>
        <v>0</v>
      </c>
      <c r="JH222" s="388">
        <f t="shared" ca="1" si="1029"/>
        <v>0</v>
      </c>
      <c r="JI222" s="388">
        <f t="shared" ca="1" si="1029"/>
        <v>0</v>
      </c>
      <c r="JJ222" s="388">
        <f t="shared" ca="1" si="1029"/>
        <v>0</v>
      </c>
      <c r="JK222" s="388">
        <f t="shared" ca="1" si="1029"/>
        <v>0</v>
      </c>
      <c r="JL222" s="388">
        <f t="shared" ca="1" si="1029"/>
        <v>0</v>
      </c>
      <c r="JM222" s="388">
        <f t="shared" ca="1" si="1029"/>
        <v>0</v>
      </c>
      <c r="JN222" s="388">
        <f t="shared" ca="1" si="1029"/>
        <v>0</v>
      </c>
      <c r="JO222" s="388">
        <f t="shared" ca="1" si="1029"/>
        <v>0</v>
      </c>
      <c r="JP222" s="388">
        <f t="shared" ca="1" si="1029"/>
        <v>0</v>
      </c>
      <c r="JQ222" s="388">
        <f t="shared" ca="1" si="1029"/>
        <v>0</v>
      </c>
      <c r="JR222" s="388">
        <f t="shared" ca="1" si="1029"/>
        <v>0</v>
      </c>
      <c r="JS222" s="388">
        <f t="shared" ca="1" si="1029"/>
        <v>0</v>
      </c>
      <c r="JT222" s="388">
        <f t="shared" ca="1" si="1029"/>
        <v>0</v>
      </c>
      <c r="JU222" s="388">
        <f t="shared" ca="1" si="1029"/>
        <v>0</v>
      </c>
      <c r="JV222" s="388">
        <f t="shared" ca="1" si="1029"/>
        <v>0</v>
      </c>
      <c r="JW222" s="388">
        <f t="shared" ca="1" si="1029"/>
        <v>0</v>
      </c>
      <c r="JX222" s="388">
        <f t="shared" ca="1" si="1029"/>
        <v>0</v>
      </c>
      <c r="JY222" s="388">
        <f t="shared" ref="JY222:KC222" ca="1" si="1030">(JY$201&lt;=Timing_Reversion_Month)*(JY218+JY219+JY204-JY220-JY221)</f>
        <v>0</v>
      </c>
      <c r="JZ222" s="388">
        <f t="shared" ca="1" si="1030"/>
        <v>0</v>
      </c>
      <c r="KA222" s="388">
        <f t="shared" ca="1" si="1030"/>
        <v>0</v>
      </c>
      <c r="KB222" s="388">
        <f t="shared" ca="1" si="1030"/>
        <v>0</v>
      </c>
      <c r="KC222" s="388">
        <f t="shared" ca="1" si="1030"/>
        <v>0</v>
      </c>
    </row>
    <row r="223" spans="1:289" ht="5.0999999999999996" customHeight="1" x14ac:dyDescent="0.25">
      <c r="B223" s="180"/>
      <c r="C223" s="196"/>
      <c r="D223" s="196"/>
      <c r="E223" s="196"/>
      <c r="F223" s="196"/>
      <c r="G223" s="196"/>
      <c r="H223" s="196"/>
      <c r="I223" s="196"/>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161"/>
      <c r="AX223" s="161"/>
      <c r="AY223" s="161"/>
      <c r="AZ223" s="161"/>
      <c r="BA223" s="161"/>
      <c r="BB223" s="161"/>
      <c r="BC223" s="161"/>
      <c r="BD223" s="161"/>
      <c r="BE223" s="161"/>
      <c r="BF223" s="161"/>
      <c r="BG223" s="161"/>
      <c r="BH223" s="161"/>
      <c r="BI223" s="161"/>
      <c r="BJ223" s="161"/>
      <c r="BK223" s="161"/>
      <c r="BL223" s="161"/>
      <c r="BM223" s="161"/>
      <c r="BN223" s="161"/>
      <c r="BO223" s="161"/>
      <c r="BP223" s="161"/>
      <c r="BQ223" s="161"/>
      <c r="BR223" s="161"/>
      <c r="BS223" s="161"/>
      <c r="BT223" s="161"/>
      <c r="BU223" s="161"/>
      <c r="BV223" s="161"/>
      <c r="BW223" s="161"/>
      <c r="BX223" s="161"/>
      <c r="BY223" s="161"/>
      <c r="BZ223" s="161"/>
      <c r="CA223" s="161"/>
      <c r="CB223" s="161"/>
      <c r="CC223" s="161"/>
      <c r="CD223" s="161"/>
      <c r="CE223" s="161"/>
      <c r="CF223" s="161"/>
      <c r="CG223" s="161"/>
      <c r="CH223" s="161"/>
      <c r="CI223" s="161"/>
      <c r="CJ223" s="161"/>
      <c r="CK223" s="161"/>
      <c r="CL223" s="161"/>
      <c r="CM223" s="161"/>
      <c r="CN223" s="161"/>
      <c r="CO223" s="161"/>
      <c r="CP223" s="161"/>
      <c r="CQ223" s="161"/>
      <c r="CR223" s="161"/>
      <c r="CS223" s="161"/>
      <c r="CT223" s="161"/>
      <c r="CU223" s="161"/>
      <c r="CV223" s="161"/>
      <c r="CW223" s="161"/>
      <c r="CX223" s="161"/>
      <c r="CY223" s="161"/>
      <c r="CZ223" s="161"/>
      <c r="DA223" s="161"/>
      <c r="DB223" s="161"/>
      <c r="DC223" s="161"/>
      <c r="DD223" s="161"/>
      <c r="DE223" s="161"/>
      <c r="DF223" s="161"/>
      <c r="DG223" s="161"/>
      <c r="DH223" s="161"/>
      <c r="DI223" s="161"/>
      <c r="DJ223" s="161"/>
      <c r="DK223" s="161"/>
      <c r="DL223" s="161"/>
      <c r="DM223" s="161"/>
      <c r="DN223" s="161"/>
      <c r="DO223" s="161"/>
      <c r="DP223" s="161"/>
      <c r="DQ223" s="161"/>
      <c r="DR223" s="161"/>
      <c r="DS223" s="161"/>
      <c r="DT223" s="161"/>
      <c r="DU223" s="161"/>
      <c r="DV223" s="161"/>
      <c r="DW223" s="161"/>
      <c r="DX223" s="161"/>
      <c r="DY223" s="161"/>
      <c r="DZ223" s="161"/>
      <c r="EA223" s="161"/>
      <c r="EB223" s="161"/>
      <c r="EC223" s="161"/>
      <c r="ED223" s="161"/>
      <c r="EE223" s="161"/>
      <c r="EF223" s="161"/>
      <c r="EG223" s="161"/>
      <c r="EH223" s="161"/>
      <c r="EI223" s="161"/>
      <c r="EJ223" s="161"/>
      <c r="EK223" s="161"/>
      <c r="EL223" s="161"/>
      <c r="EM223" s="161"/>
      <c r="EN223" s="161"/>
      <c r="EO223" s="161"/>
      <c r="EP223" s="161"/>
      <c r="EQ223" s="161"/>
      <c r="ER223" s="161"/>
      <c r="ES223" s="161"/>
      <c r="EU223" s="202"/>
      <c r="EV223" s="153"/>
      <c r="EW223" s="153"/>
      <c r="EX223" s="154" t="s">
        <v>354</v>
      </c>
      <c r="EY223" s="393" t="e">
        <f ca="1">XIRR(OFFSET(FA223,,,1,Timing_Reversion_Month+1),OFFSET($FA$23,,,1,Timing_Reversion_Month+1))</f>
        <v>#NUM!</v>
      </c>
      <c r="EZ223" s="154"/>
      <c r="FA223" s="386">
        <f t="shared" ref="FA223:GF223" ca="1" si="1031">+-FA204+FA220+FA221</f>
        <v>0</v>
      </c>
      <c r="FB223" s="386">
        <f t="shared" ca="1" si="1031"/>
        <v>0</v>
      </c>
      <c r="FC223" s="386">
        <f t="shared" ca="1" si="1031"/>
        <v>0</v>
      </c>
      <c r="FD223" s="386">
        <f t="shared" ca="1" si="1031"/>
        <v>0</v>
      </c>
      <c r="FE223" s="386">
        <f t="shared" ca="1" si="1031"/>
        <v>0</v>
      </c>
      <c r="FF223" s="386">
        <f t="shared" ca="1" si="1031"/>
        <v>0</v>
      </c>
      <c r="FG223" s="386">
        <f t="shared" ca="1" si="1031"/>
        <v>0</v>
      </c>
      <c r="FH223" s="386">
        <f t="shared" ca="1" si="1031"/>
        <v>0</v>
      </c>
      <c r="FI223" s="386">
        <f t="shared" ca="1" si="1031"/>
        <v>0</v>
      </c>
      <c r="FJ223" s="386">
        <f t="shared" ca="1" si="1031"/>
        <v>0</v>
      </c>
      <c r="FK223" s="386">
        <f t="shared" ca="1" si="1031"/>
        <v>0</v>
      </c>
      <c r="FL223" s="386">
        <f t="shared" ca="1" si="1031"/>
        <v>0</v>
      </c>
      <c r="FM223" s="386">
        <f t="shared" ca="1" si="1031"/>
        <v>0</v>
      </c>
      <c r="FN223" s="386">
        <f t="shared" ca="1" si="1031"/>
        <v>0</v>
      </c>
      <c r="FO223" s="386">
        <f t="shared" ca="1" si="1031"/>
        <v>0</v>
      </c>
      <c r="FP223" s="386">
        <f t="shared" ca="1" si="1031"/>
        <v>0</v>
      </c>
      <c r="FQ223" s="386">
        <f t="shared" ca="1" si="1031"/>
        <v>0</v>
      </c>
      <c r="FR223" s="386">
        <f t="shared" ca="1" si="1031"/>
        <v>0</v>
      </c>
      <c r="FS223" s="386">
        <f t="shared" ca="1" si="1031"/>
        <v>0</v>
      </c>
      <c r="FT223" s="386">
        <f t="shared" ca="1" si="1031"/>
        <v>0</v>
      </c>
      <c r="FU223" s="386">
        <f t="shared" ca="1" si="1031"/>
        <v>0</v>
      </c>
      <c r="FV223" s="386">
        <f t="shared" ca="1" si="1031"/>
        <v>0</v>
      </c>
      <c r="FW223" s="386">
        <f t="shared" ca="1" si="1031"/>
        <v>0</v>
      </c>
      <c r="FX223" s="386">
        <f t="shared" ca="1" si="1031"/>
        <v>0</v>
      </c>
      <c r="FY223" s="386">
        <f t="shared" ca="1" si="1031"/>
        <v>0</v>
      </c>
      <c r="FZ223" s="386">
        <f t="shared" ca="1" si="1031"/>
        <v>0</v>
      </c>
      <c r="GA223" s="386">
        <f t="shared" ca="1" si="1031"/>
        <v>0</v>
      </c>
      <c r="GB223" s="386">
        <f t="shared" ca="1" si="1031"/>
        <v>0</v>
      </c>
      <c r="GC223" s="386">
        <f t="shared" ca="1" si="1031"/>
        <v>0</v>
      </c>
      <c r="GD223" s="386">
        <f t="shared" ca="1" si="1031"/>
        <v>0</v>
      </c>
      <c r="GE223" s="386">
        <f t="shared" ca="1" si="1031"/>
        <v>0</v>
      </c>
      <c r="GF223" s="386">
        <f t="shared" ca="1" si="1031"/>
        <v>0</v>
      </c>
      <c r="GG223" s="386">
        <f t="shared" ref="GG223:HL223" ca="1" si="1032">+-GG204+GG220+GG221</f>
        <v>0</v>
      </c>
      <c r="GH223" s="386">
        <f t="shared" ca="1" si="1032"/>
        <v>0</v>
      </c>
      <c r="GI223" s="386">
        <f t="shared" ca="1" si="1032"/>
        <v>0</v>
      </c>
      <c r="GJ223" s="386">
        <f t="shared" ca="1" si="1032"/>
        <v>0</v>
      </c>
      <c r="GK223" s="386">
        <f t="shared" ca="1" si="1032"/>
        <v>0</v>
      </c>
      <c r="GL223" s="386">
        <f t="shared" ca="1" si="1032"/>
        <v>0</v>
      </c>
      <c r="GM223" s="386">
        <f t="shared" ca="1" si="1032"/>
        <v>0</v>
      </c>
      <c r="GN223" s="386">
        <f t="shared" ca="1" si="1032"/>
        <v>0</v>
      </c>
      <c r="GO223" s="386">
        <f t="shared" ca="1" si="1032"/>
        <v>0</v>
      </c>
      <c r="GP223" s="386">
        <f t="shared" ca="1" si="1032"/>
        <v>0</v>
      </c>
      <c r="GQ223" s="386">
        <f t="shared" ca="1" si="1032"/>
        <v>0</v>
      </c>
      <c r="GR223" s="386">
        <f t="shared" ca="1" si="1032"/>
        <v>0</v>
      </c>
      <c r="GS223" s="386">
        <f t="shared" ca="1" si="1032"/>
        <v>0</v>
      </c>
      <c r="GT223" s="386">
        <f t="shared" ca="1" si="1032"/>
        <v>0</v>
      </c>
      <c r="GU223" s="386">
        <f t="shared" ca="1" si="1032"/>
        <v>0</v>
      </c>
      <c r="GV223" s="386">
        <f t="shared" ca="1" si="1032"/>
        <v>0</v>
      </c>
      <c r="GW223" s="386">
        <f t="shared" ca="1" si="1032"/>
        <v>0</v>
      </c>
      <c r="GX223" s="386">
        <f t="shared" ca="1" si="1032"/>
        <v>0</v>
      </c>
      <c r="GY223" s="386">
        <f t="shared" ca="1" si="1032"/>
        <v>0</v>
      </c>
      <c r="GZ223" s="386">
        <f t="shared" ca="1" si="1032"/>
        <v>0</v>
      </c>
      <c r="HA223" s="386">
        <f t="shared" ca="1" si="1032"/>
        <v>0</v>
      </c>
      <c r="HB223" s="386">
        <f t="shared" ca="1" si="1032"/>
        <v>0</v>
      </c>
      <c r="HC223" s="386">
        <f t="shared" ca="1" si="1032"/>
        <v>0</v>
      </c>
      <c r="HD223" s="386">
        <f t="shared" ca="1" si="1032"/>
        <v>0</v>
      </c>
      <c r="HE223" s="386">
        <f t="shared" ca="1" si="1032"/>
        <v>0</v>
      </c>
      <c r="HF223" s="386">
        <f t="shared" ca="1" si="1032"/>
        <v>0</v>
      </c>
      <c r="HG223" s="386">
        <f t="shared" ca="1" si="1032"/>
        <v>0</v>
      </c>
      <c r="HH223" s="386">
        <f t="shared" ca="1" si="1032"/>
        <v>0</v>
      </c>
      <c r="HI223" s="386">
        <f t="shared" ca="1" si="1032"/>
        <v>0</v>
      </c>
      <c r="HJ223" s="386">
        <f t="shared" ca="1" si="1032"/>
        <v>0</v>
      </c>
      <c r="HK223" s="386">
        <f t="shared" ca="1" si="1032"/>
        <v>0</v>
      </c>
      <c r="HL223" s="386">
        <f t="shared" ca="1" si="1032"/>
        <v>0</v>
      </c>
      <c r="HM223" s="386">
        <f t="shared" ref="HM223:IR223" ca="1" si="1033">+-HM204+HM220+HM221</f>
        <v>0</v>
      </c>
      <c r="HN223" s="386">
        <f t="shared" ca="1" si="1033"/>
        <v>0</v>
      </c>
      <c r="HO223" s="386">
        <f t="shared" ca="1" si="1033"/>
        <v>0</v>
      </c>
      <c r="HP223" s="386">
        <f t="shared" ca="1" si="1033"/>
        <v>0</v>
      </c>
      <c r="HQ223" s="386">
        <f t="shared" ca="1" si="1033"/>
        <v>0</v>
      </c>
      <c r="HR223" s="386">
        <f t="shared" ca="1" si="1033"/>
        <v>0</v>
      </c>
      <c r="HS223" s="386">
        <f t="shared" ca="1" si="1033"/>
        <v>0</v>
      </c>
      <c r="HT223" s="386">
        <f t="shared" ca="1" si="1033"/>
        <v>0</v>
      </c>
      <c r="HU223" s="386">
        <f t="shared" ca="1" si="1033"/>
        <v>0</v>
      </c>
      <c r="HV223" s="386">
        <f t="shared" ca="1" si="1033"/>
        <v>0</v>
      </c>
      <c r="HW223" s="386">
        <f t="shared" ca="1" si="1033"/>
        <v>0</v>
      </c>
      <c r="HX223" s="386">
        <f t="shared" ca="1" si="1033"/>
        <v>0</v>
      </c>
      <c r="HY223" s="386">
        <f t="shared" ca="1" si="1033"/>
        <v>0</v>
      </c>
      <c r="HZ223" s="386">
        <f t="shared" ca="1" si="1033"/>
        <v>0</v>
      </c>
      <c r="IA223" s="386">
        <f t="shared" ca="1" si="1033"/>
        <v>0</v>
      </c>
      <c r="IB223" s="386">
        <f t="shared" ca="1" si="1033"/>
        <v>0</v>
      </c>
      <c r="IC223" s="386">
        <f t="shared" ca="1" si="1033"/>
        <v>0</v>
      </c>
      <c r="ID223" s="386">
        <f t="shared" ca="1" si="1033"/>
        <v>0</v>
      </c>
      <c r="IE223" s="386">
        <f t="shared" ca="1" si="1033"/>
        <v>0</v>
      </c>
      <c r="IF223" s="386">
        <f t="shared" ca="1" si="1033"/>
        <v>0</v>
      </c>
      <c r="IG223" s="386">
        <f t="shared" ca="1" si="1033"/>
        <v>0</v>
      </c>
      <c r="IH223" s="386">
        <f t="shared" ca="1" si="1033"/>
        <v>0</v>
      </c>
      <c r="II223" s="386">
        <f t="shared" ca="1" si="1033"/>
        <v>0</v>
      </c>
      <c r="IJ223" s="386">
        <f t="shared" ca="1" si="1033"/>
        <v>0</v>
      </c>
      <c r="IK223" s="386">
        <f t="shared" ca="1" si="1033"/>
        <v>0</v>
      </c>
      <c r="IL223" s="386">
        <f t="shared" ca="1" si="1033"/>
        <v>0</v>
      </c>
      <c r="IM223" s="386">
        <f t="shared" ca="1" si="1033"/>
        <v>0</v>
      </c>
      <c r="IN223" s="386">
        <f t="shared" ca="1" si="1033"/>
        <v>0</v>
      </c>
      <c r="IO223" s="386">
        <f t="shared" ca="1" si="1033"/>
        <v>0</v>
      </c>
      <c r="IP223" s="386">
        <f t="shared" ca="1" si="1033"/>
        <v>0</v>
      </c>
      <c r="IQ223" s="386">
        <f t="shared" ca="1" si="1033"/>
        <v>0</v>
      </c>
      <c r="IR223" s="386">
        <f t="shared" ca="1" si="1033"/>
        <v>0</v>
      </c>
      <c r="IS223" s="386">
        <f t="shared" ref="IS223:KC223" ca="1" si="1034">+-IS204+IS220+IS221</f>
        <v>0</v>
      </c>
      <c r="IT223" s="386">
        <f t="shared" ca="1" si="1034"/>
        <v>0</v>
      </c>
      <c r="IU223" s="386">
        <f t="shared" ca="1" si="1034"/>
        <v>0</v>
      </c>
      <c r="IV223" s="386">
        <f t="shared" ca="1" si="1034"/>
        <v>0</v>
      </c>
      <c r="IW223" s="386">
        <f t="shared" ca="1" si="1034"/>
        <v>0</v>
      </c>
      <c r="IX223" s="386">
        <f t="shared" ca="1" si="1034"/>
        <v>0</v>
      </c>
      <c r="IY223" s="386">
        <f t="shared" ca="1" si="1034"/>
        <v>0</v>
      </c>
      <c r="IZ223" s="386">
        <f t="shared" ca="1" si="1034"/>
        <v>0</v>
      </c>
      <c r="JA223" s="386">
        <f t="shared" ca="1" si="1034"/>
        <v>0</v>
      </c>
      <c r="JB223" s="386">
        <f t="shared" ca="1" si="1034"/>
        <v>0</v>
      </c>
      <c r="JC223" s="386">
        <f t="shared" ca="1" si="1034"/>
        <v>0</v>
      </c>
      <c r="JD223" s="386">
        <f t="shared" ca="1" si="1034"/>
        <v>0</v>
      </c>
      <c r="JE223" s="386">
        <f t="shared" ca="1" si="1034"/>
        <v>0</v>
      </c>
      <c r="JF223" s="386">
        <f t="shared" ca="1" si="1034"/>
        <v>0</v>
      </c>
      <c r="JG223" s="386">
        <f t="shared" ca="1" si="1034"/>
        <v>0</v>
      </c>
      <c r="JH223" s="386">
        <f t="shared" ca="1" si="1034"/>
        <v>0</v>
      </c>
      <c r="JI223" s="386">
        <f t="shared" ca="1" si="1034"/>
        <v>0</v>
      </c>
      <c r="JJ223" s="386">
        <f t="shared" ca="1" si="1034"/>
        <v>0</v>
      </c>
      <c r="JK223" s="386">
        <f t="shared" ca="1" si="1034"/>
        <v>0</v>
      </c>
      <c r="JL223" s="386">
        <f t="shared" ca="1" si="1034"/>
        <v>0</v>
      </c>
      <c r="JM223" s="386">
        <f t="shared" ca="1" si="1034"/>
        <v>0</v>
      </c>
      <c r="JN223" s="386">
        <f t="shared" ca="1" si="1034"/>
        <v>0</v>
      </c>
      <c r="JO223" s="386">
        <f t="shared" ca="1" si="1034"/>
        <v>0</v>
      </c>
      <c r="JP223" s="386">
        <f t="shared" ca="1" si="1034"/>
        <v>0</v>
      </c>
      <c r="JQ223" s="386">
        <f t="shared" ca="1" si="1034"/>
        <v>0</v>
      </c>
      <c r="JR223" s="386">
        <f t="shared" ca="1" si="1034"/>
        <v>0</v>
      </c>
      <c r="JS223" s="386">
        <f t="shared" ca="1" si="1034"/>
        <v>0</v>
      </c>
      <c r="JT223" s="386">
        <f t="shared" ca="1" si="1034"/>
        <v>0</v>
      </c>
      <c r="JU223" s="386">
        <f t="shared" ca="1" si="1034"/>
        <v>0</v>
      </c>
      <c r="JV223" s="386">
        <f t="shared" ca="1" si="1034"/>
        <v>0</v>
      </c>
      <c r="JW223" s="386">
        <f t="shared" ca="1" si="1034"/>
        <v>0</v>
      </c>
      <c r="JX223" s="386">
        <f t="shared" ca="1" si="1034"/>
        <v>0</v>
      </c>
      <c r="JY223" s="386">
        <f t="shared" ca="1" si="1034"/>
        <v>0</v>
      </c>
      <c r="JZ223" s="386">
        <f t="shared" ca="1" si="1034"/>
        <v>0</v>
      </c>
      <c r="KA223" s="386">
        <f t="shared" ca="1" si="1034"/>
        <v>0</v>
      </c>
      <c r="KB223" s="386">
        <f t="shared" ca="1" si="1034"/>
        <v>0</v>
      </c>
      <c r="KC223" s="386">
        <f t="shared" ca="1" si="1034"/>
        <v>0</v>
      </c>
    </row>
    <row r="224" spans="1:289" x14ac:dyDescent="0.25">
      <c r="A224" s="150">
        <v>0</v>
      </c>
      <c r="B224" s="170" t="s">
        <v>331</v>
      </c>
      <c r="C224" s="171" t="s">
        <v>330</v>
      </c>
      <c r="D224" s="210"/>
      <c r="E224" s="196"/>
      <c r="F224" s="196" t="s">
        <v>356</v>
      </c>
      <c r="G224" s="404" t="s">
        <v>585</v>
      </c>
      <c r="H224" s="196" t="str">
        <f>IF(G224="No","","Dev. Fee Amount")</f>
        <v>Dev. Fee Amount</v>
      </c>
      <c r="I224" s="405">
        <f>IF(G224="No","",I48)</f>
        <v>0</v>
      </c>
      <c r="Q224" s="161"/>
      <c r="R224" s="161"/>
      <c r="S224" s="161"/>
      <c r="T224" s="161"/>
      <c r="U224" s="161"/>
      <c r="V224" s="161"/>
      <c r="W224" s="161"/>
      <c r="X224" s="161"/>
      <c r="Y224" s="161"/>
      <c r="Z224" s="161"/>
      <c r="AA224" s="161"/>
      <c r="AB224" s="161"/>
      <c r="AC224" s="161"/>
      <c r="AD224" s="161"/>
      <c r="AE224" s="161"/>
      <c r="AF224" s="161"/>
      <c r="AG224" s="161"/>
      <c r="AH224" s="161"/>
      <c r="AI224" s="161"/>
      <c r="AJ224" s="161"/>
      <c r="AK224" s="161"/>
      <c r="AL224" s="161"/>
      <c r="AM224" s="161"/>
      <c r="AN224" s="161"/>
      <c r="AO224" s="161"/>
      <c r="AP224" s="161"/>
      <c r="AQ224" s="161"/>
      <c r="AR224" s="161"/>
      <c r="AS224" s="161"/>
      <c r="AT224" s="161"/>
      <c r="AU224" s="161"/>
      <c r="AV224" s="161"/>
      <c r="AW224" s="161"/>
      <c r="AX224" s="161"/>
      <c r="AY224" s="161"/>
      <c r="AZ224" s="161"/>
      <c r="BA224" s="161"/>
      <c r="BB224" s="161"/>
      <c r="BC224" s="161"/>
      <c r="BD224" s="161"/>
      <c r="BE224" s="161"/>
      <c r="BF224" s="161"/>
      <c r="BG224" s="161"/>
      <c r="BH224" s="161"/>
      <c r="BI224" s="161"/>
      <c r="BJ224" s="161"/>
      <c r="BK224" s="161"/>
      <c r="BL224" s="161"/>
      <c r="BM224" s="161"/>
      <c r="BN224" s="161"/>
      <c r="BO224" s="161"/>
      <c r="BP224" s="161"/>
      <c r="BQ224" s="161"/>
      <c r="BR224" s="161"/>
      <c r="BS224" s="161"/>
      <c r="BT224" s="161"/>
      <c r="BU224" s="161"/>
      <c r="BV224" s="161"/>
      <c r="BW224" s="161"/>
      <c r="BX224" s="161"/>
      <c r="BY224" s="161"/>
      <c r="BZ224" s="161"/>
      <c r="CA224" s="161"/>
      <c r="CB224" s="161"/>
      <c r="CC224" s="161"/>
      <c r="CD224" s="161"/>
      <c r="CE224" s="161"/>
      <c r="CF224" s="161"/>
      <c r="CG224" s="161"/>
      <c r="CH224" s="161"/>
      <c r="CI224" s="161"/>
      <c r="CJ224" s="161"/>
      <c r="CK224" s="161"/>
      <c r="CL224" s="161"/>
      <c r="CM224" s="161"/>
      <c r="CN224" s="161"/>
      <c r="CO224" s="161"/>
      <c r="CP224" s="161"/>
      <c r="CQ224" s="161"/>
      <c r="CR224" s="161"/>
      <c r="CS224" s="161"/>
      <c r="CT224" s="161"/>
      <c r="CU224" s="161"/>
      <c r="CV224" s="161"/>
      <c r="CW224" s="161"/>
      <c r="CX224" s="161"/>
      <c r="CY224" s="161"/>
      <c r="CZ224" s="161"/>
      <c r="DA224" s="161"/>
      <c r="DB224" s="161"/>
      <c r="DC224" s="161"/>
      <c r="DD224" s="161"/>
      <c r="DE224" s="161"/>
      <c r="DF224" s="161"/>
      <c r="DG224" s="161"/>
      <c r="DH224" s="161"/>
      <c r="DI224" s="161"/>
      <c r="DJ224" s="161"/>
      <c r="DK224" s="161"/>
      <c r="DL224" s="161"/>
      <c r="DM224" s="161"/>
      <c r="DN224" s="161"/>
      <c r="DO224" s="161"/>
      <c r="DP224" s="161"/>
      <c r="DQ224" s="161"/>
      <c r="DR224" s="161"/>
      <c r="DS224" s="161"/>
      <c r="DT224" s="161"/>
      <c r="DU224" s="161"/>
      <c r="DV224" s="161"/>
      <c r="DW224" s="161"/>
      <c r="DX224" s="161"/>
      <c r="DY224" s="161"/>
      <c r="DZ224" s="161"/>
      <c r="EA224" s="161"/>
      <c r="EB224" s="161"/>
      <c r="EC224" s="161"/>
      <c r="ED224" s="161"/>
      <c r="EE224" s="161"/>
      <c r="EF224" s="161"/>
      <c r="EG224" s="161"/>
      <c r="EH224" s="161"/>
      <c r="EI224" s="161"/>
      <c r="EJ224" s="161"/>
      <c r="EK224" s="161"/>
      <c r="EL224" s="161"/>
      <c r="EM224" s="161"/>
      <c r="EN224" s="161"/>
      <c r="EO224" s="161"/>
      <c r="EP224" s="161"/>
      <c r="EQ224" s="161"/>
      <c r="ER224" s="161"/>
      <c r="ES224" s="161"/>
      <c r="EU224" s="202"/>
      <c r="EV224" s="153"/>
      <c r="EW224" s="153"/>
      <c r="EX224" s="153"/>
      <c r="EY224" s="154" t="s">
        <v>372</v>
      </c>
      <c r="EZ224" s="154"/>
      <c r="FA224" s="388">
        <f t="shared" ref="FA224:GF224" ca="1" si="1035">(FA$201&lt;=Timing_Reversion_Month)*IFERROR((FA221/$I$238*$H$238),0)</f>
        <v>0</v>
      </c>
      <c r="FB224" s="388">
        <f t="shared" ca="1" si="1035"/>
        <v>0</v>
      </c>
      <c r="FC224" s="388">
        <f t="shared" ca="1" si="1035"/>
        <v>0</v>
      </c>
      <c r="FD224" s="388">
        <f t="shared" ca="1" si="1035"/>
        <v>0</v>
      </c>
      <c r="FE224" s="388">
        <f t="shared" ca="1" si="1035"/>
        <v>0</v>
      </c>
      <c r="FF224" s="388">
        <f t="shared" ca="1" si="1035"/>
        <v>0</v>
      </c>
      <c r="FG224" s="388">
        <f t="shared" ca="1" si="1035"/>
        <v>0</v>
      </c>
      <c r="FH224" s="388">
        <f t="shared" ca="1" si="1035"/>
        <v>0</v>
      </c>
      <c r="FI224" s="388">
        <f t="shared" ca="1" si="1035"/>
        <v>0</v>
      </c>
      <c r="FJ224" s="388">
        <f t="shared" ca="1" si="1035"/>
        <v>0</v>
      </c>
      <c r="FK224" s="388">
        <f t="shared" ca="1" si="1035"/>
        <v>0</v>
      </c>
      <c r="FL224" s="388">
        <f t="shared" ca="1" si="1035"/>
        <v>0</v>
      </c>
      <c r="FM224" s="388">
        <f t="shared" ca="1" si="1035"/>
        <v>0</v>
      </c>
      <c r="FN224" s="388">
        <f t="shared" ca="1" si="1035"/>
        <v>0</v>
      </c>
      <c r="FO224" s="388">
        <f t="shared" ca="1" si="1035"/>
        <v>0</v>
      </c>
      <c r="FP224" s="388">
        <f t="shared" ca="1" si="1035"/>
        <v>0</v>
      </c>
      <c r="FQ224" s="388">
        <f t="shared" ca="1" si="1035"/>
        <v>0</v>
      </c>
      <c r="FR224" s="388">
        <f t="shared" ca="1" si="1035"/>
        <v>0</v>
      </c>
      <c r="FS224" s="388">
        <f t="shared" ca="1" si="1035"/>
        <v>0</v>
      </c>
      <c r="FT224" s="388">
        <f t="shared" ca="1" si="1035"/>
        <v>0</v>
      </c>
      <c r="FU224" s="388">
        <f t="shared" ca="1" si="1035"/>
        <v>0</v>
      </c>
      <c r="FV224" s="388">
        <f t="shared" ca="1" si="1035"/>
        <v>0</v>
      </c>
      <c r="FW224" s="388">
        <f t="shared" ca="1" si="1035"/>
        <v>0</v>
      </c>
      <c r="FX224" s="388">
        <f t="shared" ca="1" si="1035"/>
        <v>0</v>
      </c>
      <c r="FY224" s="388">
        <f t="shared" ca="1" si="1035"/>
        <v>0</v>
      </c>
      <c r="FZ224" s="388">
        <f t="shared" ca="1" si="1035"/>
        <v>0</v>
      </c>
      <c r="GA224" s="388">
        <f t="shared" ca="1" si="1035"/>
        <v>0</v>
      </c>
      <c r="GB224" s="388">
        <f t="shared" ca="1" si="1035"/>
        <v>0</v>
      </c>
      <c r="GC224" s="388">
        <f t="shared" ca="1" si="1035"/>
        <v>0</v>
      </c>
      <c r="GD224" s="388">
        <f t="shared" ca="1" si="1035"/>
        <v>0</v>
      </c>
      <c r="GE224" s="388">
        <f t="shared" ca="1" si="1035"/>
        <v>0</v>
      </c>
      <c r="GF224" s="388">
        <f t="shared" ca="1" si="1035"/>
        <v>0</v>
      </c>
      <c r="GG224" s="388">
        <f t="shared" ref="GG224:HL224" ca="1" si="1036">(GG$201&lt;=Timing_Reversion_Month)*IFERROR((GG221/$I$238*$H$238),0)</f>
        <v>0</v>
      </c>
      <c r="GH224" s="388">
        <f t="shared" ca="1" si="1036"/>
        <v>0</v>
      </c>
      <c r="GI224" s="388">
        <f t="shared" ca="1" si="1036"/>
        <v>0</v>
      </c>
      <c r="GJ224" s="388">
        <f t="shared" ca="1" si="1036"/>
        <v>0</v>
      </c>
      <c r="GK224" s="388">
        <f t="shared" ca="1" si="1036"/>
        <v>0</v>
      </c>
      <c r="GL224" s="388">
        <f t="shared" ca="1" si="1036"/>
        <v>0</v>
      </c>
      <c r="GM224" s="388">
        <f t="shared" ca="1" si="1036"/>
        <v>0</v>
      </c>
      <c r="GN224" s="388">
        <f t="shared" ca="1" si="1036"/>
        <v>0</v>
      </c>
      <c r="GO224" s="388">
        <f t="shared" ca="1" si="1036"/>
        <v>0</v>
      </c>
      <c r="GP224" s="388">
        <f t="shared" ca="1" si="1036"/>
        <v>0</v>
      </c>
      <c r="GQ224" s="388">
        <f t="shared" ca="1" si="1036"/>
        <v>0</v>
      </c>
      <c r="GR224" s="388">
        <f t="shared" ca="1" si="1036"/>
        <v>0</v>
      </c>
      <c r="GS224" s="388">
        <f t="shared" ca="1" si="1036"/>
        <v>0</v>
      </c>
      <c r="GT224" s="388">
        <f t="shared" ca="1" si="1036"/>
        <v>0</v>
      </c>
      <c r="GU224" s="388">
        <f t="shared" ca="1" si="1036"/>
        <v>0</v>
      </c>
      <c r="GV224" s="388">
        <f t="shared" ca="1" si="1036"/>
        <v>0</v>
      </c>
      <c r="GW224" s="388">
        <f t="shared" ca="1" si="1036"/>
        <v>0</v>
      </c>
      <c r="GX224" s="388">
        <f t="shared" ca="1" si="1036"/>
        <v>0</v>
      </c>
      <c r="GY224" s="388">
        <f t="shared" ca="1" si="1036"/>
        <v>0</v>
      </c>
      <c r="GZ224" s="388">
        <f t="shared" ca="1" si="1036"/>
        <v>0</v>
      </c>
      <c r="HA224" s="388">
        <f t="shared" ca="1" si="1036"/>
        <v>0</v>
      </c>
      <c r="HB224" s="388">
        <f t="shared" ca="1" si="1036"/>
        <v>0</v>
      </c>
      <c r="HC224" s="388">
        <f t="shared" ca="1" si="1036"/>
        <v>0</v>
      </c>
      <c r="HD224" s="388">
        <f t="shared" ca="1" si="1036"/>
        <v>0</v>
      </c>
      <c r="HE224" s="388">
        <f t="shared" ca="1" si="1036"/>
        <v>0</v>
      </c>
      <c r="HF224" s="388">
        <f t="shared" ca="1" si="1036"/>
        <v>0</v>
      </c>
      <c r="HG224" s="388">
        <f t="shared" ca="1" si="1036"/>
        <v>0</v>
      </c>
      <c r="HH224" s="388">
        <f t="shared" ca="1" si="1036"/>
        <v>0</v>
      </c>
      <c r="HI224" s="388">
        <f t="shared" ca="1" si="1036"/>
        <v>0</v>
      </c>
      <c r="HJ224" s="388">
        <f t="shared" ca="1" si="1036"/>
        <v>0</v>
      </c>
      <c r="HK224" s="388">
        <f t="shared" ca="1" si="1036"/>
        <v>0</v>
      </c>
      <c r="HL224" s="388">
        <f t="shared" ca="1" si="1036"/>
        <v>0</v>
      </c>
      <c r="HM224" s="388">
        <f t="shared" ref="HM224:IR224" ca="1" si="1037">(HM$201&lt;=Timing_Reversion_Month)*IFERROR((HM221/$I$238*$H$238),0)</f>
        <v>0</v>
      </c>
      <c r="HN224" s="388">
        <f t="shared" ca="1" si="1037"/>
        <v>0</v>
      </c>
      <c r="HO224" s="388">
        <f t="shared" ca="1" si="1037"/>
        <v>0</v>
      </c>
      <c r="HP224" s="388">
        <f t="shared" ca="1" si="1037"/>
        <v>0</v>
      </c>
      <c r="HQ224" s="388">
        <f t="shared" ca="1" si="1037"/>
        <v>0</v>
      </c>
      <c r="HR224" s="388">
        <f t="shared" ca="1" si="1037"/>
        <v>0</v>
      </c>
      <c r="HS224" s="388">
        <f t="shared" ca="1" si="1037"/>
        <v>0</v>
      </c>
      <c r="HT224" s="388">
        <f t="shared" ca="1" si="1037"/>
        <v>0</v>
      </c>
      <c r="HU224" s="388">
        <f t="shared" ca="1" si="1037"/>
        <v>0</v>
      </c>
      <c r="HV224" s="388">
        <f t="shared" ca="1" si="1037"/>
        <v>0</v>
      </c>
      <c r="HW224" s="388">
        <f t="shared" ca="1" si="1037"/>
        <v>0</v>
      </c>
      <c r="HX224" s="388">
        <f t="shared" ca="1" si="1037"/>
        <v>0</v>
      </c>
      <c r="HY224" s="388">
        <f t="shared" ca="1" si="1037"/>
        <v>0</v>
      </c>
      <c r="HZ224" s="388">
        <f t="shared" ca="1" si="1037"/>
        <v>0</v>
      </c>
      <c r="IA224" s="388">
        <f t="shared" ca="1" si="1037"/>
        <v>0</v>
      </c>
      <c r="IB224" s="388">
        <f t="shared" ca="1" si="1037"/>
        <v>0</v>
      </c>
      <c r="IC224" s="388">
        <f t="shared" ca="1" si="1037"/>
        <v>0</v>
      </c>
      <c r="ID224" s="388">
        <f t="shared" ca="1" si="1037"/>
        <v>0</v>
      </c>
      <c r="IE224" s="388">
        <f t="shared" ca="1" si="1037"/>
        <v>0</v>
      </c>
      <c r="IF224" s="388">
        <f t="shared" ca="1" si="1037"/>
        <v>0</v>
      </c>
      <c r="IG224" s="388">
        <f t="shared" ca="1" si="1037"/>
        <v>0</v>
      </c>
      <c r="IH224" s="388">
        <f t="shared" ca="1" si="1037"/>
        <v>0</v>
      </c>
      <c r="II224" s="388">
        <f t="shared" ca="1" si="1037"/>
        <v>0</v>
      </c>
      <c r="IJ224" s="388">
        <f t="shared" ca="1" si="1037"/>
        <v>0</v>
      </c>
      <c r="IK224" s="388">
        <f t="shared" ca="1" si="1037"/>
        <v>0</v>
      </c>
      <c r="IL224" s="388">
        <f t="shared" ca="1" si="1037"/>
        <v>0</v>
      </c>
      <c r="IM224" s="388">
        <f t="shared" ca="1" si="1037"/>
        <v>0</v>
      </c>
      <c r="IN224" s="388">
        <f t="shared" ca="1" si="1037"/>
        <v>0</v>
      </c>
      <c r="IO224" s="388">
        <f t="shared" ca="1" si="1037"/>
        <v>0</v>
      </c>
      <c r="IP224" s="388">
        <f t="shared" ca="1" si="1037"/>
        <v>0</v>
      </c>
      <c r="IQ224" s="388">
        <f t="shared" ca="1" si="1037"/>
        <v>0</v>
      </c>
      <c r="IR224" s="388">
        <f t="shared" ca="1" si="1037"/>
        <v>0</v>
      </c>
      <c r="IS224" s="388">
        <f t="shared" ref="IS224:KC224" ca="1" si="1038">(IS$201&lt;=Timing_Reversion_Month)*IFERROR((IS221/$I$238*$H$238),0)</f>
        <v>0</v>
      </c>
      <c r="IT224" s="388">
        <f t="shared" ca="1" si="1038"/>
        <v>0</v>
      </c>
      <c r="IU224" s="388">
        <f t="shared" ca="1" si="1038"/>
        <v>0</v>
      </c>
      <c r="IV224" s="388">
        <f t="shared" ca="1" si="1038"/>
        <v>0</v>
      </c>
      <c r="IW224" s="388">
        <f t="shared" ca="1" si="1038"/>
        <v>0</v>
      </c>
      <c r="IX224" s="388">
        <f t="shared" ca="1" si="1038"/>
        <v>0</v>
      </c>
      <c r="IY224" s="388">
        <f t="shared" ca="1" si="1038"/>
        <v>0</v>
      </c>
      <c r="IZ224" s="388">
        <f t="shared" ca="1" si="1038"/>
        <v>0</v>
      </c>
      <c r="JA224" s="388">
        <f t="shared" ca="1" si="1038"/>
        <v>0</v>
      </c>
      <c r="JB224" s="388">
        <f t="shared" ca="1" si="1038"/>
        <v>0</v>
      </c>
      <c r="JC224" s="388">
        <f t="shared" ca="1" si="1038"/>
        <v>0</v>
      </c>
      <c r="JD224" s="388">
        <f t="shared" ca="1" si="1038"/>
        <v>0</v>
      </c>
      <c r="JE224" s="388">
        <f t="shared" ca="1" si="1038"/>
        <v>0</v>
      </c>
      <c r="JF224" s="388">
        <f t="shared" ca="1" si="1038"/>
        <v>0</v>
      </c>
      <c r="JG224" s="388">
        <f t="shared" ca="1" si="1038"/>
        <v>0</v>
      </c>
      <c r="JH224" s="388">
        <f t="shared" ca="1" si="1038"/>
        <v>0</v>
      </c>
      <c r="JI224" s="388">
        <f t="shared" ca="1" si="1038"/>
        <v>0</v>
      </c>
      <c r="JJ224" s="388">
        <f t="shared" ca="1" si="1038"/>
        <v>0</v>
      </c>
      <c r="JK224" s="388">
        <f t="shared" ca="1" si="1038"/>
        <v>0</v>
      </c>
      <c r="JL224" s="388">
        <f t="shared" ca="1" si="1038"/>
        <v>0</v>
      </c>
      <c r="JM224" s="388">
        <f t="shared" ca="1" si="1038"/>
        <v>0</v>
      </c>
      <c r="JN224" s="388">
        <f t="shared" ca="1" si="1038"/>
        <v>0</v>
      </c>
      <c r="JO224" s="388">
        <f t="shared" ca="1" si="1038"/>
        <v>0</v>
      </c>
      <c r="JP224" s="388">
        <f t="shared" ca="1" si="1038"/>
        <v>0</v>
      </c>
      <c r="JQ224" s="388">
        <f t="shared" ca="1" si="1038"/>
        <v>0</v>
      </c>
      <c r="JR224" s="388">
        <f t="shared" ca="1" si="1038"/>
        <v>0</v>
      </c>
      <c r="JS224" s="388">
        <f t="shared" ca="1" si="1038"/>
        <v>0</v>
      </c>
      <c r="JT224" s="388">
        <f t="shared" ca="1" si="1038"/>
        <v>0</v>
      </c>
      <c r="JU224" s="388">
        <f t="shared" ca="1" si="1038"/>
        <v>0</v>
      </c>
      <c r="JV224" s="388">
        <f t="shared" ca="1" si="1038"/>
        <v>0</v>
      </c>
      <c r="JW224" s="388">
        <f t="shared" ca="1" si="1038"/>
        <v>0</v>
      </c>
      <c r="JX224" s="388">
        <f t="shared" ca="1" si="1038"/>
        <v>0</v>
      </c>
      <c r="JY224" s="388">
        <f t="shared" ca="1" si="1038"/>
        <v>0</v>
      </c>
      <c r="JZ224" s="388">
        <f t="shared" ca="1" si="1038"/>
        <v>0</v>
      </c>
      <c r="KA224" s="388">
        <f t="shared" ca="1" si="1038"/>
        <v>0</v>
      </c>
      <c r="KB224" s="388">
        <f t="shared" ca="1" si="1038"/>
        <v>0</v>
      </c>
      <c r="KC224" s="388">
        <f t="shared" ca="1" si="1038"/>
        <v>0</v>
      </c>
    </row>
    <row r="225" spans="2:289" x14ac:dyDescent="0.25">
      <c r="B225" s="196"/>
      <c r="C225" s="294" t="s">
        <v>784</v>
      </c>
      <c r="D225" s="406" t="s">
        <v>780</v>
      </c>
      <c r="E225" s="407">
        <f ca="1">IF(D225="% of Project Cost",I225*Project_Cost_Total/12,I225*Equity_Total/12)</f>
        <v>1346.201038201343</v>
      </c>
      <c r="F225" s="196" t="s">
        <v>781</v>
      </c>
      <c r="G225" s="374">
        <f>Stabilization_1st_Month</f>
        <v>14</v>
      </c>
      <c r="H225" s="196" t="s">
        <v>785</v>
      </c>
      <c r="I225" s="408">
        <v>4.0000000000000001E-3</v>
      </c>
      <c r="Q225" s="161"/>
      <c r="R225" s="161"/>
      <c r="S225" s="161"/>
      <c r="T225" s="161"/>
      <c r="U225" s="161"/>
      <c r="V225" s="161"/>
      <c r="W225" s="161"/>
      <c r="X225" s="161"/>
      <c r="Y225" s="161"/>
      <c r="Z225" s="161"/>
      <c r="AA225" s="161"/>
      <c r="AB225" s="161"/>
      <c r="AC225" s="161"/>
      <c r="AD225" s="161"/>
      <c r="AE225" s="161"/>
      <c r="AF225" s="161"/>
      <c r="AG225" s="161"/>
      <c r="AH225" s="161"/>
      <c r="AI225" s="161"/>
      <c r="AJ225" s="161"/>
      <c r="AK225" s="161"/>
      <c r="AL225" s="161"/>
      <c r="AM225" s="161"/>
      <c r="AN225" s="161"/>
      <c r="AO225" s="161"/>
      <c r="AP225" s="161"/>
      <c r="AQ225" s="161"/>
      <c r="AR225" s="161"/>
      <c r="AS225" s="161"/>
      <c r="AT225" s="161"/>
      <c r="AU225" s="161"/>
      <c r="AV225" s="161"/>
      <c r="AW225" s="161"/>
      <c r="AX225" s="161"/>
      <c r="AY225" s="161"/>
      <c r="AZ225" s="161"/>
      <c r="BA225" s="161"/>
      <c r="BB225" s="161"/>
      <c r="BC225" s="161"/>
      <c r="BD225" s="161"/>
      <c r="BE225" s="161"/>
      <c r="BF225" s="161"/>
      <c r="BG225" s="161"/>
      <c r="BH225" s="161"/>
      <c r="BI225" s="161"/>
      <c r="BJ225" s="161"/>
      <c r="BK225" s="161"/>
      <c r="BL225" s="161"/>
      <c r="BM225" s="161"/>
      <c r="BN225" s="161"/>
      <c r="BO225" s="161"/>
      <c r="BP225" s="161"/>
      <c r="BQ225" s="161"/>
      <c r="BR225" s="161"/>
      <c r="BS225" s="161"/>
      <c r="BT225" s="161"/>
      <c r="BU225" s="161"/>
      <c r="BV225" s="161"/>
      <c r="BW225" s="161"/>
      <c r="BX225" s="161"/>
      <c r="BY225" s="161"/>
      <c r="BZ225" s="161"/>
      <c r="CA225" s="161"/>
      <c r="CB225" s="161"/>
      <c r="CC225" s="161"/>
      <c r="CD225" s="161"/>
      <c r="CE225" s="161"/>
      <c r="CF225" s="161"/>
      <c r="CG225" s="161"/>
      <c r="CH225" s="161"/>
      <c r="CI225" s="161"/>
      <c r="CJ225" s="161"/>
      <c r="CK225" s="161"/>
      <c r="CL225" s="161"/>
      <c r="CM225" s="161"/>
      <c r="CN225" s="161"/>
      <c r="CO225" s="161"/>
      <c r="CP225" s="161"/>
      <c r="CQ225" s="161"/>
      <c r="CR225" s="161"/>
      <c r="CS225" s="161"/>
      <c r="CT225" s="161"/>
      <c r="CU225" s="161"/>
      <c r="CV225" s="161"/>
      <c r="CW225" s="161"/>
      <c r="CX225" s="161"/>
      <c r="CY225" s="161"/>
      <c r="CZ225" s="161"/>
      <c r="DA225" s="161"/>
      <c r="DB225" s="161"/>
      <c r="DC225" s="161"/>
      <c r="DD225" s="161"/>
      <c r="DE225" s="161"/>
      <c r="DF225" s="161"/>
      <c r="DG225" s="161"/>
      <c r="DH225" s="161"/>
      <c r="DI225" s="161"/>
      <c r="DJ225" s="161"/>
      <c r="DK225" s="161"/>
      <c r="DL225" s="161"/>
      <c r="DM225" s="161"/>
      <c r="DN225" s="161"/>
      <c r="DO225" s="161"/>
      <c r="DP225" s="161"/>
      <c r="DQ225" s="161"/>
      <c r="DR225" s="161"/>
      <c r="DS225" s="161"/>
      <c r="DT225" s="161"/>
      <c r="DU225" s="161"/>
      <c r="DV225" s="161"/>
      <c r="DW225" s="161"/>
      <c r="DX225" s="161"/>
      <c r="DY225" s="161"/>
      <c r="DZ225" s="161"/>
      <c r="EA225" s="161"/>
      <c r="EB225" s="161"/>
      <c r="EC225" s="161"/>
      <c r="ED225" s="161"/>
      <c r="EE225" s="161"/>
      <c r="EF225" s="161"/>
      <c r="EG225" s="161"/>
      <c r="EH225" s="161"/>
      <c r="EI225" s="161"/>
      <c r="EJ225" s="161"/>
      <c r="EK225" s="161"/>
      <c r="EL225" s="161"/>
      <c r="EM225" s="161"/>
      <c r="EN225" s="161"/>
      <c r="EO225" s="161"/>
      <c r="EP225" s="161"/>
      <c r="EQ225" s="161"/>
      <c r="ER225" s="161"/>
      <c r="ES225" s="161"/>
      <c r="EU225" s="202"/>
      <c r="EV225" s="153"/>
      <c r="EW225" s="153"/>
      <c r="EX225" s="153"/>
      <c r="EY225" s="154"/>
      <c r="EZ225" s="154"/>
      <c r="FA225" s="388"/>
      <c r="FB225" s="388"/>
      <c r="FC225" s="388"/>
      <c r="FD225" s="388"/>
      <c r="FE225" s="388"/>
      <c r="FF225" s="388"/>
      <c r="FG225" s="388"/>
      <c r="FH225" s="388"/>
      <c r="FI225" s="388"/>
      <c r="FJ225" s="388"/>
      <c r="FK225" s="388"/>
      <c r="FL225" s="388"/>
      <c r="FM225" s="388"/>
      <c r="FN225" s="388"/>
      <c r="FO225" s="388"/>
      <c r="FP225" s="388"/>
      <c r="FQ225" s="388"/>
      <c r="FR225" s="388"/>
      <c r="FS225" s="388"/>
      <c r="FT225" s="388"/>
      <c r="FU225" s="388"/>
      <c r="FV225" s="388"/>
      <c r="FW225" s="388"/>
      <c r="FX225" s="388"/>
      <c r="FY225" s="388"/>
      <c r="FZ225" s="388"/>
      <c r="GA225" s="388"/>
      <c r="GB225" s="388"/>
      <c r="GC225" s="388"/>
      <c r="GD225" s="388"/>
      <c r="GE225" s="388"/>
      <c r="GF225" s="388"/>
      <c r="GG225" s="388"/>
      <c r="GH225" s="388"/>
      <c r="GI225" s="388"/>
      <c r="GJ225" s="388"/>
      <c r="GK225" s="388"/>
      <c r="GL225" s="388"/>
      <c r="GM225" s="388"/>
      <c r="GN225" s="388"/>
      <c r="GO225" s="388"/>
      <c r="GP225" s="388"/>
      <c r="GQ225" s="388"/>
      <c r="GR225" s="388"/>
      <c r="GS225" s="388"/>
      <c r="GT225" s="388"/>
      <c r="GU225" s="388"/>
      <c r="GV225" s="388"/>
      <c r="GW225" s="388"/>
      <c r="GX225" s="388"/>
      <c r="GY225" s="388"/>
      <c r="GZ225" s="388"/>
      <c r="HA225" s="388"/>
      <c r="HB225" s="388"/>
      <c r="HC225" s="388"/>
      <c r="HD225" s="388"/>
      <c r="HE225" s="388"/>
      <c r="HF225" s="388"/>
      <c r="HG225" s="388"/>
      <c r="HH225" s="388"/>
      <c r="HI225" s="388"/>
      <c r="HJ225" s="388"/>
      <c r="HK225" s="388"/>
      <c r="HL225" s="388"/>
      <c r="HM225" s="388"/>
      <c r="HN225" s="388"/>
      <c r="HO225" s="388"/>
      <c r="HP225" s="388"/>
      <c r="HQ225" s="388"/>
      <c r="HR225" s="388"/>
      <c r="HS225" s="388"/>
      <c r="HT225" s="388"/>
      <c r="HU225" s="388"/>
      <c r="HV225" s="388"/>
      <c r="HW225" s="388"/>
      <c r="HX225" s="388"/>
      <c r="HY225" s="388"/>
      <c r="HZ225" s="388"/>
      <c r="IA225" s="388"/>
      <c r="IB225" s="388"/>
      <c r="IC225" s="388"/>
      <c r="ID225" s="388"/>
      <c r="IE225" s="388"/>
      <c r="IF225" s="388"/>
      <c r="IG225" s="388"/>
      <c r="IH225" s="388"/>
      <c r="II225" s="388"/>
      <c r="IJ225" s="388"/>
      <c r="IK225" s="388"/>
      <c r="IL225" s="388"/>
      <c r="IM225" s="388"/>
      <c r="IN225" s="388"/>
      <c r="IO225" s="388"/>
      <c r="IP225" s="388"/>
      <c r="IQ225" s="388"/>
      <c r="IR225" s="388"/>
      <c r="IS225" s="388"/>
      <c r="IT225" s="388"/>
      <c r="IU225" s="388"/>
      <c r="IV225" s="388"/>
      <c r="IW225" s="388"/>
      <c r="IX225" s="388"/>
      <c r="IY225" s="388"/>
      <c r="IZ225" s="388"/>
      <c r="JA225" s="388"/>
      <c r="JB225" s="388"/>
      <c r="JC225" s="388"/>
      <c r="JD225" s="388"/>
      <c r="JE225" s="388"/>
      <c r="JF225" s="388"/>
      <c r="JG225" s="388"/>
      <c r="JH225" s="388"/>
      <c r="JI225" s="388"/>
      <c r="JJ225" s="388"/>
      <c r="JK225" s="388"/>
      <c r="JL225" s="388"/>
      <c r="JM225" s="388"/>
      <c r="JN225" s="388"/>
      <c r="JO225" s="388"/>
      <c r="JP225" s="388"/>
      <c r="JQ225" s="388"/>
      <c r="JR225" s="388"/>
      <c r="JS225" s="388"/>
      <c r="JT225" s="388"/>
      <c r="JU225" s="388"/>
      <c r="JV225" s="388"/>
      <c r="JW225" s="388"/>
      <c r="JX225" s="388"/>
      <c r="JY225" s="388"/>
      <c r="JZ225" s="388"/>
      <c r="KA225" s="388"/>
      <c r="KB225" s="388"/>
      <c r="KC225" s="388"/>
    </row>
    <row r="226" spans="2:289" x14ac:dyDescent="0.25">
      <c r="B226" s="320" t="s">
        <v>389</v>
      </c>
      <c r="C226" s="196"/>
      <c r="D226" s="210" t="s">
        <v>390</v>
      </c>
      <c r="E226" s="210" t="s">
        <v>183</v>
      </c>
      <c r="F226" s="210"/>
      <c r="G226" s="210" t="s">
        <v>388</v>
      </c>
      <c r="H226" s="210" t="s">
        <v>850</v>
      </c>
      <c r="I226" s="210" t="s">
        <v>849</v>
      </c>
      <c r="Q226" s="161"/>
      <c r="R226" s="161"/>
      <c r="S226" s="161"/>
      <c r="T226" s="161"/>
      <c r="U226" s="161"/>
      <c r="V226" s="161"/>
      <c r="W226" s="161"/>
      <c r="X226" s="161"/>
      <c r="Y226" s="161"/>
      <c r="Z226" s="161"/>
      <c r="AA226" s="161"/>
      <c r="AB226" s="161"/>
      <c r="AC226" s="161"/>
      <c r="AD226" s="161"/>
      <c r="AE226" s="161"/>
      <c r="AF226" s="161"/>
      <c r="AG226" s="161"/>
      <c r="AH226" s="161"/>
      <c r="AI226" s="161"/>
      <c r="AJ226" s="161"/>
      <c r="AK226" s="161"/>
      <c r="AL226" s="161"/>
      <c r="AM226" s="161"/>
      <c r="AN226" s="161"/>
      <c r="AO226" s="161"/>
      <c r="AP226" s="161"/>
      <c r="AQ226" s="161"/>
      <c r="AR226" s="161"/>
      <c r="AS226" s="161"/>
      <c r="AT226" s="161"/>
      <c r="AU226" s="161"/>
      <c r="AV226" s="161"/>
      <c r="AW226" s="161"/>
      <c r="AX226" s="161"/>
      <c r="AY226" s="161"/>
      <c r="AZ226" s="161"/>
      <c r="BA226" s="161"/>
      <c r="BB226" s="161"/>
      <c r="BC226" s="161"/>
      <c r="BD226" s="161"/>
      <c r="BE226" s="161"/>
      <c r="BF226" s="161"/>
      <c r="BG226" s="161"/>
      <c r="BH226" s="161"/>
      <c r="BI226" s="161"/>
      <c r="BJ226" s="161"/>
      <c r="BK226" s="161"/>
      <c r="BL226" s="161"/>
      <c r="BM226" s="161"/>
      <c r="BN226" s="161"/>
      <c r="BO226" s="161"/>
      <c r="BP226" s="161"/>
      <c r="BQ226" s="161"/>
      <c r="BR226" s="161"/>
      <c r="BS226" s="161"/>
      <c r="BT226" s="161"/>
      <c r="BU226" s="161"/>
      <c r="BV226" s="161"/>
      <c r="BW226" s="161"/>
      <c r="BX226" s="161"/>
      <c r="BY226" s="161"/>
      <c r="BZ226" s="161"/>
      <c r="CA226" s="161"/>
      <c r="CB226" s="161"/>
      <c r="CC226" s="161"/>
      <c r="CD226" s="161"/>
      <c r="CE226" s="161"/>
      <c r="CF226" s="161"/>
      <c r="CG226" s="161"/>
      <c r="CH226" s="161"/>
      <c r="CI226" s="161"/>
      <c r="CJ226" s="161"/>
      <c r="CK226" s="161"/>
      <c r="CL226" s="161"/>
      <c r="CM226" s="161"/>
      <c r="CN226" s="161"/>
      <c r="CO226" s="161"/>
      <c r="CP226" s="161"/>
      <c r="CQ226" s="161"/>
      <c r="CR226" s="161"/>
      <c r="CS226" s="161"/>
      <c r="CT226" s="161"/>
      <c r="CU226" s="161"/>
      <c r="CV226" s="161"/>
      <c r="CW226" s="161"/>
      <c r="CX226" s="161"/>
      <c r="CY226" s="161"/>
      <c r="CZ226" s="161"/>
      <c r="DA226" s="161"/>
      <c r="DB226" s="161"/>
      <c r="DC226" s="161"/>
      <c r="DD226" s="161"/>
      <c r="DE226" s="161"/>
      <c r="DF226" s="161"/>
      <c r="DG226" s="161"/>
      <c r="DH226" s="161"/>
      <c r="DI226" s="161"/>
      <c r="DJ226" s="161"/>
      <c r="DK226" s="161"/>
      <c r="DL226" s="161"/>
      <c r="DM226" s="161"/>
      <c r="DN226" s="161"/>
      <c r="DO226" s="161"/>
      <c r="DP226" s="161"/>
      <c r="DQ226" s="161"/>
      <c r="DR226" s="161"/>
      <c r="DS226" s="161"/>
      <c r="DT226" s="161"/>
      <c r="DU226" s="161"/>
      <c r="DV226" s="161"/>
      <c r="DW226" s="161"/>
      <c r="DX226" s="161"/>
      <c r="DY226" s="161"/>
      <c r="DZ226" s="161"/>
      <c r="EA226" s="161"/>
      <c r="EB226" s="161"/>
      <c r="EC226" s="161"/>
      <c r="ED226" s="161"/>
      <c r="EE226" s="161"/>
      <c r="EF226" s="161"/>
      <c r="EG226" s="161"/>
      <c r="EH226" s="161"/>
      <c r="EI226" s="161"/>
      <c r="EJ226" s="161"/>
      <c r="EK226" s="161"/>
      <c r="EL226" s="161"/>
      <c r="EM226" s="161"/>
      <c r="EN226" s="161"/>
      <c r="EO226" s="161"/>
      <c r="EP226" s="161"/>
      <c r="EQ226" s="161"/>
      <c r="ER226" s="161"/>
      <c r="ES226" s="161"/>
      <c r="EU226" s="202"/>
      <c r="EV226" s="153"/>
      <c r="EW226" s="153"/>
      <c r="EX226" s="153"/>
      <c r="EY226" s="154" t="s">
        <v>358</v>
      </c>
      <c r="EZ226" s="154"/>
      <c r="FA226" s="386">
        <f ca="1">+FA224+FA221</f>
        <v>0</v>
      </c>
      <c r="FB226" s="386">
        <f t="shared" ref="FB226:HM226" ca="1" si="1039">+FB224+FB221</f>
        <v>0</v>
      </c>
      <c r="FC226" s="386">
        <f t="shared" ca="1" si="1039"/>
        <v>0</v>
      </c>
      <c r="FD226" s="386">
        <f t="shared" ca="1" si="1039"/>
        <v>0</v>
      </c>
      <c r="FE226" s="386">
        <f t="shared" ca="1" si="1039"/>
        <v>0</v>
      </c>
      <c r="FF226" s="386">
        <f t="shared" ca="1" si="1039"/>
        <v>0</v>
      </c>
      <c r="FG226" s="386">
        <f t="shared" ca="1" si="1039"/>
        <v>0</v>
      </c>
      <c r="FH226" s="386">
        <f t="shared" ca="1" si="1039"/>
        <v>0</v>
      </c>
      <c r="FI226" s="386">
        <f t="shared" ca="1" si="1039"/>
        <v>0</v>
      </c>
      <c r="FJ226" s="386">
        <f t="shared" ca="1" si="1039"/>
        <v>0</v>
      </c>
      <c r="FK226" s="386">
        <f t="shared" ca="1" si="1039"/>
        <v>0</v>
      </c>
      <c r="FL226" s="386">
        <f t="shared" ca="1" si="1039"/>
        <v>0</v>
      </c>
      <c r="FM226" s="386">
        <f t="shared" ca="1" si="1039"/>
        <v>0</v>
      </c>
      <c r="FN226" s="386">
        <f t="shared" ca="1" si="1039"/>
        <v>0</v>
      </c>
      <c r="FO226" s="386">
        <f t="shared" ca="1" si="1039"/>
        <v>0</v>
      </c>
      <c r="FP226" s="386">
        <f t="shared" ca="1" si="1039"/>
        <v>0</v>
      </c>
      <c r="FQ226" s="386">
        <f t="shared" ca="1" si="1039"/>
        <v>0</v>
      </c>
      <c r="FR226" s="386">
        <f t="shared" ca="1" si="1039"/>
        <v>0</v>
      </c>
      <c r="FS226" s="386">
        <f t="shared" ca="1" si="1039"/>
        <v>0</v>
      </c>
      <c r="FT226" s="386">
        <f t="shared" ca="1" si="1039"/>
        <v>0</v>
      </c>
      <c r="FU226" s="386">
        <f t="shared" ca="1" si="1039"/>
        <v>0</v>
      </c>
      <c r="FV226" s="386">
        <f t="shared" ca="1" si="1039"/>
        <v>0</v>
      </c>
      <c r="FW226" s="386">
        <f t="shared" ca="1" si="1039"/>
        <v>0</v>
      </c>
      <c r="FX226" s="386">
        <f t="shared" ca="1" si="1039"/>
        <v>0</v>
      </c>
      <c r="FY226" s="386">
        <f t="shared" ca="1" si="1039"/>
        <v>0</v>
      </c>
      <c r="FZ226" s="386">
        <f t="shared" ca="1" si="1039"/>
        <v>0</v>
      </c>
      <c r="GA226" s="386">
        <f t="shared" ca="1" si="1039"/>
        <v>0</v>
      </c>
      <c r="GB226" s="386">
        <f t="shared" ca="1" si="1039"/>
        <v>0</v>
      </c>
      <c r="GC226" s="386">
        <f t="shared" ca="1" si="1039"/>
        <v>0</v>
      </c>
      <c r="GD226" s="386">
        <f t="shared" ca="1" si="1039"/>
        <v>0</v>
      </c>
      <c r="GE226" s="386">
        <f t="shared" ca="1" si="1039"/>
        <v>0</v>
      </c>
      <c r="GF226" s="386">
        <f t="shared" ca="1" si="1039"/>
        <v>0</v>
      </c>
      <c r="GG226" s="386">
        <f t="shared" ca="1" si="1039"/>
        <v>0</v>
      </c>
      <c r="GH226" s="386">
        <f t="shared" ca="1" si="1039"/>
        <v>0</v>
      </c>
      <c r="GI226" s="386">
        <f t="shared" ca="1" si="1039"/>
        <v>0</v>
      </c>
      <c r="GJ226" s="386">
        <f t="shared" ca="1" si="1039"/>
        <v>0</v>
      </c>
      <c r="GK226" s="386">
        <f t="shared" ca="1" si="1039"/>
        <v>0</v>
      </c>
      <c r="GL226" s="386">
        <f t="shared" ca="1" si="1039"/>
        <v>0</v>
      </c>
      <c r="GM226" s="386">
        <f t="shared" ca="1" si="1039"/>
        <v>0</v>
      </c>
      <c r="GN226" s="386">
        <f t="shared" ca="1" si="1039"/>
        <v>0</v>
      </c>
      <c r="GO226" s="386">
        <f t="shared" ca="1" si="1039"/>
        <v>0</v>
      </c>
      <c r="GP226" s="386">
        <f t="shared" ca="1" si="1039"/>
        <v>0</v>
      </c>
      <c r="GQ226" s="386">
        <f t="shared" ca="1" si="1039"/>
        <v>0</v>
      </c>
      <c r="GR226" s="386">
        <f t="shared" ca="1" si="1039"/>
        <v>0</v>
      </c>
      <c r="GS226" s="386">
        <f t="shared" ca="1" si="1039"/>
        <v>0</v>
      </c>
      <c r="GT226" s="386">
        <f t="shared" ca="1" si="1039"/>
        <v>0</v>
      </c>
      <c r="GU226" s="386">
        <f t="shared" ca="1" si="1039"/>
        <v>0</v>
      </c>
      <c r="GV226" s="386">
        <f t="shared" ca="1" si="1039"/>
        <v>0</v>
      </c>
      <c r="GW226" s="386">
        <f t="shared" ca="1" si="1039"/>
        <v>0</v>
      </c>
      <c r="GX226" s="386">
        <f t="shared" ca="1" si="1039"/>
        <v>0</v>
      </c>
      <c r="GY226" s="386">
        <f t="shared" ca="1" si="1039"/>
        <v>0</v>
      </c>
      <c r="GZ226" s="386">
        <f t="shared" ca="1" si="1039"/>
        <v>0</v>
      </c>
      <c r="HA226" s="386">
        <f t="shared" ca="1" si="1039"/>
        <v>0</v>
      </c>
      <c r="HB226" s="386">
        <f t="shared" ca="1" si="1039"/>
        <v>0</v>
      </c>
      <c r="HC226" s="386">
        <f t="shared" ca="1" si="1039"/>
        <v>0</v>
      </c>
      <c r="HD226" s="386">
        <f t="shared" ca="1" si="1039"/>
        <v>0</v>
      </c>
      <c r="HE226" s="386">
        <f t="shared" ca="1" si="1039"/>
        <v>0</v>
      </c>
      <c r="HF226" s="386">
        <f t="shared" ca="1" si="1039"/>
        <v>0</v>
      </c>
      <c r="HG226" s="386">
        <f t="shared" ca="1" si="1039"/>
        <v>0</v>
      </c>
      <c r="HH226" s="386">
        <f t="shared" ca="1" si="1039"/>
        <v>0</v>
      </c>
      <c r="HI226" s="386">
        <f t="shared" ca="1" si="1039"/>
        <v>0</v>
      </c>
      <c r="HJ226" s="386">
        <f t="shared" ca="1" si="1039"/>
        <v>0</v>
      </c>
      <c r="HK226" s="386">
        <f t="shared" ca="1" si="1039"/>
        <v>0</v>
      </c>
      <c r="HL226" s="386">
        <f t="shared" ca="1" si="1039"/>
        <v>0</v>
      </c>
      <c r="HM226" s="386">
        <f t="shared" ca="1" si="1039"/>
        <v>0</v>
      </c>
      <c r="HN226" s="386">
        <f t="shared" ref="HN226:JY226" ca="1" si="1040">+HN224+HN221</f>
        <v>0</v>
      </c>
      <c r="HO226" s="386">
        <f t="shared" ca="1" si="1040"/>
        <v>0</v>
      </c>
      <c r="HP226" s="386">
        <f t="shared" ca="1" si="1040"/>
        <v>0</v>
      </c>
      <c r="HQ226" s="386">
        <f t="shared" ca="1" si="1040"/>
        <v>0</v>
      </c>
      <c r="HR226" s="386">
        <f t="shared" ca="1" si="1040"/>
        <v>0</v>
      </c>
      <c r="HS226" s="386">
        <f t="shared" ca="1" si="1040"/>
        <v>0</v>
      </c>
      <c r="HT226" s="386">
        <f t="shared" ca="1" si="1040"/>
        <v>0</v>
      </c>
      <c r="HU226" s="386">
        <f t="shared" ca="1" si="1040"/>
        <v>0</v>
      </c>
      <c r="HV226" s="386">
        <f t="shared" ca="1" si="1040"/>
        <v>0</v>
      </c>
      <c r="HW226" s="386">
        <f t="shared" ca="1" si="1040"/>
        <v>0</v>
      </c>
      <c r="HX226" s="386">
        <f t="shared" ca="1" si="1040"/>
        <v>0</v>
      </c>
      <c r="HY226" s="386">
        <f t="shared" ca="1" si="1040"/>
        <v>0</v>
      </c>
      <c r="HZ226" s="386">
        <f t="shared" ca="1" si="1040"/>
        <v>0</v>
      </c>
      <c r="IA226" s="386">
        <f t="shared" ca="1" si="1040"/>
        <v>0</v>
      </c>
      <c r="IB226" s="386">
        <f t="shared" ca="1" si="1040"/>
        <v>0</v>
      </c>
      <c r="IC226" s="386">
        <f t="shared" ca="1" si="1040"/>
        <v>0</v>
      </c>
      <c r="ID226" s="386">
        <f t="shared" ca="1" si="1040"/>
        <v>0</v>
      </c>
      <c r="IE226" s="386">
        <f t="shared" ca="1" si="1040"/>
        <v>0</v>
      </c>
      <c r="IF226" s="386">
        <f t="shared" ca="1" si="1040"/>
        <v>0</v>
      </c>
      <c r="IG226" s="386">
        <f t="shared" ca="1" si="1040"/>
        <v>0</v>
      </c>
      <c r="IH226" s="386">
        <f t="shared" ca="1" si="1040"/>
        <v>0</v>
      </c>
      <c r="II226" s="386">
        <f t="shared" ca="1" si="1040"/>
        <v>0</v>
      </c>
      <c r="IJ226" s="386">
        <f t="shared" ca="1" si="1040"/>
        <v>0</v>
      </c>
      <c r="IK226" s="386">
        <f t="shared" ca="1" si="1040"/>
        <v>0</v>
      </c>
      <c r="IL226" s="386">
        <f t="shared" ca="1" si="1040"/>
        <v>0</v>
      </c>
      <c r="IM226" s="386">
        <f t="shared" ca="1" si="1040"/>
        <v>0</v>
      </c>
      <c r="IN226" s="386">
        <f t="shared" ca="1" si="1040"/>
        <v>0</v>
      </c>
      <c r="IO226" s="386">
        <f t="shared" ca="1" si="1040"/>
        <v>0</v>
      </c>
      <c r="IP226" s="386">
        <f t="shared" ca="1" si="1040"/>
        <v>0</v>
      </c>
      <c r="IQ226" s="386">
        <f t="shared" ca="1" si="1040"/>
        <v>0</v>
      </c>
      <c r="IR226" s="386">
        <f t="shared" ca="1" si="1040"/>
        <v>0</v>
      </c>
      <c r="IS226" s="386">
        <f t="shared" ca="1" si="1040"/>
        <v>0</v>
      </c>
      <c r="IT226" s="386">
        <f t="shared" ca="1" si="1040"/>
        <v>0</v>
      </c>
      <c r="IU226" s="386">
        <f t="shared" ca="1" si="1040"/>
        <v>0</v>
      </c>
      <c r="IV226" s="386">
        <f t="shared" ca="1" si="1040"/>
        <v>0</v>
      </c>
      <c r="IW226" s="386">
        <f t="shared" ca="1" si="1040"/>
        <v>0</v>
      </c>
      <c r="IX226" s="386">
        <f t="shared" ca="1" si="1040"/>
        <v>0</v>
      </c>
      <c r="IY226" s="386">
        <f t="shared" ca="1" si="1040"/>
        <v>0</v>
      </c>
      <c r="IZ226" s="386">
        <f t="shared" ca="1" si="1040"/>
        <v>0</v>
      </c>
      <c r="JA226" s="386">
        <f t="shared" ca="1" si="1040"/>
        <v>0</v>
      </c>
      <c r="JB226" s="386">
        <f t="shared" ca="1" si="1040"/>
        <v>0</v>
      </c>
      <c r="JC226" s="386">
        <f t="shared" ca="1" si="1040"/>
        <v>0</v>
      </c>
      <c r="JD226" s="386">
        <f t="shared" ca="1" si="1040"/>
        <v>0</v>
      </c>
      <c r="JE226" s="386">
        <f t="shared" ca="1" si="1040"/>
        <v>0</v>
      </c>
      <c r="JF226" s="386">
        <f t="shared" ca="1" si="1040"/>
        <v>0</v>
      </c>
      <c r="JG226" s="386">
        <f t="shared" ca="1" si="1040"/>
        <v>0</v>
      </c>
      <c r="JH226" s="386">
        <f t="shared" ca="1" si="1040"/>
        <v>0</v>
      </c>
      <c r="JI226" s="386">
        <f t="shared" ca="1" si="1040"/>
        <v>0</v>
      </c>
      <c r="JJ226" s="386">
        <f t="shared" ca="1" si="1040"/>
        <v>0</v>
      </c>
      <c r="JK226" s="386">
        <f t="shared" ca="1" si="1040"/>
        <v>0</v>
      </c>
      <c r="JL226" s="386">
        <f t="shared" ca="1" si="1040"/>
        <v>0</v>
      </c>
      <c r="JM226" s="386">
        <f t="shared" ca="1" si="1040"/>
        <v>0</v>
      </c>
      <c r="JN226" s="386">
        <f t="shared" ca="1" si="1040"/>
        <v>0</v>
      </c>
      <c r="JO226" s="386">
        <f t="shared" ca="1" si="1040"/>
        <v>0</v>
      </c>
      <c r="JP226" s="386">
        <f t="shared" ca="1" si="1040"/>
        <v>0</v>
      </c>
      <c r="JQ226" s="386">
        <f t="shared" ca="1" si="1040"/>
        <v>0</v>
      </c>
      <c r="JR226" s="386">
        <f t="shared" ca="1" si="1040"/>
        <v>0</v>
      </c>
      <c r="JS226" s="386">
        <f t="shared" ca="1" si="1040"/>
        <v>0</v>
      </c>
      <c r="JT226" s="386">
        <f t="shared" ca="1" si="1040"/>
        <v>0</v>
      </c>
      <c r="JU226" s="386">
        <f t="shared" ca="1" si="1040"/>
        <v>0</v>
      </c>
      <c r="JV226" s="386">
        <f t="shared" ca="1" si="1040"/>
        <v>0</v>
      </c>
      <c r="JW226" s="386">
        <f t="shared" ca="1" si="1040"/>
        <v>0</v>
      </c>
      <c r="JX226" s="386">
        <f t="shared" ca="1" si="1040"/>
        <v>0</v>
      </c>
      <c r="JY226" s="386">
        <f t="shared" ca="1" si="1040"/>
        <v>0</v>
      </c>
      <c r="JZ226" s="386">
        <f ca="1">+JZ224+JZ221</f>
        <v>0</v>
      </c>
      <c r="KA226" s="386">
        <f ca="1">+KA224+KA221</f>
        <v>0</v>
      </c>
      <c r="KB226" s="386">
        <f ca="1">+KB224+KB221</f>
        <v>0</v>
      </c>
      <c r="KC226" s="386">
        <f ca="1">+KC224+KC221</f>
        <v>0</v>
      </c>
    </row>
    <row r="227" spans="2:289" x14ac:dyDescent="0.25">
      <c r="B227" s="289" t="str">
        <f>C233</f>
        <v>LP</v>
      </c>
      <c r="C227" s="196"/>
      <c r="D227" s="218">
        <f ca="1">I233</f>
        <v>0</v>
      </c>
      <c r="E227" s="218">
        <f ca="1">I249</f>
        <v>0</v>
      </c>
      <c r="F227" s="218"/>
      <c r="G227" s="268" t="str">
        <f ca="1">IFERROR(E227/D227,"NA")</f>
        <v>NA</v>
      </c>
      <c r="H227" s="409" t="str">
        <f ca="1">IFERROR(F249,"NA")</f>
        <v>NA</v>
      </c>
      <c r="I227" s="272" t="str">
        <f ca="1">IFERROR(G249,"NA")</f>
        <v>NA</v>
      </c>
      <c r="Q227" s="161"/>
      <c r="R227" s="161"/>
      <c r="S227" s="161"/>
      <c r="T227" s="161"/>
      <c r="U227" s="161"/>
      <c r="V227" s="161"/>
      <c r="W227" s="161"/>
      <c r="X227" s="161"/>
      <c r="Y227" s="161"/>
      <c r="Z227" s="161"/>
      <c r="AA227" s="161"/>
      <c r="AB227" s="161"/>
      <c r="AC227" s="161"/>
      <c r="AD227" s="161"/>
      <c r="AE227" s="161"/>
      <c r="AF227" s="161"/>
      <c r="AG227" s="161"/>
      <c r="AH227" s="161"/>
      <c r="AI227" s="161"/>
      <c r="AJ227" s="161"/>
      <c r="AK227" s="161"/>
      <c r="AL227" s="161"/>
      <c r="AM227" s="161"/>
      <c r="AN227" s="161"/>
      <c r="AO227" s="161"/>
      <c r="AP227" s="161"/>
      <c r="AQ227" s="161"/>
      <c r="AR227" s="161"/>
      <c r="AS227" s="161"/>
      <c r="AT227" s="161"/>
      <c r="AU227" s="161"/>
      <c r="AV227" s="161"/>
      <c r="AW227" s="161"/>
      <c r="AX227" s="161"/>
      <c r="AY227" s="161"/>
      <c r="AZ227" s="161"/>
      <c r="BA227" s="161"/>
      <c r="BB227" s="161"/>
      <c r="BC227" s="161"/>
      <c r="BD227" s="161"/>
      <c r="BE227" s="161"/>
      <c r="BF227" s="161"/>
      <c r="BG227" s="161"/>
      <c r="BH227" s="161"/>
      <c r="BI227" s="161"/>
      <c r="BJ227" s="161"/>
      <c r="BK227" s="161"/>
      <c r="BL227" s="161"/>
      <c r="BM227" s="161"/>
      <c r="BN227" s="161"/>
      <c r="BO227" s="161"/>
      <c r="BP227" s="161"/>
      <c r="BQ227" s="161"/>
      <c r="BR227" s="161"/>
      <c r="BS227" s="161"/>
      <c r="BT227" s="161"/>
      <c r="BU227" s="161"/>
      <c r="BV227" s="161"/>
      <c r="BW227" s="161"/>
      <c r="BX227" s="161"/>
      <c r="BY227" s="161"/>
      <c r="BZ227" s="161"/>
      <c r="CA227" s="161"/>
      <c r="CB227" s="161"/>
      <c r="CC227" s="161"/>
      <c r="CD227" s="161"/>
      <c r="CE227" s="161"/>
      <c r="CF227" s="161"/>
      <c r="CG227" s="161"/>
      <c r="CH227" s="161"/>
      <c r="CI227" s="161"/>
      <c r="CJ227" s="161"/>
      <c r="CK227" s="161"/>
      <c r="CL227" s="161"/>
      <c r="CM227" s="161"/>
      <c r="CN227" s="161"/>
      <c r="CO227" s="161"/>
      <c r="CP227" s="161"/>
      <c r="CQ227" s="161"/>
      <c r="CR227" s="161"/>
      <c r="CS227" s="161"/>
      <c r="CT227" s="161"/>
      <c r="CU227" s="161"/>
      <c r="CV227" s="161"/>
      <c r="CW227" s="161"/>
      <c r="CX227" s="161"/>
      <c r="CY227" s="161"/>
      <c r="CZ227" s="161"/>
      <c r="DA227" s="161"/>
      <c r="DB227" s="161"/>
      <c r="DC227" s="161"/>
      <c r="DD227" s="161"/>
      <c r="DE227" s="161"/>
      <c r="DF227" s="161"/>
      <c r="DG227" s="161"/>
      <c r="DH227" s="161"/>
      <c r="DI227" s="161"/>
      <c r="DJ227" s="161"/>
      <c r="DK227" s="161"/>
      <c r="DL227" s="161"/>
      <c r="DM227" s="161"/>
      <c r="DN227" s="161"/>
      <c r="DO227" s="161"/>
      <c r="DP227" s="161"/>
      <c r="DQ227" s="161"/>
      <c r="DR227" s="161"/>
      <c r="DS227" s="161"/>
      <c r="DT227" s="161"/>
      <c r="DU227" s="161"/>
      <c r="DV227" s="161"/>
      <c r="DW227" s="161"/>
      <c r="DX227" s="161"/>
      <c r="DY227" s="161"/>
      <c r="DZ227" s="161"/>
      <c r="EA227" s="161"/>
      <c r="EB227" s="161"/>
      <c r="EC227" s="161"/>
      <c r="ED227" s="161"/>
      <c r="EE227" s="161"/>
      <c r="EF227" s="161"/>
      <c r="EG227" s="161"/>
      <c r="EH227" s="161"/>
      <c r="EI227" s="161"/>
      <c r="EJ227" s="161"/>
      <c r="EK227" s="161"/>
      <c r="EL227" s="161"/>
      <c r="EM227" s="161"/>
      <c r="EN227" s="161"/>
      <c r="EO227" s="161"/>
      <c r="EP227" s="161"/>
      <c r="EQ227" s="161"/>
      <c r="ER227" s="161"/>
      <c r="ES227" s="161"/>
      <c r="EU227" s="398"/>
      <c r="EV227" s="398"/>
      <c r="EW227" s="398"/>
      <c r="EX227" s="398"/>
      <c r="EY227" s="399" t="s">
        <v>348</v>
      </c>
      <c r="EZ227" s="399"/>
      <c r="FA227" s="400">
        <f t="shared" ref="FA227:GF227" ca="1" si="1041">MAX(FA200-FA215-FA226,0)</f>
        <v>0</v>
      </c>
      <c r="FB227" s="400">
        <f t="shared" ca="1" si="1041"/>
        <v>0</v>
      </c>
      <c r="FC227" s="400">
        <f t="shared" ca="1" si="1041"/>
        <v>0</v>
      </c>
      <c r="FD227" s="400">
        <f t="shared" ca="1" si="1041"/>
        <v>0</v>
      </c>
      <c r="FE227" s="400">
        <f t="shared" ca="1" si="1041"/>
        <v>0</v>
      </c>
      <c r="FF227" s="400">
        <f t="shared" ca="1" si="1041"/>
        <v>0</v>
      </c>
      <c r="FG227" s="400">
        <f t="shared" ca="1" si="1041"/>
        <v>0</v>
      </c>
      <c r="FH227" s="400">
        <f t="shared" ca="1" si="1041"/>
        <v>0</v>
      </c>
      <c r="FI227" s="400">
        <f t="shared" ca="1" si="1041"/>
        <v>0</v>
      </c>
      <c r="FJ227" s="400">
        <f t="shared" ca="1" si="1041"/>
        <v>0</v>
      </c>
      <c r="FK227" s="400">
        <f t="shared" ca="1" si="1041"/>
        <v>0</v>
      </c>
      <c r="FL227" s="400">
        <f t="shared" ca="1" si="1041"/>
        <v>0</v>
      </c>
      <c r="FM227" s="400">
        <f t="shared" ca="1" si="1041"/>
        <v>854.48499999999933</v>
      </c>
      <c r="FN227" s="400">
        <f t="shared" ca="1" si="1041"/>
        <v>10928.922499999999</v>
      </c>
      <c r="FO227" s="400">
        <f t="shared" ca="1" si="1041"/>
        <v>19657.158961798061</v>
      </c>
      <c r="FP227" s="400">
        <f t="shared" ca="1" si="1041"/>
        <v>3290.2921752666171</v>
      </c>
      <c r="FQ227" s="400">
        <f t="shared" ca="1" si="1041"/>
        <v>3290.2921752666171</v>
      </c>
      <c r="FR227" s="400">
        <f t="shared" ca="1" si="1041"/>
        <v>3290.2921752666171</v>
      </c>
      <c r="FS227" s="400">
        <f t="shared" ca="1" si="1041"/>
        <v>3290.2921752666171</v>
      </c>
      <c r="FT227" s="400">
        <f t="shared" ca="1" si="1041"/>
        <v>3290.2921752666171</v>
      </c>
      <c r="FU227" s="400">
        <f t="shared" ca="1" si="1041"/>
        <v>3290.2921752666171</v>
      </c>
      <c r="FV227" s="400">
        <f t="shared" ca="1" si="1041"/>
        <v>3290.2921752666171</v>
      </c>
      <c r="FW227" s="400">
        <f t="shared" ca="1" si="1041"/>
        <v>3290.2921752666171</v>
      </c>
      <c r="FX227" s="400">
        <f t="shared" ca="1" si="1041"/>
        <v>3290.2921752666171</v>
      </c>
      <c r="FY227" s="400">
        <f t="shared" ca="1" si="1041"/>
        <v>2322.2629752666126</v>
      </c>
      <c r="FZ227" s="400">
        <f t="shared" ca="1" si="1041"/>
        <v>2630.9179752666187</v>
      </c>
      <c r="GA227" s="400">
        <f t="shared" ca="1" si="1041"/>
        <v>2939.5729752666175</v>
      </c>
      <c r="GB227" s="400">
        <f t="shared" ca="1" si="1041"/>
        <v>2939.5729752666175</v>
      </c>
      <c r="GC227" s="400">
        <f t="shared" ca="1" si="1041"/>
        <v>2939.5729752666175</v>
      </c>
      <c r="GD227" s="400">
        <f t="shared" ca="1" si="1041"/>
        <v>2939.5729752666175</v>
      </c>
      <c r="GE227" s="400">
        <f t="shared" ca="1" si="1041"/>
        <v>2939.5729752666175</v>
      </c>
      <c r="GF227" s="400">
        <f t="shared" ca="1" si="1041"/>
        <v>2939.5729752666175</v>
      </c>
      <c r="GG227" s="400">
        <f t="shared" ref="GG227:HL227" ca="1" si="1042">MAX(GG200-GG215-GG226,0)</f>
        <v>2939.5729752666175</v>
      </c>
      <c r="GH227" s="400">
        <f t="shared" ca="1" si="1042"/>
        <v>2939.5729752666175</v>
      </c>
      <c r="GI227" s="400">
        <f t="shared" ca="1" si="1042"/>
        <v>2939.5729752666175</v>
      </c>
      <c r="GJ227" s="400">
        <f t="shared" ca="1" si="1042"/>
        <v>2939.5729752666175</v>
      </c>
      <c r="GK227" s="400">
        <f t="shared" ca="1" si="1042"/>
        <v>1827482.1425559032</v>
      </c>
      <c r="GL227" s="400">
        <f t="shared" ca="1" si="1042"/>
        <v>0</v>
      </c>
      <c r="GM227" s="400">
        <f t="shared" ca="1" si="1042"/>
        <v>0</v>
      </c>
      <c r="GN227" s="400">
        <f t="shared" ca="1" si="1042"/>
        <v>0</v>
      </c>
      <c r="GO227" s="400">
        <f t="shared" ca="1" si="1042"/>
        <v>0</v>
      </c>
      <c r="GP227" s="400">
        <f t="shared" ca="1" si="1042"/>
        <v>0</v>
      </c>
      <c r="GQ227" s="400">
        <f t="shared" ca="1" si="1042"/>
        <v>0</v>
      </c>
      <c r="GR227" s="400">
        <f t="shared" ca="1" si="1042"/>
        <v>0</v>
      </c>
      <c r="GS227" s="400">
        <f t="shared" ca="1" si="1042"/>
        <v>0</v>
      </c>
      <c r="GT227" s="400">
        <f t="shared" ca="1" si="1042"/>
        <v>0</v>
      </c>
      <c r="GU227" s="400">
        <f t="shared" ca="1" si="1042"/>
        <v>0</v>
      </c>
      <c r="GV227" s="400">
        <f t="shared" ca="1" si="1042"/>
        <v>0</v>
      </c>
      <c r="GW227" s="400">
        <f t="shared" ca="1" si="1042"/>
        <v>0</v>
      </c>
      <c r="GX227" s="400">
        <f t="shared" ca="1" si="1042"/>
        <v>0</v>
      </c>
      <c r="GY227" s="400">
        <f t="shared" ca="1" si="1042"/>
        <v>0</v>
      </c>
      <c r="GZ227" s="400">
        <f t="shared" ca="1" si="1042"/>
        <v>0</v>
      </c>
      <c r="HA227" s="400">
        <f t="shared" ca="1" si="1042"/>
        <v>0</v>
      </c>
      <c r="HB227" s="400">
        <f t="shared" ca="1" si="1042"/>
        <v>0</v>
      </c>
      <c r="HC227" s="400">
        <f t="shared" ca="1" si="1042"/>
        <v>0</v>
      </c>
      <c r="HD227" s="400">
        <f t="shared" ca="1" si="1042"/>
        <v>0</v>
      </c>
      <c r="HE227" s="400">
        <f t="shared" ca="1" si="1042"/>
        <v>0</v>
      </c>
      <c r="HF227" s="400">
        <f t="shared" ca="1" si="1042"/>
        <v>0</v>
      </c>
      <c r="HG227" s="400">
        <f t="shared" ca="1" si="1042"/>
        <v>0</v>
      </c>
      <c r="HH227" s="400">
        <f t="shared" ca="1" si="1042"/>
        <v>0</v>
      </c>
      <c r="HI227" s="400">
        <f t="shared" ca="1" si="1042"/>
        <v>0</v>
      </c>
      <c r="HJ227" s="400">
        <f t="shared" ca="1" si="1042"/>
        <v>0</v>
      </c>
      <c r="HK227" s="400">
        <f t="shared" ca="1" si="1042"/>
        <v>0</v>
      </c>
      <c r="HL227" s="400">
        <f t="shared" ca="1" si="1042"/>
        <v>0</v>
      </c>
      <c r="HM227" s="400">
        <f t="shared" ref="HM227:IR227" ca="1" si="1043">MAX(HM200-HM215-HM226,0)</f>
        <v>0</v>
      </c>
      <c r="HN227" s="400">
        <f t="shared" ca="1" si="1043"/>
        <v>0</v>
      </c>
      <c r="HO227" s="400">
        <f t="shared" ca="1" si="1043"/>
        <v>0</v>
      </c>
      <c r="HP227" s="400">
        <f t="shared" ca="1" si="1043"/>
        <v>0</v>
      </c>
      <c r="HQ227" s="400">
        <f t="shared" ca="1" si="1043"/>
        <v>0</v>
      </c>
      <c r="HR227" s="400">
        <f t="shared" ca="1" si="1043"/>
        <v>0</v>
      </c>
      <c r="HS227" s="400">
        <f t="shared" ca="1" si="1043"/>
        <v>0</v>
      </c>
      <c r="HT227" s="400">
        <f t="shared" ca="1" si="1043"/>
        <v>0</v>
      </c>
      <c r="HU227" s="400">
        <f t="shared" ca="1" si="1043"/>
        <v>0</v>
      </c>
      <c r="HV227" s="400">
        <f t="shared" ca="1" si="1043"/>
        <v>0</v>
      </c>
      <c r="HW227" s="400">
        <f t="shared" ca="1" si="1043"/>
        <v>0</v>
      </c>
      <c r="HX227" s="400">
        <f t="shared" ca="1" si="1043"/>
        <v>0</v>
      </c>
      <c r="HY227" s="400">
        <f t="shared" ca="1" si="1043"/>
        <v>0</v>
      </c>
      <c r="HZ227" s="400">
        <f t="shared" ca="1" si="1043"/>
        <v>0</v>
      </c>
      <c r="IA227" s="400">
        <f t="shared" ca="1" si="1043"/>
        <v>0</v>
      </c>
      <c r="IB227" s="400">
        <f t="shared" ca="1" si="1043"/>
        <v>0</v>
      </c>
      <c r="IC227" s="400">
        <f t="shared" ca="1" si="1043"/>
        <v>0</v>
      </c>
      <c r="ID227" s="400">
        <f t="shared" ca="1" si="1043"/>
        <v>0</v>
      </c>
      <c r="IE227" s="400">
        <f t="shared" ca="1" si="1043"/>
        <v>0</v>
      </c>
      <c r="IF227" s="400">
        <f t="shared" ca="1" si="1043"/>
        <v>0</v>
      </c>
      <c r="IG227" s="400">
        <f t="shared" ca="1" si="1043"/>
        <v>0</v>
      </c>
      <c r="IH227" s="400">
        <f t="shared" ca="1" si="1043"/>
        <v>0</v>
      </c>
      <c r="II227" s="400">
        <f t="shared" ca="1" si="1043"/>
        <v>0</v>
      </c>
      <c r="IJ227" s="400">
        <f t="shared" ca="1" si="1043"/>
        <v>0</v>
      </c>
      <c r="IK227" s="400">
        <f t="shared" ca="1" si="1043"/>
        <v>0</v>
      </c>
      <c r="IL227" s="400">
        <f t="shared" ca="1" si="1043"/>
        <v>0</v>
      </c>
      <c r="IM227" s="400">
        <f t="shared" ca="1" si="1043"/>
        <v>0</v>
      </c>
      <c r="IN227" s="400">
        <f t="shared" ca="1" si="1043"/>
        <v>0</v>
      </c>
      <c r="IO227" s="400">
        <f t="shared" ca="1" si="1043"/>
        <v>0</v>
      </c>
      <c r="IP227" s="400">
        <f t="shared" ca="1" si="1043"/>
        <v>0</v>
      </c>
      <c r="IQ227" s="400">
        <f t="shared" ca="1" si="1043"/>
        <v>0</v>
      </c>
      <c r="IR227" s="400">
        <f t="shared" ca="1" si="1043"/>
        <v>0</v>
      </c>
      <c r="IS227" s="400">
        <f t="shared" ref="IS227:JX227" ca="1" si="1044">MAX(IS200-IS215-IS226,0)</f>
        <v>0</v>
      </c>
      <c r="IT227" s="400">
        <f t="shared" ca="1" si="1044"/>
        <v>0</v>
      </c>
      <c r="IU227" s="400">
        <f t="shared" ca="1" si="1044"/>
        <v>0</v>
      </c>
      <c r="IV227" s="400">
        <f t="shared" ca="1" si="1044"/>
        <v>0</v>
      </c>
      <c r="IW227" s="400">
        <f t="shared" ca="1" si="1044"/>
        <v>0</v>
      </c>
      <c r="IX227" s="400">
        <f t="shared" ca="1" si="1044"/>
        <v>0</v>
      </c>
      <c r="IY227" s="400">
        <f t="shared" ca="1" si="1044"/>
        <v>0</v>
      </c>
      <c r="IZ227" s="400">
        <f t="shared" ca="1" si="1044"/>
        <v>0</v>
      </c>
      <c r="JA227" s="400">
        <f t="shared" ca="1" si="1044"/>
        <v>0</v>
      </c>
      <c r="JB227" s="400">
        <f t="shared" ca="1" si="1044"/>
        <v>0</v>
      </c>
      <c r="JC227" s="400">
        <f t="shared" ca="1" si="1044"/>
        <v>0</v>
      </c>
      <c r="JD227" s="400">
        <f t="shared" ca="1" si="1044"/>
        <v>0</v>
      </c>
      <c r="JE227" s="400">
        <f t="shared" ca="1" si="1044"/>
        <v>0</v>
      </c>
      <c r="JF227" s="400">
        <f t="shared" ca="1" si="1044"/>
        <v>0</v>
      </c>
      <c r="JG227" s="400">
        <f t="shared" ca="1" si="1044"/>
        <v>0</v>
      </c>
      <c r="JH227" s="400">
        <f t="shared" ca="1" si="1044"/>
        <v>0</v>
      </c>
      <c r="JI227" s="400">
        <f t="shared" ca="1" si="1044"/>
        <v>0</v>
      </c>
      <c r="JJ227" s="400">
        <f t="shared" ca="1" si="1044"/>
        <v>0</v>
      </c>
      <c r="JK227" s="400">
        <f t="shared" ca="1" si="1044"/>
        <v>0</v>
      </c>
      <c r="JL227" s="400">
        <f t="shared" ca="1" si="1044"/>
        <v>0</v>
      </c>
      <c r="JM227" s="400">
        <f t="shared" ca="1" si="1044"/>
        <v>0</v>
      </c>
      <c r="JN227" s="400">
        <f t="shared" ca="1" si="1044"/>
        <v>0</v>
      </c>
      <c r="JO227" s="400">
        <f t="shared" ca="1" si="1044"/>
        <v>0</v>
      </c>
      <c r="JP227" s="400">
        <f t="shared" ca="1" si="1044"/>
        <v>0</v>
      </c>
      <c r="JQ227" s="400">
        <f t="shared" ca="1" si="1044"/>
        <v>0</v>
      </c>
      <c r="JR227" s="400">
        <f t="shared" ca="1" si="1044"/>
        <v>0</v>
      </c>
      <c r="JS227" s="400">
        <f t="shared" ca="1" si="1044"/>
        <v>0</v>
      </c>
      <c r="JT227" s="400">
        <f t="shared" ca="1" si="1044"/>
        <v>0</v>
      </c>
      <c r="JU227" s="400">
        <f t="shared" ca="1" si="1044"/>
        <v>0</v>
      </c>
      <c r="JV227" s="400">
        <f t="shared" ca="1" si="1044"/>
        <v>0</v>
      </c>
      <c r="JW227" s="400">
        <f t="shared" ca="1" si="1044"/>
        <v>0</v>
      </c>
      <c r="JX227" s="400">
        <f t="shared" ca="1" si="1044"/>
        <v>0</v>
      </c>
      <c r="JY227" s="400">
        <f t="shared" ref="JY227:KC227" ca="1" si="1045">MAX(JY200-JY215-JY226,0)</f>
        <v>0</v>
      </c>
      <c r="JZ227" s="400">
        <f t="shared" ca="1" si="1045"/>
        <v>0</v>
      </c>
      <c r="KA227" s="400">
        <f t="shared" ca="1" si="1045"/>
        <v>0</v>
      </c>
      <c r="KB227" s="400">
        <f t="shared" ca="1" si="1045"/>
        <v>0</v>
      </c>
      <c r="KC227" s="400">
        <f t="shared" ca="1" si="1045"/>
        <v>0</v>
      </c>
    </row>
    <row r="228" spans="2:289" x14ac:dyDescent="0.25">
      <c r="B228" s="289" t="str">
        <f>IF(Dbl_Promote?=1,C264,C232)</f>
        <v>OGM HOLDINGS</v>
      </c>
      <c r="C228" s="196"/>
      <c r="D228" s="218">
        <f ca="1">IF(Dbl_Promote?=1,I253,I232)</f>
        <v>1615440.1321185711</v>
      </c>
      <c r="E228" s="218">
        <f ca="1">IF(Dbl_Promote?=1,I269,I248)</f>
        <v>338406.74105836172</v>
      </c>
      <c r="F228" s="218"/>
      <c r="G228" s="268">
        <f ca="1">IFERROR(E228/D228,"NA")</f>
        <v>0.20948268792515248</v>
      </c>
      <c r="H228" s="409">
        <f ca="1">IF(Dbl_Promote?=1,F269,F248)</f>
        <v>1.2094826879251515</v>
      </c>
      <c r="I228" s="272">
        <f ca="1">IF(Dbl_Promote?=1,G269,G248)</f>
        <v>7.1340659260749825E-2</v>
      </c>
      <c r="EU228" s="202" t="s">
        <v>360</v>
      </c>
      <c r="EV228" s="153"/>
      <c r="EW228" s="153"/>
      <c r="EX228" s="153"/>
      <c r="EY228" s="154" t="s">
        <v>343</v>
      </c>
      <c r="EZ228" s="154"/>
      <c r="FA228" s="388">
        <f t="shared" ref="FA228:GF228" si="1046">(FA$201&lt;=Timing_Reversion_Month)*EZ232</f>
        <v>0</v>
      </c>
      <c r="FB228" s="388">
        <f t="shared" ca="1" si="1046"/>
        <v>0</v>
      </c>
      <c r="FC228" s="388">
        <f t="shared" ca="1" si="1046"/>
        <v>0</v>
      </c>
      <c r="FD228" s="388">
        <f t="shared" ca="1" si="1046"/>
        <v>0</v>
      </c>
      <c r="FE228" s="388">
        <f t="shared" ca="1" si="1046"/>
        <v>0</v>
      </c>
      <c r="FF228" s="388">
        <f t="shared" ca="1" si="1046"/>
        <v>0</v>
      </c>
      <c r="FG228" s="388">
        <f t="shared" ca="1" si="1046"/>
        <v>0</v>
      </c>
      <c r="FH228" s="388">
        <f t="shared" ca="1" si="1046"/>
        <v>0</v>
      </c>
      <c r="FI228" s="388">
        <f t="shared" ca="1" si="1046"/>
        <v>0</v>
      </c>
      <c r="FJ228" s="388">
        <f t="shared" ca="1" si="1046"/>
        <v>0</v>
      </c>
      <c r="FK228" s="388">
        <f t="shared" ca="1" si="1046"/>
        <v>0</v>
      </c>
      <c r="FL228" s="388">
        <f t="shared" ca="1" si="1046"/>
        <v>0</v>
      </c>
      <c r="FM228" s="388">
        <f t="shared" ca="1" si="1046"/>
        <v>0</v>
      </c>
      <c r="FN228" s="388">
        <f t="shared" ca="1" si="1046"/>
        <v>0</v>
      </c>
      <c r="FO228" s="388">
        <f t="shared" ca="1" si="1046"/>
        <v>0</v>
      </c>
      <c r="FP228" s="388">
        <f t="shared" ca="1" si="1046"/>
        <v>0</v>
      </c>
      <c r="FQ228" s="388">
        <f t="shared" ca="1" si="1046"/>
        <v>0</v>
      </c>
      <c r="FR228" s="388">
        <f t="shared" ca="1" si="1046"/>
        <v>0</v>
      </c>
      <c r="FS228" s="388">
        <f t="shared" ca="1" si="1046"/>
        <v>0</v>
      </c>
      <c r="FT228" s="388">
        <f t="shared" ca="1" si="1046"/>
        <v>0</v>
      </c>
      <c r="FU228" s="388">
        <f t="shared" ca="1" si="1046"/>
        <v>0</v>
      </c>
      <c r="FV228" s="388">
        <f t="shared" ca="1" si="1046"/>
        <v>0</v>
      </c>
      <c r="FW228" s="388">
        <f t="shared" ca="1" si="1046"/>
        <v>0</v>
      </c>
      <c r="FX228" s="388">
        <f t="shared" ca="1" si="1046"/>
        <v>0</v>
      </c>
      <c r="FY228" s="388">
        <f t="shared" ca="1" si="1046"/>
        <v>0</v>
      </c>
      <c r="FZ228" s="388">
        <f t="shared" ca="1" si="1046"/>
        <v>0</v>
      </c>
      <c r="GA228" s="388">
        <f t="shared" ca="1" si="1046"/>
        <v>0</v>
      </c>
      <c r="GB228" s="388">
        <f t="shared" ca="1" si="1046"/>
        <v>0</v>
      </c>
      <c r="GC228" s="388">
        <f t="shared" ca="1" si="1046"/>
        <v>0</v>
      </c>
      <c r="GD228" s="388">
        <f t="shared" ca="1" si="1046"/>
        <v>0</v>
      </c>
      <c r="GE228" s="388">
        <f t="shared" ca="1" si="1046"/>
        <v>0</v>
      </c>
      <c r="GF228" s="388">
        <f t="shared" ca="1" si="1046"/>
        <v>0</v>
      </c>
      <c r="GG228" s="388">
        <f t="shared" ref="GG228:HL228" ca="1" si="1047">(GG$201&lt;=Timing_Reversion_Month)*GF232</f>
        <v>0</v>
      </c>
      <c r="GH228" s="388">
        <f t="shared" ca="1" si="1047"/>
        <v>0</v>
      </c>
      <c r="GI228" s="388">
        <f t="shared" ca="1" si="1047"/>
        <v>0</v>
      </c>
      <c r="GJ228" s="388">
        <f t="shared" ca="1" si="1047"/>
        <v>0</v>
      </c>
      <c r="GK228" s="388">
        <f t="shared" ca="1" si="1047"/>
        <v>0</v>
      </c>
      <c r="GL228" s="388">
        <f t="shared" ca="1" si="1047"/>
        <v>0</v>
      </c>
      <c r="GM228" s="388">
        <f t="shared" ca="1" si="1047"/>
        <v>0</v>
      </c>
      <c r="GN228" s="388">
        <f t="shared" ca="1" si="1047"/>
        <v>0</v>
      </c>
      <c r="GO228" s="388">
        <f t="shared" ca="1" si="1047"/>
        <v>0</v>
      </c>
      <c r="GP228" s="388">
        <f t="shared" ca="1" si="1047"/>
        <v>0</v>
      </c>
      <c r="GQ228" s="388">
        <f t="shared" ca="1" si="1047"/>
        <v>0</v>
      </c>
      <c r="GR228" s="388">
        <f t="shared" ca="1" si="1047"/>
        <v>0</v>
      </c>
      <c r="GS228" s="388">
        <f t="shared" ca="1" si="1047"/>
        <v>0</v>
      </c>
      <c r="GT228" s="388">
        <f t="shared" ca="1" si="1047"/>
        <v>0</v>
      </c>
      <c r="GU228" s="388">
        <f t="shared" ca="1" si="1047"/>
        <v>0</v>
      </c>
      <c r="GV228" s="388">
        <f t="shared" ca="1" si="1047"/>
        <v>0</v>
      </c>
      <c r="GW228" s="388">
        <f t="shared" ca="1" si="1047"/>
        <v>0</v>
      </c>
      <c r="GX228" s="388">
        <f t="shared" ca="1" si="1047"/>
        <v>0</v>
      </c>
      <c r="GY228" s="388">
        <f t="shared" ca="1" si="1047"/>
        <v>0</v>
      </c>
      <c r="GZ228" s="388">
        <f t="shared" ca="1" si="1047"/>
        <v>0</v>
      </c>
      <c r="HA228" s="388">
        <f t="shared" ca="1" si="1047"/>
        <v>0</v>
      </c>
      <c r="HB228" s="388">
        <f t="shared" ca="1" si="1047"/>
        <v>0</v>
      </c>
      <c r="HC228" s="388">
        <f t="shared" ca="1" si="1047"/>
        <v>0</v>
      </c>
      <c r="HD228" s="388">
        <f t="shared" ca="1" si="1047"/>
        <v>0</v>
      </c>
      <c r="HE228" s="388">
        <f t="shared" ca="1" si="1047"/>
        <v>0</v>
      </c>
      <c r="HF228" s="388">
        <f t="shared" ca="1" si="1047"/>
        <v>0</v>
      </c>
      <c r="HG228" s="388">
        <f t="shared" ca="1" si="1047"/>
        <v>0</v>
      </c>
      <c r="HH228" s="388">
        <f t="shared" ca="1" si="1047"/>
        <v>0</v>
      </c>
      <c r="HI228" s="388">
        <f t="shared" ca="1" si="1047"/>
        <v>0</v>
      </c>
      <c r="HJ228" s="388">
        <f t="shared" ca="1" si="1047"/>
        <v>0</v>
      </c>
      <c r="HK228" s="388">
        <f t="shared" ca="1" si="1047"/>
        <v>0</v>
      </c>
      <c r="HL228" s="388">
        <f t="shared" ca="1" si="1047"/>
        <v>0</v>
      </c>
      <c r="HM228" s="388">
        <f t="shared" ref="HM228:IR228" ca="1" si="1048">(HM$201&lt;=Timing_Reversion_Month)*HL232</f>
        <v>0</v>
      </c>
      <c r="HN228" s="388">
        <f t="shared" ca="1" si="1048"/>
        <v>0</v>
      </c>
      <c r="HO228" s="388">
        <f t="shared" ca="1" si="1048"/>
        <v>0</v>
      </c>
      <c r="HP228" s="388">
        <f t="shared" ca="1" si="1048"/>
        <v>0</v>
      </c>
      <c r="HQ228" s="388">
        <f t="shared" ca="1" si="1048"/>
        <v>0</v>
      </c>
      <c r="HR228" s="388">
        <f t="shared" ca="1" si="1048"/>
        <v>0</v>
      </c>
      <c r="HS228" s="388">
        <f t="shared" ca="1" si="1048"/>
        <v>0</v>
      </c>
      <c r="HT228" s="388">
        <f t="shared" ca="1" si="1048"/>
        <v>0</v>
      </c>
      <c r="HU228" s="388">
        <f t="shared" ca="1" si="1048"/>
        <v>0</v>
      </c>
      <c r="HV228" s="388">
        <f t="shared" ca="1" si="1048"/>
        <v>0</v>
      </c>
      <c r="HW228" s="388">
        <f t="shared" ca="1" si="1048"/>
        <v>0</v>
      </c>
      <c r="HX228" s="388">
        <f t="shared" ca="1" si="1048"/>
        <v>0</v>
      </c>
      <c r="HY228" s="388">
        <f t="shared" ca="1" si="1048"/>
        <v>0</v>
      </c>
      <c r="HZ228" s="388">
        <f t="shared" ca="1" si="1048"/>
        <v>0</v>
      </c>
      <c r="IA228" s="388">
        <f t="shared" ca="1" si="1048"/>
        <v>0</v>
      </c>
      <c r="IB228" s="388">
        <f t="shared" ca="1" si="1048"/>
        <v>0</v>
      </c>
      <c r="IC228" s="388">
        <f t="shared" ca="1" si="1048"/>
        <v>0</v>
      </c>
      <c r="ID228" s="388">
        <f t="shared" ca="1" si="1048"/>
        <v>0</v>
      </c>
      <c r="IE228" s="388">
        <f t="shared" ca="1" si="1048"/>
        <v>0</v>
      </c>
      <c r="IF228" s="388">
        <f t="shared" ca="1" si="1048"/>
        <v>0</v>
      </c>
      <c r="IG228" s="388">
        <f t="shared" ca="1" si="1048"/>
        <v>0</v>
      </c>
      <c r="IH228" s="388">
        <f t="shared" ca="1" si="1048"/>
        <v>0</v>
      </c>
      <c r="II228" s="388">
        <f t="shared" ca="1" si="1048"/>
        <v>0</v>
      </c>
      <c r="IJ228" s="388">
        <f t="shared" ca="1" si="1048"/>
        <v>0</v>
      </c>
      <c r="IK228" s="388">
        <f t="shared" ca="1" si="1048"/>
        <v>0</v>
      </c>
      <c r="IL228" s="388">
        <f t="shared" ca="1" si="1048"/>
        <v>0</v>
      </c>
      <c r="IM228" s="388">
        <f t="shared" ca="1" si="1048"/>
        <v>0</v>
      </c>
      <c r="IN228" s="388">
        <f t="shared" ca="1" si="1048"/>
        <v>0</v>
      </c>
      <c r="IO228" s="388">
        <f t="shared" ca="1" si="1048"/>
        <v>0</v>
      </c>
      <c r="IP228" s="388">
        <f t="shared" ca="1" si="1048"/>
        <v>0</v>
      </c>
      <c r="IQ228" s="388">
        <f t="shared" ca="1" si="1048"/>
        <v>0</v>
      </c>
      <c r="IR228" s="388">
        <f t="shared" ca="1" si="1048"/>
        <v>0</v>
      </c>
      <c r="IS228" s="388">
        <f t="shared" ref="IS228:KC228" ca="1" si="1049">(IS$201&lt;=Timing_Reversion_Month)*IR232</f>
        <v>0</v>
      </c>
      <c r="IT228" s="388">
        <f t="shared" ca="1" si="1049"/>
        <v>0</v>
      </c>
      <c r="IU228" s="388">
        <f t="shared" ca="1" si="1049"/>
        <v>0</v>
      </c>
      <c r="IV228" s="388">
        <f t="shared" ca="1" si="1049"/>
        <v>0</v>
      </c>
      <c r="IW228" s="388">
        <f t="shared" ca="1" si="1049"/>
        <v>0</v>
      </c>
      <c r="IX228" s="388">
        <f t="shared" ca="1" si="1049"/>
        <v>0</v>
      </c>
      <c r="IY228" s="388">
        <f t="shared" ca="1" si="1049"/>
        <v>0</v>
      </c>
      <c r="IZ228" s="388">
        <f t="shared" ca="1" si="1049"/>
        <v>0</v>
      </c>
      <c r="JA228" s="388">
        <f t="shared" ca="1" si="1049"/>
        <v>0</v>
      </c>
      <c r="JB228" s="388">
        <f t="shared" ca="1" si="1049"/>
        <v>0</v>
      </c>
      <c r="JC228" s="388">
        <f t="shared" ca="1" si="1049"/>
        <v>0</v>
      </c>
      <c r="JD228" s="388">
        <f t="shared" ca="1" si="1049"/>
        <v>0</v>
      </c>
      <c r="JE228" s="388">
        <f t="shared" ca="1" si="1049"/>
        <v>0</v>
      </c>
      <c r="JF228" s="388">
        <f t="shared" ca="1" si="1049"/>
        <v>0</v>
      </c>
      <c r="JG228" s="388">
        <f t="shared" ca="1" si="1049"/>
        <v>0</v>
      </c>
      <c r="JH228" s="388">
        <f t="shared" ca="1" si="1049"/>
        <v>0</v>
      </c>
      <c r="JI228" s="388">
        <f t="shared" ca="1" si="1049"/>
        <v>0</v>
      </c>
      <c r="JJ228" s="388">
        <f t="shared" ca="1" si="1049"/>
        <v>0</v>
      </c>
      <c r="JK228" s="388">
        <f t="shared" ca="1" si="1049"/>
        <v>0</v>
      </c>
      <c r="JL228" s="388">
        <f t="shared" ca="1" si="1049"/>
        <v>0</v>
      </c>
      <c r="JM228" s="388">
        <f t="shared" ca="1" si="1049"/>
        <v>0</v>
      </c>
      <c r="JN228" s="388">
        <f t="shared" ca="1" si="1049"/>
        <v>0</v>
      </c>
      <c r="JO228" s="388">
        <f t="shared" ca="1" si="1049"/>
        <v>0</v>
      </c>
      <c r="JP228" s="388">
        <f t="shared" ca="1" si="1049"/>
        <v>0</v>
      </c>
      <c r="JQ228" s="388">
        <f t="shared" ca="1" si="1049"/>
        <v>0</v>
      </c>
      <c r="JR228" s="388">
        <f t="shared" ca="1" si="1049"/>
        <v>0</v>
      </c>
      <c r="JS228" s="388">
        <f t="shared" ca="1" si="1049"/>
        <v>0</v>
      </c>
      <c r="JT228" s="388">
        <f t="shared" ca="1" si="1049"/>
        <v>0</v>
      </c>
      <c r="JU228" s="388">
        <f t="shared" ca="1" si="1049"/>
        <v>0</v>
      </c>
      <c r="JV228" s="388">
        <f t="shared" ca="1" si="1049"/>
        <v>0</v>
      </c>
      <c r="JW228" s="388">
        <f t="shared" ca="1" si="1049"/>
        <v>0</v>
      </c>
      <c r="JX228" s="388">
        <f t="shared" ca="1" si="1049"/>
        <v>0</v>
      </c>
      <c r="JY228" s="388">
        <f t="shared" ca="1" si="1049"/>
        <v>0</v>
      </c>
      <c r="JZ228" s="388">
        <f t="shared" ca="1" si="1049"/>
        <v>0</v>
      </c>
      <c r="KA228" s="388">
        <f t="shared" ca="1" si="1049"/>
        <v>0</v>
      </c>
      <c r="KB228" s="388">
        <f t="shared" ca="1" si="1049"/>
        <v>0</v>
      </c>
      <c r="KC228" s="388">
        <f t="shared" ca="1" si="1049"/>
        <v>0</v>
      </c>
    </row>
    <row r="229" spans="2:289" x14ac:dyDescent="0.25">
      <c r="B229" s="289" t="str">
        <f>IF(Dbl_Promote?=1,C254,"")</f>
        <v/>
      </c>
      <c r="C229" s="196"/>
      <c r="D229" s="218" t="str">
        <f>IF(Dbl_Promote?=1,I254,"")</f>
        <v/>
      </c>
      <c r="E229" s="218" t="str">
        <f>IF(Dbl_Promote?=1,I270,"")</f>
        <v/>
      </c>
      <c r="F229" s="218"/>
      <c r="G229" s="268" t="str">
        <f>IF(Dbl_Promote?=1,IFERROR(E229/D229,"NA"),"")</f>
        <v/>
      </c>
      <c r="H229" s="410" t="str">
        <f>IF(Dbl_Promote?=1,F270,"")</f>
        <v/>
      </c>
      <c r="I229" s="272" t="str">
        <f>IF(Dbl_Promote?=1,G270,"")</f>
        <v/>
      </c>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1"/>
      <c r="BT229" s="411"/>
      <c r="BU229" s="411"/>
      <c r="BV229" s="411"/>
      <c r="BW229" s="411"/>
      <c r="BX229" s="411"/>
      <c r="BY229" s="411"/>
      <c r="BZ229" s="411"/>
      <c r="CA229" s="411"/>
      <c r="CB229" s="411"/>
      <c r="CC229" s="411"/>
      <c r="CD229" s="411"/>
      <c r="CE229" s="411"/>
      <c r="CF229" s="411"/>
      <c r="CG229" s="411"/>
      <c r="CH229" s="411"/>
      <c r="CI229" s="411"/>
      <c r="CJ229" s="411"/>
      <c r="CK229" s="411"/>
      <c r="CL229" s="411"/>
      <c r="CM229" s="411"/>
      <c r="CN229" s="411"/>
      <c r="CO229" s="411"/>
      <c r="CP229" s="411"/>
      <c r="CQ229" s="411"/>
      <c r="CR229" s="411"/>
      <c r="CS229" s="411"/>
      <c r="CT229" s="411"/>
      <c r="CU229" s="411"/>
      <c r="CV229" s="411"/>
      <c r="CW229" s="411"/>
      <c r="CX229" s="411"/>
      <c r="CY229" s="411"/>
      <c r="CZ229" s="411"/>
      <c r="DA229" s="411"/>
      <c r="DB229" s="411"/>
      <c r="DC229" s="411"/>
      <c r="DD229" s="411"/>
      <c r="DE229" s="411"/>
      <c r="DF229" s="411"/>
      <c r="DG229" s="411"/>
      <c r="DH229" s="411"/>
      <c r="DI229" s="411"/>
      <c r="DJ229" s="411"/>
      <c r="DK229" s="411"/>
      <c r="DL229" s="411"/>
      <c r="DM229" s="411"/>
      <c r="DN229" s="411"/>
      <c r="DO229" s="411"/>
      <c r="DP229" s="411"/>
      <c r="DQ229" s="411"/>
      <c r="DR229" s="411"/>
      <c r="DS229" s="411"/>
      <c r="DT229" s="411"/>
      <c r="DU229" s="411"/>
      <c r="DV229" s="411"/>
      <c r="DW229" s="411"/>
      <c r="DX229" s="411"/>
      <c r="DY229" s="411"/>
      <c r="DZ229" s="411"/>
      <c r="EA229" s="411"/>
      <c r="EB229" s="411"/>
      <c r="EC229" s="411"/>
      <c r="ED229" s="411"/>
      <c r="EE229" s="411"/>
      <c r="EF229" s="411"/>
      <c r="EG229" s="411"/>
      <c r="EH229" s="411"/>
      <c r="EI229" s="411"/>
      <c r="EJ229" s="411"/>
      <c r="EK229" s="411"/>
      <c r="EL229" s="411"/>
      <c r="EM229" s="411"/>
      <c r="EN229" s="411"/>
      <c r="EO229" s="411"/>
      <c r="EP229" s="411"/>
      <c r="EQ229" s="411"/>
      <c r="ER229" s="411"/>
      <c r="ES229" s="411"/>
      <c r="ET229" s="411"/>
      <c r="EU229" s="202"/>
      <c r="EV229" s="153"/>
      <c r="EW229" s="153"/>
      <c r="EX229" s="153"/>
      <c r="EY229" s="154" t="s">
        <v>352</v>
      </c>
      <c r="EZ229" s="154"/>
      <c r="FA229" s="388">
        <f t="shared" ref="FA229:GF229" si="1050">(FA$201&lt;=Timing_Reversion_Month)*(FA228*((1+$EU230)^(1/12)-1))</f>
        <v>0</v>
      </c>
      <c r="FB229" s="388">
        <f t="shared" ca="1" si="1050"/>
        <v>0</v>
      </c>
      <c r="FC229" s="388">
        <f t="shared" ca="1" si="1050"/>
        <v>0</v>
      </c>
      <c r="FD229" s="388">
        <f t="shared" ca="1" si="1050"/>
        <v>0</v>
      </c>
      <c r="FE229" s="388">
        <f t="shared" ca="1" si="1050"/>
        <v>0</v>
      </c>
      <c r="FF229" s="388">
        <f t="shared" ca="1" si="1050"/>
        <v>0</v>
      </c>
      <c r="FG229" s="388">
        <f t="shared" ca="1" si="1050"/>
        <v>0</v>
      </c>
      <c r="FH229" s="388">
        <f t="shared" ca="1" si="1050"/>
        <v>0</v>
      </c>
      <c r="FI229" s="388">
        <f t="shared" ca="1" si="1050"/>
        <v>0</v>
      </c>
      <c r="FJ229" s="388">
        <f t="shared" ca="1" si="1050"/>
        <v>0</v>
      </c>
      <c r="FK229" s="388">
        <f t="shared" ca="1" si="1050"/>
        <v>0</v>
      </c>
      <c r="FL229" s="388">
        <f t="shared" ca="1" si="1050"/>
        <v>0</v>
      </c>
      <c r="FM229" s="388">
        <f t="shared" ca="1" si="1050"/>
        <v>0</v>
      </c>
      <c r="FN229" s="388">
        <f t="shared" ca="1" si="1050"/>
        <v>0</v>
      </c>
      <c r="FO229" s="388">
        <f t="shared" ca="1" si="1050"/>
        <v>0</v>
      </c>
      <c r="FP229" s="388">
        <f t="shared" ca="1" si="1050"/>
        <v>0</v>
      </c>
      <c r="FQ229" s="388">
        <f t="shared" ca="1" si="1050"/>
        <v>0</v>
      </c>
      <c r="FR229" s="388">
        <f t="shared" ca="1" si="1050"/>
        <v>0</v>
      </c>
      <c r="FS229" s="388">
        <f t="shared" ca="1" si="1050"/>
        <v>0</v>
      </c>
      <c r="FT229" s="388">
        <f t="shared" ca="1" si="1050"/>
        <v>0</v>
      </c>
      <c r="FU229" s="388">
        <f t="shared" ca="1" si="1050"/>
        <v>0</v>
      </c>
      <c r="FV229" s="388">
        <f t="shared" ca="1" si="1050"/>
        <v>0</v>
      </c>
      <c r="FW229" s="388">
        <f t="shared" ca="1" si="1050"/>
        <v>0</v>
      </c>
      <c r="FX229" s="388">
        <f t="shared" ca="1" si="1050"/>
        <v>0</v>
      </c>
      <c r="FY229" s="388">
        <f t="shared" ca="1" si="1050"/>
        <v>0</v>
      </c>
      <c r="FZ229" s="388">
        <f t="shared" ca="1" si="1050"/>
        <v>0</v>
      </c>
      <c r="GA229" s="388">
        <f t="shared" ca="1" si="1050"/>
        <v>0</v>
      </c>
      <c r="GB229" s="388">
        <f t="shared" ca="1" si="1050"/>
        <v>0</v>
      </c>
      <c r="GC229" s="388">
        <f t="shared" ca="1" si="1050"/>
        <v>0</v>
      </c>
      <c r="GD229" s="388">
        <f t="shared" ca="1" si="1050"/>
        <v>0</v>
      </c>
      <c r="GE229" s="388">
        <f t="shared" ca="1" si="1050"/>
        <v>0</v>
      </c>
      <c r="GF229" s="388">
        <f t="shared" ca="1" si="1050"/>
        <v>0</v>
      </c>
      <c r="GG229" s="388">
        <f t="shared" ref="GG229:HL229" ca="1" si="1051">(GG$201&lt;=Timing_Reversion_Month)*(GG228*((1+$EU230)^(1/12)-1))</f>
        <v>0</v>
      </c>
      <c r="GH229" s="388">
        <f t="shared" ca="1" si="1051"/>
        <v>0</v>
      </c>
      <c r="GI229" s="388">
        <f t="shared" ca="1" si="1051"/>
        <v>0</v>
      </c>
      <c r="GJ229" s="388">
        <f t="shared" ca="1" si="1051"/>
        <v>0</v>
      </c>
      <c r="GK229" s="388">
        <f t="shared" ca="1" si="1051"/>
        <v>0</v>
      </c>
      <c r="GL229" s="388">
        <f t="shared" ca="1" si="1051"/>
        <v>0</v>
      </c>
      <c r="GM229" s="388">
        <f t="shared" ca="1" si="1051"/>
        <v>0</v>
      </c>
      <c r="GN229" s="388">
        <f t="shared" ca="1" si="1051"/>
        <v>0</v>
      </c>
      <c r="GO229" s="388">
        <f t="shared" ca="1" si="1051"/>
        <v>0</v>
      </c>
      <c r="GP229" s="388">
        <f t="shared" ca="1" si="1051"/>
        <v>0</v>
      </c>
      <c r="GQ229" s="388">
        <f t="shared" ca="1" si="1051"/>
        <v>0</v>
      </c>
      <c r="GR229" s="388">
        <f t="shared" ca="1" si="1051"/>
        <v>0</v>
      </c>
      <c r="GS229" s="388">
        <f t="shared" ca="1" si="1051"/>
        <v>0</v>
      </c>
      <c r="GT229" s="388">
        <f t="shared" ca="1" si="1051"/>
        <v>0</v>
      </c>
      <c r="GU229" s="388">
        <f t="shared" ca="1" si="1051"/>
        <v>0</v>
      </c>
      <c r="GV229" s="388">
        <f t="shared" ca="1" si="1051"/>
        <v>0</v>
      </c>
      <c r="GW229" s="388">
        <f t="shared" ca="1" si="1051"/>
        <v>0</v>
      </c>
      <c r="GX229" s="388">
        <f t="shared" ca="1" si="1051"/>
        <v>0</v>
      </c>
      <c r="GY229" s="388">
        <f t="shared" ca="1" si="1051"/>
        <v>0</v>
      </c>
      <c r="GZ229" s="388">
        <f t="shared" ca="1" si="1051"/>
        <v>0</v>
      </c>
      <c r="HA229" s="388">
        <f t="shared" ca="1" si="1051"/>
        <v>0</v>
      </c>
      <c r="HB229" s="388">
        <f t="shared" ca="1" si="1051"/>
        <v>0</v>
      </c>
      <c r="HC229" s="388">
        <f t="shared" ca="1" si="1051"/>
        <v>0</v>
      </c>
      <c r="HD229" s="388">
        <f t="shared" ca="1" si="1051"/>
        <v>0</v>
      </c>
      <c r="HE229" s="388">
        <f t="shared" ca="1" si="1051"/>
        <v>0</v>
      </c>
      <c r="HF229" s="388">
        <f t="shared" ca="1" si="1051"/>
        <v>0</v>
      </c>
      <c r="HG229" s="388">
        <f t="shared" ca="1" si="1051"/>
        <v>0</v>
      </c>
      <c r="HH229" s="388">
        <f t="shared" ca="1" si="1051"/>
        <v>0</v>
      </c>
      <c r="HI229" s="388">
        <f t="shared" ca="1" si="1051"/>
        <v>0</v>
      </c>
      <c r="HJ229" s="388">
        <f t="shared" ca="1" si="1051"/>
        <v>0</v>
      </c>
      <c r="HK229" s="388">
        <f t="shared" ca="1" si="1051"/>
        <v>0</v>
      </c>
      <c r="HL229" s="388">
        <f t="shared" ca="1" si="1051"/>
        <v>0</v>
      </c>
      <c r="HM229" s="388">
        <f t="shared" ref="HM229:IR229" ca="1" si="1052">(HM$201&lt;=Timing_Reversion_Month)*(HM228*((1+$EU230)^(1/12)-1))</f>
        <v>0</v>
      </c>
      <c r="HN229" s="388">
        <f t="shared" ca="1" si="1052"/>
        <v>0</v>
      </c>
      <c r="HO229" s="388">
        <f t="shared" ca="1" si="1052"/>
        <v>0</v>
      </c>
      <c r="HP229" s="388">
        <f t="shared" ca="1" si="1052"/>
        <v>0</v>
      </c>
      <c r="HQ229" s="388">
        <f t="shared" ca="1" si="1052"/>
        <v>0</v>
      </c>
      <c r="HR229" s="388">
        <f t="shared" ca="1" si="1052"/>
        <v>0</v>
      </c>
      <c r="HS229" s="388">
        <f t="shared" ca="1" si="1052"/>
        <v>0</v>
      </c>
      <c r="HT229" s="388">
        <f t="shared" ca="1" si="1052"/>
        <v>0</v>
      </c>
      <c r="HU229" s="388">
        <f t="shared" ca="1" si="1052"/>
        <v>0</v>
      </c>
      <c r="HV229" s="388">
        <f t="shared" ca="1" si="1052"/>
        <v>0</v>
      </c>
      <c r="HW229" s="388">
        <f t="shared" ca="1" si="1052"/>
        <v>0</v>
      </c>
      <c r="HX229" s="388">
        <f t="shared" ca="1" si="1052"/>
        <v>0</v>
      </c>
      <c r="HY229" s="388">
        <f t="shared" ca="1" si="1052"/>
        <v>0</v>
      </c>
      <c r="HZ229" s="388">
        <f t="shared" ca="1" si="1052"/>
        <v>0</v>
      </c>
      <c r="IA229" s="388">
        <f t="shared" ca="1" si="1052"/>
        <v>0</v>
      </c>
      <c r="IB229" s="388">
        <f t="shared" ca="1" si="1052"/>
        <v>0</v>
      </c>
      <c r="IC229" s="388">
        <f t="shared" ca="1" si="1052"/>
        <v>0</v>
      </c>
      <c r="ID229" s="388">
        <f t="shared" ca="1" si="1052"/>
        <v>0</v>
      </c>
      <c r="IE229" s="388">
        <f t="shared" ca="1" si="1052"/>
        <v>0</v>
      </c>
      <c r="IF229" s="388">
        <f t="shared" ca="1" si="1052"/>
        <v>0</v>
      </c>
      <c r="IG229" s="388">
        <f t="shared" ca="1" si="1052"/>
        <v>0</v>
      </c>
      <c r="IH229" s="388">
        <f t="shared" ca="1" si="1052"/>
        <v>0</v>
      </c>
      <c r="II229" s="388">
        <f t="shared" ca="1" si="1052"/>
        <v>0</v>
      </c>
      <c r="IJ229" s="388">
        <f t="shared" ca="1" si="1052"/>
        <v>0</v>
      </c>
      <c r="IK229" s="388">
        <f t="shared" ca="1" si="1052"/>
        <v>0</v>
      </c>
      <c r="IL229" s="388">
        <f t="shared" ca="1" si="1052"/>
        <v>0</v>
      </c>
      <c r="IM229" s="388">
        <f t="shared" ca="1" si="1052"/>
        <v>0</v>
      </c>
      <c r="IN229" s="388">
        <f t="shared" ca="1" si="1052"/>
        <v>0</v>
      </c>
      <c r="IO229" s="388">
        <f t="shared" ca="1" si="1052"/>
        <v>0</v>
      </c>
      <c r="IP229" s="388">
        <f t="shared" ca="1" si="1052"/>
        <v>0</v>
      </c>
      <c r="IQ229" s="388">
        <f t="shared" ca="1" si="1052"/>
        <v>0</v>
      </c>
      <c r="IR229" s="388">
        <f t="shared" ca="1" si="1052"/>
        <v>0</v>
      </c>
      <c r="IS229" s="388">
        <f t="shared" ref="IS229:JX229" ca="1" si="1053">(IS$201&lt;=Timing_Reversion_Month)*(IS228*((1+$EU230)^(1/12)-1))</f>
        <v>0</v>
      </c>
      <c r="IT229" s="388">
        <f t="shared" ca="1" si="1053"/>
        <v>0</v>
      </c>
      <c r="IU229" s="388">
        <f t="shared" ca="1" si="1053"/>
        <v>0</v>
      </c>
      <c r="IV229" s="388">
        <f t="shared" ca="1" si="1053"/>
        <v>0</v>
      </c>
      <c r="IW229" s="388">
        <f t="shared" ca="1" si="1053"/>
        <v>0</v>
      </c>
      <c r="IX229" s="388">
        <f t="shared" ca="1" si="1053"/>
        <v>0</v>
      </c>
      <c r="IY229" s="388">
        <f t="shared" ca="1" si="1053"/>
        <v>0</v>
      </c>
      <c r="IZ229" s="388">
        <f t="shared" ca="1" si="1053"/>
        <v>0</v>
      </c>
      <c r="JA229" s="388">
        <f t="shared" ca="1" si="1053"/>
        <v>0</v>
      </c>
      <c r="JB229" s="388">
        <f t="shared" ca="1" si="1053"/>
        <v>0</v>
      </c>
      <c r="JC229" s="388">
        <f t="shared" ca="1" si="1053"/>
        <v>0</v>
      </c>
      <c r="JD229" s="388">
        <f t="shared" ca="1" si="1053"/>
        <v>0</v>
      </c>
      <c r="JE229" s="388">
        <f t="shared" ca="1" si="1053"/>
        <v>0</v>
      </c>
      <c r="JF229" s="388">
        <f t="shared" ca="1" si="1053"/>
        <v>0</v>
      </c>
      <c r="JG229" s="388">
        <f t="shared" ca="1" si="1053"/>
        <v>0</v>
      </c>
      <c r="JH229" s="388">
        <f t="shared" ca="1" si="1053"/>
        <v>0</v>
      </c>
      <c r="JI229" s="388">
        <f t="shared" ca="1" si="1053"/>
        <v>0</v>
      </c>
      <c r="JJ229" s="388">
        <f t="shared" ca="1" si="1053"/>
        <v>0</v>
      </c>
      <c r="JK229" s="388">
        <f t="shared" ca="1" si="1053"/>
        <v>0</v>
      </c>
      <c r="JL229" s="388">
        <f t="shared" ca="1" si="1053"/>
        <v>0</v>
      </c>
      <c r="JM229" s="388">
        <f t="shared" ca="1" si="1053"/>
        <v>0</v>
      </c>
      <c r="JN229" s="388">
        <f t="shared" ca="1" si="1053"/>
        <v>0</v>
      </c>
      <c r="JO229" s="388">
        <f t="shared" ca="1" si="1053"/>
        <v>0</v>
      </c>
      <c r="JP229" s="388">
        <f t="shared" ca="1" si="1053"/>
        <v>0</v>
      </c>
      <c r="JQ229" s="388">
        <f t="shared" ca="1" si="1053"/>
        <v>0</v>
      </c>
      <c r="JR229" s="388">
        <f t="shared" ca="1" si="1053"/>
        <v>0</v>
      </c>
      <c r="JS229" s="388">
        <f t="shared" ca="1" si="1053"/>
        <v>0</v>
      </c>
      <c r="JT229" s="388">
        <f t="shared" ca="1" si="1053"/>
        <v>0</v>
      </c>
      <c r="JU229" s="388">
        <f t="shared" ca="1" si="1053"/>
        <v>0</v>
      </c>
      <c r="JV229" s="388">
        <f t="shared" ca="1" si="1053"/>
        <v>0</v>
      </c>
      <c r="JW229" s="388">
        <f t="shared" ca="1" si="1053"/>
        <v>0</v>
      </c>
      <c r="JX229" s="388">
        <f t="shared" ca="1" si="1053"/>
        <v>0</v>
      </c>
      <c r="JY229" s="388">
        <f t="shared" ref="JY229:KC229" ca="1" si="1054">(JY$201&lt;=Timing_Reversion_Month)*(JY228*((1+$EU230)^(1/12)-1))</f>
        <v>0</v>
      </c>
      <c r="JZ229" s="388">
        <f t="shared" ca="1" si="1054"/>
        <v>0</v>
      </c>
      <c r="KA229" s="388">
        <f t="shared" ca="1" si="1054"/>
        <v>0</v>
      </c>
      <c r="KB229" s="388">
        <f t="shared" ca="1" si="1054"/>
        <v>0</v>
      </c>
      <c r="KC229" s="388">
        <f t="shared" ca="1" si="1054"/>
        <v>0</v>
      </c>
    </row>
    <row r="230" spans="2:289" x14ac:dyDescent="0.25">
      <c r="B230" s="412" t="str">
        <f>IF(Dbl_Promote?=0,"WATERFALL (GP AND LP)","1ST WATERFALL (GP AND LP)")</f>
        <v>WATERFALL (GP AND LP)</v>
      </c>
      <c r="C230" s="412"/>
      <c r="D230" s="412"/>
      <c r="E230" s="412"/>
      <c r="F230" s="412"/>
      <c r="G230" s="412"/>
      <c r="H230" s="412"/>
      <c r="I230" s="412"/>
      <c r="EU230" s="362">
        <f>F239</f>
        <v>0.15</v>
      </c>
      <c r="EV230" s="153" t="s">
        <v>351</v>
      </c>
      <c r="EW230" s="153"/>
      <c r="EX230" s="153"/>
      <c r="EY230" s="154" t="s">
        <v>357</v>
      </c>
      <c r="EZ230" s="154"/>
      <c r="FA230" s="388">
        <f t="shared" ref="FA230:GF230" ca="1" si="1055">FA205+FA221</f>
        <v>0</v>
      </c>
      <c r="FB230" s="388">
        <f t="shared" ca="1" si="1055"/>
        <v>0</v>
      </c>
      <c r="FC230" s="388">
        <f t="shared" ca="1" si="1055"/>
        <v>0</v>
      </c>
      <c r="FD230" s="388">
        <f t="shared" ca="1" si="1055"/>
        <v>0</v>
      </c>
      <c r="FE230" s="388">
        <f t="shared" ca="1" si="1055"/>
        <v>0</v>
      </c>
      <c r="FF230" s="388">
        <f t="shared" ca="1" si="1055"/>
        <v>0</v>
      </c>
      <c r="FG230" s="388">
        <f t="shared" ca="1" si="1055"/>
        <v>0</v>
      </c>
      <c r="FH230" s="388">
        <f t="shared" ca="1" si="1055"/>
        <v>0</v>
      </c>
      <c r="FI230" s="388">
        <f t="shared" ca="1" si="1055"/>
        <v>0</v>
      </c>
      <c r="FJ230" s="388">
        <f t="shared" ca="1" si="1055"/>
        <v>0</v>
      </c>
      <c r="FK230" s="388">
        <f t="shared" ca="1" si="1055"/>
        <v>0</v>
      </c>
      <c r="FL230" s="388">
        <f t="shared" ca="1" si="1055"/>
        <v>0</v>
      </c>
      <c r="FM230" s="388">
        <f t="shared" ca="1" si="1055"/>
        <v>0</v>
      </c>
      <c r="FN230" s="388">
        <f t="shared" ca="1" si="1055"/>
        <v>0</v>
      </c>
      <c r="FO230" s="388">
        <f t="shared" ca="1" si="1055"/>
        <v>0</v>
      </c>
      <c r="FP230" s="388">
        <f t="shared" ca="1" si="1055"/>
        <v>0</v>
      </c>
      <c r="FQ230" s="388">
        <f t="shared" ca="1" si="1055"/>
        <v>0</v>
      </c>
      <c r="FR230" s="388">
        <f t="shared" ca="1" si="1055"/>
        <v>0</v>
      </c>
      <c r="FS230" s="388">
        <f t="shared" ca="1" si="1055"/>
        <v>0</v>
      </c>
      <c r="FT230" s="388">
        <f t="shared" ca="1" si="1055"/>
        <v>0</v>
      </c>
      <c r="FU230" s="388">
        <f t="shared" ca="1" si="1055"/>
        <v>0</v>
      </c>
      <c r="FV230" s="388">
        <f t="shared" ca="1" si="1055"/>
        <v>0</v>
      </c>
      <c r="FW230" s="388">
        <f t="shared" ca="1" si="1055"/>
        <v>0</v>
      </c>
      <c r="FX230" s="388">
        <f t="shared" ca="1" si="1055"/>
        <v>0</v>
      </c>
      <c r="FY230" s="388">
        <f t="shared" ca="1" si="1055"/>
        <v>0</v>
      </c>
      <c r="FZ230" s="388">
        <f t="shared" ca="1" si="1055"/>
        <v>0</v>
      </c>
      <c r="GA230" s="388">
        <f t="shared" ca="1" si="1055"/>
        <v>0</v>
      </c>
      <c r="GB230" s="388">
        <f t="shared" ca="1" si="1055"/>
        <v>0</v>
      </c>
      <c r="GC230" s="388">
        <f t="shared" ca="1" si="1055"/>
        <v>0</v>
      </c>
      <c r="GD230" s="388">
        <f t="shared" ca="1" si="1055"/>
        <v>0</v>
      </c>
      <c r="GE230" s="388">
        <f t="shared" ca="1" si="1055"/>
        <v>0</v>
      </c>
      <c r="GF230" s="388">
        <f t="shared" ca="1" si="1055"/>
        <v>0</v>
      </c>
      <c r="GG230" s="388">
        <f t="shared" ref="GG230:HL230" ca="1" si="1056">GG205+GG221</f>
        <v>0</v>
      </c>
      <c r="GH230" s="388">
        <f t="shared" ca="1" si="1056"/>
        <v>0</v>
      </c>
      <c r="GI230" s="388">
        <f t="shared" ca="1" si="1056"/>
        <v>0</v>
      </c>
      <c r="GJ230" s="388">
        <f t="shared" ca="1" si="1056"/>
        <v>0</v>
      </c>
      <c r="GK230" s="388">
        <f t="shared" ca="1" si="1056"/>
        <v>0</v>
      </c>
      <c r="GL230" s="388">
        <f t="shared" ca="1" si="1056"/>
        <v>0</v>
      </c>
      <c r="GM230" s="388">
        <f t="shared" ca="1" si="1056"/>
        <v>0</v>
      </c>
      <c r="GN230" s="388">
        <f t="shared" ca="1" si="1056"/>
        <v>0</v>
      </c>
      <c r="GO230" s="388">
        <f t="shared" ca="1" si="1056"/>
        <v>0</v>
      </c>
      <c r="GP230" s="388">
        <f t="shared" ca="1" si="1056"/>
        <v>0</v>
      </c>
      <c r="GQ230" s="388">
        <f t="shared" ca="1" si="1056"/>
        <v>0</v>
      </c>
      <c r="GR230" s="388">
        <f t="shared" ca="1" si="1056"/>
        <v>0</v>
      </c>
      <c r="GS230" s="388">
        <f t="shared" ca="1" si="1056"/>
        <v>0</v>
      </c>
      <c r="GT230" s="388">
        <f t="shared" ca="1" si="1056"/>
        <v>0</v>
      </c>
      <c r="GU230" s="388">
        <f t="shared" ca="1" si="1056"/>
        <v>0</v>
      </c>
      <c r="GV230" s="388">
        <f t="shared" ca="1" si="1056"/>
        <v>0</v>
      </c>
      <c r="GW230" s="388">
        <f t="shared" ca="1" si="1056"/>
        <v>0</v>
      </c>
      <c r="GX230" s="388">
        <f t="shared" ca="1" si="1056"/>
        <v>0</v>
      </c>
      <c r="GY230" s="388">
        <f t="shared" ca="1" si="1056"/>
        <v>0</v>
      </c>
      <c r="GZ230" s="388">
        <f t="shared" ca="1" si="1056"/>
        <v>0</v>
      </c>
      <c r="HA230" s="388">
        <f t="shared" ca="1" si="1056"/>
        <v>0</v>
      </c>
      <c r="HB230" s="388">
        <f t="shared" ca="1" si="1056"/>
        <v>0</v>
      </c>
      <c r="HC230" s="388">
        <f t="shared" ca="1" si="1056"/>
        <v>0</v>
      </c>
      <c r="HD230" s="388">
        <f t="shared" ca="1" si="1056"/>
        <v>0</v>
      </c>
      <c r="HE230" s="388">
        <f t="shared" ca="1" si="1056"/>
        <v>0</v>
      </c>
      <c r="HF230" s="388">
        <f t="shared" ca="1" si="1056"/>
        <v>0</v>
      </c>
      <c r="HG230" s="388">
        <f t="shared" ca="1" si="1056"/>
        <v>0</v>
      </c>
      <c r="HH230" s="388">
        <f t="shared" ca="1" si="1056"/>
        <v>0</v>
      </c>
      <c r="HI230" s="388">
        <f t="shared" ca="1" si="1056"/>
        <v>0</v>
      </c>
      <c r="HJ230" s="388">
        <f t="shared" ca="1" si="1056"/>
        <v>0</v>
      </c>
      <c r="HK230" s="388">
        <f t="shared" ca="1" si="1056"/>
        <v>0</v>
      </c>
      <c r="HL230" s="388">
        <f t="shared" ca="1" si="1056"/>
        <v>0</v>
      </c>
      <c r="HM230" s="388">
        <f t="shared" ref="HM230:IR230" ca="1" si="1057">HM205+HM221</f>
        <v>0</v>
      </c>
      <c r="HN230" s="388">
        <f t="shared" ca="1" si="1057"/>
        <v>0</v>
      </c>
      <c r="HO230" s="388">
        <f t="shared" ca="1" si="1057"/>
        <v>0</v>
      </c>
      <c r="HP230" s="388">
        <f t="shared" ca="1" si="1057"/>
        <v>0</v>
      </c>
      <c r="HQ230" s="388">
        <f t="shared" ca="1" si="1057"/>
        <v>0</v>
      </c>
      <c r="HR230" s="388">
        <f t="shared" ca="1" si="1057"/>
        <v>0</v>
      </c>
      <c r="HS230" s="388">
        <f t="shared" ca="1" si="1057"/>
        <v>0</v>
      </c>
      <c r="HT230" s="388">
        <f t="shared" ca="1" si="1057"/>
        <v>0</v>
      </c>
      <c r="HU230" s="388">
        <f t="shared" ca="1" si="1057"/>
        <v>0</v>
      </c>
      <c r="HV230" s="388">
        <f t="shared" ca="1" si="1057"/>
        <v>0</v>
      </c>
      <c r="HW230" s="388">
        <f t="shared" ca="1" si="1057"/>
        <v>0</v>
      </c>
      <c r="HX230" s="388">
        <f t="shared" ca="1" si="1057"/>
        <v>0</v>
      </c>
      <c r="HY230" s="388">
        <f t="shared" ca="1" si="1057"/>
        <v>0</v>
      </c>
      <c r="HZ230" s="388">
        <f t="shared" ca="1" si="1057"/>
        <v>0</v>
      </c>
      <c r="IA230" s="388">
        <f t="shared" ca="1" si="1057"/>
        <v>0</v>
      </c>
      <c r="IB230" s="388">
        <f t="shared" ca="1" si="1057"/>
        <v>0</v>
      </c>
      <c r="IC230" s="388">
        <f t="shared" ca="1" si="1057"/>
        <v>0</v>
      </c>
      <c r="ID230" s="388">
        <f t="shared" ca="1" si="1057"/>
        <v>0</v>
      </c>
      <c r="IE230" s="388">
        <f t="shared" ca="1" si="1057"/>
        <v>0</v>
      </c>
      <c r="IF230" s="388">
        <f t="shared" ca="1" si="1057"/>
        <v>0</v>
      </c>
      <c r="IG230" s="388">
        <f t="shared" ca="1" si="1057"/>
        <v>0</v>
      </c>
      <c r="IH230" s="388">
        <f t="shared" ca="1" si="1057"/>
        <v>0</v>
      </c>
      <c r="II230" s="388">
        <f t="shared" ca="1" si="1057"/>
        <v>0</v>
      </c>
      <c r="IJ230" s="388">
        <f t="shared" ca="1" si="1057"/>
        <v>0</v>
      </c>
      <c r="IK230" s="388">
        <f t="shared" ca="1" si="1057"/>
        <v>0</v>
      </c>
      <c r="IL230" s="388">
        <f t="shared" ca="1" si="1057"/>
        <v>0</v>
      </c>
      <c r="IM230" s="388">
        <f t="shared" ca="1" si="1057"/>
        <v>0</v>
      </c>
      <c r="IN230" s="388">
        <f t="shared" ca="1" si="1057"/>
        <v>0</v>
      </c>
      <c r="IO230" s="388">
        <f t="shared" ca="1" si="1057"/>
        <v>0</v>
      </c>
      <c r="IP230" s="388">
        <f t="shared" ca="1" si="1057"/>
        <v>0</v>
      </c>
      <c r="IQ230" s="388">
        <f t="shared" ca="1" si="1057"/>
        <v>0</v>
      </c>
      <c r="IR230" s="388">
        <f t="shared" ca="1" si="1057"/>
        <v>0</v>
      </c>
      <c r="IS230" s="388">
        <f t="shared" ref="IS230:KC230" ca="1" si="1058">IS205+IS221</f>
        <v>0</v>
      </c>
      <c r="IT230" s="388">
        <f t="shared" ca="1" si="1058"/>
        <v>0</v>
      </c>
      <c r="IU230" s="388">
        <f t="shared" ca="1" si="1058"/>
        <v>0</v>
      </c>
      <c r="IV230" s="388">
        <f t="shared" ca="1" si="1058"/>
        <v>0</v>
      </c>
      <c r="IW230" s="388">
        <f t="shared" ca="1" si="1058"/>
        <v>0</v>
      </c>
      <c r="IX230" s="388">
        <f t="shared" ca="1" si="1058"/>
        <v>0</v>
      </c>
      <c r="IY230" s="388">
        <f t="shared" ca="1" si="1058"/>
        <v>0</v>
      </c>
      <c r="IZ230" s="388">
        <f t="shared" ca="1" si="1058"/>
        <v>0</v>
      </c>
      <c r="JA230" s="388">
        <f t="shared" ca="1" si="1058"/>
        <v>0</v>
      </c>
      <c r="JB230" s="388">
        <f t="shared" ca="1" si="1058"/>
        <v>0</v>
      </c>
      <c r="JC230" s="388">
        <f t="shared" ca="1" si="1058"/>
        <v>0</v>
      </c>
      <c r="JD230" s="388">
        <f t="shared" ca="1" si="1058"/>
        <v>0</v>
      </c>
      <c r="JE230" s="388">
        <f t="shared" ca="1" si="1058"/>
        <v>0</v>
      </c>
      <c r="JF230" s="388">
        <f t="shared" ca="1" si="1058"/>
        <v>0</v>
      </c>
      <c r="JG230" s="388">
        <f t="shared" ca="1" si="1058"/>
        <v>0</v>
      </c>
      <c r="JH230" s="388">
        <f t="shared" ca="1" si="1058"/>
        <v>0</v>
      </c>
      <c r="JI230" s="388">
        <f t="shared" ca="1" si="1058"/>
        <v>0</v>
      </c>
      <c r="JJ230" s="388">
        <f t="shared" ca="1" si="1058"/>
        <v>0</v>
      </c>
      <c r="JK230" s="388">
        <f t="shared" ca="1" si="1058"/>
        <v>0</v>
      </c>
      <c r="JL230" s="388">
        <f t="shared" ca="1" si="1058"/>
        <v>0</v>
      </c>
      <c r="JM230" s="388">
        <f t="shared" ca="1" si="1058"/>
        <v>0</v>
      </c>
      <c r="JN230" s="388">
        <f t="shared" ca="1" si="1058"/>
        <v>0</v>
      </c>
      <c r="JO230" s="388">
        <f t="shared" ca="1" si="1058"/>
        <v>0</v>
      </c>
      <c r="JP230" s="388">
        <f t="shared" ca="1" si="1058"/>
        <v>0</v>
      </c>
      <c r="JQ230" s="388">
        <f t="shared" ca="1" si="1058"/>
        <v>0</v>
      </c>
      <c r="JR230" s="388">
        <f t="shared" ca="1" si="1058"/>
        <v>0</v>
      </c>
      <c r="JS230" s="388">
        <f t="shared" ca="1" si="1058"/>
        <v>0</v>
      </c>
      <c r="JT230" s="388">
        <f t="shared" ca="1" si="1058"/>
        <v>0</v>
      </c>
      <c r="JU230" s="388">
        <f t="shared" ca="1" si="1058"/>
        <v>0</v>
      </c>
      <c r="JV230" s="388">
        <f t="shared" ca="1" si="1058"/>
        <v>0</v>
      </c>
      <c r="JW230" s="388">
        <f t="shared" ca="1" si="1058"/>
        <v>0</v>
      </c>
      <c r="JX230" s="388">
        <f t="shared" ca="1" si="1058"/>
        <v>0</v>
      </c>
      <c r="JY230" s="388">
        <f t="shared" ca="1" si="1058"/>
        <v>0</v>
      </c>
      <c r="JZ230" s="388">
        <f t="shared" ca="1" si="1058"/>
        <v>0</v>
      </c>
      <c r="KA230" s="388">
        <f t="shared" ca="1" si="1058"/>
        <v>0</v>
      </c>
      <c r="KB230" s="388">
        <f t="shared" ca="1" si="1058"/>
        <v>0</v>
      </c>
      <c r="KC230" s="388">
        <f t="shared" ca="1" si="1058"/>
        <v>0</v>
      </c>
    </row>
    <row r="231" spans="2:289" x14ac:dyDescent="0.25">
      <c r="B231" s="209" t="s">
        <v>192</v>
      </c>
      <c r="C231" s="181"/>
      <c r="D231" s="181"/>
      <c r="E231" s="413"/>
      <c r="F231" s="413"/>
      <c r="G231" s="413"/>
      <c r="H231" s="210" t="s">
        <v>191</v>
      </c>
      <c r="I231" s="210" t="s">
        <v>44</v>
      </c>
      <c r="J231" s="160"/>
      <c r="K231" s="160"/>
      <c r="L231" s="160"/>
      <c r="M231" s="160"/>
      <c r="N231" s="160"/>
      <c r="O231" s="160"/>
      <c r="P231" s="160" t="s">
        <v>462</v>
      </c>
      <c r="Q231" s="161">
        <f t="shared" ref="Q231:AV231" si="1059">Q198</f>
        <v>0</v>
      </c>
      <c r="R231" s="161">
        <f t="shared" si="1059"/>
        <v>1</v>
      </c>
      <c r="S231" s="161">
        <f t="shared" si="1059"/>
        <v>2</v>
      </c>
      <c r="T231" s="161">
        <f t="shared" si="1059"/>
        <v>3</v>
      </c>
      <c r="U231" s="161">
        <f t="shared" si="1059"/>
        <v>4</v>
      </c>
      <c r="V231" s="161">
        <f t="shared" si="1059"/>
        <v>5</v>
      </c>
      <c r="W231" s="161">
        <f t="shared" si="1059"/>
        <v>6</v>
      </c>
      <c r="X231" s="161">
        <f t="shared" si="1059"/>
        <v>7</v>
      </c>
      <c r="Y231" s="161">
        <f t="shared" si="1059"/>
        <v>8</v>
      </c>
      <c r="Z231" s="161">
        <f t="shared" si="1059"/>
        <v>9</v>
      </c>
      <c r="AA231" s="161">
        <f t="shared" si="1059"/>
        <v>10</v>
      </c>
      <c r="AB231" s="161">
        <f t="shared" si="1059"/>
        <v>11</v>
      </c>
      <c r="AC231" s="161">
        <f t="shared" si="1059"/>
        <v>12</v>
      </c>
      <c r="AD231" s="161">
        <f t="shared" si="1059"/>
        <v>13</v>
      </c>
      <c r="AE231" s="161">
        <f t="shared" si="1059"/>
        <v>14</v>
      </c>
      <c r="AF231" s="161">
        <f t="shared" si="1059"/>
        <v>15</v>
      </c>
      <c r="AG231" s="161">
        <f t="shared" si="1059"/>
        <v>16</v>
      </c>
      <c r="AH231" s="161">
        <f t="shared" si="1059"/>
        <v>17</v>
      </c>
      <c r="AI231" s="161">
        <f t="shared" si="1059"/>
        <v>18</v>
      </c>
      <c r="AJ231" s="161">
        <f t="shared" si="1059"/>
        <v>19</v>
      </c>
      <c r="AK231" s="161">
        <f t="shared" si="1059"/>
        <v>20</v>
      </c>
      <c r="AL231" s="161">
        <f t="shared" si="1059"/>
        <v>21</v>
      </c>
      <c r="AM231" s="161">
        <f t="shared" si="1059"/>
        <v>22</v>
      </c>
      <c r="AN231" s="161">
        <f t="shared" si="1059"/>
        <v>23</v>
      </c>
      <c r="AO231" s="161">
        <f t="shared" si="1059"/>
        <v>24</v>
      </c>
      <c r="AP231" s="161">
        <f t="shared" si="1059"/>
        <v>25</v>
      </c>
      <c r="AQ231" s="161">
        <f t="shared" si="1059"/>
        <v>26</v>
      </c>
      <c r="AR231" s="161">
        <f t="shared" si="1059"/>
        <v>27</v>
      </c>
      <c r="AS231" s="161">
        <f t="shared" si="1059"/>
        <v>28</v>
      </c>
      <c r="AT231" s="161">
        <f t="shared" si="1059"/>
        <v>29</v>
      </c>
      <c r="AU231" s="161">
        <f t="shared" si="1059"/>
        <v>30</v>
      </c>
      <c r="AV231" s="161">
        <f t="shared" si="1059"/>
        <v>31</v>
      </c>
      <c r="AW231" s="161">
        <f t="shared" ref="AW231:CB231" si="1060">AW198</f>
        <v>32</v>
      </c>
      <c r="AX231" s="161">
        <f t="shared" si="1060"/>
        <v>33</v>
      </c>
      <c r="AY231" s="161">
        <f t="shared" si="1060"/>
        <v>34</v>
      </c>
      <c r="AZ231" s="161">
        <f t="shared" si="1060"/>
        <v>35</v>
      </c>
      <c r="BA231" s="161">
        <f t="shared" si="1060"/>
        <v>36</v>
      </c>
      <c r="BB231" s="161" t="str">
        <f t="shared" si="1060"/>
        <v/>
      </c>
      <c r="BC231" s="161" t="str">
        <f t="shared" si="1060"/>
        <v/>
      </c>
      <c r="BD231" s="161" t="str">
        <f t="shared" si="1060"/>
        <v/>
      </c>
      <c r="BE231" s="161" t="str">
        <f t="shared" si="1060"/>
        <v/>
      </c>
      <c r="BF231" s="161" t="str">
        <f t="shared" si="1060"/>
        <v/>
      </c>
      <c r="BG231" s="161" t="str">
        <f t="shared" si="1060"/>
        <v/>
      </c>
      <c r="BH231" s="161" t="str">
        <f t="shared" si="1060"/>
        <v/>
      </c>
      <c r="BI231" s="161" t="str">
        <f t="shared" si="1060"/>
        <v/>
      </c>
      <c r="BJ231" s="161" t="str">
        <f t="shared" si="1060"/>
        <v/>
      </c>
      <c r="BK231" s="161" t="str">
        <f t="shared" si="1060"/>
        <v/>
      </c>
      <c r="BL231" s="161" t="str">
        <f t="shared" si="1060"/>
        <v/>
      </c>
      <c r="BM231" s="161" t="str">
        <f t="shared" si="1060"/>
        <v/>
      </c>
      <c r="BN231" s="161" t="str">
        <f t="shared" si="1060"/>
        <v/>
      </c>
      <c r="BO231" s="161" t="str">
        <f t="shared" si="1060"/>
        <v/>
      </c>
      <c r="BP231" s="161" t="str">
        <f t="shared" si="1060"/>
        <v/>
      </c>
      <c r="BQ231" s="161" t="str">
        <f t="shared" si="1060"/>
        <v/>
      </c>
      <c r="BR231" s="161" t="str">
        <f t="shared" si="1060"/>
        <v/>
      </c>
      <c r="BS231" s="161" t="str">
        <f t="shared" si="1060"/>
        <v/>
      </c>
      <c r="BT231" s="161" t="str">
        <f t="shared" si="1060"/>
        <v/>
      </c>
      <c r="BU231" s="161" t="str">
        <f t="shared" si="1060"/>
        <v/>
      </c>
      <c r="BV231" s="161" t="str">
        <f t="shared" si="1060"/>
        <v/>
      </c>
      <c r="BW231" s="161" t="str">
        <f t="shared" si="1060"/>
        <v/>
      </c>
      <c r="BX231" s="161" t="str">
        <f t="shared" si="1060"/>
        <v/>
      </c>
      <c r="BY231" s="161" t="str">
        <f t="shared" si="1060"/>
        <v/>
      </c>
      <c r="BZ231" s="161" t="str">
        <f t="shared" si="1060"/>
        <v/>
      </c>
      <c r="CA231" s="161" t="str">
        <f t="shared" si="1060"/>
        <v/>
      </c>
      <c r="CB231" s="161" t="str">
        <f t="shared" si="1060"/>
        <v/>
      </c>
      <c r="CC231" s="161" t="str">
        <f t="shared" ref="CC231:DH231" si="1061">CC198</f>
        <v/>
      </c>
      <c r="CD231" s="161" t="str">
        <f t="shared" si="1061"/>
        <v/>
      </c>
      <c r="CE231" s="161" t="str">
        <f t="shared" si="1061"/>
        <v/>
      </c>
      <c r="CF231" s="161" t="str">
        <f t="shared" si="1061"/>
        <v/>
      </c>
      <c r="CG231" s="161" t="str">
        <f t="shared" si="1061"/>
        <v/>
      </c>
      <c r="CH231" s="161" t="str">
        <f t="shared" si="1061"/>
        <v/>
      </c>
      <c r="CI231" s="161" t="str">
        <f t="shared" si="1061"/>
        <v/>
      </c>
      <c r="CJ231" s="161" t="str">
        <f t="shared" si="1061"/>
        <v/>
      </c>
      <c r="CK231" s="161" t="str">
        <f t="shared" si="1061"/>
        <v/>
      </c>
      <c r="CL231" s="161" t="str">
        <f t="shared" si="1061"/>
        <v/>
      </c>
      <c r="CM231" s="161" t="str">
        <f t="shared" si="1061"/>
        <v/>
      </c>
      <c r="CN231" s="161" t="str">
        <f t="shared" si="1061"/>
        <v/>
      </c>
      <c r="CO231" s="161" t="str">
        <f t="shared" si="1061"/>
        <v/>
      </c>
      <c r="CP231" s="161" t="str">
        <f t="shared" si="1061"/>
        <v/>
      </c>
      <c r="CQ231" s="161" t="str">
        <f t="shared" si="1061"/>
        <v/>
      </c>
      <c r="CR231" s="161" t="str">
        <f t="shared" si="1061"/>
        <v/>
      </c>
      <c r="CS231" s="161" t="str">
        <f t="shared" si="1061"/>
        <v/>
      </c>
      <c r="CT231" s="161" t="str">
        <f t="shared" si="1061"/>
        <v/>
      </c>
      <c r="CU231" s="161" t="str">
        <f t="shared" si="1061"/>
        <v/>
      </c>
      <c r="CV231" s="161" t="str">
        <f t="shared" si="1061"/>
        <v/>
      </c>
      <c r="CW231" s="161" t="str">
        <f t="shared" si="1061"/>
        <v/>
      </c>
      <c r="CX231" s="161" t="str">
        <f t="shared" si="1061"/>
        <v/>
      </c>
      <c r="CY231" s="161" t="str">
        <f t="shared" si="1061"/>
        <v/>
      </c>
      <c r="CZ231" s="161" t="str">
        <f t="shared" si="1061"/>
        <v/>
      </c>
      <c r="DA231" s="161" t="str">
        <f t="shared" si="1061"/>
        <v/>
      </c>
      <c r="DB231" s="161" t="str">
        <f t="shared" si="1061"/>
        <v/>
      </c>
      <c r="DC231" s="161" t="str">
        <f t="shared" si="1061"/>
        <v/>
      </c>
      <c r="DD231" s="161" t="str">
        <f t="shared" si="1061"/>
        <v/>
      </c>
      <c r="DE231" s="161" t="str">
        <f t="shared" si="1061"/>
        <v/>
      </c>
      <c r="DF231" s="161" t="str">
        <f t="shared" si="1061"/>
        <v/>
      </c>
      <c r="DG231" s="161" t="str">
        <f t="shared" si="1061"/>
        <v/>
      </c>
      <c r="DH231" s="161" t="str">
        <f t="shared" si="1061"/>
        <v/>
      </c>
      <c r="DI231" s="161" t="str">
        <f t="shared" ref="DI231:ES231" si="1062">DI198</f>
        <v/>
      </c>
      <c r="DJ231" s="161" t="str">
        <f t="shared" si="1062"/>
        <v/>
      </c>
      <c r="DK231" s="161" t="str">
        <f t="shared" si="1062"/>
        <v/>
      </c>
      <c r="DL231" s="161" t="str">
        <f t="shared" si="1062"/>
        <v/>
      </c>
      <c r="DM231" s="161" t="str">
        <f t="shared" si="1062"/>
        <v/>
      </c>
      <c r="DN231" s="161" t="str">
        <f t="shared" si="1062"/>
        <v/>
      </c>
      <c r="DO231" s="161" t="str">
        <f t="shared" si="1062"/>
        <v/>
      </c>
      <c r="DP231" s="161" t="str">
        <f t="shared" si="1062"/>
        <v/>
      </c>
      <c r="DQ231" s="161" t="str">
        <f t="shared" si="1062"/>
        <v/>
      </c>
      <c r="DR231" s="161" t="str">
        <f t="shared" si="1062"/>
        <v/>
      </c>
      <c r="DS231" s="161" t="str">
        <f t="shared" si="1062"/>
        <v/>
      </c>
      <c r="DT231" s="161" t="str">
        <f t="shared" si="1062"/>
        <v/>
      </c>
      <c r="DU231" s="161" t="str">
        <f t="shared" si="1062"/>
        <v/>
      </c>
      <c r="DV231" s="161" t="str">
        <f t="shared" si="1062"/>
        <v/>
      </c>
      <c r="DW231" s="161" t="str">
        <f t="shared" si="1062"/>
        <v/>
      </c>
      <c r="DX231" s="161" t="str">
        <f t="shared" si="1062"/>
        <v/>
      </c>
      <c r="DY231" s="161" t="str">
        <f t="shared" si="1062"/>
        <v/>
      </c>
      <c r="DZ231" s="161" t="str">
        <f t="shared" si="1062"/>
        <v/>
      </c>
      <c r="EA231" s="161" t="str">
        <f t="shared" si="1062"/>
        <v/>
      </c>
      <c r="EB231" s="161" t="str">
        <f t="shared" si="1062"/>
        <v/>
      </c>
      <c r="EC231" s="161" t="str">
        <f t="shared" si="1062"/>
        <v/>
      </c>
      <c r="ED231" s="161" t="str">
        <f t="shared" si="1062"/>
        <v/>
      </c>
      <c r="EE231" s="161" t="str">
        <f t="shared" si="1062"/>
        <v/>
      </c>
      <c r="EF231" s="161" t="str">
        <f t="shared" si="1062"/>
        <v/>
      </c>
      <c r="EG231" s="161" t="str">
        <f t="shared" si="1062"/>
        <v/>
      </c>
      <c r="EH231" s="161" t="str">
        <f t="shared" si="1062"/>
        <v/>
      </c>
      <c r="EI231" s="161" t="str">
        <f t="shared" si="1062"/>
        <v/>
      </c>
      <c r="EJ231" s="161" t="str">
        <f t="shared" si="1062"/>
        <v/>
      </c>
      <c r="EK231" s="161" t="str">
        <f t="shared" si="1062"/>
        <v/>
      </c>
      <c r="EL231" s="161" t="str">
        <f t="shared" si="1062"/>
        <v/>
      </c>
      <c r="EM231" s="161" t="str">
        <f t="shared" si="1062"/>
        <v/>
      </c>
      <c r="EN231" s="161" t="str">
        <f t="shared" si="1062"/>
        <v/>
      </c>
      <c r="EO231" s="161" t="str">
        <f t="shared" si="1062"/>
        <v/>
      </c>
      <c r="EP231" s="161" t="str">
        <f t="shared" si="1062"/>
        <v/>
      </c>
      <c r="EQ231" s="161" t="str">
        <f t="shared" si="1062"/>
        <v/>
      </c>
      <c r="ER231" s="161" t="str">
        <f t="shared" si="1062"/>
        <v/>
      </c>
      <c r="ES231" s="161" t="str">
        <f t="shared" si="1062"/>
        <v/>
      </c>
      <c r="EU231" s="202"/>
      <c r="EV231" s="153"/>
      <c r="EW231" s="153"/>
      <c r="EX231" s="153"/>
      <c r="EY231" s="154" t="s">
        <v>363</v>
      </c>
      <c r="EZ231" s="154"/>
      <c r="FA231" s="388">
        <f t="shared" ref="FA231:GF231" ca="1" si="1063">(FA$201&lt;=Timing_Reversion_Month)*(MIN(FA228+FA229-FA230,MAX(FA227,0)*$I$239))</f>
        <v>0</v>
      </c>
      <c r="FB231" s="388">
        <f t="shared" ca="1" si="1063"/>
        <v>0</v>
      </c>
      <c r="FC231" s="388">
        <f t="shared" ca="1" si="1063"/>
        <v>0</v>
      </c>
      <c r="FD231" s="388">
        <f t="shared" ca="1" si="1063"/>
        <v>0</v>
      </c>
      <c r="FE231" s="388">
        <f t="shared" ca="1" si="1063"/>
        <v>0</v>
      </c>
      <c r="FF231" s="388">
        <f t="shared" ca="1" si="1063"/>
        <v>0</v>
      </c>
      <c r="FG231" s="388">
        <f t="shared" ca="1" si="1063"/>
        <v>0</v>
      </c>
      <c r="FH231" s="388">
        <f t="shared" ca="1" si="1063"/>
        <v>0</v>
      </c>
      <c r="FI231" s="388">
        <f t="shared" ca="1" si="1063"/>
        <v>0</v>
      </c>
      <c r="FJ231" s="388">
        <f t="shared" ca="1" si="1063"/>
        <v>0</v>
      </c>
      <c r="FK231" s="388">
        <f t="shared" ca="1" si="1063"/>
        <v>0</v>
      </c>
      <c r="FL231" s="388">
        <f t="shared" ca="1" si="1063"/>
        <v>0</v>
      </c>
      <c r="FM231" s="388">
        <f t="shared" ca="1" si="1063"/>
        <v>0</v>
      </c>
      <c r="FN231" s="388">
        <f t="shared" ca="1" si="1063"/>
        <v>0</v>
      </c>
      <c r="FO231" s="388">
        <f t="shared" ca="1" si="1063"/>
        <v>0</v>
      </c>
      <c r="FP231" s="388">
        <f t="shared" ca="1" si="1063"/>
        <v>0</v>
      </c>
      <c r="FQ231" s="388">
        <f t="shared" ca="1" si="1063"/>
        <v>0</v>
      </c>
      <c r="FR231" s="388">
        <f t="shared" ca="1" si="1063"/>
        <v>0</v>
      </c>
      <c r="FS231" s="388">
        <f t="shared" ca="1" si="1063"/>
        <v>0</v>
      </c>
      <c r="FT231" s="388">
        <f t="shared" ca="1" si="1063"/>
        <v>0</v>
      </c>
      <c r="FU231" s="388">
        <f t="shared" ca="1" si="1063"/>
        <v>0</v>
      </c>
      <c r="FV231" s="388">
        <f t="shared" ca="1" si="1063"/>
        <v>0</v>
      </c>
      <c r="FW231" s="388">
        <f t="shared" ca="1" si="1063"/>
        <v>0</v>
      </c>
      <c r="FX231" s="388">
        <f t="shared" ca="1" si="1063"/>
        <v>0</v>
      </c>
      <c r="FY231" s="388">
        <f t="shared" ca="1" si="1063"/>
        <v>0</v>
      </c>
      <c r="FZ231" s="388">
        <f t="shared" ca="1" si="1063"/>
        <v>0</v>
      </c>
      <c r="GA231" s="388">
        <f t="shared" ca="1" si="1063"/>
        <v>0</v>
      </c>
      <c r="GB231" s="388">
        <f t="shared" ca="1" si="1063"/>
        <v>0</v>
      </c>
      <c r="GC231" s="388">
        <f t="shared" ca="1" si="1063"/>
        <v>0</v>
      </c>
      <c r="GD231" s="388">
        <f t="shared" ca="1" si="1063"/>
        <v>0</v>
      </c>
      <c r="GE231" s="388">
        <f t="shared" ca="1" si="1063"/>
        <v>0</v>
      </c>
      <c r="GF231" s="388">
        <f t="shared" ca="1" si="1063"/>
        <v>0</v>
      </c>
      <c r="GG231" s="388">
        <f t="shared" ref="GG231:HL231" ca="1" si="1064">(GG$201&lt;=Timing_Reversion_Month)*(MIN(GG228+GG229-GG230,MAX(GG227,0)*$I$239))</f>
        <v>0</v>
      </c>
      <c r="GH231" s="388">
        <f t="shared" ca="1" si="1064"/>
        <v>0</v>
      </c>
      <c r="GI231" s="388">
        <f t="shared" ca="1" si="1064"/>
        <v>0</v>
      </c>
      <c r="GJ231" s="388">
        <f t="shared" ca="1" si="1064"/>
        <v>0</v>
      </c>
      <c r="GK231" s="388">
        <f t="shared" ca="1" si="1064"/>
        <v>0</v>
      </c>
      <c r="GL231" s="388">
        <f t="shared" ca="1" si="1064"/>
        <v>0</v>
      </c>
      <c r="GM231" s="388">
        <f t="shared" ca="1" si="1064"/>
        <v>0</v>
      </c>
      <c r="GN231" s="388">
        <f t="shared" ca="1" si="1064"/>
        <v>0</v>
      </c>
      <c r="GO231" s="388">
        <f t="shared" ca="1" si="1064"/>
        <v>0</v>
      </c>
      <c r="GP231" s="388">
        <f t="shared" ca="1" si="1064"/>
        <v>0</v>
      </c>
      <c r="GQ231" s="388">
        <f t="shared" ca="1" si="1064"/>
        <v>0</v>
      </c>
      <c r="GR231" s="388">
        <f t="shared" ca="1" si="1064"/>
        <v>0</v>
      </c>
      <c r="GS231" s="388">
        <f t="shared" ca="1" si="1064"/>
        <v>0</v>
      </c>
      <c r="GT231" s="388">
        <f t="shared" ca="1" si="1064"/>
        <v>0</v>
      </c>
      <c r="GU231" s="388">
        <f t="shared" ca="1" si="1064"/>
        <v>0</v>
      </c>
      <c r="GV231" s="388">
        <f t="shared" ca="1" si="1064"/>
        <v>0</v>
      </c>
      <c r="GW231" s="388">
        <f t="shared" ca="1" si="1064"/>
        <v>0</v>
      </c>
      <c r="GX231" s="388">
        <f t="shared" ca="1" si="1064"/>
        <v>0</v>
      </c>
      <c r="GY231" s="388">
        <f t="shared" ca="1" si="1064"/>
        <v>0</v>
      </c>
      <c r="GZ231" s="388">
        <f t="shared" ca="1" si="1064"/>
        <v>0</v>
      </c>
      <c r="HA231" s="388">
        <f t="shared" ca="1" si="1064"/>
        <v>0</v>
      </c>
      <c r="HB231" s="388">
        <f t="shared" ca="1" si="1064"/>
        <v>0</v>
      </c>
      <c r="HC231" s="388">
        <f t="shared" ca="1" si="1064"/>
        <v>0</v>
      </c>
      <c r="HD231" s="388">
        <f t="shared" ca="1" si="1064"/>
        <v>0</v>
      </c>
      <c r="HE231" s="388">
        <f t="shared" ca="1" si="1064"/>
        <v>0</v>
      </c>
      <c r="HF231" s="388">
        <f t="shared" ca="1" si="1064"/>
        <v>0</v>
      </c>
      <c r="HG231" s="388">
        <f t="shared" ca="1" si="1064"/>
        <v>0</v>
      </c>
      <c r="HH231" s="388">
        <f t="shared" ca="1" si="1064"/>
        <v>0</v>
      </c>
      <c r="HI231" s="388">
        <f t="shared" ca="1" si="1064"/>
        <v>0</v>
      </c>
      <c r="HJ231" s="388">
        <f t="shared" ca="1" si="1064"/>
        <v>0</v>
      </c>
      <c r="HK231" s="388">
        <f t="shared" ca="1" si="1064"/>
        <v>0</v>
      </c>
      <c r="HL231" s="388">
        <f t="shared" ca="1" si="1064"/>
        <v>0</v>
      </c>
      <c r="HM231" s="388">
        <f t="shared" ref="HM231:IR231" ca="1" si="1065">(HM$201&lt;=Timing_Reversion_Month)*(MIN(HM228+HM229-HM230,MAX(HM227,0)*$I$239))</f>
        <v>0</v>
      </c>
      <c r="HN231" s="388">
        <f t="shared" ca="1" si="1065"/>
        <v>0</v>
      </c>
      <c r="HO231" s="388">
        <f t="shared" ca="1" si="1065"/>
        <v>0</v>
      </c>
      <c r="HP231" s="388">
        <f t="shared" ca="1" si="1065"/>
        <v>0</v>
      </c>
      <c r="HQ231" s="388">
        <f t="shared" ca="1" si="1065"/>
        <v>0</v>
      </c>
      <c r="HR231" s="388">
        <f t="shared" ca="1" si="1065"/>
        <v>0</v>
      </c>
      <c r="HS231" s="388">
        <f t="shared" ca="1" si="1065"/>
        <v>0</v>
      </c>
      <c r="HT231" s="388">
        <f t="shared" ca="1" si="1065"/>
        <v>0</v>
      </c>
      <c r="HU231" s="388">
        <f t="shared" ca="1" si="1065"/>
        <v>0</v>
      </c>
      <c r="HV231" s="388">
        <f t="shared" ca="1" si="1065"/>
        <v>0</v>
      </c>
      <c r="HW231" s="388">
        <f t="shared" ca="1" si="1065"/>
        <v>0</v>
      </c>
      <c r="HX231" s="388">
        <f t="shared" ca="1" si="1065"/>
        <v>0</v>
      </c>
      <c r="HY231" s="388">
        <f t="shared" ca="1" si="1065"/>
        <v>0</v>
      </c>
      <c r="HZ231" s="388">
        <f t="shared" ca="1" si="1065"/>
        <v>0</v>
      </c>
      <c r="IA231" s="388">
        <f t="shared" ca="1" si="1065"/>
        <v>0</v>
      </c>
      <c r="IB231" s="388">
        <f t="shared" ca="1" si="1065"/>
        <v>0</v>
      </c>
      <c r="IC231" s="388">
        <f t="shared" ca="1" si="1065"/>
        <v>0</v>
      </c>
      <c r="ID231" s="388">
        <f t="shared" ca="1" si="1065"/>
        <v>0</v>
      </c>
      <c r="IE231" s="388">
        <f t="shared" ca="1" si="1065"/>
        <v>0</v>
      </c>
      <c r="IF231" s="388">
        <f t="shared" ca="1" si="1065"/>
        <v>0</v>
      </c>
      <c r="IG231" s="388">
        <f t="shared" ca="1" si="1065"/>
        <v>0</v>
      </c>
      <c r="IH231" s="388">
        <f t="shared" ca="1" si="1065"/>
        <v>0</v>
      </c>
      <c r="II231" s="388">
        <f t="shared" ca="1" si="1065"/>
        <v>0</v>
      </c>
      <c r="IJ231" s="388">
        <f t="shared" ca="1" si="1065"/>
        <v>0</v>
      </c>
      <c r="IK231" s="388">
        <f t="shared" ca="1" si="1065"/>
        <v>0</v>
      </c>
      <c r="IL231" s="388">
        <f t="shared" ca="1" si="1065"/>
        <v>0</v>
      </c>
      <c r="IM231" s="388">
        <f t="shared" ca="1" si="1065"/>
        <v>0</v>
      </c>
      <c r="IN231" s="388">
        <f t="shared" ca="1" si="1065"/>
        <v>0</v>
      </c>
      <c r="IO231" s="388">
        <f t="shared" ca="1" si="1065"/>
        <v>0</v>
      </c>
      <c r="IP231" s="388">
        <f t="shared" ca="1" si="1065"/>
        <v>0</v>
      </c>
      <c r="IQ231" s="388">
        <f t="shared" ca="1" si="1065"/>
        <v>0</v>
      </c>
      <c r="IR231" s="388">
        <f t="shared" ca="1" si="1065"/>
        <v>0</v>
      </c>
      <c r="IS231" s="388">
        <f t="shared" ref="IS231:JX231" ca="1" si="1066">(IS$201&lt;=Timing_Reversion_Month)*(MIN(IS228+IS229-IS230,MAX(IS227,0)*$I$239))</f>
        <v>0</v>
      </c>
      <c r="IT231" s="388">
        <f t="shared" ca="1" si="1066"/>
        <v>0</v>
      </c>
      <c r="IU231" s="388">
        <f t="shared" ca="1" si="1066"/>
        <v>0</v>
      </c>
      <c r="IV231" s="388">
        <f t="shared" ca="1" si="1066"/>
        <v>0</v>
      </c>
      <c r="IW231" s="388">
        <f t="shared" ca="1" si="1066"/>
        <v>0</v>
      </c>
      <c r="IX231" s="388">
        <f t="shared" ca="1" si="1066"/>
        <v>0</v>
      </c>
      <c r="IY231" s="388">
        <f t="shared" ca="1" si="1066"/>
        <v>0</v>
      </c>
      <c r="IZ231" s="388">
        <f t="shared" ca="1" si="1066"/>
        <v>0</v>
      </c>
      <c r="JA231" s="388">
        <f t="shared" ca="1" si="1066"/>
        <v>0</v>
      </c>
      <c r="JB231" s="388">
        <f t="shared" ca="1" si="1066"/>
        <v>0</v>
      </c>
      <c r="JC231" s="388">
        <f t="shared" ca="1" si="1066"/>
        <v>0</v>
      </c>
      <c r="JD231" s="388">
        <f t="shared" ca="1" si="1066"/>
        <v>0</v>
      </c>
      <c r="JE231" s="388">
        <f t="shared" ca="1" si="1066"/>
        <v>0</v>
      </c>
      <c r="JF231" s="388">
        <f t="shared" ca="1" si="1066"/>
        <v>0</v>
      </c>
      <c r="JG231" s="388">
        <f t="shared" ca="1" si="1066"/>
        <v>0</v>
      </c>
      <c r="JH231" s="388">
        <f t="shared" ca="1" si="1066"/>
        <v>0</v>
      </c>
      <c r="JI231" s="388">
        <f t="shared" ca="1" si="1066"/>
        <v>0</v>
      </c>
      <c r="JJ231" s="388">
        <f t="shared" ca="1" si="1066"/>
        <v>0</v>
      </c>
      <c r="JK231" s="388">
        <f t="shared" ca="1" si="1066"/>
        <v>0</v>
      </c>
      <c r="JL231" s="388">
        <f t="shared" ca="1" si="1066"/>
        <v>0</v>
      </c>
      <c r="JM231" s="388">
        <f t="shared" ca="1" si="1066"/>
        <v>0</v>
      </c>
      <c r="JN231" s="388">
        <f t="shared" ca="1" si="1066"/>
        <v>0</v>
      </c>
      <c r="JO231" s="388">
        <f t="shared" ca="1" si="1066"/>
        <v>0</v>
      </c>
      <c r="JP231" s="388">
        <f t="shared" ca="1" si="1066"/>
        <v>0</v>
      </c>
      <c r="JQ231" s="388">
        <f t="shared" ca="1" si="1066"/>
        <v>0</v>
      </c>
      <c r="JR231" s="388">
        <f t="shared" ca="1" si="1066"/>
        <v>0</v>
      </c>
      <c r="JS231" s="388">
        <f t="shared" ca="1" si="1066"/>
        <v>0</v>
      </c>
      <c r="JT231" s="388">
        <f t="shared" ca="1" si="1066"/>
        <v>0</v>
      </c>
      <c r="JU231" s="388">
        <f t="shared" ca="1" si="1066"/>
        <v>0</v>
      </c>
      <c r="JV231" s="388">
        <f t="shared" ca="1" si="1066"/>
        <v>0</v>
      </c>
      <c r="JW231" s="388">
        <f t="shared" ca="1" si="1066"/>
        <v>0</v>
      </c>
      <c r="JX231" s="388">
        <f t="shared" ca="1" si="1066"/>
        <v>0</v>
      </c>
      <c r="JY231" s="388">
        <f t="shared" ref="JY231:KC231" ca="1" si="1067">(JY$201&lt;=Timing_Reversion_Month)*(MIN(JY228+JY229-JY230,MAX(JY227,0)*$I$239))</f>
        <v>0</v>
      </c>
      <c r="JZ231" s="388">
        <f t="shared" ca="1" si="1067"/>
        <v>0</v>
      </c>
      <c r="KA231" s="388">
        <f t="shared" ca="1" si="1067"/>
        <v>0</v>
      </c>
      <c r="KB231" s="388">
        <f t="shared" ca="1" si="1067"/>
        <v>0</v>
      </c>
      <c r="KC231" s="388">
        <f t="shared" ca="1" si="1067"/>
        <v>0</v>
      </c>
    </row>
    <row r="232" spans="2:289" x14ac:dyDescent="0.25">
      <c r="B232" s="180" t="s">
        <v>189</v>
      </c>
      <c r="C232" s="414" t="str">
        <f>I2</f>
        <v>OGM HOLDINGS</v>
      </c>
      <c r="D232" s="181"/>
      <c r="E232" s="415"/>
      <c r="F232" s="415"/>
      <c r="G232" s="413"/>
      <c r="H232" s="357">
        <v>1</v>
      </c>
      <c r="I232" s="218">
        <f ca="1">SUM(Q232:ES232)</f>
        <v>1615440.1321185711</v>
      </c>
      <c r="Q232" s="220">
        <f t="shared" ref="Q232:Z233" ca="1" si="1068">IF(Q$231="","",-MIN(Q$216,0)*$H232)</f>
        <v>822502.85714285716</v>
      </c>
      <c r="R232" s="220">
        <f t="shared" ca="1" si="1068"/>
        <v>16840.908265539307</v>
      </c>
      <c r="S232" s="220">
        <f t="shared" ca="1" si="1068"/>
        <v>52504.923287438098</v>
      </c>
      <c r="T232" s="220">
        <f t="shared" ca="1" si="1068"/>
        <v>136519.80154125288</v>
      </c>
      <c r="U232" s="220">
        <f t="shared" ca="1" si="1068"/>
        <v>282437.29328717594</v>
      </c>
      <c r="V232" s="220">
        <f t="shared" ca="1" si="1068"/>
        <v>304634.34859430767</v>
      </c>
      <c r="W232" s="220">
        <f t="shared" ca="1" si="1068"/>
        <v>0</v>
      </c>
      <c r="X232" s="220">
        <f t="shared" ca="1" si="1068"/>
        <v>0</v>
      </c>
      <c r="Y232" s="220">
        <f t="shared" ca="1" si="1068"/>
        <v>0</v>
      </c>
      <c r="Z232" s="220">
        <f t="shared" ca="1" si="1068"/>
        <v>0</v>
      </c>
      <c r="AA232" s="220">
        <f t="shared" ref="AA232:AJ233" ca="1" si="1069">IF(AA$231="","",-MIN(AA$216,0)*$H232)</f>
        <v>0</v>
      </c>
      <c r="AB232" s="220">
        <f t="shared" ca="1" si="1069"/>
        <v>0</v>
      </c>
      <c r="AC232" s="220">
        <f t="shared" ca="1" si="1069"/>
        <v>0</v>
      </c>
      <c r="AD232" s="220">
        <f t="shared" ca="1" si="1069"/>
        <v>0</v>
      </c>
      <c r="AE232" s="220">
        <f t="shared" ca="1" si="1069"/>
        <v>0</v>
      </c>
      <c r="AF232" s="220">
        <f t="shared" ca="1" si="1069"/>
        <v>0</v>
      </c>
      <c r="AG232" s="220">
        <f t="shared" ca="1" si="1069"/>
        <v>0</v>
      </c>
      <c r="AH232" s="220">
        <f t="shared" ca="1" si="1069"/>
        <v>0</v>
      </c>
      <c r="AI232" s="220">
        <f t="shared" ca="1" si="1069"/>
        <v>0</v>
      </c>
      <c r="AJ232" s="220">
        <f t="shared" ca="1" si="1069"/>
        <v>0</v>
      </c>
      <c r="AK232" s="220">
        <f t="shared" ref="AK232:AT233" ca="1" si="1070">IF(AK$231="","",-MIN(AK$216,0)*$H232)</f>
        <v>0</v>
      </c>
      <c r="AL232" s="220">
        <f t="shared" ca="1" si="1070"/>
        <v>0</v>
      </c>
      <c r="AM232" s="220">
        <f t="shared" ca="1" si="1070"/>
        <v>0</v>
      </c>
      <c r="AN232" s="220">
        <f t="shared" ca="1" si="1070"/>
        <v>0</v>
      </c>
      <c r="AO232" s="220">
        <f t="shared" ca="1" si="1070"/>
        <v>0</v>
      </c>
      <c r="AP232" s="220">
        <f t="shared" ca="1" si="1070"/>
        <v>0</v>
      </c>
      <c r="AQ232" s="220">
        <f t="shared" ca="1" si="1070"/>
        <v>0</v>
      </c>
      <c r="AR232" s="220">
        <f t="shared" ca="1" si="1070"/>
        <v>0</v>
      </c>
      <c r="AS232" s="220">
        <f t="shared" ca="1" si="1070"/>
        <v>0</v>
      </c>
      <c r="AT232" s="220">
        <f t="shared" ca="1" si="1070"/>
        <v>0</v>
      </c>
      <c r="AU232" s="220">
        <f t="shared" ref="AU232:BD233" ca="1" si="1071">IF(AU$231="","",-MIN(AU$216,0)*$H232)</f>
        <v>0</v>
      </c>
      <c r="AV232" s="220">
        <f t="shared" ca="1" si="1071"/>
        <v>0</v>
      </c>
      <c r="AW232" s="220">
        <f t="shared" ca="1" si="1071"/>
        <v>0</v>
      </c>
      <c r="AX232" s="220">
        <f t="shared" ca="1" si="1071"/>
        <v>0</v>
      </c>
      <c r="AY232" s="220">
        <f t="shared" ca="1" si="1071"/>
        <v>0</v>
      </c>
      <c r="AZ232" s="220">
        <f t="shared" ca="1" si="1071"/>
        <v>0</v>
      </c>
      <c r="BA232" s="220">
        <f t="shared" ca="1" si="1071"/>
        <v>0</v>
      </c>
      <c r="BB232" s="220" t="str">
        <f t="shared" si="1071"/>
        <v/>
      </c>
      <c r="BC232" s="220" t="str">
        <f t="shared" si="1071"/>
        <v/>
      </c>
      <c r="BD232" s="220" t="str">
        <f t="shared" si="1071"/>
        <v/>
      </c>
      <c r="BE232" s="220" t="str">
        <f t="shared" ref="BE232:BN233" si="1072">IF(BE$231="","",-MIN(BE$216,0)*$H232)</f>
        <v/>
      </c>
      <c r="BF232" s="220" t="str">
        <f t="shared" si="1072"/>
        <v/>
      </c>
      <c r="BG232" s="220" t="str">
        <f t="shared" si="1072"/>
        <v/>
      </c>
      <c r="BH232" s="220" t="str">
        <f t="shared" si="1072"/>
        <v/>
      </c>
      <c r="BI232" s="220" t="str">
        <f t="shared" si="1072"/>
        <v/>
      </c>
      <c r="BJ232" s="220" t="str">
        <f t="shared" si="1072"/>
        <v/>
      </c>
      <c r="BK232" s="220" t="str">
        <f t="shared" si="1072"/>
        <v/>
      </c>
      <c r="BL232" s="220" t="str">
        <f t="shared" si="1072"/>
        <v/>
      </c>
      <c r="BM232" s="220" t="str">
        <f t="shared" si="1072"/>
        <v/>
      </c>
      <c r="BN232" s="220" t="str">
        <f t="shared" si="1072"/>
        <v/>
      </c>
      <c r="BO232" s="220" t="str">
        <f t="shared" ref="BO232:BX233" si="1073">IF(BO$231="","",-MIN(BO$216,0)*$H232)</f>
        <v/>
      </c>
      <c r="BP232" s="220" t="str">
        <f t="shared" si="1073"/>
        <v/>
      </c>
      <c r="BQ232" s="220" t="str">
        <f t="shared" si="1073"/>
        <v/>
      </c>
      <c r="BR232" s="220" t="str">
        <f t="shared" si="1073"/>
        <v/>
      </c>
      <c r="BS232" s="220" t="str">
        <f t="shared" si="1073"/>
        <v/>
      </c>
      <c r="BT232" s="220" t="str">
        <f t="shared" si="1073"/>
        <v/>
      </c>
      <c r="BU232" s="220" t="str">
        <f t="shared" si="1073"/>
        <v/>
      </c>
      <c r="BV232" s="220" t="str">
        <f t="shared" si="1073"/>
        <v/>
      </c>
      <c r="BW232" s="220" t="str">
        <f t="shared" si="1073"/>
        <v/>
      </c>
      <c r="BX232" s="220" t="str">
        <f t="shared" si="1073"/>
        <v/>
      </c>
      <c r="BY232" s="220" t="str">
        <f t="shared" ref="BY232:CH233" si="1074">IF(BY$231="","",-MIN(BY$216,0)*$H232)</f>
        <v/>
      </c>
      <c r="BZ232" s="220" t="str">
        <f t="shared" si="1074"/>
        <v/>
      </c>
      <c r="CA232" s="220" t="str">
        <f t="shared" si="1074"/>
        <v/>
      </c>
      <c r="CB232" s="220" t="str">
        <f t="shared" si="1074"/>
        <v/>
      </c>
      <c r="CC232" s="220" t="str">
        <f t="shared" si="1074"/>
        <v/>
      </c>
      <c r="CD232" s="220" t="str">
        <f t="shared" si="1074"/>
        <v/>
      </c>
      <c r="CE232" s="220" t="str">
        <f t="shared" si="1074"/>
        <v/>
      </c>
      <c r="CF232" s="220" t="str">
        <f t="shared" si="1074"/>
        <v/>
      </c>
      <c r="CG232" s="220" t="str">
        <f t="shared" si="1074"/>
        <v/>
      </c>
      <c r="CH232" s="220" t="str">
        <f t="shared" si="1074"/>
        <v/>
      </c>
      <c r="CI232" s="220" t="str">
        <f t="shared" ref="CI232:CR233" si="1075">IF(CI$231="","",-MIN(CI$216,0)*$H232)</f>
        <v/>
      </c>
      <c r="CJ232" s="220" t="str">
        <f t="shared" si="1075"/>
        <v/>
      </c>
      <c r="CK232" s="220" t="str">
        <f t="shared" si="1075"/>
        <v/>
      </c>
      <c r="CL232" s="220" t="str">
        <f t="shared" si="1075"/>
        <v/>
      </c>
      <c r="CM232" s="220" t="str">
        <f t="shared" si="1075"/>
        <v/>
      </c>
      <c r="CN232" s="220" t="str">
        <f t="shared" si="1075"/>
        <v/>
      </c>
      <c r="CO232" s="220" t="str">
        <f t="shared" si="1075"/>
        <v/>
      </c>
      <c r="CP232" s="220" t="str">
        <f t="shared" si="1075"/>
        <v/>
      </c>
      <c r="CQ232" s="220" t="str">
        <f t="shared" si="1075"/>
        <v/>
      </c>
      <c r="CR232" s="220" t="str">
        <f t="shared" si="1075"/>
        <v/>
      </c>
      <c r="CS232" s="220" t="str">
        <f t="shared" ref="CS232:DB233" si="1076">IF(CS$231="","",-MIN(CS$216,0)*$H232)</f>
        <v/>
      </c>
      <c r="CT232" s="220" t="str">
        <f t="shared" si="1076"/>
        <v/>
      </c>
      <c r="CU232" s="220" t="str">
        <f t="shared" si="1076"/>
        <v/>
      </c>
      <c r="CV232" s="220" t="str">
        <f t="shared" si="1076"/>
        <v/>
      </c>
      <c r="CW232" s="220" t="str">
        <f t="shared" si="1076"/>
        <v/>
      </c>
      <c r="CX232" s="220" t="str">
        <f t="shared" si="1076"/>
        <v/>
      </c>
      <c r="CY232" s="220" t="str">
        <f t="shared" si="1076"/>
        <v/>
      </c>
      <c r="CZ232" s="220" t="str">
        <f t="shared" si="1076"/>
        <v/>
      </c>
      <c r="DA232" s="220" t="str">
        <f t="shared" si="1076"/>
        <v/>
      </c>
      <c r="DB232" s="220" t="str">
        <f t="shared" si="1076"/>
        <v/>
      </c>
      <c r="DC232" s="220" t="str">
        <f t="shared" ref="DC232:DL233" si="1077">IF(DC$231="","",-MIN(DC$216,0)*$H232)</f>
        <v/>
      </c>
      <c r="DD232" s="220" t="str">
        <f t="shared" si="1077"/>
        <v/>
      </c>
      <c r="DE232" s="220" t="str">
        <f t="shared" si="1077"/>
        <v/>
      </c>
      <c r="DF232" s="220" t="str">
        <f t="shared" si="1077"/>
        <v/>
      </c>
      <c r="DG232" s="220" t="str">
        <f t="shared" si="1077"/>
        <v/>
      </c>
      <c r="DH232" s="220" t="str">
        <f t="shared" si="1077"/>
        <v/>
      </c>
      <c r="DI232" s="220" t="str">
        <f t="shared" si="1077"/>
        <v/>
      </c>
      <c r="DJ232" s="220" t="str">
        <f t="shared" si="1077"/>
        <v/>
      </c>
      <c r="DK232" s="220" t="str">
        <f t="shared" si="1077"/>
        <v/>
      </c>
      <c r="DL232" s="220" t="str">
        <f t="shared" si="1077"/>
        <v/>
      </c>
      <c r="DM232" s="220" t="str">
        <f t="shared" ref="DM232:DV233" si="1078">IF(DM$231="","",-MIN(DM$216,0)*$H232)</f>
        <v/>
      </c>
      <c r="DN232" s="220" t="str">
        <f t="shared" si="1078"/>
        <v/>
      </c>
      <c r="DO232" s="220" t="str">
        <f t="shared" si="1078"/>
        <v/>
      </c>
      <c r="DP232" s="220" t="str">
        <f t="shared" si="1078"/>
        <v/>
      </c>
      <c r="DQ232" s="220" t="str">
        <f t="shared" si="1078"/>
        <v/>
      </c>
      <c r="DR232" s="220" t="str">
        <f t="shared" si="1078"/>
        <v/>
      </c>
      <c r="DS232" s="220" t="str">
        <f t="shared" si="1078"/>
        <v/>
      </c>
      <c r="DT232" s="220" t="str">
        <f t="shared" si="1078"/>
        <v/>
      </c>
      <c r="DU232" s="220" t="str">
        <f t="shared" si="1078"/>
        <v/>
      </c>
      <c r="DV232" s="220" t="str">
        <f t="shared" si="1078"/>
        <v/>
      </c>
      <c r="DW232" s="220" t="str">
        <f t="shared" ref="DW232:EF233" si="1079">IF(DW$231="","",-MIN(DW$216,0)*$H232)</f>
        <v/>
      </c>
      <c r="DX232" s="220" t="str">
        <f t="shared" si="1079"/>
        <v/>
      </c>
      <c r="DY232" s="220" t="str">
        <f t="shared" si="1079"/>
        <v/>
      </c>
      <c r="DZ232" s="220" t="str">
        <f t="shared" si="1079"/>
        <v/>
      </c>
      <c r="EA232" s="220" t="str">
        <f t="shared" si="1079"/>
        <v/>
      </c>
      <c r="EB232" s="220" t="str">
        <f t="shared" si="1079"/>
        <v/>
      </c>
      <c r="EC232" s="220" t="str">
        <f t="shared" si="1079"/>
        <v/>
      </c>
      <c r="ED232" s="220" t="str">
        <f t="shared" si="1079"/>
        <v/>
      </c>
      <c r="EE232" s="220" t="str">
        <f t="shared" si="1079"/>
        <v/>
      </c>
      <c r="EF232" s="220" t="str">
        <f t="shared" si="1079"/>
        <v/>
      </c>
      <c r="EG232" s="220" t="str">
        <f t="shared" ref="EG232:ES233" si="1080">IF(EG$231="","",-MIN(EG$216,0)*$H232)</f>
        <v/>
      </c>
      <c r="EH232" s="220" t="str">
        <f t="shared" si="1080"/>
        <v/>
      </c>
      <c r="EI232" s="220" t="str">
        <f t="shared" si="1080"/>
        <v/>
      </c>
      <c r="EJ232" s="220" t="str">
        <f t="shared" si="1080"/>
        <v/>
      </c>
      <c r="EK232" s="220" t="str">
        <f t="shared" si="1080"/>
        <v/>
      </c>
      <c r="EL232" s="220" t="str">
        <f t="shared" si="1080"/>
        <v/>
      </c>
      <c r="EM232" s="220" t="str">
        <f t="shared" si="1080"/>
        <v/>
      </c>
      <c r="EN232" s="220" t="str">
        <f t="shared" si="1080"/>
        <v/>
      </c>
      <c r="EO232" s="220" t="str">
        <f t="shared" si="1080"/>
        <v/>
      </c>
      <c r="EP232" s="220" t="str">
        <f t="shared" si="1080"/>
        <v/>
      </c>
      <c r="EQ232" s="220" t="str">
        <f t="shared" si="1080"/>
        <v/>
      </c>
      <c r="ER232" s="220" t="str">
        <f t="shared" si="1080"/>
        <v/>
      </c>
      <c r="ES232" s="220" t="str">
        <f t="shared" si="1080"/>
        <v/>
      </c>
      <c r="EU232" s="202"/>
      <c r="EV232" s="153"/>
      <c r="EW232" s="153"/>
      <c r="EX232" s="153"/>
      <c r="EY232" s="154" t="s">
        <v>346</v>
      </c>
      <c r="EZ232" s="154"/>
      <c r="FA232" s="388">
        <f t="shared" ref="FA232:GF232" ca="1" si="1081">(FA$201&lt;=Timing_Reversion_Month)*(FA228+FA229+FA204-FA230-FA231)</f>
        <v>0</v>
      </c>
      <c r="FB232" s="388">
        <f t="shared" ca="1" si="1081"/>
        <v>0</v>
      </c>
      <c r="FC232" s="388">
        <f t="shared" ca="1" si="1081"/>
        <v>0</v>
      </c>
      <c r="FD232" s="388">
        <f t="shared" ca="1" si="1081"/>
        <v>0</v>
      </c>
      <c r="FE232" s="388">
        <f t="shared" ca="1" si="1081"/>
        <v>0</v>
      </c>
      <c r="FF232" s="388">
        <f t="shared" ca="1" si="1081"/>
        <v>0</v>
      </c>
      <c r="FG232" s="388">
        <f t="shared" ca="1" si="1081"/>
        <v>0</v>
      </c>
      <c r="FH232" s="388">
        <f t="shared" ca="1" si="1081"/>
        <v>0</v>
      </c>
      <c r="FI232" s="388">
        <f t="shared" ca="1" si="1081"/>
        <v>0</v>
      </c>
      <c r="FJ232" s="388">
        <f t="shared" ca="1" si="1081"/>
        <v>0</v>
      </c>
      <c r="FK232" s="388">
        <f t="shared" ca="1" si="1081"/>
        <v>0</v>
      </c>
      <c r="FL232" s="388">
        <f t="shared" ca="1" si="1081"/>
        <v>0</v>
      </c>
      <c r="FM232" s="388">
        <f t="shared" ca="1" si="1081"/>
        <v>0</v>
      </c>
      <c r="FN232" s="388">
        <f t="shared" ca="1" si="1081"/>
        <v>0</v>
      </c>
      <c r="FO232" s="388">
        <f t="shared" ca="1" si="1081"/>
        <v>0</v>
      </c>
      <c r="FP232" s="388">
        <f t="shared" ca="1" si="1081"/>
        <v>0</v>
      </c>
      <c r="FQ232" s="388">
        <f t="shared" ca="1" si="1081"/>
        <v>0</v>
      </c>
      <c r="FR232" s="388">
        <f t="shared" ca="1" si="1081"/>
        <v>0</v>
      </c>
      <c r="FS232" s="388">
        <f t="shared" ca="1" si="1081"/>
        <v>0</v>
      </c>
      <c r="FT232" s="388">
        <f t="shared" ca="1" si="1081"/>
        <v>0</v>
      </c>
      <c r="FU232" s="388">
        <f t="shared" ca="1" si="1081"/>
        <v>0</v>
      </c>
      <c r="FV232" s="388">
        <f t="shared" ca="1" si="1081"/>
        <v>0</v>
      </c>
      <c r="FW232" s="388">
        <f t="shared" ca="1" si="1081"/>
        <v>0</v>
      </c>
      <c r="FX232" s="388">
        <f t="shared" ca="1" si="1081"/>
        <v>0</v>
      </c>
      <c r="FY232" s="388">
        <f t="shared" ca="1" si="1081"/>
        <v>0</v>
      </c>
      <c r="FZ232" s="388">
        <f t="shared" ca="1" si="1081"/>
        <v>0</v>
      </c>
      <c r="GA232" s="388">
        <f t="shared" ca="1" si="1081"/>
        <v>0</v>
      </c>
      <c r="GB232" s="388">
        <f t="shared" ca="1" si="1081"/>
        <v>0</v>
      </c>
      <c r="GC232" s="388">
        <f t="shared" ca="1" si="1081"/>
        <v>0</v>
      </c>
      <c r="GD232" s="388">
        <f t="shared" ca="1" si="1081"/>
        <v>0</v>
      </c>
      <c r="GE232" s="388">
        <f t="shared" ca="1" si="1081"/>
        <v>0</v>
      </c>
      <c r="GF232" s="388">
        <f t="shared" ca="1" si="1081"/>
        <v>0</v>
      </c>
      <c r="GG232" s="388">
        <f t="shared" ref="GG232:HL232" ca="1" si="1082">(GG$201&lt;=Timing_Reversion_Month)*(GG228+GG229+GG204-GG230-GG231)</f>
        <v>0</v>
      </c>
      <c r="GH232" s="388">
        <f t="shared" ca="1" si="1082"/>
        <v>0</v>
      </c>
      <c r="GI232" s="388">
        <f t="shared" ca="1" si="1082"/>
        <v>0</v>
      </c>
      <c r="GJ232" s="388">
        <f t="shared" ca="1" si="1082"/>
        <v>0</v>
      </c>
      <c r="GK232" s="388">
        <f t="shared" ca="1" si="1082"/>
        <v>0</v>
      </c>
      <c r="GL232" s="388">
        <f t="shared" ca="1" si="1082"/>
        <v>0</v>
      </c>
      <c r="GM232" s="388">
        <f t="shared" ca="1" si="1082"/>
        <v>0</v>
      </c>
      <c r="GN232" s="388">
        <f t="shared" ca="1" si="1082"/>
        <v>0</v>
      </c>
      <c r="GO232" s="388">
        <f t="shared" ca="1" si="1082"/>
        <v>0</v>
      </c>
      <c r="GP232" s="388">
        <f t="shared" ca="1" si="1082"/>
        <v>0</v>
      </c>
      <c r="GQ232" s="388">
        <f t="shared" ca="1" si="1082"/>
        <v>0</v>
      </c>
      <c r="GR232" s="388">
        <f t="shared" ca="1" si="1082"/>
        <v>0</v>
      </c>
      <c r="GS232" s="388">
        <f t="shared" ca="1" si="1082"/>
        <v>0</v>
      </c>
      <c r="GT232" s="388">
        <f t="shared" ca="1" si="1082"/>
        <v>0</v>
      </c>
      <c r="GU232" s="388">
        <f t="shared" ca="1" si="1082"/>
        <v>0</v>
      </c>
      <c r="GV232" s="388">
        <f t="shared" ca="1" si="1082"/>
        <v>0</v>
      </c>
      <c r="GW232" s="388">
        <f t="shared" ca="1" si="1082"/>
        <v>0</v>
      </c>
      <c r="GX232" s="388">
        <f t="shared" ca="1" si="1082"/>
        <v>0</v>
      </c>
      <c r="GY232" s="388">
        <f t="shared" ca="1" si="1082"/>
        <v>0</v>
      </c>
      <c r="GZ232" s="388">
        <f t="shared" ca="1" si="1082"/>
        <v>0</v>
      </c>
      <c r="HA232" s="388">
        <f t="shared" ca="1" si="1082"/>
        <v>0</v>
      </c>
      <c r="HB232" s="388">
        <f t="shared" ca="1" si="1082"/>
        <v>0</v>
      </c>
      <c r="HC232" s="388">
        <f t="shared" ca="1" si="1082"/>
        <v>0</v>
      </c>
      <c r="HD232" s="388">
        <f t="shared" ca="1" si="1082"/>
        <v>0</v>
      </c>
      <c r="HE232" s="388">
        <f t="shared" ca="1" si="1082"/>
        <v>0</v>
      </c>
      <c r="HF232" s="388">
        <f t="shared" ca="1" si="1082"/>
        <v>0</v>
      </c>
      <c r="HG232" s="388">
        <f t="shared" ca="1" si="1082"/>
        <v>0</v>
      </c>
      <c r="HH232" s="388">
        <f t="shared" ca="1" si="1082"/>
        <v>0</v>
      </c>
      <c r="HI232" s="388">
        <f t="shared" ca="1" si="1082"/>
        <v>0</v>
      </c>
      <c r="HJ232" s="388">
        <f t="shared" ca="1" si="1082"/>
        <v>0</v>
      </c>
      <c r="HK232" s="388">
        <f t="shared" ca="1" si="1082"/>
        <v>0</v>
      </c>
      <c r="HL232" s="388">
        <f t="shared" ca="1" si="1082"/>
        <v>0</v>
      </c>
      <c r="HM232" s="388">
        <f t="shared" ref="HM232:IR232" ca="1" si="1083">(HM$201&lt;=Timing_Reversion_Month)*(HM228+HM229+HM204-HM230-HM231)</f>
        <v>0</v>
      </c>
      <c r="HN232" s="388">
        <f t="shared" ca="1" si="1083"/>
        <v>0</v>
      </c>
      <c r="HO232" s="388">
        <f t="shared" ca="1" si="1083"/>
        <v>0</v>
      </c>
      <c r="HP232" s="388">
        <f t="shared" ca="1" si="1083"/>
        <v>0</v>
      </c>
      <c r="HQ232" s="388">
        <f t="shared" ca="1" si="1083"/>
        <v>0</v>
      </c>
      <c r="HR232" s="388">
        <f t="shared" ca="1" si="1083"/>
        <v>0</v>
      </c>
      <c r="HS232" s="388">
        <f t="shared" ca="1" si="1083"/>
        <v>0</v>
      </c>
      <c r="HT232" s="388">
        <f t="shared" ca="1" si="1083"/>
        <v>0</v>
      </c>
      <c r="HU232" s="388">
        <f t="shared" ca="1" si="1083"/>
        <v>0</v>
      </c>
      <c r="HV232" s="388">
        <f t="shared" ca="1" si="1083"/>
        <v>0</v>
      </c>
      <c r="HW232" s="388">
        <f t="shared" ca="1" si="1083"/>
        <v>0</v>
      </c>
      <c r="HX232" s="388">
        <f t="shared" ca="1" si="1083"/>
        <v>0</v>
      </c>
      <c r="HY232" s="388">
        <f t="shared" ca="1" si="1083"/>
        <v>0</v>
      </c>
      <c r="HZ232" s="388">
        <f t="shared" ca="1" si="1083"/>
        <v>0</v>
      </c>
      <c r="IA232" s="388">
        <f t="shared" ca="1" si="1083"/>
        <v>0</v>
      </c>
      <c r="IB232" s="388">
        <f t="shared" ca="1" si="1083"/>
        <v>0</v>
      </c>
      <c r="IC232" s="388">
        <f t="shared" ca="1" si="1083"/>
        <v>0</v>
      </c>
      <c r="ID232" s="388">
        <f t="shared" ca="1" si="1083"/>
        <v>0</v>
      </c>
      <c r="IE232" s="388">
        <f t="shared" ca="1" si="1083"/>
        <v>0</v>
      </c>
      <c r="IF232" s="388">
        <f t="shared" ca="1" si="1083"/>
        <v>0</v>
      </c>
      <c r="IG232" s="388">
        <f t="shared" ca="1" si="1083"/>
        <v>0</v>
      </c>
      <c r="IH232" s="388">
        <f t="shared" ca="1" si="1083"/>
        <v>0</v>
      </c>
      <c r="II232" s="388">
        <f t="shared" ca="1" si="1083"/>
        <v>0</v>
      </c>
      <c r="IJ232" s="388">
        <f t="shared" ca="1" si="1083"/>
        <v>0</v>
      </c>
      <c r="IK232" s="388">
        <f t="shared" ca="1" si="1083"/>
        <v>0</v>
      </c>
      <c r="IL232" s="388">
        <f t="shared" ca="1" si="1083"/>
        <v>0</v>
      </c>
      <c r="IM232" s="388">
        <f t="shared" ca="1" si="1083"/>
        <v>0</v>
      </c>
      <c r="IN232" s="388">
        <f t="shared" ca="1" si="1083"/>
        <v>0</v>
      </c>
      <c r="IO232" s="388">
        <f t="shared" ca="1" si="1083"/>
        <v>0</v>
      </c>
      <c r="IP232" s="388">
        <f t="shared" ca="1" si="1083"/>
        <v>0</v>
      </c>
      <c r="IQ232" s="388">
        <f t="shared" ca="1" si="1083"/>
        <v>0</v>
      </c>
      <c r="IR232" s="388">
        <f t="shared" ca="1" si="1083"/>
        <v>0</v>
      </c>
      <c r="IS232" s="388">
        <f t="shared" ref="IS232:JX232" ca="1" si="1084">(IS$201&lt;=Timing_Reversion_Month)*(IS228+IS229+IS204-IS230-IS231)</f>
        <v>0</v>
      </c>
      <c r="IT232" s="388">
        <f t="shared" ca="1" si="1084"/>
        <v>0</v>
      </c>
      <c r="IU232" s="388">
        <f t="shared" ca="1" si="1084"/>
        <v>0</v>
      </c>
      <c r="IV232" s="388">
        <f t="shared" ca="1" si="1084"/>
        <v>0</v>
      </c>
      <c r="IW232" s="388">
        <f t="shared" ca="1" si="1084"/>
        <v>0</v>
      </c>
      <c r="IX232" s="388">
        <f t="shared" ca="1" si="1084"/>
        <v>0</v>
      </c>
      <c r="IY232" s="388">
        <f t="shared" ca="1" si="1084"/>
        <v>0</v>
      </c>
      <c r="IZ232" s="388">
        <f t="shared" ca="1" si="1084"/>
        <v>0</v>
      </c>
      <c r="JA232" s="388">
        <f t="shared" ca="1" si="1084"/>
        <v>0</v>
      </c>
      <c r="JB232" s="388">
        <f t="shared" ca="1" si="1084"/>
        <v>0</v>
      </c>
      <c r="JC232" s="388">
        <f t="shared" ca="1" si="1084"/>
        <v>0</v>
      </c>
      <c r="JD232" s="388">
        <f t="shared" ca="1" si="1084"/>
        <v>0</v>
      </c>
      <c r="JE232" s="388">
        <f t="shared" ca="1" si="1084"/>
        <v>0</v>
      </c>
      <c r="JF232" s="388">
        <f t="shared" ca="1" si="1084"/>
        <v>0</v>
      </c>
      <c r="JG232" s="388">
        <f t="shared" ca="1" si="1084"/>
        <v>0</v>
      </c>
      <c r="JH232" s="388">
        <f t="shared" ca="1" si="1084"/>
        <v>0</v>
      </c>
      <c r="JI232" s="388">
        <f t="shared" ca="1" si="1084"/>
        <v>0</v>
      </c>
      <c r="JJ232" s="388">
        <f t="shared" ca="1" si="1084"/>
        <v>0</v>
      </c>
      <c r="JK232" s="388">
        <f t="shared" ca="1" si="1084"/>
        <v>0</v>
      </c>
      <c r="JL232" s="388">
        <f t="shared" ca="1" si="1084"/>
        <v>0</v>
      </c>
      <c r="JM232" s="388">
        <f t="shared" ca="1" si="1084"/>
        <v>0</v>
      </c>
      <c r="JN232" s="388">
        <f t="shared" ca="1" si="1084"/>
        <v>0</v>
      </c>
      <c r="JO232" s="388">
        <f t="shared" ca="1" si="1084"/>
        <v>0</v>
      </c>
      <c r="JP232" s="388">
        <f t="shared" ca="1" si="1084"/>
        <v>0</v>
      </c>
      <c r="JQ232" s="388">
        <f t="shared" ca="1" si="1084"/>
        <v>0</v>
      </c>
      <c r="JR232" s="388">
        <f t="shared" ca="1" si="1084"/>
        <v>0</v>
      </c>
      <c r="JS232" s="388">
        <f t="shared" ca="1" si="1084"/>
        <v>0</v>
      </c>
      <c r="JT232" s="388">
        <f t="shared" ca="1" si="1084"/>
        <v>0</v>
      </c>
      <c r="JU232" s="388">
        <f t="shared" ca="1" si="1084"/>
        <v>0</v>
      </c>
      <c r="JV232" s="388">
        <f t="shared" ca="1" si="1084"/>
        <v>0</v>
      </c>
      <c r="JW232" s="388">
        <f t="shared" ca="1" si="1084"/>
        <v>0</v>
      </c>
      <c r="JX232" s="388">
        <f t="shared" ca="1" si="1084"/>
        <v>0</v>
      </c>
      <c r="JY232" s="388">
        <f t="shared" ref="JY232:KC232" ca="1" si="1085">(JY$201&lt;=Timing_Reversion_Month)*(JY228+JY229+JY204-JY230-JY231)</f>
        <v>0</v>
      </c>
      <c r="JZ232" s="388">
        <f t="shared" ca="1" si="1085"/>
        <v>0</v>
      </c>
      <c r="KA232" s="388">
        <f t="shared" ca="1" si="1085"/>
        <v>0</v>
      </c>
      <c r="KB232" s="388">
        <f t="shared" ca="1" si="1085"/>
        <v>0</v>
      </c>
      <c r="KC232" s="388">
        <f t="shared" ca="1" si="1085"/>
        <v>0</v>
      </c>
    </row>
    <row r="233" spans="2:289" ht="16.5" x14ac:dyDescent="0.35">
      <c r="B233" s="209" t="s">
        <v>190</v>
      </c>
      <c r="C233" s="414" t="s">
        <v>190</v>
      </c>
      <c r="D233" s="181"/>
      <c r="E233" s="415"/>
      <c r="F233" s="415"/>
      <c r="G233" s="324"/>
      <c r="H233" s="416">
        <f>1-H232</f>
        <v>0</v>
      </c>
      <c r="I233" s="224">
        <f ca="1">SUM(Q233:ES233)</f>
        <v>0</v>
      </c>
      <c r="Q233" s="226">
        <f t="shared" ca="1" si="1068"/>
        <v>0</v>
      </c>
      <c r="R233" s="226">
        <f t="shared" ca="1" si="1068"/>
        <v>0</v>
      </c>
      <c r="S233" s="226">
        <f t="shared" ca="1" si="1068"/>
        <v>0</v>
      </c>
      <c r="T233" s="226">
        <f t="shared" ca="1" si="1068"/>
        <v>0</v>
      </c>
      <c r="U233" s="226">
        <f t="shared" ca="1" si="1068"/>
        <v>0</v>
      </c>
      <c r="V233" s="226">
        <f t="shared" ca="1" si="1068"/>
        <v>0</v>
      </c>
      <c r="W233" s="226">
        <f t="shared" ca="1" si="1068"/>
        <v>0</v>
      </c>
      <c r="X233" s="226">
        <f t="shared" ca="1" si="1068"/>
        <v>0</v>
      </c>
      <c r="Y233" s="226">
        <f t="shared" ca="1" si="1068"/>
        <v>0</v>
      </c>
      <c r="Z233" s="226">
        <f t="shared" ca="1" si="1068"/>
        <v>0</v>
      </c>
      <c r="AA233" s="226">
        <f t="shared" ca="1" si="1069"/>
        <v>0</v>
      </c>
      <c r="AB233" s="226">
        <f t="shared" ca="1" si="1069"/>
        <v>0</v>
      </c>
      <c r="AC233" s="226">
        <f t="shared" ca="1" si="1069"/>
        <v>0</v>
      </c>
      <c r="AD233" s="226">
        <f t="shared" ca="1" si="1069"/>
        <v>0</v>
      </c>
      <c r="AE233" s="226">
        <f t="shared" ca="1" si="1069"/>
        <v>0</v>
      </c>
      <c r="AF233" s="226">
        <f t="shared" ca="1" si="1069"/>
        <v>0</v>
      </c>
      <c r="AG233" s="226">
        <f t="shared" ca="1" si="1069"/>
        <v>0</v>
      </c>
      <c r="AH233" s="226">
        <f t="shared" ca="1" si="1069"/>
        <v>0</v>
      </c>
      <c r="AI233" s="226">
        <f t="shared" ca="1" si="1069"/>
        <v>0</v>
      </c>
      <c r="AJ233" s="226">
        <f t="shared" ca="1" si="1069"/>
        <v>0</v>
      </c>
      <c r="AK233" s="226">
        <f t="shared" ca="1" si="1070"/>
        <v>0</v>
      </c>
      <c r="AL233" s="226">
        <f t="shared" ca="1" si="1070"/>
        <v>0</v>
      </c>
      <c r="AM233" s="226">
        <f t="shared" ca="1" si="1070"/>
        <v>0</v>
      </c>
      <c r="AN233" s="226">
        <f t="shared" ca="1" si="1070"/>
        <v>0</v>
      </c>
      <c r="AO233" s="226">
        <f t="shared" ca="1" si="1070"/>
        <v>0</v>
      </c>
      <c r="AP233" s="226">
        <f t="shared" ca="1" si="1070"/>
        <v>0</v>
      </c>
      <c r="AQ233" s="226">
        <f t="shared" ca="1" si="1070"/>
        <v>0</v>
      </c>
      <c r="AR233" s="226">
        <f t="shared" ca="1" si="1070"/>
        <v>0</v>
      </c>
      <c r="AS233" s="226">
        <f t="shared" ca="1" si="1070"/>
        <v>0</v>
      </c>
      <c r="AT233" s="226">
        <f t="shared" ca="1" si="1070"/>
        <v>0</v>
      </c>
      <c r="AU233" s="226">
        <f t="shared" ca="1" si="1071"/>
        <v>0</v>
      </c>
      <c r="AV233" s="226">
        <f t="shared" ca="1" si="1071"/>
        <v>0</v>
      </c>
      <c r="AW233" s="226">
        <f t="shared" ca="1" si="1071"/>
        <v>0</v>
      </c>
      <c r="AX233" s="226">
        <f t="shared" ca="1" si="1071"/>
        <v>0</v>
      </c>
      <c r="AY233" s="226">
        <f t="shared" ca="1" si="1071"/>
        <v>0</v>
      </c>
      <c r="AZ233" s="226">
        <f t="shared" ca="1" si="1071"/>
        <v>0</v>
      </c>
      <c r="BA233" s="226">
        <f t="shared" ca="1" si="1071"/>
        <v>0</v>
      </c>
      <c r="BB233" s="226" t="str">
        <f t="shared" si="1071"/>
        <v/>
      </c>
      <c r="BC233" s="226" t="str">
        <f t="shared" si="1071"/>
        <v/>
      </c>
      <c r="BD233" s="226" t="str">
        <f t="shared" si="1071"/>
        <v/>
      </c>
      <c r="BE233" s="226" t="str">
        <f t="shared" si="1072"/>
        <v/>
      </c>
      <c r="BF233" s="226" t="str">
        <f t="shared" si="1072"/>
        <v/>
      </c>
      <c r="BG233" s="226" t="str">
        <f t="shared" si="1072"/>
        <v/>
      </c>
      <c r="BH233" s="226" t="str">
        <f t="shared" si="1072"/>
        <v/>
      </c>
      <c r="BI233" s="226" t="str">
        <f t="shared" si="1072"/>
        <v/>
      </c>
      <c r="BJ233" s="226" t="str">
        <f t="shared" si="1072"/>
        <v/>
      </c>
      <c r="BK233" s="226" t="str">
        <f t="shared" si="1072"/>
        <v/>
      </c>
      <c r="BL233" s="226" t="str">
        <f t="shared" si="1072"/>
        <v/>
      </c>
      <c r="BM233" s="226" t="str">
        <f t="shared" si="1072"/>
        <v/>
      </c>
      <c r="BN233" s="226" t="str">
        <f t="shared" si="1072"/>
        <v/>
      </c>
      <c r="BO233" s="226" t="str">
        <f t="shared" si="1073"/>
        <v/>
      </c>
      <c r="BP233" s="226" t="str">
        <f t="shared" si="1073"/>
        <v/>
      </c>
      <c r="BQ233" s="226" t="str">
        <f t="shared" si="1073"/>
        <v/>
      </c>
      <c r="BR233" s="226" t="str">
        <f t="shared" si="1073"/>
        <v/>
      </c>
      <c r="BS233" s="226" t="str">
        <f t="shared" si="1073"/>
        <v/>
      </c>
      <c r="BT233" s="226" t="str">
        <f t="shared" si="1073"/>
        <v/>
      </c>
      <c r="BU233" s="226" t="str">
        <f t="shared" si="1073"/>
        <v/>
      </c>
      <c r="BV233" s="226" t="str">
        <f t="shared" si="1073"/>
        <v/>
      </c>
      <c r="BW233" s="226" t="str">
        <f t="shared" si="1073"/>
        <v/>
      </c>
      <c r="BX233" s="226" t="str">
        <f t="shared" si="1073"/>
        <v/>
      </c>
      <c r="BY233" s="226" t="str">
        <f t="shared" si="1074"/>
        <v/>
      </c>
      <c r="BZ233" s="226" t="str">
        <f t="shared" si="1074"/>
        <v/>
      </c>
      <c r="CA233" s="226" t="str">
        <f t="shared" si="1074"/>
        <v/>
      </c>
      <c r="CB233" s="226" t="str">
        <f t="shared" si="1074"/>
        <v/>
      </c>
      <c r="CC233" s="226" t="str">
        <f t="shared" si="1074"/>
        <v/>
      </c>
      <c r="CD233" s="226" t="str">
        <f t="shared" si="1074"/>
        <v/>
      </c>
      <c r="CE233" s="226" t="str">
        <f t="shared" si="1074"/>
        <v/>
      </c>
      <c r="CF233" s="226" t="str">
        <f t="shared" si="1074"/>
        <v/>
      </c>
      <c r="CG233" s="226" t="str">
        <f t="shared" si="1074"/>
        <v/>
      </c>
      <c r="CH233" s="226" t="str">
        <f t="shared" si="1074"/>
        <v/>
      </c>
      <c r="CI233" s="226" t="str">
        <f t="shared" si="1075"/>
        <v/>
      </c>
      <c r="CJ233" s="226" t="str">
        <f t="shared" si="1075"/>
        <v/>
      </c>
      <c r="CK233" s="226" t="str">
        <f t="shared" si="1075"/>
        <v/>
      </c>
      <c r="CL233" s="226" t="str">
        <f t="shared" si="1075"/>
        <v/>
      </c>
      <c r="CM233" s="226" t="str">
        <f t="shared" si="1075"/>
        <v/>
      </c>
      <c r="CN233" s="226" t="str">
        <f t="shared" si="1075"/>
        <v/>
      </c>
      <c r="CO233" s="226" t="str">
        <f t="shared" si="1075"/>
        <v/>
      </c>
      <c r="CP233" s="226" t="str">
        <f t="shared" si="1075"/>
        <v/>
      </c>
      <c r="CQ233" s="226" t="str">
        <f t="shared" si="1075"/>
        <v/>
      </c>
      <c r="CR233" s="226" t="str">
        <f t="shared" si="1075"/>
        <v/>
      </c>
      <c r="CS233" s="226" t="str">
        <f t="shared" si="1076"/>
        <v/>
      </c>
      <c r="CT233" s="226" t="str">
        <f t="shared" si="1076"/>
        <v/>
      </c>
      <c r="CU233" s="226" t="str">
        <f t="shared" si="1076"/>
        <v/>
      </c>
      <c r="CV233" s="226" t="str">
        <f t="shared" si="1076"/>
        <v/>
      </c>
      <c r="CW233" s="226" t="str">
        <f t="shared" si="1076"/>
        <v/>
      </c>
      <c r="CX233" s="226" t="str">
        <f t="shared" si="1076"/>
        <v/>
      </c>
      <c r="CY233" s="226" t="str">
        <f t="shared" si="1076"/>
        <v/>
      </c>
      <c r="CZ233" s="226" t="str">
        <f t="shared" si="1076"/>
        <v/>
      </c>
      <c r="DA233" s="226" t="str">
        <f t="shared" si="1076"/>
        <v/>
      </c>
      <c r="DB233" s="226" t="str">
        <f t="shared" si="1076"/>
        <v/>
      </c>
      <c r="DC233" s="226" t="str">
        <f t="shared" si="1077"/>
        <v/>
      </c>
      <c r="DD233" s="226" t="str">
        <f t="shared" si="1077"/>
        <v/>
      </c>
      <c r="DE233" s="226" t="str">
        <f t="shared" si="1077"/>
        <v/>
      </c>
      <c r="DF233" s="226" t="str">
        <f t="shared" si="1077"/>
        <v/>
      </c>
      <c r="DG233" s="226" t="str">
        <f t="shared" si="1077"/>
        <v/>
      </c>
      <c r="DH233" s="226" t="str">
        <f t="shared" si="1077"/>
        <v/>
      </c>
      <c r="DI233" s="226" t="str">
        <f t="shared" si="1077"/>
        <v/>
      </c>
      <c r="DJ233" s="226" t="str">
        <f t="shared" si="1077"/>
        <v/>
      </c>
      <c r="DK233" s="226" t="str">
        <f t="shared" si="1077"/>
        <v/>
      </c>
      <c r="DL233" s="226" t="str">
        <f t="shared" si="1077"/>
        <v/>
      </c>
      <c r="DM233" s="226" t="str">
        <f t="shared" si="1078"/>
        <v/>
      </c>
      <c r="DN233" s="226" t="str">
        <f t="shared" si="1078"/>
        <v/>
      </c>
      <c r="DO233" s="226" t="str">
        <f t="shared" si="1078"/>
        <v/>
      </c>
      <c r="DP233" s="226" t="str">
        <f t="shared" si="1078"/>
        <v/>
      </c>
      <c r="DQ233" s="226" t="str">
        <f t="shared" si="1078"/>
        <v/>
      </c>
      <c r="DR233" s="226" t="str">
        <f t="shared" si="1078"/>
        <v/>
      </c>
      <c r="DS233" s="226" t="str">
        <f t="shared" si="1078"/>
        <v/>
      </c>
      <c r="DT233" s="226" t="str">
        <f t="shared" si="1078"/>
        <v/>
      </c>
      <c r="DU233" s="226" t="str">
        <f t="shared" si="1078"/>
        <v/>
      </c>
      <c r="DV233" s="226" t="str">
        <f t="shared" si="1078"/>
        <v/>
      </c>
      <c r="DW233" s="226" t="str">
        <f t="shared" si="1079"/>
        <v/>
      </c>
      <c r="DX233" s="226" t="str">
        <f t="shared" si="1079"/>
        <v/>
      </c>
      <c r="DY233" s="226" t="str">
        <f t="shared" si="1079"/>
        <v/>
      </c>
      <c r="DZ233" s="226" t="str">
        <f t="shared" si="1079"/>
        <v/>
      </c>
      <c r="EA233" s="226" t="str">
        <f t="shared" si="1079"/>
        <v/>
      </c>
      <c r="EB233" s="226" t="str">
        <f t="shared" si="1079"/>
        <v/>
      </c>
      <c r="EC233" s="226" t="str">
        <f t="shared" si="1079"/>
        <v/>
      </c>
      <c r="ED233" s="226" t="str">
        <f t="shared" si="1079"/>
        <v/>
      </c>
      <c r="EE233" s="226" t="str">
        <f t="shared" si="1079"/>
        <v/>
      </c>
      <c r="EF233" s="226" t="str">
        <f t="shared" si="1079"/>
        <v/>
      </c>
      <c r="EG233" s="226" t="str">
        <f t="shared" si="1080"/>
        <v/>
      </c>
      <c r="EH233" s="226" t="str">
        <f t="shared" si="1080"/>
        <v/>
      </c>
      <c r="EI233" s="226" t="str">
        <f t="shared" si="1080"/>
        <v/>
      </c>
      <c r="EJ233" s="226" t="str">
        <f t="shared" si="1080"/>
        <v/>
      </c>
      <c r="EK233" s="226" t="str">
        <f t="shared" si="1080"/>
        <v/>
      </c>
      <c r="EL233" s="226" t="str">
        <f t="shared" si="1080"/>
        <v/>
      </c>
      <c r="EM233" s="226" t="str">
        <f t="shared" si="1080"/>
        <v/>
      </c>
      <c r="EN233" s="226" t="str">
        <f t="shared" si="1080"/>
        <v/>
      </c>
      <c r="EO233" s="226" t="str">
        <f t="shared" si="1080"/>
        <v/>
      </c>
      <c r="EP233" s="226" t="str">
        <f t="shared" si="1080"/>
        <v/>
      </c>
      <c r="EQ233" s="226" t="str">
        <f t="shared" si="1080"/>
        <v/>
      </c>
      <c r="ER233" s="226" t="str">
        <f t="shared" si="1080"/>
        <v/>
      </c>
      <c r="ES233" s="226" t="str">
        <f t="shared" si="1080"/>
        <v/>
      </c>
      <c r="EU233" s="202"/>
      <c r="EV233" s="153"/>
      <c r="EW233" s="153"/>
      <c r="EX233" s="154" t="s">
        <v>354</v>
      </c>
      <c r="EY233" s="393" t="e">
        <f ca="1">XIRR(OFFSET(FA233,,,1,Timing_Reversion_Month+1),OFFSET($FA$23,,,1,Timing_Reversion_Month+1))</f>
        <v>#NUM!</v>
      </c>
      <c r="EZ233" s="154"/>
      <c r="FA233" s="386">
        <f t="shared" ref="FA233:GF233" ca="1" si="1086">+-FA204+FA230+FA231</f>
        <v>0</v>
      </c>
      <c r="FB233" s="386">
        <f t="shared" ca="1" si="1086"/>
        <v>0</v>
      </c>
      <c r="FC233" s="386">
        <f t="shared" ca="1" si="1086"/>
        <v>0</v>
      </c>
      <c r="FD233" s="386">
        <f t="shared" ca="1" si="1086"/>
        <v>0</v>
      </c>
      <c r="FE233" s="386">
        <f t="shared" ca="1" si="1086"/>
        <v>0</v>
      </c>
      <c r="FF233" s="386">
        <f t="shared" ca="1" si="1086"/>
        <v>0</v>
      </c>
      <c r="FG233" s="386">
        <f t="shared" ca="1" si="1086"/>
        <v>0</v>
      </c>
      <c r="FH233" s="386">
        <f t="shared" ca="1" si="1086"/>
        <v>0</v>
      </c>
      <c r="FI233" s="386">
        <f t="shared" ca="1" si="1086"/>
        <v>0</v>
      </c>
      <c r="FJ233" s="386">
        <f t="shared" ca="1" si="1086"/>
        <v>0</v>
      </c>
      <c r="FK233" s="386">
        <f t="shared" ca="1" si="1086"/>
        <v>0</v>
      </c>
      <c r="FL233" s="386">
        <f t="shared" ca="1" si="1086"/>
        <v>0</v>
      </c>
      <c r="FM233" s="386">
        <f t="shared" ca="1" si="1086"/>
        <v>0</v>
      </c>
      <c r="FN233" s="386">
        <f t="shared" ca="1" si="1086"/>
        <v>0</v>
      </c>
      <c r="FO233" s="386">
        <f t="shared" ca="1" si="1086"/>
        <v>0</v>
      </c>
      <c r="FP233" s="386">
        <f t="shared" ca="1" si="1086"/>
        <v>0</v>
      </c>
      <c r="FQ233" s="386">
        <f t="shared" ca="1" si="1086"/>
        <v>0</v>
      </c>
      <c r="FR233" s="386">
        <f t="shared" ca="1" si="1086"/>
        <v>0</v>
      </c>
      <c r="FS233" s="386">
        <f t="shared" ca="1" si="1086"/>
        <v>0</v>
      </c>
      <c r="FT233" s="386">
        <f t="shared" ca="1" si="1086"/>
        <v>0</v>
      </c>
      <c r="FU233" s="386">
        <f t="shared" ca="1" si="1086"/>
        <v>0</v>
      </c>
      <c r="FV233" s="386">
        <f t="shared" ca="1" si="1086"/>
        <v>0</v>
      </c>
      <c r="FW233" s="386">
        <f t="shared" ca="1" si="1086"/>
        <v>0</v>
      </c>
      <c r="FX233" s="386">
        <f t="shared" ca="1" si="1086"/>
        <v>0</v>
      </c>
      <c r="FY233" s="386">
        <f t="shared" ca="1" si="1086"/>
        <v>0</v>
      </c>
      <c r="FZ233" s="386">
        <f t="shared" ca="1" si="1086"/>
        <v>0</v>
      </c>
      <c r="GA233" s="386">
        <f t="shared" ca="1" si="1086"/>
        <v>0</v>
      </c>
      <c r="GB233" s="386">
        <f t="shared" ca="1" si="1086"/>
        <v>0</v>
      </c>
      <c r="GC233" s="386">
        <f t="shared" ca="1" si="1086"/>
        <v>0</v>
      </c>
      <c r="GD233" s="386">
        <f t="shared" ca="1" si="1086"/>
        <v>0</v>
      </c>
      <c r="GE233" s="386">
        <f t="shared" ca="1" si="1086"/>
        <v>0</v>
      </c>
      <c r="GF233" s="386">
        <f t="shared" ca="1" si="1086"/>
        <v>0</v>
      </c>
      <c r="GG233" s="386">
        <f t="shared" ref="GG233:HL233" ca="1" si="1087">+-GG204+GG230+GG231</f>
        <v>0</v>
      </c>
      <c r="GH233" s="386">
        <f t="shared" ca="1" si="1087"/>
        <v>0</v>
      </c>
      <c r="GI233" s="386">
        <f t="shared" ca="1" si="1087"/>
        <v>0</v>
      </c>
      <c r="GJ233" s="386">
        <f t="shared" ca="1" si="1087"/>
        <v>0</v>
      </c>
      <c r="GK233" s="386">
        <f t="shared" ca="1" si="1087"/>
        <v>0</v>
      </c>
      <c r="GL233" s="386">
        <f t="shared" ca="1" si="1087"/>
        <v>0</v>
      </c>
      <c r="GM233" s="386">
        <f t="shared" ca="1" si="1087"/>
        <v>0</v>
      </c>
      <c r="GN233" s="386">
        <f t="shared" ca="1" si="1087"/>
        <v>0</v>
      </c>
      <c r="GO233" s="386">
        <f t="shared" ca="1" si="1087"/>
        <v>0</v>
      </c>
      <c r="GP233" s="386">
        <f t="shared" ca="1" si="1087"/>
        <v>0</v>
      </c>
      <c r="GQ233" s="386">
        <f t="shared" ca="1" si="1087"/>
        <v>0</v>
      </c>
      <c r="GR233" s="386">
        <f t="shared" ca="1" si="1087"/>
        <v>0</v>
      </c>
      <c r="GS233" s="386">
        <f t="shared" ca="1" si="1087"/>
        <v>0</v>
      </c>
      <c r="GT233" s="386">
        <f t="shared" ca="1" si="1087"/>
        <v>0</v>
      </c>
      <c r="GU233" s="386">
        <f t="shared" ca="1" si="1087"/>
        <v>0</v>
      </c>
      <c r="GV233" s="386">
        <f t="shared" ca="1" si="1087"/>
        <v>0</v>
      </c>
      <c r="GW233" s="386">
        <f t="shared" ca="1" si="1087"/>
        <v>0</v>
      </c>
      <c r="GX233" s="386">
        <f t="shared" ca="1" si="1087"/>
        <v>0</v>
      </c>
      <c r="GY233" s="386">
        <f t="shared" ca="1" si="1087"/>
        <v>0</v>
      </c>
      <c r="GZ233" s="386">
        <f t="shared" ca="1" si="1087"/>
        <v>0</v>
      </c>
      <c r="HA233" s="386">
        <f t="shared" ca="1" si="1087"/>
        <v>0</v>
      </c>
      <c r="HB233" s="386">
        <f t="shared" ca="1" si="1087"/>
        <v>0</v>
      </c>
      <c r="HC233" s="386">
        <f t="shared" ca="1" si="1087"/>
        <v>0</v>
      </c>
      <c r="HD233" s="386">
        <f t="shared" ca="1" si="1087"/>
        <v>0</v>
      </c>
      <c r="HE233" s="386">
        <f t="shared" ca="1" si="1087"/>
        <v>0</v>
      </c>
      <c r="HF233" s="386">
        <f t="shared" ca="1" si="1087"/>
        <v>0</v>
      </c>
      <c r="HG233" s="386">
        <f t="shared" ca="1" si="1087"/>
        <v>0</v>
      </c>
      <c r="HH233" s="386">
        <f t="shared" ca="1" si="1087"/>
        <v>0</v>
      </c>
      <c r="HI233" s="386">
        <f t="shared" ca="1" si="1087"/>
        <v>0</v>
      </c>
      <c r="HJ233" s="386">
        <f t="shared" ca="1" si="1087"/>
        <v>0</v>
      </c>
      <c r="HK233" s="386">
        <f t="shared" ca="1" si="1087"/>
        <v>0</v>
      </c>
      <c r="HL233" s="386">
        <f t="shared" ca="1" si="1087"/>
        <v>0</v>
      </c>
      <c r="HM233" s="386">
        <f t="shared" ref="HM233:IR233" ca="1" si="1088">+-HM204+HM230+HM231</f>
        <v>0</v>
      </c>
      <c r="HN233" s="386">
        <f t="shared" ca="1" si="1088"/>
        <v>0</v>
      </c>
      <c r="HO233" s="386">
        <f t="shared" ca="1" si="1088"/>
        <v>0</v>
      </c>
      <c r="HP233" s="386">
        <f t="shared" ca="1" si="1088"/>
        <v>0</v>
      </c>
      <c r="HQ233" s="386">
        <f t="shared" ca="1" si="1088"/>
        <v>0</v>
      </c>
      <c r="HR233" s="386">
        <f t="shared" ca="1" si="1088"/>
        <v>0</v>
      </c>
      <c r="HS233" s="386">
        <f t="shared" ca="1" si="1088"/>
        <v>0</v>
      </c>
      <c r="HT233" s="386">
        <f t="shared" ca="1" si="1088"/>
        <v>0</v>
      </c>
      <c r="HU233" s="386">
        <f t="shared" ca="1" si="1088"/>
        <v>0</v>
      </c>
      <c r="HV233" s="386">
        <f t="shared" ca="1" si="1088"/>
        <v>0</v>
      </c>
      <c r="HW233" s="386">
        <f t="shared" ca="1" si="1088"/>
        <v>0</v>
      </c>
      <c r="HX233" s="386">
        <f t="shared" ca="1" si="1088"/>
        <v>0</v>
      </c>
      <c r="HY233" s="386">
        <f t="shared" ca="1" si="1088"/>
        <v>0</v>
      </c>
      <c r="HZ233" s="386">
        <f t="shared" ca="1" si="1088"/>
        <v>0</v>
      </c>
      <c r="IA233" s="386">
        <f t="shared" ca="1" si="1088"/>
        <v>0</v>
      </c>
      <c r="IB233" s="386">
        <f t="shared" ca="1" si="1088"/>
        <v>0</v>
      </c>
      <c r="IC233" s="386">
        <f t="shared" ca="1" si="1088"/>
        <v>0</v>
      </c>
      <c r="ID233" s="386">
        <f t="shared" ca="1" si="1088"/>
        <v>0</v>
      </c>
      <c r="IE233" s="386">
        <f t="shared" ca="1" si="1088"/>
        <v>0</v>
      </c>
      <c r="IF233" s="386">
        <f t="shared" ca="1" si="1088"/>
        <v>0</v>
      </c>
      <c r="IG233" s="386">
        <f t="shared" ca="1" si="1088"/>
        <v>0</v>
      </c>
      <c r="IH233" s="386">
        <f t="shared" ca="1" si="1088"/>
        <v>0</v>
      </c>
      <c r="II233" s="386">
        <f t="shared" ca="1" si="1088"/>
        <v>0</v>
      </c>
      <c r="IJ233" s="386">
        <f t="shared" ca="1" si="1088"/>
        <v>0</v>
      </c>
      <c r="IK233" s="386">
        <f t="shared" ca="1" si="1088"/>
        <v>0</v>
      </c>
      <c r="IL233" s="386">
        <f t="shared" ca="1" si="1088"/>
        <v>0</v>
      </c>
      <c r="IM233" s="386">
        <f t="shared" ca="1" si="1088"/>
        <v>0</v>
      </c>
      <c r="IN233" s="386">
        <f t="shared" ca="1" si="1088"/>
        <v>0</v>
      </c>
      <c r="IO233" s="386">
        <f t="shared" ca="1" si="1088"/>
        <v>0</v>
      </c>
      <c r="IP233" s="386">
        <f t="shared" ca="1" si="1088"/>
        <v>0</v>
      </c>
      <c r="IQ233" s="386">
        <f t="shared" ca="1" si="1088"/>
        <v>0</v>
      </c>
      <c r="IR233" s="386">
        <f t="shared" ca="1" si="1088"/>
        <v>0</v>
      </c>
      <c r="IS233" s="386">
        <f t="shared" ref="IS233:KC233" ca="1" si="1089">+-IS204+IS230+IS231</f>
        <v>0</v>
      </c>
      <c r="IT233" s="386">
        <f t="shared" ca="1" si="1089"/>
        <v>0</v>
      </c>
      <c r="IU233" s="386">
        <f t="shared" ca="1" si="1089"/>
        <v>0</v>
      </c>
      <c r="IV233" s="386">
        <f t="shared" ca="1" si="1089"/>
        <v>0</v>
      </c>
      <c r="IW233" s="386">
        <f t="shared" ca="1" si="1089"/>
        <v>0</v>
      </c>
      <c r="IX233" s="386">
        <f t="shared" ca="1" si="1089"/>
        <v>0</v>
      </c>
      <c r="IY233" s="386">
        <f t="shared" ca="1" si="1089"/>
        <v>0</v>
      </c>
      <c r="IZ233" s="386">
        <f t="shared" ca="1" si="1089"/>
        <v>0</v>
      </c>
      <c r="JA233" s="386">
        <f t="shared" ca="1" si="1089"/>
        <v>0</v>
      </c>
      <c r="JB233" s="386">
        <f t="shared" ca="1" si="1089"/>
        <v>0</v>
      </c>
      <c r="JC233" s="386">
        <f t="shared" ca="1" si="1089"/>
        <v>0</v>
      </c>
      <c r="JD233" s="386">
        <f t="shared" ca="1" si="1089"/>
        <v>0</v>
      </c>
      <c r="JE233" s="386">
        <f t="shared" ca="1" si="1089"/>
        <v>0</v>
      </c>
      <c r="JF233" s="386">
        <f t="shared" ca="1" si="1089"/>
        <v>0</v>
      </c>
      <c r="JG233" s="386">
        <f t="shared" ca="1" si="1089"/>
        <v>0</v>
      </c>
      <c r="JH233" s="386">
        <f t="shared" ca="1" si="1089"/>
        <v>0</v>
      </c>
      <c r="JI233" s="386">
        <f t="shared" ca="1" si="1089"/>
        <v>0</v>
      </c>
      <c r="JJ233" s="386">
        <f t="shared" ca="1" si="1089"/>
        <v>0</v>
      </c>
      <c r="JK233" s="386">
        <f t="shared" ca="1" si="1089"/>
        <v>0</v>
      </c>
      <c r="JL233" s="386">
        <f t="shared" ca="1" si="1089"/>
        <v>0</v>
      </c>
      <c r="JM233" s="386">
        <f t="shared" ca="1" si="1089"/>
        <v>0</v>
      </c>
      <c r="JN233" s="386">
        <f t="shared" ca="1" si="1089"/>
        <v>0</v>
      </c>
      <c r="JO233" s="386">
        <f t="shared" ca="1" si="1089"/>
        <v>0</v>
      </c>
      <c r="JP233" s="386">
        <f t="shared" ca="1" si="1089"/>
        <v>0</v>
      </c>
      <c r="JQ233" s="386">
        <f t="shared" ca="1" si="1089"/>
        <v>0</v>
      </c>
      <c r="JR233" s="386">
        <f t="shared" ca="1" si="1089"/>
        <v>0</v>
      </c>
      <c r="JS233" s="386">
        <f t="shared" ca="1" si="1089"/>
        <v>0</v>
      </c>
      <c r="JT233" s="386">
        <f t="shared" ca="1" si="1089"/>
        <v>0</v>
      </c>
      <c r="JU233" s="386">
        <f t="shared" ca="1" si="1089"/>
        <v>0</v>
      </c>
      <c r="JV233" s="386">
        <f t="shared" ca="1" si="1089"/>
        <v>0</v>
      </c>
      <c r="JW233" s="386">
        <f t="shared" ca="1" si="1089"/>
        <v>0</v>
      </c>
      <c r="JX233" s="386">
        <f t="shared" ca="1" si="1089"/>
        <v>0</v>
      </c>
      <c r="JY233" s="386">
        <f t="shared" ca="1" si="1089"/>
        <v>0</v>
      </c>
      <c r="JZ233" s="386">
        <f t="shared" ca="1" si="1089"/>
        <v>0</v>
      </c>
      <c r="KA233" s="386">
        <f t="shared" ca="1" si="1089"/>
        <v>0</v>
      </c>
      <c r="KB233" s="386">
        <f t="shared" ca="1" si="1089"/>
        <v>0</v>
      </c>
      <c r="KC233" s="386">
        <f t="shared" ca="1" si="1089"/>
        <v>0</v>
      </c>
    </row>
    <row r="234" spans="2:289" x14ac:dyDescent="0.25">
      <c r="B234" s="180" t="s">
        <v>68</v>
      </c>
      <c r="C234" s="181"/>
      <c r="D234" s="181"/>
      <c r="E234" s="413"/>
      <c r="F234" s="413"/>
      <c r="G234" s="413"/>
      <c r="H234" s="417">
        <f>SUM(H232:H233)</f>
        <v>1</v>
      </c>
      <c r="I234" s="335">
        <f ca="1">SUM(I232:I233)</f>
        <v>1615440.1321185711</v>
      </c>
      <c r="Q234" s="220">
        <f t="shared" ref="Q234:AV234" ca="1" si="1090">IF(Q231="","",SUM(Q232:Q233))</f>
        <v>822502.85714285716</v>
      </c>
      <c r="R234" s="220">
        <f t="shared" ca="1" si="1090"/>
        <v>16840.908265539307</v>
      </c>
      <c r="S234" s="220">
        <f t="shared" ca="1" si="1090"/>
        <v>52504.923287438098</v>
      </c>
      <c r="T234" s="220">
        <f t="shared" ca="1" si="1090"/>
        <v>136519.80154125288</v>
      </c>
      <c r="U234" s="220">
        <f t="shared" ca="1" si="1090"/>
        <v>282437.29328717594</v>
      </c>
      <c r="V234" s="220">
        <f t="shared" ca="1" si="1090"/>
        <v>304634.34859430767</v>
      </c>
      <c r="W234" s="220">
        <f t="shared" ca="1" si="1090"/>
        <v>0</v>
      </c>
      <c r="X234" s="220">
        <f t="shared" ca="1" si="1090"/>
        <v>0</v>
      </c>
      <c r="Y234" s="220">
        <f t="shared" ca="1" si="1090"/>
        <v>0</v>
      </c>
      <c r="Z234" s="220">
        <f t="shared" ca="1" si="1090"/>
        <v>0</v>
      </c>
      <c r="AA234" s="220">
        <f t="shared" ca="1" si="1090"/>
        <v>0</v>
      </c>
      <c r="AB234" s="220">
        <f t="shared" ca="1" si="1090"/>
        <v>0</v>
      </c>
      <c r="AC234" s="220">
        <f t="shared" ca="1" si="1090"/>
        <v>0</v>
      </c>
      <c r="AD234" s="220">
        <f t="shared" ca="1" si="1090"/>
        <v>0</v>
      </c>
      <c r="AE234" s="220">
        <f t="shared" ca="1" si="1090"/>
        <v>0</v>
      </c>
      <c r="AF234" s="220">
        <f t="shared" ca="1" si="1090"/>
        <v>0</v>
      </c>
      <c r="AG234" s="220">
        <f t="shared" ca="1" si="1090"/>
        <v>0</v>
      </c>
      <c r="AH234" s="220">
        <f t="shared" ca="1" si="1090"/>
        <v>0</v>
      </c>
      <c r="AI234" s="220">
        <f t="shared" ca="1" si="1090"/>
        <v>0</v>
      </c>
      <c r="AJ234" s="220">
        <f t="shared" ca="1" si="1090"/>
        <v>0</v>
      </c>
      <c r="AK234" s="220">
        <f t="shared" ca="1" si="1090"/>
        <v>0</v>
      </c>
      <c r="AL234" s="220">
        <f t="shared" ca="1" si="1090"/>
        <v>0</v>
      </c>
      <c r="AM234" s="220">
        <f t="shared" ca="1" si="1090"/>
        <v>0</v>
      </c>
      <c r="AN234" s="220">
        <f t="shared" ca="1" si="1090"/>
        <v>0</v>
      </c>
      <c r="AO234" s="220">
        <f t="shared" ca="1" si="1090"/>
        <v>0</v>
      </c>
      <c r="AP234" s="220">
        <f t="shared" ca="1" si="1090"/>
        <v>0</v>
      </c>
      <c r="AQ234" s="220">
        <f t="shared" ca="1" si="1090"/>
        <v>0</v>
      </c>
      <c r="AR234" s="220">
        <f t="shared" ca="1" si="1090"/>
        <v>0</v>
      </c>
      <c r="AS234" s="220">
        <f t="shared" ca="1" si="1090"/>
        <v>0</v>
      </c>
      <c r="AT234" s="220">
        <f t="shared" ca="1" si="1090"/>
        <v>0</v>
      </c>
      <c r="AU234" s="220">
        <f t="shared" ca="1" si="1090"/>
        <v>0</v>
      </c>
      <c r="AV234" s="220">
        <f t="shared" ca="1" si="1090"/>
        <v>0</v>
      </c>
      <c r="AW234" s="220">
        <f t="shared" ref="AW234:CB234" ca="1" si="1091">IF(AW231="","",SUM(AW232:AW233))</f>
        <v>0</v>
      </c>
      <c r="AX234" s="220">
        <f t="shared" ca="1" si="1091"/>
        <v>0</v>
      </c>
      <c r="AY234" s="220">
        <f t="shared" ca="1" si="1091"/>
        <v>0</v>
      </c>
      <c r="AZ234" s="220">
        <f t="shared" ca="1" si="1091"/>
        <v>0</v>
      </c>
      <c r="BA234" s="220">
        <f t="shared" ca="1" si="1091"/>
        <v>0</v>
      </c>
      <c r="BB234" s="220" t="str">
        <f t="shared" si="1091"/>
        <v/>
      </c>
      <c r="BC234" s="220" t="str">
        <f t="shared" si="1091"/>
        <v/>
      </c>
      <c r="BD234" s="220" t="str">
        <f t="shared" si="1091"/>
        <v/>
      </c>
      <c r="BE234" s="220" t="str">
        <f t="shared" si="1091"/>
        <v/>
      </c>
      <c r="BF234" s="220" t="str">
        <f t="shared" si="1091"/>
        <v/>
      </c>
      <c r="BG234" s="220" t="str">
        <f t="shared" si="1091"/>
        <v/>
      </c>
      <c r="BH234" s="220" t="str">
        <f t="shared" si="1091"/>
        <v/>
      </c>
      <c r="BI234" s="220" t="str">
        <f t="shared" si="1091"/>
        <v/>
      </c>
      <c r="BJ234" s="220" t="str">
        <f t="shared" si="1091"/>
        <v/>
      </c>
      <c r="BK234" s="220" t="str">
        <f t="shared" si="1091"/>
        <v/>
      </c>
      <c r="BL234" s="220" t="str">
        <f t="shared" si="1091"/>
        <v/>
      </c>
      <c r="BM234" s="220" t="str">
        <f t="shared" si="1091"/>
        <v/>
      </c>
      <c r="BN234" s="220" t="str">
        <f t="shared" si="1091"/>
        <v/>
      </c>
      <c r="BO234" s="220" t="str">
        <f t="shared" si="1091"/>
        <v/>
      </c>
      <c r="BP234" s="220" t="str">
        <f t="shared" si="1091"/>
        <v/>
      </c>
      <c r="BQ234" s="220" t="str">
        <f t="shared" si="1091"/>
        <v/>
      </c>
      <c r="BR234" s="220" t="str">
        <f t="shared" si="1091"/>
        <v/>
      </c>
      <c r="BS234" s="220" t="str">
        <f t="shared" si="1091"/>
        <v/>
      </c>
      <c r="BT234" s="220" t="str">
        <f t="shared" si="1091"/>
        <v/>
      </c>
      <c r="BU234" s="220" t="str">
        <f t="shared" si="1091"/>
        <v/>
      </c>
      <c r="BV234" s="220" t="str">
        <f t="shared" si="1091"/>
        <v/>
      </c>
      <c r="BW234" s="220" t="str">
        <f t="shared" si="1091"/>
        <v/>
      </c>
      <c r="BX234" s="220" t="str">
        <f t="shared" si="1091"/>
        <v/>
      </c>
      <c r="BY234" s="220" t="str">
        <f t="shared" si="1091"/>
        <v/>
      </c>
      <c r="BZ234" s="220" t="str">
        <f t="shared" si="1091"/>
        <v/>
      </c>
      <c r="CA234" s="220" t="str">
        <f t="shared" si="1091"/>
        <v/>
      </c>
      <c r="CB234" s="220" t="str">
        <f t="shared" si="1091"/>
        <v/>
      </c>
      <c r="CC234" s="220" t="str">
        <f t="shared" ref="CC234:DH234" si="1092">IF(CC231="","",SUM(CC232:CC233))</f>
        <v/>
      </c>
      <c r="CD234" s="220" t="str">
        <f t="shared" si="1092"/>
        <v/>
      </c>
      <c r="CE234" s="220" t="str">
        <f t="shared" si="1092"/>
        <v/>
      </c>
      <c r="CF234" s="220" t="str">
        <f t="shared" si="1092"/>
        <v/>
      </c>
      <c r="CG234" s="220" t="str">
        <f t="shared" si="1092"/>
        <v/>
      </c>
      <c r="CH234" s="220" t="str">
        <f t="shared" si="1092"/>
        <v/>
      </c>
      <c r="CI234" s="220" t="str">
        <f t="shared" si="1092"/>
        <v/>
      </c>
      <c r="CJ234" s="220" t="str">
        <f t="shared" si="1092"/>
        <v/>
      </c>
      <c r="CK234" s="220" t="str">
        <f t="shared" si="1092"/>
        <v/>
      </c>
      <c r="CL234" s="220" t="str">
        <f t="shared" si="1092"/>
        <v/>
      </c>
      <c r="CM234" s="220" t="str">
        <f t="shared" si="1092"/>
        <v/>
      </c>
      <c r="CN234" s="220" t="str">
        <f t="shared" si="1092"/>
        <v/>
      </c>
      <c r="CO234" s="220" t="str">
        <f t="shared" si="1092"/>
        <v/>
      </c>
      <c r="CP234" s="220" t="str">
        <f t="shared" si="1092"/>
        <v/>
      </c>
      <c r="CQ234" s="220" t="str">
        <f t="shared" si="1092"/>
        <v/>
      </c>
      <c r="CR234" s="220" t="str">
        <f t="shared" si="1092"/>
        <v/>
      </c>
      <c r="CS234" s="220" t="str">
        <f t="shared" si="1092"/>
        <v/>
      </c>
      <c r="CT234" s="220" t="str">
        <f t="shared" si="1092"/>
        <v/>
      </c>
      <c r="CU234" s="220" t="str">
        <f t="shared" si="1092"/>
        <v/>
      </c>
      <c r="CV234" s="220" t="str">
        <f t="shared" si="1092"/>
        <v/>
      </c>
      <c r="CW234" s="220" t="str">
        <f t="shared" si="1092"/>
        <v/>
      </c>
      <c r="CX234" s="220" t="str">
        <f t="shared" si="1092"/>
        <v/>
      </c>
      <c r="CY234" s="220" t="str">
        <f t="shared" si="1092"/>
        <v/>
      </c>
      <c r="CZ234" s="220" t="str">
        <f t="shared" si="1092"/>
        <v/>
      </c>
      <c r="DA234" s="220" t="str">
        <f t="shared" si="1092"/>
        <v/>
      </c>
      <c r="DB234" s="220" t="str">
        <f t="shared" si="1092"/>
        <v/>
      </c>
      <c r="DC234" s="220" t="str">
        <f t="shared" si="1092"/>
        <v/>
      </c>
      <c r="DD234" s="220" t="str">
        <f t="shared" si="1092"/>
        <v/>
      </c>
      <c r="DE234" s="220" t="str">
        <f t="shared" si="1092"/>
        <v/>
      </c>
      <c r="DF234" s="220" t="str">
        <f t="shared" si="1092"/>
        <v/>
      </c>
      <c r="DG234" s="220" t="str">
        <f t="shared" si="1092"/>
        <v/>
      </c>
      <c r="DH234" s="220" t="str">
        <f t="shared" si="1092"/>
        <v/>
      </c>
      <c r="DI234" s="220" t="str">
        <f t="shared" ref="DI234:EN234" si="1093">IF(DI231="","",SUM(DI232:DI233))</f>
        <v/>
      </c>
      <c r="DJ234" s="220" t="str">
        <f t="shared" si="1093"/>
        <v/>
      </c>
      <c r="DK234" s="220" t="str">
        <f t="shared" si="1093"/>
        <v/>
      </c>
      <c r="DL234" s="220" t="str">
        <f t="shared" si="1093"/>
        <v/>
      </c>
      <c r="DM234" s="220" t="str">
        <f t="shared" si="1093"/>
        <v/>
      </c>
      <c r="DN234" s="220" t="str">
        <f t="shared" si="1093"/>
        <v/>
      </c>
      <c r="DO234" s="220" t="str">
        <f t="shared" si="1093"/>
        <v/>
      </c>
      <c r="DP234" s="220" t="str">
        <f t="shared" si="1093"/>
        <v/>
      </c>
      <c r="DQ234" s="220" t="str">
        <f t="shared" si="1093"/>
        <v/>
      </c>
      <c r="DR234" s="220" t="str">
        <f t="shared" si="1093"/>
        <v/>
      </c>
      <c r="DS234" s="220" t="str">
        <f t="shared" si="1093"/>
        <v/>
      </c>
      <c r="DT234" s="220" t="str">
        <f t="shared" si="1093"/>
        <v/>
      </c>
      <c r="DU234" s="220" t="str">
        <f t="shared" si="1093"/>
        <v/>
      </c>
      <c r="DV234" s="220" t="str">
        <f t="shared" si="1093"/>
        <v/>
      </c>
      <c r="DW234" s="220" t="str">
        <f t="shared" si="1093"/>
        <v/>
      </c>
      <c r="DX234" s="220" t="str">
        <f t="shared" si="1093"/>
        <v/>
      </c>
      <c r="DY234" s="220" t="str">
        <f t="shared" si="1093"/>
        <v/>
      </c>
      <c r="DZ234" s="220" t="str">
        <f t="shared" si="1093"/>
        <v/>
      </c>
      <c r="EA234" s="220" t="str">
        <f t="shared" si="1093"/>
        <v/>
      </c>
      <c r="EB234" s="220" t="str">
        <f t="shared" si="1093"/>
        <v/>
      </c>
      <c r="EC234" s="220" t="str">
        <f t="shared" si="1093"/>
        <v/>
      </c>
      <c r="ED234" s="220" t="str">
        <f t="shared" si="1093"/>
        <v/>
      </c>
      <c r="EE234" s="220" t="str">
        <f t="shared" si="1093"/>
        <v/>
      </c>
      <c r="EF234" s="220" t="str">
        <f t="shared" si="1093"/>
        <v/>
      </c>
      <c r="EG234" s="220" t="str">
        <f t="shared" si="1093"/>
        <v/>
      </c>
      <c r="EH234" s="220" t="str">
        <f t="shared" si="1093"/>
        <v/>
      </c>
      <c r="EI234" s="220" t="str">
        <f t="shared" si="1093"/>
        <v/>
      </c>
      <c r="EJ234" s="220" t="str">
        <f t="shared" si="1093"/>
        <v/>
      </c>
      <c r="EK234" s="220" t="str">
        <f t="shared" si="1093"/>
        <v/>
      </c>
      <c r="EL234" s="220" t="str">
        <f t="shared" si="1093"/>
        <v/>
      </c>
      <c r="EM234" s="220" t="str">
        <f t="shared" si="1093"/>
        <v/>
      </c>
      <c r="EN234" s="220" t="str">
        <f t="shared" si="1093"/>
        <v/>
      </c>
      <c r="EO234" s="220" t="str">
        <f>IF(EO231="","",SUM(EO232:EO233))</f>
        <v/>
      </c>
      <c r="EP234" s="220" t="str">
        <f>IF(EP231="","",SUM(EP232:EP233))</f>
        <v/>
      </c>
      <c r="EQ234" s="220" t="str">
        <f>IF(EQ231="","",SUM(EQ232:EQ233))</f>
        <v/>
      </c>
      <c r="ER234" s="220" t="str">
        <f>IF(ER231="","",SUM(ER232:ER233))</f>
        <v/>
      </c>
      <c r="ES234" s="220" t="str">
        <f>IF(ES231="","",SUM(ES232:ES233))</f>
        <v/>
      </c>
      <c r="EU234" s="202"/>
      <c r="EV234" s="153"/>
      <c r="EW234" s="153"/>
      <c r="EX234" s="153"/>
      <c r="EY234" s="154" t="s">
        <v>372</v>
      </c>
      <c r="EZ234" s="154"/>
      <c r="FA234" s="388">
        <f t="shared" ref="FA234:GF234" ca="1" si="1094">(FA$201&lt;=Timing_Reversion_Month)*IFERROR((FA231/$I$239*$H$239),0)</f>
        <v>0</v>
      </c>
      <c r="FB234" s="388">
        <f t="shared" ca="1" si="1094"/>
        <v>0</v>
      </c>
      <c r="FC234" s="388">
        <f t="shared" ca="1" si="1094"/>
        <v>0</v>
      </c>
      <c r="FD234" s="388">
        <f t="shared" ca="1" si="1094"/>
        <v>0</v>
      </c>
      <c r="FE234" s="388">
        <f t="shared" ca="1" si="1094"/>
        <v>0</v>
      </c>
      <c r="FF234" s="388">
        <f t="shared" ca="1" si="1094"/>
        <v>0</v>
      </c>
      <c r="FG234" s="388">
        <f t="shared" ca="1" si="1094"/>
        <v>0</v>
      </c>
      <c r="FH234" s="388">
        <f t="shared" ca="1" si="1094"/>
        <v>0</v>
      </c>
      <c r="FI234" s="388">
        <f t="shared" ca="1" si="1094"/>
        <v>0</v>
      </c>
      <c r="FJ234" s="388">
        <f t="shared" ca="1" si="1094"/>
        <v>0</v>
      </c>
      <c r="FK234" s="388">
        <f t="shared" ca="1" si="1094"/>
        <v>0</v>
      </c>
      <c r="FL234" s="388">
        <f t="shared" ca="1" si="1094"/>
        <v>0</v>
      </c>
      <c r="FM234" s="388">
        <f t="shared" ca="1" si="1094"/>
        <v>0</v>
      </c>
      <c r="FN234" s="388">
        <f t="shared" ca="1" si="1094"/>
        <v>0</v>
      </c>
      <c r="FO234" s="388">
        <f t="shared" ca="1" si="1094"/>
        <v>0</v>
      </c>
      <c r="FP234" s="388">
        <f t="shared" ca="1" si="1094"/>
        <v>0</v>
      </c>
      <c r="FQ234" s="388">
        <f t="shared" ca="1" si="1094"/>
        <v>0</v>
      </c>
      <c r="FR234" s="388">
        <f t="shared" ca="1" si="1094"/>
        <v>0</v>
      </c>
      <c r="FS234" s="388">
        <f t="shared" ca="1" si="1094"/>
        <v>0</v>
      </c>
      <c r="FT234" s="388">
        <f t="shared" ca="1" si="1094"/>
        <v>0</v>
      </c>
      <c r="FU234" s="388">
        <f t="shared" ca="1" si="1094"/>
        <v>0</v>
      </c>
      <c r="FV234" s="388">
        <f t="shared" ca="1" si="1094"/>
        <v>0</v>
      </c>
      <c r="FW234" s="388">
        <f t="shared" ca="1" si="1094"/>
        <v>0</v>
      </c>
      <c r="FX234" s="388">
        <f t="shared" ca="1" si="1094"/>
        <v>0</v>
      </c>
      <c r="FY234" s="388">
        <f t="shared" ca="1" si="1094"/>
        <v>0</v>
      </c>
      <c r="FZ234" s="388">
        <f t="shared" ca="1" si="1094"/>
        <v>0</v>
      </c>
      <c r="GA234" s="388">
        <f t="shared" ca="1" si="1094"/>
        <v>0</v>
      </c>
      <c r="GB234" s="388">
        <f t="shared" ca="1" si="1094"/>
        <v>0</v>
      </c>
      <c r="GC234" s="388">
        <f t="shared" ca="1" si="1094"/>
        <v>0</v>
      </c>
      <c r="GD234" s="388">
        <f t="shared" ca="1" si="1094"/>
        <v>0</v>
      </c>
      <c r="GE234" s="388">
        <f t="shared" ca="1" si="1094"/>
        <v>0</v>
      </c>
      <c r="GF234" s="388">
        <f t="shared" ca="1" si="1094"/>
        <v>0</v>
      </c>
      <c r="GG234" s="388">
        <f t="shared" ref="GG234:HL234" ca="1" si="1095">(GG$201&lt;=Timing_Reversion_Month)*IFERROR((GG231/$I$239*$H$239),0)</f>
        <v>0</v>
      </c>
      <c r="GH234" s="388">
        <f t="shared" ca="1" si="1095"/>
        <v>0</v>
      </c>
      <c r="GI234" s="388">
        <f t="shared" ca="1" si="1095"/>
        <v>0</v>
      </c>
      <c r="GJ234" s="388">
        <f t="shared" ca="1" si="1095"/>
        <v>0</v>
      </c>
      <c r="GK234" s="388">
        <f t="shared" ca="1" si="1095"/>
        <v>0</v>
      </c>
      <c r="GL234" s="388">
        <f t="shared" ca="1" si="1095"/>
        <v>0</v>
      </c>
      <c r="GM234" s="388">
        <f t="shared" ca="1" si="1095"/>
        <v>0</v>
      </c>
      <c r="GN234" s="388">
        <f t="shared" ca="1" si="1095"/>
        <v>0</v>
      </c>
      <c r="GO234" s="388">
        <f t="shared" ca="1" si="1095"/>
        <v>0</v>
      </c>
      <c r="GP234" s="388">
        <f t="shared" ca="1" si="1095"/>
        <v>0</v>
      </c>
      <c r="GQ234" s="388">
        <f t="shared" ca="1" si="1095"/>
        <v>0</v>
      </c>
      <c r="GR234" s="388">
        <f t="shared" ca="1" si="1095"/>
        <v>0</v>
      </c>
      <c r="GS234" s="388">
        <f t="shared" ca="1" si="1095"/>
        <v>0</v>
      </c>
      <c r="GT234" s="388">
        <f t="shared" ca="1" si="1095"/>
        <v>0</v>
      </c>
      <c r="GU234" s="388">
        <f t="shared" ca="1" si="1095"/>
        <v>0</v>
      </c>
      <c r="GV234" s="388">
        <f t="shared" ca="1" si="1095"/>
        <v>0</v>
      </c>
      <c r="GW234" s="388">
        <f t="shared" ca="1" si="1095"/>
        <v>0</v>
      </c>
      <c r="GX234" s="388">
        <f t="shared" ca="1" si="1095"/>
        <v>0</v>
      </c>
      <c r="GY234" s="388">
        <f t="shared" ca="1" si="1095"/>
        <v>0</v>
      </c>
      <c r="GZ234" s="388">
        <f t="shared" ca="1" si="1095"/>
        <v>0</v>
      </c>
      <c r="HA234" s="388">
        <f t="shared" ca="1" si="1095"/>
        <v>0</v>
      </c>
      <c r="HB234" s="388">
        <f t="shared" ca="1" si="1095"/>
        <v>0</v>
      </c>
      <c r="HC234" s="388">
        <f t="shared" ca="1" si="1095"/>
        <v>0</v>
      </c>
      <c r="HD234" s="388">
        <f t="shared" ca="1" si="1095"/>
        <v>0</v>
      </c>
      <c r="HE234" s="388">
        <f t="shared" ca="1" si="1095"/>
        <v>0</v>
      </c>
      <c r="HF234" s="388">
        <f t="shared" ca="1" si="1095"/>
        <v>0</v>
      </c>
      <c r="HG234" s="388">
        <f t="shared" ca="1" si="1095"/>
        <v>0</v>
      </c>
      <c r="HH234" s="388">
        <f t="shared" ca="1" si="1095"/>
        <v>0</v>
      </c>
      <c r="HI234" s="388">
        <f t="shared" ca="1" si="1095"/>
        <v>0</v>
      </c>
      <c r="HJ234" s="388">
        <f t="shared" ca="1" si="1095"/>
        <v>0</v>
      </c>
      <c r="HK234" s="388">
        <f t="shared" ca="1" si="1095"/>
        <v>0</v>
      </c>
      <c r="HL234" s="388">
        <f t="shared" ca="1" si="1095"/>
        <v>0</v>
      </c>
      <c r="HM234" s="388">
        <f t="shared" ref="HM234:IR234" ca="1" si="1096">(HM$201&lt;=Timing_Reversion_Month)*IFERROR((HM231/$I$239*$H$239),0)</f>
        <v>0</v>
      </c>
      <c r="HN234" s="388">
        <f t="shared" ca="1" si="1096"/>
        <v>0</v>
      </c>
      <c r="HO234" s="388">
        <f t="shared" ca="1" si="1096"/>
        <v>0</v>
      </c>
      <c r="HP234" s="388">
        <f t="shared" ca="1" si="1096"/>
        <v>0</v>
      </c>
      <c r="HQ234" s="388">
        <f t="shared" ca="1" si="1096"/>
        <v>0</v>
      </c>
      <c r="HR234" s="388">
        <f t="shared" ca="1" si="1096"/>
        <v>0</v>
      </c>
      <c r="HS234" s="388">
        <f t="shared" ca="1" si="1096"/>
        <v>0</v>
      </c>
      <c r="HT234" s="388">
        <f t="shared" ca="1" si="1096"/>
        <v>0</v>
      </c>
      <c r="HU234" s="388">
        <f t="shared" ca="1" si="1096"/>
        <v>0</v>
      </c>
      <c r="HV234" s="388">
        <f t="shared" ca="1" si="1096"/>
        <v>0</v>
      </c>
      <c r="HW234" s="388">
        <f t="shared" ca="1" si="1096"/>
        <v>0</v>
      </c>
      <c r="HX234" s="388">
        <f t="shared" ca="1" si="1096"/>
        <v>0</v>
      </c>
      <c r="HY234" s="388">
        <f t="shared" ca="1" si="1096"/>
        <v>0</v>
      </c>
      <c r="HZ234" s="388">
        <f t="shared" ca="1" si="1096"/>
        <v>0</v>
      </c>
      <c r="IA234" s="388">
        <f t="shared" ca="1" si="1096"/>
        <v>0</v>
      </c>
      <c r="IB234" s="388">
        <f t="shared" ca="1" si="1096"/>
        <v>0</v>
      </c>
      <c r="IC234" s="388">
        <f t="shared" ca="1" si="1096"/>
        <v>0</v>
      </c>
      <c r="ID234" s="388">
        <f t="shared" ca="1" si="1096"/>
        <v>0</v>
      </c>
      <c r="IE234" s="388">
        <f t="shared" ca="1" si="1096"/>
        <v>0</v>
      </c>
      <c r="IF234" s="388">
        <f t="shared" ca="1" si="1096"/>
        <v>0</v>
      </c>
      <c r="IG234" s="388">
        <f t="shared" ca="1" si="1096"/>
        <v>0</v>
      </c>
      <c r="IH234" s="388">
        <f t="shared" ca="1" si="1096"/>
        <v>0</v>
      </c>
      <c r="II234" s="388">
        <f t="shared" ca="1" si="1096"/>
        <v>0</v>
      </c>
      <c r="IJ234" s="388">
        <f t="shared" ca="1" si="1096"/>
        <v>0</v>
      </c>
      <c r="IK234" s="388">
        <f t="shared" ca="1" si="1096"/>
        <v>0</v>
      </c>
      <c r="IL234" s="388">
        <f t="shared" ca="1" si="1096"/>
        <v>0</v>
      </c>
      <c r="IM234" s="388">
        <f t="shared" ca="1" si="1096"/>
        <v>0</v>
      </c>
      <c r="IN234" s="388">
        <f t="shared" ca="1" si="1096"/>
        <v>0</v>
      </c>
      <c r="IO234" s="388">
        <f t="shared" ca="1" si="1096"/>
        <v>0</v>
      </c>
      <c r="IP234" s="388">
        <f t="shared" ca="1" si="1096"/>
        <v>0</v>
      </c>
      <c r="IQ234" s="388">
        <f t="shared" ca="1" si="1096"/>
        <v>0</v>
      </c>
      <c r="IR234" s="388">
        <f t="shared" ca="1" si="1096"/>
        <v>0</v>
      </c>
      <c r="IS234" s="388">
        <f t="shared" ref="IS234:KC234" ca="1" si="1097">(IS$201&lt;=Timing_Reversion_Month)*IFERROR((IS231/$I$239*$H$239),0)</f>
        <v>0</v>
      </c>
      <c r="IT234" s="388">
        <f t="shared" ca="1" si="1097"/>
        <v>0</v>
      </c>
      <c r="IU234" s="388">
        <f t="shared" ca="1" si="1097"/>
        <v>0</v>
      </c>
      <c r="IV234" s="388">
        <f t="shared" ca="1" si="1097"/>
        <v>0</v>
      </c>
      <c r="IW234" s="388">
        <f t="shared" ca="1" si="1097"/>
        <v>0</v>
      </c>
      <c r="IX234" s="388">
        <f t="shared" ca="1" si="1097"/>
        <v>0</v>
      </c>
      <c r="IY234" s="388">
        <f t="shared" ca="1" si="1097"/>
        <v>0</v>
      </c>
      <c r="IZ234" s="388">
        <f t="shared" ca="1" si="1097"/>
        <v>0</v>
      </c>
      <c r="JA234" s="388">
        <f t="shared" ca="1" si="1097"/>
        <v>0</v>
      </c>
      <c r="JB234" s="388">
        <f t="shared" ca="1" si="1097"/>
        <v>0</v>
      </c>
      <c r="JC234" s="388">
        <f t="shared" ca="1" si="1097"/>
        <v>0</v>
      </c>
      <c r="JD234" s="388">
        <f t="shared" ca="1" si="1097"/>
        <v>0</v>
      </c>
      <c r="JE234" s="388">
        <f t="shared" ca="1" si="1097"/>
        <v>0</v>
      </c>
      <c r="JF234" s="388">
        <f t="shared" ca="1" si="1097"/>
        <v>0</v>
      </c>
      <c r="JG234" s="388">
        <f t="shared" ca="1" si="1097"/>
        <v>0</v>
      </c>
      <c r="JH234" s="388">
        <f t="shared" ca="1" si="1097"/>
        <v>0</v>
      </c>
      <c r="JI234" s="388">
        <f t="shared" ca="1" si="1097"/>
        <v>0</v>
      </c>
      <c r="JJ234" s="388">
        <f t="shared" ca="1" si="1097"/>
        <v>0</v>
      </c>
      <c r="JK234" s="388">
        <f t="shared" ca="1" si="1097"/>
        <v>0</v>
      </c>
      <c r="JL234" s="388">
        <f t="shared" ca="1" si="1097"/>
        <v>0</v>
      </c>
      <c r="JM234" s="388">
        <f t="shared" ca="1" si="1097"/>
        <v>0</v>
      </c>
      <c r="JN234" s="388">
        <f t="shared" ca="1" si="1097"/>
        <v>0</v>
      </c>
      <c r="JO234" s="388">
        <f t="shared" ca="1" si="1097"/>
        <v>0</v>
      </c>
      <c r="JP234" s="388">
        <f t="shared" ca="1" si="1097"/>
        <v>0</v>
      </c>
      <c r="JQ234" s="388">
        <f t="shared" ca="1" si="1097"/>
        <v>0</v>
      </c>
      <c r="JR234" s="388">
        <f t="shared" ca="1" si="1097"/>
        <v>0</v>
      </c>
      <c r="JS234" s="388">
        <f t="shared" ca="1" si="1097"/>
        <v>0</v>
      </c>
      <c r="JT234" s="388">
        <f t="shared" ca="1" si="1097"/>
        <v>0</v>
      </c>
      <c r="JU234" s="388">
        <f t="shared" ca="1" si="1097"/>
        <v>0</v>
      </c>
      <c r="JV234" s="388">
        <f t="shared" ca="1" si="1097"/>
        <v>0</v>
      </c>
      <c r="JW234" s="388">
        <f t="shared" ca="1" si="1097"/>
        <v>0</v>
      </c>
      <c r="JX234" s="388">
        <f t="shared" ca="1" si="1097"/>
        <v>0</v>
      </c>
      <c r="JY234" s="388">
        <f t="shared" ca="1" si="1097"/>
        <v>0</v>
      </c>
      <c r="JZ234" s="388">
        <f t="shared" ca="1" si="1097"/>
        <v>0</v>
      </c>
      <c r="KA234" s="388">
        <f t="shared" ca="1" si="1097"/>
        <v>0</v>
      </c>
      <c r="KB234" s="388">
        <f t="shared" ca="1" si="1097"/>
        <v>0</v>
      </c>
      <c r="KC234" s="388">
        <f t="shared" ca="1" si="1097"/>
        <v>0</v>
      </c>
    </row>
    <row r="235" spans="2:289" ht="5.0999999999999996" customHeight="1" x14ac:dyDescent="0.25">
      <c r="B235" s="180"/>
      <c r="C235" s="181"/>
      <c r="D235" s="181"/>
      <c r="E235" s="413"/>
      <c r="F235" s="413"/>
      <c r="G235" s="413"/>
      <c r="H235" s="417"/>
      <c r="I235" s="335"/>
      <c r="EU235" s="202"/>
      <c r="EV235" s="153"/>
      <c r="EW235" s="153"/>
      <c r="EX235" s="153"/>
      <c r="EY235" s="154" t="s">
        <v>364</v>
      </c>
      <c r="EZ235" s="154"/>
      <c r="FA235" s="386">
        <f ca="1">+FA234+FA231</f>
        <v>0</v>
      </c>
      <c r="FB235" s="386">
        <f t="shared" ref="FB235:HM235" ca="1" si="1098">+FB234+FB231</f>
        <v>0</v>
      </c>
      <c r="FC235" s="386">
        <f t="shared" ca="1" si="1098"/>
        <v>0</v>
      </c>
      <c r="FD235" s="386">
        <f t="shared" ca="1" si="1098"/>
        <v>0</v>
      </c>
      <c r="FE235" s="386">
        <f t="shared" ca="1" si="1098"/>
        <v>0</v>
      </c>
      <c r="FF235" s="386">
        <f t="shared" ca="1" si="1098"/>
        <v>0</v>
      </c>
      <c r="FG235" s="386">
        <f t="shared" ca="1" si="1098"/>
        <v>0</v>
      </c>
      <c r="FH235" s="386">
        <f t="shared" ca="1" si="1098"/>
        <v>0</v>
      </c>
      <c r="FI235" s="386">
        <f t="shared" ca="1" si="1098"/>
        <v>0</v>
      </c>
      <c r="FJ235" s="386">
        <f t="shared" ca="1" si="1098"/>
        <v>0</v>
      </c>
      <c r="FK235" s="386">
        <f t="shared" ca="1" si="1098"/>
        <v>0</v>
      </c>
      <c r="FL235" s="386">
        <f t="shared" ca="1" si="1098"/>
        <v>0</v>
      </c>
      <c r="FM235" s="386">
        <f t="shared" ca="1" si="1098"/>
        <v>0</v>
      </c>
      <c r="FN235" s="386">
        <f t="shared" ca="1" si="1098"/>
        <v>0</v>
      </c>
      <c r="FO235" s="386">
        <f t="shared" ca="1" si="1098"/>
        <v>0</v>
      </c>
      <c r="FP235" s="386">
        <f t="shared" ca="1" si="1098"/>
        <v>0</v>
      </c>
      <c r="FQ235" s="386">
        <f t="shared" ca="1" si="1098"/>
        <v>0</v>
      </c>
      <c r="FR235" s="386">
        <f t="shared" ca="1" si="1098"/>
        <v>0</v>
      </c>
      <c r="FS235" s="386">
        <f t="shared" ca="1" si="1098"/>
        <v>0</v>
      </c>
      <c r="FT235" s="386">
        <f t="shared" ca="1" si="1098"/>
        <v>0</v>
      </c>
      <c r="FU235" s="386">
        <f t="shared" ca="1" si="1098"/>
        <v>0</v>
      </c>
      <c r="FV235" s="386">
        <f t="shared" ca="1" si="1098"/>
        <v>0</v>
      </c>
      <c r="FW235" s="386">
        <f t="shared" ca="1" si="1098"/>
        <v>0</v>
      </c>
      <c r="FX235" s="386">
        <f t="shared" ca="1" si="1098"/>
        <v>0</v>
      </c>
      <c r="FY235" s="386">
        <f t="shared" ca="1" si="1098"/>
        <v>0</v>
      </c>
      <c r="FZ235" s="386">
        <f t="shared" ca="1" si="1098"/>
        <v>0</v>
      </c>
      <c r="GA235" s="386">
        <f t="shared" ca="1" si="1098"/>
        <v>0</v>
      </c>
      <c r="GB235" s="386">
        <f t="shared" ca="1" si="1098"/>
        <v>0</v>
      </c>
      <c r="GC235" s="386">
        <f t="shared" ca="1" si="1098"/>
        <v>0</v>
      </c>
      <c r="GD235" s="386">
        <f t="shared" ca="1" si="1098"/>
        <v>0</v>
      </c>
      <c r="GE235" s="386">
        <f t="shared" ca="1" si="1098"/>
        <v>0</v>
      </c>
      <c r="GF235" s="386">
        <f t="shared" ca="1" si="1098"/>
        <v>0</v>
      </c>
      <c r="GG235" s="386">
        <f t="shared" ca="1" si="1098"/>
        <v>0</v>
      </c>
      <c r="GH235" s="386">
        <f t="shared" ca="1" si="1098"/>
        <v>0</v>
      </c>
      <c r="GI235" s="386">
        <f t="shared" ca="1" si="1098"/>
        <v>0</v>
      </c>
      <c r="GJ235" s="386">
        <f t="shared" ca="1" si="1098"/>
        <v>0</v>
      </c>
      <c r="GK235" s="386">
        <f t="shared" ca="1" si="1098"/>
        <v>0</v>
      </c>
      <c r="GL235" s="386">
        <f t="shared" ca="1" si="1098"/>
        <v>0</v>
      </c>
      <c r="GM235" s="386">
        <f t="shared" ca="1" si="1098"/>
        <v>0</v>
      </c>
      <c r="GN235" s="386">
        <f t="shared" ca="1" si="1098"/>
        <v>0</v>
      </c>
      <c r="GO235" s="386">
        <f t="shared" ca="1" si="1098"/>
        <v>0</v>
      </c>
      <c r="GP235" s="386">
        <f t="shared" ca="1" si="1098"/>
        <v>0</v>
      </c>
      <c r="GQ235" s="386">
        <f t="shared" ca="1" si="1098"/>
        <v>0</v>
      </c>
      <c r="GR235" s="386">
        <f t="shared" ca="1" si="1098"/>
        <v>0</v>
      </c>
      <c r="GS235" s="386">
        <f t="shared" ca="1" si="1098"/>
        <v>0</v>
      </c>
      <c r="GT235" s="386">
        <f t="shared" ca="1" si="1098"/>
        <v>0</v>
      </c>
      <c r="GU235" s="386">
        <f t="shared" ca="1" si="1098"/>
        <v>0</v>
      </c>
      <c r="GV235" s="386">
        <f t="shared" ca="1" si="1098"/>
        <v>0</v>
      </c>
      <c r="GW235" s="386">
        <f t="shared" ca="1" si="1098"/>
        <v>0</v>
      </c>
      <c r="GX235" s="386">
        <f t="shared" ca="1" si="1098"/>
        <v>0</v>
      </c>
      <c r="GY235" s="386">
        <f t="shared" ca="1" si="1098"/>
        <v>0</v>
      </c>
      <c r="GZ235" s="386">
        <f t="shared" ca="1" si="1098"/>
        <v>0</v>
      </c>
      <c r="HA235" s="386">
        <f t="shared" ca="1" si="1098"/>
        <v>0</v>
      </c>
      <c r="HB235" s="386">
        <f t="shared" ca="1" si="1098"/>
        <v>0</v>
      </c>
      <c r="HC235" s="386">
        <f t="shared" ca="1" si="1098"/>
        <v>0</v>
      </c>
      <c r="HD235" s="386">
        <f t="shared" ca="1" si="1098"/>
        <v>0</v>
      </c>
      <c r="HE235" s="386">
        <f t="shared" ca="1" si="1098"/>
        <v>0</v>
      </c>
      <c r="HF235" s="386">
        <f t="shared" ca="1" si="1098"/>
        <v>0</v>
      </c>
      <c r="HG235" s="386">
        <f t="shared" ca="1" si="1098"/>
        <v>0</v>
      </c>
      <c r="HH235" s="386">
        <f t="shared" ca="1" si="1098"/>
        <v>0</v>
      </c>
      <c r="HI235" s="386">
        <f t="shared" ca="1" si="1098"/>
        <v>0</v>
      </c>
      <c r="HJ235" s="386">
        <f t="shared" ca="1" si="1098"/>
        <v>0</v>
      </c>
      <c r="HK235" s="386">
        <f t="shared" ca="1" si="1098"/>
        <v>0</v>
      </c>
      <c r="HL235" s="386">
        <f t="shared" ca="1" si="1098"/>
        <v>0</v>
      </c>
      <c r="HM235" s="386">
        <f t="shared" ca="1" si="1098"/>
        <v>0</v>
      </c>
      <c r="HN235" s="386">
        <f t="shared" ref="HN235:JY235" ca="1" si="1099">+HN234+HN231</f>
        <v>0</v>
      </c>
      <c r="HO235" s="386">
        <f t="shared" ca="1" si="1099"/>
        <v>0</v>
      </c>
      <c r="HP235" s="386">
        <f t="shared" ca="1" si="1099"/>
        <v>0</v>
      </c>
      <c r="HQ235" s="386">
        <f t="shared" ca="1" si="1099"/>
        <v>0</v>
      </c>
      <c r="HR235" s="386">
        <f t="shared" ca="1" si="1099"/>
        <v>0</v>
      </c>
      <c r="HS235" s="386">
        <f t="shared" ca="1" si="1099"/>
        <v>0</v>
      </c>
      <c r="HT235" s="386">
        <f t="shared" ca="1" si="1099"/>
        <v>0</v>
      </c>
      <c r="HU235" s="386">
        <f t="shared" ca="1" si="1099"/>
        <v>0</v>
      </c>
      <c r="HV235" s="386">
        <f t="shared" ca="1" si="1099"/>
        <v>0</v>
      </c>
      <c r="HW235" s="386">
        <f t="shared" ca="1" si="1099"/>
        <v>0</v>
      </c>
      <c r="HX235" s="386">
        <f t="shared" ca="1" si="1099"/>
        <v>0</v>
      </c>
      <c r="HY235" s="386">
        <f t="shared" ca="1" si="1099"/>
        <v>0</v>
      </c>
      <c r="HZ235" s="386">
        <f t="shared" ca="1" si="1099"/>
        <v>0</v>
      </c>
      <c r="IA235" s="386">
        <f t="shared" ca="1" si="1099"/>
        <v>0</v>
      </c>
      <c r="IB235" s="386">
        <f t="shared" ca="1" si="1099"/>
        <v>0</v>
      </c>
      <c r="IC235" s="386">
        <f t="shared" ca="1" si="1099"/>
        <v>0</v>
      </c>
      <c r="ID235" s="386">
        <f t="shared" ca="1" si="1099"/>
        <v>0</v>
      </c>
      <c r="IE235" s="386">
        <f t="shared" ca="1" si="1099"/>
        <v>0</v>
      </c>
      <c r="IF235" s="386">
        <f t="shared" ca="1" si="1099"/>
        <v>0</v>
      </c>
      <c r="IG235" s="386">
        <f t="shared" ca="1" si="1099"/>
        <v>0</v>
      </c>
      <c r="IH235" s="386">
        <f t="shared" ca="1" si="1099"/>
        <v>0</v>
      </c>
      <c r="II235" s="386">
        <f t="shared" ca="1" si="1099"/>
        <v>0</v>
      </c>
      <c r="IJ235" s="386">
        <f t="shared" ca="1" si="1099"/>
        <v>0</v>
      </c>
      <c r="IK235" s="386">
        <f t="shared" ca="1" si="1099"/>
        <v>0</v>
      </c>
      <c r="IL235" s="386">
        <f t="shared" ca="1" si="1099"/>
        <v>0</v>
      </c>
      <c r="IM235" s="386">
        <f t="shared" ca="1" si="1099"/>
        <v>0</v>
      </c>
      <c r="IN235" s="386">
        <f t="shared" ca="1" si="1099"/>
        <v>0</v>
      </c>
      <c r="IO235" s="386">
        <f t="shared" ca="1" si="1099"/>
        <v>0</v>
      </c>
      <c r="IP235" s="386">
        <f t="shared" ca="1" si="1099"/>
        <v>0</v>
      </c>
      <c r="IQ235" s="386">
        <f t="shared" ca="1" si="1099"/>
        <v>0</v>
      </c>
      <c r="IR235" s="386">
        <f t="shared" ca="1" si="1099"/>
        <v>0</v>
      </c>
      <c r="IS235" s="386">
        <f t="shared" ca="1" si="1099"/>
        <v>0</v>
      </c>
      <c r="IT235" s="386">
        <f t="shared" ca="1" si="1099"/>
        <v>0</v>
      </c>
      <c r="IU235" s="386">
        <f t="shared" ca="1" si="1099"/>
        <v>0</v>
      </c>
      <c r="IV235" s="386">
        <f t="shared" ca="1" si="1099"/>
        <v>0</v>
      </c>
      <c r="IW235" s="386">
        <f t="shared" ca="1" si="1099"/>
        <v>0</v>
      </c>
      <c r="IX235" s="386">
        <f t="shared" ca="1" si="1099"/>
        <v>0</v>
      </c>
      <c r="IY235" s="386">
        <f t="shared" ca="1" si="1099"/>
        <v>0</v>
      </c>
      <c r="IZ235" s="386">
        <f t="shared" ca="1" si="1099"/>
        <v>0</v>
      </c>
      <c r="JA235" s="386">
        <f t="shared" ca="1" si="1099"/>
        <v>0</v>
      </c>
      <c r="JB235" s="386">
        <f t="shared" ca="1" si="1099"/>
        <v>0</v>
      </c>
      <c r="JC235" s="386">
        <f t="shared" ca="1" si="1099"/>
        <v>0</v>
      </c>
      <c r="JD235" s="386">
        <f t="shared" ca="1" si="1099"/>
        <v>0</v>
      </c>
      <c r="JE235" s="386">
        <f t="shared" ca="1" si="1099"/>
        <v>0</v>
      </c>
      <c r="JF235" s="386">
        <f t="shared" ca="1" si="1099"/>
        <v>0</v>
      </c>
      <c r="JG235" s="386">
        <f t="shared" ca="1" si="1099"/>
        <v>0</v>
      </c>
      <c r="JH235" s="386">
        <f t="shared" ca="1" si="1099"/>
        <v>0</v>
      </c>
      <c r="JI235" s="386">
        <f t="shared" ca="1" si="1099"/>
        <v>0</v>
      </c>
      <c r="JJ235" s="386">
        <f t="shared" ca="1" si="1099"/>
        <v>0</v>
      </c>
      <c r="JK235" s="386">
        <f t="shared" ca="1" si="1099"/>
        <v>0</v>
      </c>
      <c r="JL235" s="386">
        <f t="shared" ca="1" si="1099"/>
        <v>0</v>
      </c>
      <c r="JM235" s="386">
        <f t="shared" ca="1" si="1099"/>
        <v>0</v>
      </c>
      <c r="JN235" s="386">
        <f t="shared" ca="1" si="1099"/>
        <v>0</v>
      </c>
      <c r="JO235" s="386">
        <f t="shared" ca="1" si="1099"/>
        <v>0</v>
      </c>
      <c r="JP235" s="386">
        <f t="shared" ca="1" si="1099"/>
        <v>0</v>
      </c>
      <c r="JQ235" s="386">
        <f t="shared" ca="1" si="1099"/>
        <v>0</v>
      </c>
      <c r="JR235" s="386">
        <f t="shared" ca="1" si="1099"/>
        <v>0</v>
      </c>
      <c r="JS235" s="386">
        <f t="shared" ca="1" si="1099"/>
        <v>0</v>
      </c>
      <c r="JT235" s="386">
        <f t="shared" ca="1" si="1099"/>
        <v>0</v>
      </c>
      <c r="JU235" s="386">
        <f t="shared" ca="1" si="1099"/>
        <v>0</v>
      </c>
      <c r="JV235" s="386">
        <f t="shared" ca="1" si="1099"/>
        <v>0</v>
      </c>
      <c r="JW235" s="386">
        <f t="shared" ca="1" si="1099"/>
        <v>0</v>
      </c>
      <c r="JX235" s="386">
        <f t="shared" ca="1" si="1099"/>
        <v>0</v>
      </c>
      <c r="JY235" s="386">
        <f t="shared" ca="1" si="1099"/>
        <v>0</v>
      </c>
      <c r="JZ235" s="386">
        <f ca="1">+JZ234+JZ231</f>
        <v>0</v>
      </c>
      <c r="KA235" s="386">
        <f ca="1">+KA234+KA231</f>
        <v>0</v>
      </c>
      <c r="KB235" s="386">
        <f ca="1">+KB234+KB231</f>
        <v>0</v>
      </c>
      <c r="KC235" s="386">
        <f ca="1">+KC234+KC231</f>
        <v>0</v>
      </c>
    </row>
    <row r="236" spans="2:289" x14ac:dyDescent="0.25">
      <c r="B236" s="209" t="s">
        <v>341</v>
      </c>
      <c r="C236" s="181"/>
      <c r="D236" s="181"/>
      <c r="E236" s="181"/>
      <c r="F236" s="418" t="s">
        <v>337</v>
      </c>
      <c r="G236" s="210" t="s">
        <v>548</v>
      </c>
      <c r="H236" s="210" t="s">
        <v>549</v>
      </c>
      <c r="I236" s="210" t="s">
        <v>550</v>
      </c>
      <c r="EU236" s="398"/>
      <c r="EV236" s="398"/>
      <c r="EW236" s="398"/>
      <c r="EX236" s="398"/>
      <c r="EY236" s="399" t="s">
        <v>348</v>
      </c>
      <c r="EZ236" s="399"/>
      <c r="FA236" s="400">
        <f t="shared" ref="FA236:GF236" ca="1" si="1100">MAX(FA227-FA235,0)</f>
        <v>0</v>
      </c>
      <c r="FB236" s="400">
        <f t="shared" ca="1" si="1100"/>
        <v>0</v>
      </c>
      <c r="FC236" s="400">
        <f t="shared" ca="1" si="1100"/>
        <v>0</v>
      </c>
      <c r="FD236" s="400">
        <f t="shared" ca="1" si="1100"/>
        <v>0</v>
      </c>
      <c r="FE236" s="400">
        <f t="shared" ca="1" si="1100"/>
        <v>0</v>
      </c>
      <c r="FF236" s="400">
        <f t="shared" ca="1" si="1100"/>
        <v>0</v>
      </c>
      <c r="FG236" s="400">
        <f t="shared" ca="1" si="1100"/>
        <v>0</v>
      </c>
      <c r="FH236" s="400">
        <f t="shared" ca="1" si="1100"/>
        <v>0</v>
      </c>
      <c r="FI236" s="400">
        <f t="shared" ca="1" si="1100"/>
        <v>0</v>
      </c>
      <c r="FJ236" s="400">
        <f t="shared" ca="1" si="1100"/>
        <v>0</v>
      </c>
      <c r="FK236" s="400">
        <f t="shared" ca="1" si="1100"/>
        <v>0</v>
      </c>
      <c r="FL236" s="400">
        <f t="shared" ca="1" si="1100"/>
        <v>0</v>
      </c>
      <c r="FM236" s="400">
        <f t="shared" ca="1" si="1100"/>
        <v>854.48499999999933</v>
      </c>
      <c r="FN236" s="400">
        <f t="shared" ca="1" si="1100"/>
        <v>10928.922499999999</v>
      </c>
      <c r="FO236" s="400">
        <f t="shared" ca="1" si="1100"/>
        <v>19657.158961798061</v>
      </c>
      <c r="FP236" s="400">
        <f t="shared" ca="1" si="1100"/>
        <v>3290.2921752666171</v>
      </c>
      <c r="FQ236" s="400">
        <f t="shared" ca="1" si="1100"/>
        <v>3290.2921752666171</v>
      </c>
      <c r="FR236" s="400">
        <f t="shared" ca="1" si="1100"/>
        <v>3290.2921752666171</v>
      </c>
      <c r="FS236" s="400">
        <f t="shared" ca="1" si="1100"/>
        <v>3290.2921752666171</v>
      </c>
      <c r="FT236" s="400">
        <f t="shared" ca="1" si="1100"/>
        <v>3290.2921752666171</v>
      </c>
      <c r="FU236" s="400">
        <f t="shared" ca="1" si="1100"/>
        <v>3290.2921752666171</v>
      </c>
      <c r="FV236" s="400">
        <f t="shared" ca="1" si="1100"/>
        <v>3290.2921752666171</v>
      </c>
      <c r="FW236" s="400">
        <f t="shared" ca="1" si="1100"/>
        <v>3290.2921752666171</v>
      </c>
      <c r="FX236" s="400">
        <f t="shared" ca="1" si="1100"/>
        <v>3290.2921752666171</v>
      </c>
      <c r="FY236" s="400">
        <f t="shared" ca="1" si="1100"/>
        <v>2322.2629752666126</v>
      </c>
      <c r="FZ236" s="400">
        <f t="shared" ca="1" si="1100"/>
        <v>2630.9179752666187</v>
      </c>
      <c r="GA236" s="400">
        <f t="shared" ca="1" si="1100"/>
        <v>2939.5729752666175</v>
      </c>
      <c r="GB236" s="400">
        <f t="shared" ca="1" si="1100"/>
        <v>2939.5729752666175</v>
      </c>
      <c r="GC236" s="400">
        <f t="shared" ca="1" si="1100"/>
        <v>2939.5729752666175</v>
      </c>
      <c r="GD236" s="400">
        <f t="shared" ca="1" si="1100"/>
        <v>2939.5729752666175</v>
      </c>
      <c r="GE236" s="400">
        <f t="shared" ca="1" si="1100"/>
        <v>2939.5729752666175</v>
      </c>
      <c r="GF236" s="400">
        <f t="shared" ca="1" si="1100"/>
        <v>2939.5729752666175</v>
      </c>
      <c r="GG236" s="400">
        <f t="shared" ref="GG236:HL236" ca="1" si="1101">MAX(GG227-GG235,0)</f>
        <v>2939.5729752666175</v>
      </c>
      <c r="GH236" s="400">
        <f t="shared" ca="1" si="1101"/>
        <v>2939.5729752666175</v>
      </c>
      <c r="GI236" s="400">
        <f t="shared" ca="1" si="1101"/>
        <v>2939.5729752666175</v>
      </c>
      <c r="GJ236" s="400">
        <f t="shared" ca="1" si="1101"/>
        <v>2939.5729752666175</v>
      </c>
      <c r="GK236" s="400">
        <f t="shared" ca="1" si="1101"/>
        <v>1827482.1425559032</v>
      </c>
      <c r="GL236" s="400">
        <f t="shared" ca="1" si="1101"/>
        <v>0</v>
      </c>
      <c r="GM236" s="400">
        <f t="shared" ca="1" si="1101"/>
        <v>0</v>
      </c>
      <c r="GN236" s="400">
        <f t="shared" ca="1" si="1101"/>
        <v>0</v>
      </c>
      <c r="GO236" s="400">
        <f t="shared" ca="1" si="1101"/>
        <v>0</v>
      </c>
      <c r="GP236" s="400">
        <f t="shared" ca="1" si="1101"/>
        <v>0</v>
      </c>
      <c r="GQ236" s="400">
        <f t="shared" ca="1" si="1101"/>
        <v>0</v>
      </c>
      <c r="GR236" s="400">
        <f t="shared" ca="1" si="1101"/>
        <v>0</v>
      </c>
      <c r="GS236" s="400">
        <f t="shared" ca="1" si="1101"/>
        <v>0</v>
      </c>
      <c r="GT236" s="400">
        <f t="shared" ca="1" si="1101"/>
        <v>0</v>
      </c>
      <c r="GU236" s="400">
        <f t="shared" ca="1" si="1101"/>
        <v>0</v>
      </c>
      <c r="GV236" s="400">
        <f t="shared" ca="1" si="1101"/>
        <v>0</v>
      </c>
      <c r="GW236" s="400">
        <f t="shared" ca="1" si="1101"/>
        <v>0</v>
      </c>
      <c r="GX236" s="400">
        <f t="shared" ca="1" si="1101"/>
        <v>0</v>
      </c>
      <c r="GY236" s="400">
        <f t="shared" ca="1" si="1101"/>
        <v>0</v>
      </c>
      <c r="GZ236" s="400">
        <f t="shared" ca="1" si="1101"/>
        <v>0</v>
      </c>
      <c r="HA236" s="400">
        <f t="shared" ca="1" si="1101"/>
        <v>0</v>
      </c>
      <c r="HB236" s="400">
        <f t="shared" ca="1" si="1101"/>
        <v>0</v>
      </c>
      <c r="HC236" s="400">
        <f t="shared" ca="1" si="1101"/>
        <v>0</v>
      </c>
      <c r="HD236" s="400">
        <f t="shared" ca="1" si="1101"/>
        <v>0</v>
      </c>
      <c r="HE236" s="400">
        <f t="shared" ca="1" si="1101"/>
        <v>0</v>
      </c>
      <c r="HF236" s="400">
        <f t="shared" ca="1" si="1101"/>
        <v>0</v>
      </c>
      <c r="HG236" s="400">
        <f t="shared" ca="1" si="1101"/>
        <v>0</v>
      </c>
      <c r="HH236" s="400">
        <f t="shared" ca="1" si="1101"/>
        <v>0</v>
      </c>
      <c r="HI236" s="400">
        <f t="shared" ca="1" si="1101"/>
        <v>0</v>
      </c>
      <c r="HJ236" s="400">
        <f t="shared" ca="1" si="1101"/>
        <v>0</v>
      </c>
      <c r="HK236" s="400">
        <f t="shared" ca="1" si="1101"/>
        <v>0</v>
      </c>
      <c r="HL236" s="400">
        <f t="shared" ca="1" si="1101"/>
        <v>0</v>
      </c>
      <c r="HM236" s="400">
        <f t="shared" ref="HM236:IR236" ca="1" si="1102">MAX(HM227-HM235,0)</f>
        <v>0</v>
      </c>
      <c r="HN236" s="400">
        <f t="shared" ca="1" si="1102"/>
        <v>0</v>
      </c>
      <c r="HO236" s="400">
        <f t="shared" ca="1" si="1102"/>
        <v>0</v>
      </c>
      <c r="HP236" s="400">
        <f t="shared" ca="1" si="1102"/>
        <v>0</v>
      </c>
      <c r="HQ236" s="400">
        <f t="shared" ca="1" si="1102"/>
        <v>0</v>
      </c>
      <c r="HR236" s="400">
        <f t="shared" ca="1" si="1102"/>
        <v>0</v>
      </c>
      <c r="HS236" s="400">
        <f t="shared" ca="1" si="1102"/>
        <v>0</v>
      </c>
      <c r="HT236" s="400">
        <f t="shared" ca="1" si="1102"/>
        <v>0</v>
      </c>
      <c r="HU236" s="400">
        <f t="shared" ca="1" si="1102"/>
        <v>0</v>
      </c>
      <c r="HV236" s="400">
        <f t="shared" ca="1" si="1102"/>
        <v>0</v>
      </c>
      <c r="HW236" s="400">
        <f t="shared" ca="1" si="1102"/>
        <v>0</v>
      </c>
      <c r="HX236" s="400">
        <f t="shared" ca="1" si="1102"/>
        <v>0</v>
      </c>
      <c r="HY236" s="400">
        <f t="shared" ca="1" si="1102"/>
        <v>0</v>
      </c>
      <c r="HZ236" s="400">
        <f t="shared" ca="1" si="1102"/>
        <v>0</v>
      </c>
      <c r="IA236" s="400">
        <f t="shared" ca="1" si="1102"/>
        <v>0</v>
      </c>
      <c r="IB236" s="400">
        <f t="shared" ca="1" si="1102"/>
        <v>0</v>
      </c>
      <c r="IC236" s="400">
        <f t="shared" ca="1" si="1102"/>
        <v>0</v>
      </c>
      <c r="ID236" s="400">
        <f t="shared" ca="1" si="1102"/>
        <v>0</v>
      </c>
      <c r="IE236" s="400">
        <f t="shared" ca="1" si="1102"/>
        <v>0</v>
      </c>
      <c r="IF236" s="400">
        <f t="shared" ca="1" si="1102"/>
        <v>0</v>
      </c>
      <c r="IG236" s="400">
        <f t="shared" ca="1" si="1102"/>
        <v>0</v>
      </c>
      <c r="IH236" s="400">
        <f t="shared" ca="1" si="1102"/>
        <v>0</v>
      </c>
      <c r="II236" s="400">
        <f t="shared" ca="1" si="1102"/>
        <v>0</v>
      </c>
      <c r="IJ236" s="400">
        <f t="shared" ca="1" si="1102"/>
        <v>0</v>
      </c>
      <c r="IK236" s="400">
        <f t="shared" ca="1" si="1102"/>
        <v>0</v>
      </c>
      <c r="IL236" s="400">
        <f t="shared" ca="1" si="1102"/>
        <v>0</v>
      </c>
      <c r="IM236" s="400">
        <f t="shared" ca="1" si="1102"/>
        <v>0</v>
      </c>
      <c r="IN236" s="400">
        <f t="shared" ca="1" si="1102"/>
        <v>0</v>
      </c>
      <c r="IO236" s="400">
        <f t="shared" ca="1" si="1102"/>
        <v>0</v>
      </c>
      <c r="IP236" s="400">
        <f t="shared" ca="1" si="1102"/>
        <v>0</v>
      </c>
      <c r="IQ236" s="400">
        <f t="shared" ca="1" si="1102"/>
        <v>0</v>
      </c>
      <c r="IR236" s="400">
        <f t="shared" ca="1" si="1102"/>
        <v>0</v>
      </c>
      <c r="IS236" s="400">
        <f t="shared" ref="IS236:JX236" ca="1" si="1103">MAX(IS227-IS235,0)</f>
        <v>0</v>
      </c>
      <c r="IT236" s="400">
        <f t="shared" ca="1" si="1103"/>
        <v>0</v>
      </c>
      <c r="IU236" s="400">
        <f t="shared" ca="1" si="1103"/>
        <v>0</v>
      </c>
      <c r="IV236" s="400">
        <f t="shared" ca="1" si="1103"/>
        <v>0</v>
      </c>
      <c r="IW236" s="400">
        <f t="shared" ca="1" si="1103"/>
        <v>0</v>
      </c>
      <c r="IX236" s="400">
        <f t="shared" ca="1" si="1103"/>
        <v>0</v>
      </c>
      <c r="IY236" s="400">
        <f t="shared" ca="1" si="1103"/>
        <v>0</v>
      </c>
      <c r="IZ236" s="400">
        <f t="shared" ca="1" si="1103"/>
        <v>0</v>
      </c>
      <c r="JA236" s="400">
        <f t="shared" ca="1" si="1103"/>
        <v>0</v>
      </c>
      <c r="JB236" s="400">
        <f t="shared" ca="1" si="1103"/>
        <v>0</v>
      </c>
      <c r="JC236" s="400">
        <f t="shared" ca="1" si="1103"/>
        <v>0</v>
      </c>
      <c r="JD236" s="400">
        <f t="shared" ca="1" si="1103"/>
        <v>0</v>
      </c>
      <c r="JE236" s="400">
        <f t="shared" ca="1" si="1103"/>
        <v>0</v>
      </c>
      <c r="JF236" s="400">
        <f t="shared" ca="1" si="1103"/>
        <v>0</v>
      </c>
      <c r="JG236" s="400">
        <f t="shared" ca="1" si="1103"/>
        <v>0</v>
      </c>
      <c r="JH236" s="400">
        <f t="shared" ca="1" si="1103"/>
        <v>0</v>
      </c>
      <c r="JI236" s="400">
        <f t="shared" ca="1" si="1103"/>
        <v>0</v>
      </c>
      <c r="JJ236" s="400">
        <f t="shared" ca="1" si="1103"/>
        <v>0</v>
      </c>
      <c r="JK236" s="400">
        <f t="shared" ca="1" si="1103"/>
        <v>0</v>
      </c>
      <c r="JL236" s="400">
        <f t="shared" ca="1" si="1103"/>
        <v>0</v>
      </c>
      <c r="JM236" s="400">
        <f t="shared" ca="1" si="1103"/>
        <v>0</v>
      </c>
      <c r="JN236" s="400">
        <f t="shared" ca="1" si="1103"/>
        <v>0</v>
      </c>
      <c r="JO236" s="400">
        <f t="shared" ca="1" si="1103"/>
        <v>0</v>
      </c>
      <c r="JP236" s="400">
        <f t="shared" ca="1" si="1103"/>
        <v>0</v>
      </c>
      <c r="JQ236" s="400">
        <f t="shared" ca="1" si="1103"/>
        <v>0</v>
      </c>
      <c r="JR236" s="400">
        <f t="shared" ca="1" si="1103"/>
        <v>0</v>
      </c>
      <c r="JS236" s="400">
        <f t="shared" ca="1" si="1103"/>
        <v>0</v>
      </c>
      <c r="JT236" s="400">
        <f t="shared" ca="1" si="1103"/>
        <v>0</v>
      </c>
      <c r="JU236" s="400">
        <f t="shared" ca="1" si="1103"/>
        <v>0</v>
      </c>
      <c r="JV236" s="400">
        <f t="shared" ca="1" si="1103"/>
        <v>0</v>
      </c>
      <c r="JW236" s="400">
        <f t="shared" ca="1" si="1103"/>
        <v>0</v>
      </c>
      <c r="JX236" s="400">
        <f t="shared" ca="1" si="1103"/>
        <v>0</v>
      </c>
      <c r="JY236" s="400">
        <f ca="1">MAX(JY227-JY235,0)</f>
        <v>0</v>
      </c>
      <c r="JZ236" s="400">
        <f ca="1">MAX(JZ227-JZ235,0)</f>
        <v>0</v>
      </c>
      <c r="KA236" s="400">
        <f ca="1">MAX(KA227-KA235,0)</f>
        <v>0</v>
      </c>
      <c r="KB236" s="400">
        <f ca="1">MAX(KB227-KB235,0)</f>
        <v>0</v>
      </c>
      <c r="KC236" s="400">
        <f ca="1">MAX(KC227-KC235,0)</f>
        <v>0</v>
      </c>
    </row>
    <row r="237" spans="2:289" x14ac:dyDescent="0.25">
      <c r="B237" s="180" t="s">
        <v>340</v>
      </c>
      <c r="C237" s="196" t="s">
        <v>609</v>
      </c>
      <c r="D237" s="404" t="s">
        <v>585</v>
      </c>
      <c r="E237" s="196" t="s">
        <v>338</v>
      </c>
      <c r="F237" s="419">
        <v>0.09</v>
      </c>
      <c r="G237" s="365">
        <v>0</v>
      </c>
      <c r="H237" s="249">
        <f>+H232</f>
        <v>1</v>
      </c>
      <c r="I237" s="346">
        <f>1-H237</f>
        <v>0</v>
      </c>
      <c r="Q237" s="220">
        <f t="shared" ref="Q237:AV237" ca="1" si="1104">IF(Q$231="","",FA215)</f>
        <v>0</v>
      </c>
      <c r="R237" s="220">
        <f t="shared" ca="1" si="1104"/>
        <v>0</v>
      </c>
      <c r="S237" s="220">
        <f t="shared" ca="1" si="1104"/>
        <v>0</v>
      </c>
      <c r="T237" s="220">
        <f t="shared" ca="1" si="1104"/>
        <v>0</v>
      </c>
      <c r="U237" s="220">
        <f t="shared" ca="1" si="1104"/>
        <v>0</v>
      </c>
      <c r="V237" s="220">
        <f t="shared" ca="1" si="1104"/>
        <v>0</v>
      </c>
      <c r="W237" s="220">
        <f t="shared" ca="1" si="1104"/>
        <v>0</v>
      </c>
      <c r="X237" s="220">
        <f t="shared" ca="1" si="1104"/>
        <v>0</v>
      </c>
      <c r="Y237" s="220">
        <f t="shared" ca="1" si="1104"/>
        <v>0</v>
      </c>
      <c r="Z237" s="220">
        <f t="shared" ca="1" si="1104"/>
        <v>0</v>
      </c>
      <c r="AA237" s="220">
        <f t="shared" ca="1" si="1104"/>
        <v>0</v>
      </c>
      <c r="AB237" s="220">
        <f t="shared" ca="1" si="1104"/>
        <v>0</v>
      </c>
      <c r="AC237" s="220">
        <f t="shared" ca="1" si="1104"/>
        <v>0</v>
      </c>
      <c r="AD237" s="220">
        <f t="shared" ca="1" si="1104"/>
        <v>0</v>
      </c>
      <c r="AE237" s="220">
        <f t="shared" ca="1" si="1104"/>
        <v>0</v>
      </c>
      <c r="AF237" s="220">
        <f t="shared" ca="1" si="1104"/>
        <v>0</v>
      </c>
      <c r="AG237" s="220">
        <f t="shared" ca="1" si="1104"/>
        <v>0</v>
      </c>
      <c r="AH237" s="220">
        <f t="shared" ca="1" si="1104"/>
        <v>0</v>
      </c>
      <c r="AI237" s="220">
        <f t="shared" ca="1" si="1104"/>
        <v>0</v>
      </c>
      <c r="AJ237" s="220">
        <f t="shared" ca="1" si="1104"/>
        <v>0</v>
      </c>
      <c r="AK237" s="220">
        <f t="shared" ca="1" si="1104"/>
        <v>0</v>
      </c>
      <c r="AL237" s="220">
        <f t="shared" ca="1" si="1104"/>
        <v>0</v>
      </c>
      <c r="AM237" s="220">
        <f t="shared" ca="1" si="1104"/>
        <v>0</v>
      </c>
      <c r="AN237" s="220">
        <f t="shared" ca="1" si="1104"/>
        <v>0</v>
      </c>
      <c r="AO237" s="220">
        <f t="shared" ca="1" si="1104"/>
        <v>0</v>
      </c>
      <c r="AP237" s="220">
        <f t="shared" ca="1" si="1104"/>
        <v>0</v>
      </c>
      <c r="AQ237" s="220">
        <f t="shared" ca="1" si="1104"/>
        <v>0</v>
      </c>
      <c r="AR237" s="220">
        <f t="shared" ca="1" si="1104"/>
        <v>0</v>
      </c>
      <c r="AS237" s="220">
        <f t="shared" ca="1" si="1104"/>
        <v>0</v>
      </c>
      <c r="AT237" s="220">
        <f t="shared" ca="1" si="1104"/>
        <v>0</v>
      </c>
      <c r="AU237" s="220">
        <f t="shared" ca="1" si="1104"/>
        <v>0</v>
      </c>
      <c r="AV237" s="220">
        <f t="shared" ca="1" si="1104"/>
        <v>0</v>
      </c>
      <c r="AW237" s="220">
        <f t="shared" ref="AW237:CB237" ca="1" si="1105">IF(AW$231="","",GG215)</f>
        <v>0</v>
      </c>
      <c r="AX237" s="220">
        <f t="shared" ca="1" si="1105"/>
        <v>0</v>
      </c>
      <c r="AY237" s="220">
        <f t="shared" ca="1" si="1105"/>
        <v>0</v>
      </c>
      <c r="AZ237" s="220">
        <f t="shared" ca="1" si="1105"/>
        <v>0</v>
      </c>
      <c r="BA237" s="220">
        <f t="shared" ca="1" si="1105"/>
        <v>0</v>
      </c>
      <c r="BB237" s="220" t="str">
        <f t="shared" si="1105"/>
        <v/>
      </c>
      <c r="BC237" s="220" t="str">
        <f t="shared" si="1105"/>
        <v/>
      </c>
      <c r="BD237" s="220" t="str">
        <f t="shared" si="1105"/>
        <v/>
      </c>
      <c r="BE237" s="220" t="str">
        <f t="shared" si="1105"/>
        <v/>
      </c>
      <c r="BF237" s="220" t="str">
        <f t="shared" si="1105"/>
        <v/>
      </c>
      <c r="BG237" s="220" t="str">
        <f t="shared" si="1105"/>
        <v/>
      </c>
      <c r="BH237" s="220" t="str">
        <f t="shared" si="1105"/>
        <v/>
      </c>
      <c r="BI237" s="220" t="str">
        <f t="shared" si="1105"/>
        <v/>
      </c>
      <c r="BJ237" s="220" t="str">
        <f t="shared" si="1105"/>
        <v/>
      </c>
      <c r="BK237" s="220" t="str">
        <f t="shared" si="1105"/>
        <v/>
      </c>
      <c r="BL237" s="220" t="str">
        <f t="shared" si="1105"/>
        <v/>
      </c>
      <c r="BM237" s="220" t="str">
        <f t="shared" si="1105"/>
        <v/>
      </c>
      <c r="BN237" s="220" t="str">
        <f t="shared" si="1105"/>
        <v/>
      </c>
      <c r="BO237" s="220" t="str">
        <f t="shared" si="1105"/>
        <v/>
      </c>
      <c r="BP237" s="220" t="str">
        <f t="shared" si="1105"/>
        <v/>
      </c>
      <c r="BQ237" s="220" t="str">
        <f t="shared" si="1105"/>
        <v/>
      </c>
      <c r="BR237" s="220" t="str">
        <f t="shared" si="1105"/>
        <v/>
      </c>
      <c r="BS237" s="220" t="str">
        <f t="shared" si="1105"/>
        <v/>
      </c>
      <c r="BT237" s="220" t="str">
        <f t="shared" si="1105"/>
        <v/>
      </c>
      <c r="BU237" s="220" t="str">
        <f t="shared" si="1105"/>
        <v/>
      </c>
      <c r="BV237" s="220" t="str">
        <f t="shared" si="1105"/>
        <v/>
      </c>
      <c r="BW237" s="220" t="str">
        <f t="shared" si="1105"/>
        <v/>
      </c>
      <c r="BX237" s="220" t="str">
        <f t="shared" si="1105"/>
        <v/>
      </c>
      <c r="BY237" s="220" t="str">
        <f t="shared" si="1105"/>
        <v/>
      </c>
      <c r="BZ237" s="220" t="str">
        <f t="shared" si="1105"/>
        <v/>
      </c>
      <c r="CA237" s="220" t="str">
        <f t="shared" si="1105"/>
        <v/>
      </c>
      <c r="CB237" s="220" t="str">
        <f t="shared" si="1105"/>
        <v/>
      </c>
      <c r="CC237" s="220" t="str">
        <f t="shared" ref="CC237:DH237" si="1106">IF(CC$231="","",HM215)</f>
        <v/>
      </c>
      <c r="CD237" s="220" t="str">
        <f t="shared" si="1106"/>
        <v/>
      </c>
      <c r="CE237" s="220" t="str">
        <f t="shared" si="1106"/>
        <v/>
      </c>
      <c r="CF237" s="220" t="str">
        <f t="shared" si="1106"/>
        <v/>
      </c>
      <c r="CG237" s="220" t="str">
        <f t="shared" si="1106"/>
        <v/>
      </c>
      <c r="CH237" s="220" t="str">
        <f t="shared" si="1106"/>
        <v/>
      </c>
      <c r="CI237" s="220" t="str">
        <f t="shared" si="1106"/>
        <v/>
      </c>
      <c r="CJ237" s="220" t="str">
        <f t="shared" si="1106"/>
        <v/>
      </c>
      <c r="CK237" s="220" t="str">
        <f t="shared" si="1106"/>
        <v/>
      </c>
      <c r="CL237" s="220" t="str">
        <f t="shared" si="1106"/>
        <v/>
      </c>
      <c r="CM237" s="220" t="str">
        <f t="shared" si="1106"/>
        <v/>
      </c>
      <c r="CN237" s="220" t="str">
        <f t="shared" si="1106"/>
        <v/>
      </c>
      <c r="CO237" s="220" t="str">
        <f t="shared" si="1106"/>
        <v/>
      </c>
      <c r="CP237" s="220" t="str">
        <f t="shared" si="1106"/>
        <v/>
      </c>
      <c r="CQ237" s="220" t="str">
        <f t="shared" si="1106"/>
        <v/>
      </c>
      <c r="CR237" s="220" t="str">
        <f t="shared" si="1106"/>
        <v/>
      </c>
      <c r="CS237" s="220" t="str">
        <f t="shared" si="1106"/>
        <v/>
      </c>
      <c r="CT237" s="220" t="str">
        <f t="shared" si="1106"/>
        <v/>
      </c>
      <c r="CU237" s="220" t="str">
        <f t="shared" si="1106"/>
        <v/>
      </c>
      <c r="CV237" s="220" t="str">
        <f t="shared" si="1106"/>
        <v/>
      </c>
      <c r="CW237" s="220" t="str">
        <f t="shared" si="1106"/>
        <v/>
      </c>
      <c r="CX237" s="220" t="str">
        <f t="shared" si="1106"/>
        <v/>
      </c>
      <c r="CY237" s="220" t="str">
        <f t="shared" si="1106"/>
        <v/>
      </c>
      <c r="CZ237" s="220" t="str">
        <f t="shared" si="1106"/>
        <v/>
      </c>
      <c r="DA237" s="220" t="str">
        <f t="shared" si="1106"/>
        <v/>
      </c>
      <c r="DB237" s="220" t="str">
        <f t="shared" si="1106"/>
        <v/>
      </c>
      <c r="DC237" s="220" t="str">
        <f t="shared" si="1106"/>
        <v/>
      </c>
      <c r="DD237" s="220" t="str">
        <f t="shared" si="1106"/>
        <v/>
      </c>
      <c r="DE237" s="220" t="str">
        <f t="shared" si="1106"/>
        <v/>
      </c>
      <c r="DF237" s="220" t="str">
        <f t="shared" si="1106"/>
        <v/>
      </c>
      <c r="DG237" s="220" t="str">
        <f t="shared" si="1106"/>
        <v/>
      </c>
      <c r="DH237" s="220" t="str">
        <f t="shared" si="1106"/>
        <v/>
      </c>
      <c r="DI237" s="220" t="str">
        <f t="shared" ref="DI237:EN237" si="1107">IF(DI$231="","",IS215)</f>
        <v/>
      </c>
      <c r="DJ237" s="220" t="str">
        <f t="shared" si="1107"/>
        <v/>
      </c>
      <c r="DK237" s="220" t="str">
        <f t="shared" si="1107"/>
        <v/>
      </c>
      <c r="DL237" s="220" t="str">
        <f t="shared" si="1107"/>
        <v/>
      </c>
      <c r="DM237" s="220" t="str">
        <f t="shared" si="1107"/>
        <v/>
      </c>
      <c r="DN237" s="220" t="str">
        <f t="shared" si="1107"/>
        <v/>
      </c>
      <c r="DO237" s="220" t="str">
        <f t="shared" si="1107"/>
        <v/>
      </c>
      <c r="DP237" s="220" t="str">
        <f t="shared" si="1107"/>
        <v/>
      </c>
      <c r="DQ237" s="220" t="str">
        <f t="shared" si="1107"/>
        <v/>
      </c>
      <c r="DR237" s="220" t="str">
        <f t="shared" si="1107"/>
        <v/>
      </c>
      <c r="DS237" s="220" t="str">
        <f t="shared" si="1107"/>
        <v/>
      </c>
      <c r="DT237" s="220" t="str">
        <f t="shared" si="1107"/>
        <v/>
      </c>
      <c r="DU237" s="220" t="str">
        <f t="shared" si="1107"/>
        <v/>
      </c>
      <c r="DV237" s="220" t="str">
        <f t="shared" si="1107"/>
        <v/>
      </c>
      <c r="DW237" s="220" t="str">
        <f t="shared" si="1107"/>
        <v/>
      </c>
      <c r="DX237" s="220" t="str">
        <f t="shared" si="1107"/>
        <v/>
      </c>
      <c r="DY237" s="220" t="str">
        <f t="shared" si="1107"/>
        <v/>
      </c>
      <c r="DZ237" s="220" t="str">
        <f t="shared" si="1107"/>
        <v/>
      </c>
      <c r="EA237" s="220" t="str">
        <f t="shared" si="1107"/>
        <v/>
      </c>
      <c r="EB237" s="220" t="str">
        <f t="shared" si="1107"/>
        <v/>
      </c>
      <c r="EC237" s="220" t="str">
        <f t="shared" si="1107"/>
        <v/>
      </c>
      <c r="ED237" s="220" t="str">
        <f t="shared" si="1107"/>
        <v/>
      </c>
      <c r="EE237" s="220" t="str">
        <f t="shared" si="1107"/>
        <v/>
      </c>
      <c r="EF237" s="220" t="str">
        <f t="shared" si="1107"/>
        <v/>
      </c>
      <c r="EG237" s="220" t="str">
        <f t="shared" si="1107"/>
        <v/>
      </c>
      <c r="EH237" s="220" t="str">
        <f t="shared" si="1107"/>
        <v/>
      </c>
      <c r="EI237" s="220" t="str">
        <f t="shared" si="1107"/>
        <v/>
      </c>
      <c r="EJ237" s="220" t="str">
        <f t="shared" si="1107"/>
        <v/>
      </c>
      <c r="EK237" s="220" t="str">
        <f t="shared" si="1107"/>
        <v/>
      </c>
      <c r="EL237" s="220" t="str">
        <f t="shared" si="1107"/>
        <v/>
      </c>
      <c r="EM237" s="220" t="str">
        <f t="shared" si="1107"/>
        <v/>
      </c>
      <c r="EN237" s="220" t="str">
        <f t="shared" si="1107"/>
        <v/>
      </c>
      <c r="EO237" s="220" t="str">
        <f>IF(EO$231="","",JY215)</f>
        <v/>
      </c>
      <c r="EP237" s="220" t="str">
        <f>IF(EP$231="","",JZ215)</f>
        <v/>
      </c>
      <c r="EQ237" s="220" t="str">
        <f>IF(EQ$231="","",KA215)</f>
        <v/>
      </c>
      <c r="ER237" s="220" t="str">
        <f>IF(ER$231="","",KB215)</f>
        <v/>
      </c>
      <c r="ES237" s="220" t="str">
        <f>IF(ES$231="","",KC215)</f>
        <v/>
      </c>
      <c r="EU237" s="202" t="s">
        <v>362</v>
      </c>
      <c r="EV237" s="153"/>
      <c r="EW237" s="153"/>
      <c r="EX237" s="153"/>
      <c r="EY237" s="154" t="s">
        <v>347</v>
      </c>
      <c r="EZ237" s="154"/>
      <c r="FA237" s="386">
        <f t="shared" ref="FA237:GF237" ca="1" si="1108">FA$236*$I$240</f>
        <v>0</v>
      </c>
      <c r="FB237" s="386">
        <f t="shared" ca="1" si="1108"/>
        <v>0</v>
      </c>
      <c r="FC237" s="386">
        <f t="shared" ca="1" si="1108"/>
        <v>0</v>
      </c>
      <c r="FD237" s="386">
        <f t="shared" ca="1" si="1108"/>
        <v>0</v>
      </c>
      <c r="FE237" s="386">
        <f t="shared" ca="1" si="1108"/>
        <v>0</v>
      </c>
      <c r="FF237" s="386">
        <f t="shared" ca="1" si="1108"/>
        <v>0</v>
      </c>
      <c r="FG237" s="386">
        <f t="shared" ca="1" si="1108"/>
        <v>0</v>
      </c>
      <c r="FH237" s="386">
        <f t="shared" ca="1" si="1108"/>
        <v>0</v>
      </c>
      <c r="FI237" s="386">
        <f t="shared" ca="1" si="1108"/>
        <v>0</v>
      </c>
      <c r="FJ237" s="386">
        <f t="shared" ca="1" si="1108"/>
        <v>0</v>
      </c>
      <c r="FK237" s="386">
        <f t="shared" ca="1" si="1108"/>
        <v>0</v>
      </c>
      <c r="FL237" s="386">
        <f t="shared" ca="1" si="1108"/>
        <v>0</v>
      </c>
      <c r="FM237" s="386">
        <f t="shared" ca="1" si="1108"/>
        <v>0</v>
      </c>
      <c r="FN237" s="386">
        <f t="shared" ca="1" si="1108"/>
        <v>0</v>
      </c>
      <c r="FO237" s="386">
        <f t="shared" ca="1" si="1108"/>
        <v>0</v>
      </c>
      <c r="FP237" s="386">
        <f t="shared" ca="1" si="1108"/>
        <v>0</v>
      </c>
      <c r="FQ237" s="386">
        <f t="shared" ca="1" si="1108"/>
        <v>0</v>
      </c>
      <c r="FR237" s="386">
        <f t="shared" ca="1" si="1108"/>
        <v>0</v>
      </c>
      <c r="FS237" s="386">
        <f t="shared" ca="1" si="1108"/>
        <v>0</v>
      </c>
      <c r="FT237" s="386">
        <f t="shared" ca="1" si="1108"/>
        <v>0</v>
      </c>
      <c r="FU237" s="386">
        <f t="shared" ca="1" si="1108"/>
        <v>0</v>
      </c>
      <c r="FV237" s="386">
        <f t="shared" ca="1" si="1108"/>
        <v>0</v>
      </c>
      <c r="FW237" s="386">
        <f t="shared" ca="1" si="1108"/>
        <v>0</v>
      </c>
      <c r="FX237" s="386">
        <f t="shared" ca="1" si="1108"/>
        <v>0</v>
      </c>
      <c r="FY237" s="386">
        <f t="shared" ca="1" si="1108"/>
        <v>0</v>
      </c>
      <c r="FZ237" s="386">
        <f t="shared" ca="1" si="1108"/>
        <v>0</v>
      </c>
      <c r="GA237" s="386">
        <f t="shared" ca="1" si="1108"/>
        <v>0</v>
      </c>
      <c r="GB237" s="386">
        <f t="shared" ca="1" si="1108"/>
        <v>0</v>
      </c>
      <c r="GC237" s="386">
        <f t="shared" ca="1" si="1108"/>
        <v>0</v>
      </c>
      <c r="GD237" s="386">
        <f t="shared" ca="1" si="1108"/>
        <v>0</v>
      </c>
      <c r="GE237" s="386">
        <f t="shared" ca="1" si="1108"/>
        <v>0</v>
      </c>
      <c r="GF237" s="386">
        <f t="shared" ca="1" si="1108"/>
        <v>0</v>
      </c>
      <c r="GG237" s="386">
        <f t="shared" ref="GG237:HL237" ca="1" si="1109">GG$236*$I$240</f>
        <v>0</v>
      </c>
      <c r="GH237" s="386">
        <f t="shared" ca="1" si="1109"/>
        <v>0</v>
      </c>
      <c r="GI237" s="386">
        <f t="shared" ca="1" si="1109"/>
        <v>0</v>
      </c>
      <c r="GJ237" s="386">
        <f t="shared" ca="1" si="1109"/>
        <v>0</v>
      </c>
      <c r="GK237" s="386">
        <f t="shared" ca="1" si="1109"/>
        <v>0</v>
      </c>
      <c r="GL237" s="386">
        <f t="shared" ca="1" si="1109"/>
        <v>0</v>
      </c>
      <c r="GM237" s="386">
        <f t="shared" ca="1" si="1109"/>
        <v>0</v>
      </c>
      <c r="GN237" s="386">
        <f t="shared" ca="1" si="1109"/>
        <v>0</v>
      </c>
      <c r="GO237" s="386">
        <f t="shared" ca="1" si="1109"/>
        <v>0</v>
      </c>
      <c r="GP237" s="386">
        <f t="shared" ca="1" si="1109"/>
        <v>0</v>
      </c>
      <c r="GQ237" s="386">
        <f t="shared" ca="1" si="1109"/>
        <v>0</v>
      </c>
      <c r="GR237" s="386">
        <f t="shared" ca="1" si="1109"/>
        <v>0</v>
      </c>
      <c r="GS237" s="386">
        <f t="shared" ca="1" si="1109"/>
        <v>0</v>
      </c>
      <c r="GT237" s="386">
        <f t="shared" ca="1" si="1109"/>
        <v>0</v>
      </c>
      <c r="GU237" s="386">
        <f t="shared" ca="1" si="1109"/>
        <v>0</v>
      </c>
      <c r="GV237" s="386">
        <f t="shared" ca="1" si="1109"/>
        <v>0</v>
      </c>
      <c r="GW237" s="386">
        <f t="shared" ca="1" si="1109"/>
        <v>0</v>
      </c>
      <c r="GX237" s="386">
        <f t="shared" ca="1" si="1109"/>
        <v>0</v>
      </c>
      <c r="GY237" s="386">
        <f t="shared" ca="1" si="1109"/>
        <v>0</v>
      </c>
      <c r="GZ237" s="386">
        <f t="shared" ca="1" si="1109"/>
        <v>0</v>
      </c>
      <c r="HA237" s="386">
        <f t="shared" ca="1" si="1109"/>
        <v>0</v>
      </c>
      <c r="HB237" s="386">
        <f t="shared" ca="1" si="1109"/>
        <v>0</v>
      </c>
      <c r="HC237" s="386">
        <f t="shared" ca="1" si="1109"/>
        <v>0</v>
      </c>
      <c r="HD237" s="386">
        <f t="shared" ca="1" si="1109"/>
        <v>0</v>
      </c>
      <c r="HE237" s="386">
        <f t="shared" ca="1" si="1109"/>
        <v>0</v>
      </c>
      <c r="HF237" s="386">
        <f t="shared" ca="1" si="1109"/>
        <v>0</v>
      </c>
      <c r="HG237" s="386">
        <f t="shared" ca="1" si="1109"/>
        <v>0</v>
      </c>
      <c r="HH237" s="386">
        <f t="shared" ca="1" si="1109"/>
        <v>0</v>
      </c>
      <c r="HI237" s="386">
        <f t="shared" ca="1" si="1109"/>
        <v>0</v>
      </c>
      <c r="HJ237" s="386">
        <f t="shared" ca="1" si="1109"/>
        <v>0</v>
      </c>
      <c r="HK237" s="386">
        <f t="shared" ca="1" si="1109"/>
        <v>0</v>
      </c>
      <c r="HL237" s="386">
        <f t="shared" ca="1" si="1109"/>
        <v>0</v>
      </c>
      <c r="HM237" s="386">
        <f t="shared" ref="HM237:IR237" ca="1" si="1110">HM$236*$I$240</f>
        <v>0</v>
      </c>
      <c r="HN237" s="386">
        <f t="shared" ca="1" si="1110"/>
        <v>0</v>
      </c>
      <c r="HO237" s="386">
        <f t="shared" ca="1" si="1110"/>
        <v>0</v>
      </c>
      <c r="HP237" s="386">
        <f t="shared" ca="1" si="1110"/>
        <v>0</v>
      </c>
      <c r="HQ237" s="386">
        <f t="shared" ca="1" si="1110"/>
        <v>0</v>
      </c>
      <c r="HR237" s="386">
        <f t="shared" ca="1" si="1110"/>
        <v>0</v>
      </c>
      <c r="HS237" s="386">
        <f t="shared" ca="1" si="1110"/>
        <v>0</v>
      </c>
      <c r="HT237" s="386">
        <f t="shared" ca="1" si="1110"/>
        <v>0</v>
      </c>
      <c r="HU237" s="386">
        <f t="shared" ca="1" si="1110"/>
        <v>0</v>
      </c>
      <c r="HV237" s="386">
        <f t="shared" ca="1" si="1110"/>
        <v>0</v>
      </c>
      <c r="HW237" s="386">
        <f t="shared" ca="1" si="1110"/>
        <v>0</v>
      </c>
      <c r="HX237" s="386">
        <f t="shared" ca="1" si="1110"/>
        <v>0</v>
      </c>
      <c r="HY237" s="386">
        <f t="shared" ca="1" si="1110"/>
        <v>0</v>
      </c>
      <c r="HZ237" s="386">
        <f t="shared" ca="1" si="1110"/>
        <v>0</v>
      </c>
      <c r="IA237" s="386">
        <f t="shared" ca="1" si="1110"/>
        <v>0</v>
      </c>
      <c r="IB237" s="386">
        <f t="shared" ca="1" si="1110"/>
        <v>0</v>
      </c>
      <c r="IC237" s="386">
        <f t="shared" ca="1" si="1110"/>
        <v>0</v>
      </c>
      <c r="ID237" s="386">
        <f t="shared" ca="1" si="1110"/>
        <v>0</v>
      </c>
      <c r="IE237" s="386">
        <f t="shared" ca="1" si="1110"/>
        <v>0</v>
      </c>
      <c r="IF237" s="386">
        <f t="shared" ca="1" si="1110"/>
        <v>0</v>
      </c>
      <c r="IG237" s="386">
        <f t="shared" ca="1" si="1110"/>
        <v>0</v>
      </c>
      <c r="IH237" s="386">
        <f t="shared" ca="1" si="1110"/>
        <v>0</v>
      </c>
      <c r="II237" s="386">
        <f t="shared" ca="1" si="1110"/>
        <v>0</v>
      </c>
      <c r="IJ237" s="386">
        <f t="shared" ca="1" si="1110"/>
        <v>0</v>
      </c>
      <c r="IK237" s="386">
        <f t="shared" ca="1" si="1110"/>
        <v>0</v>
      </c>
      <c r="IL237" s="386">
        <f t="shared" ca="1" si="1110"/>
        <v>0</v>
      </c>
      <c r="IM237" s="386">
        <f t="shared" ca="1" si="1110"/>
        <v>0</v>
      </c>
      <c r="IN237" s="386">
        <f t="shared" ca="1" si="1110"/>
        <v>0</v>
      </c>
      <c r="IO237" s="386">
        <f t="shared" ca="1" si="1110"/>
        <v>0</v>
      </c>
      <c r="IP237" s="386">
        <f t="shared" ca="1" si="1110"/>
        <v>0</v>
      </c>
      <c r="IQ237" s="386">
        <f t="shared" ca="1" si="1110"/>
        <v>0</v>
      </c>
      <c r="IR237" s="386">
        <f t="shared" ca="1" si="1110"/>
        <v>0</v>
      </c>
      <c r="IS237" s="386">
        <f t="shared" ref="IS237:KC237" ca="1" si="1111">IS$236*$I$240</f>
        <v>0</v>
      </c>
      <c r="IT237" s="386">
        <f t="shared" ca="1" si="1111"/>
        <v>0</v>
      </c>
      <c r="IU237" s="386">
        <f t="shared" ca="1" si="1111"/>
        <v>0</v>
      </c>
      <c r="IV237" s="386">
        <f t="shared" ca="1" si="1111"/>
        <v>0</v>
      </c>
      <c r="IW237" s="386">
        <f t="shared" ca="1" si="1111"/>
        <v>0</v>
      </c>
      <c r="IX237" s="386">
        <f t="shared" ca="1" si="1111"/>
        <v>0</v>
      </c>
      <c r="IY237" s="386">
        <f t="shared" ca="1" si="1111"/>
        <v>0</v>
      </c>
      <c r="IZ237" s="386">
        <f t="shared" ca="1" si="1111"/>
        <v>0</v>
      </c>
      <c r="JA237" s="386">
        <f t="shared" ca="1" si="1111"/>
        <v>0</v>
      </c>
      <c r="JB237" s="386">
        <f t="shared" ca="1" si="1111"/>
        <v>0</v>
      </c>
      <c r="JC237" s="386">
        <f t="shared" ca="1" si="1111"/>
        <v>0</v>
      </c>
      <c r="JD237" s="386">
        <f t="shared" ca="1" si="1111"/>
        <v>0</v>
      </c>
      <c r="JE237" s="386">
        <f t="shared" ca="1" si="1111"/>
        <v>0</v>
      </c>
      <c r="JF237" s="386">
        <f t="shared" ca="1" si="1111"/>
        <v>0</v>
      </c>
      <c r="JG237" s="386">
        <f t="shared" ca="1" si="1111"/>
        <v>0</v>
      </c>
      <c r="JH237" s="386">
        <f t="shared" ca="1" si="1111"/>
        <v>0</v>
      </c>
      <c r="JI237" s="386">
        <f t="shared" ca="1" si="1111"/>
        <v>0</v>
      </c>
      <c r="JJ237" s="386">
        <f t="shared" ca="1" si="1111"/>
        <v>0</v>
      </c>
      <c r="JK237" s="386">
        <f t="shared" ca="1" si="1111"/>
        <v>0</v>
      </c>
      <c r="JL237" s="386">
        <f t="shared" ca="1" si="1111"/>
        <v>0</v>
      </c>
      <c r="JM237" s="386">
        <f t="shared" ca="1" si="1111"/>
        <v>0</v>
      </c>
      <c r="JN237" s="386">
        <f t="shared" ca="1" si="1111"/>
        <v>0</v>
      </c>
      <c r="JO237" s="386">
        <f t="shared" ca="1" si="1111"/>
        <v>0</v>
      </c>
      <c r="JP237" s="386">
        <f t="shared" ca="1" si="1111"/>
        <v>0</v>
      </c>
      <c r="JQ237" s="386">
        <f t="shared" ca="1" si="1111"/>
        <v>0</v>
      </c>
      <c r="JR237" s="386">
        <f t="shared" ca="1" si="1111"/>
        <v>0</v>
      </c>
      <c r="JS237" s="386">
        <f t="shared" ca="1" si="1111"/>
        <v>0</v>
      </c>
      <c r="JT237" s="386">
        <f t="shared" ca="1" si="1111"/>
        <v>0</v>
      </c>
      <c r="JU237" s="386">
        <f t="shared" ca="1" si="1111"/>
        <v>0</v>
      </c>
      <c r="JV237" s="386">
        <f t="shared" ca="1" si="1111"/>
        <v>0</v>
      </c>
      <c r="JW237" s="386">
        <f t="shared" ca="1" si="1111"/>
        <v>0</v>
      </c>
      <c r="JX237" s="386">
        <f t="shared" ca="1" si="1111"/>
        <v>0</v>
      </c>
      <c r="JY237" s="386">
        <f t="shared" ca="1" si="1111"/>
        <v>0</v>
      </c>
      <c r="JZ237" s="386">
        <f t="shared" ca="1" si="1111"/>
        <v>0</v>
      </c>
      <c r="KA237" s="386">
        <f t="shared" ca="1" si="1111"/>
        <v>0</v>
      </c>
      <c r="KB237" s="386">
        <f t="shared" ca="1" si="1111"/>
        <v>0</v>
      </c>
      <c r="KC237" s="386">
        <f t="shared" ca="1" si="1111"/>
        <v>0</v>
      </c>
    </row>
    <row r="238" spans="2:289" x14ac:dyDescent="0.25">
      <c r="B238" s="180" t="s">
        <v>334</v>
      </c>
      <c r="C238" s="181"/>
      <c r="D238" s="196"/>
      <c r="E238" s="196" t="s">
        <v>338</v>
      </c>
      <c r="F238" s="419">
        <v>0.12</v>
      </c>
      <c r="G238" s="357">
        <v>0.15</v>
      </c>
      <c r="H238" s="365">
        <f t="shared" ref="H238:H240" si="1112">G238+(1-G238)*$H$232</f>
        <v>1</v>
      </c>
      <c r="I238" s="346">
        <f>1-H238</f>
        <v>0</v>
      </c>
      <c r="Q238" s="220">
        <f t="shared" ref="Q238:AV238" ca="1" si="1113">IF(Q$231="","",FA226)</f>
        <v>0</v>
      </c>
      <c r="R238" s="220">
        <f t="shared" ca="1" si="1113"/>
        <v>0</v>
      </c>
      <c r="S238" s="220">
        <f t="shared" ca="1" si="1113"/>
        <v>0</v>
      </c>
      <c r="T238" s="220">
        <f t="shared" ca="1" si="1113"/>
        <v>0</v>
      </c>
      <c r="U238" s="220">
        <f t="shared" ca="1" si="1113"/>
        <v>0</v>
      </c>
      <c r="V238" s="220">
        <f t="shared" ca="1" si="1113"/>
        <v>0</v>
      </c>
      <c r="W238" s="220">
        <f t="shared" ca="1" si="1113"/>
        <v>0</v>
      </c>
      <c r="X238" s="220">
        <f t="shared" ca="1" si="1113"/>
        <v>0</v>
      </c>
      <c r="Y238" s="220">
        <f t="shared" ca="1" si="1113"/>
        <v>0</v>
      </c>
      <c r="Z238" s="220">
        <f t="shared" ca="1" si="1113"/>
        <v>0</v>
      </c>
      <c r="AA238" s="220">
        <f t="shared" ca="1" si="1113"/>
        <v>0</v>
      </c>
      <c r="AB238" s="220">
        <f t="shared" ca="1" si="1113"/>
        <v>0</v>
      </c>
      <c r="AC238" s="220">
        <f t="shared" ca="1" si="1113"/>
        <v>0</v>
      </c>
      <c r="AD238" s="220">
        <f t="shared" ca="1" si="1113"/>
        <v>0</v>
      </c>
      <c r="AE238" s="220">
        <f t="shared" ca="1" si="1113"/>
        <v>0</v>
      </c>
      <c r="AF238" s="220">
        <f t="shared" ca="1" si="1113"/>
        <v>0</v>
      </c>
      <c r="AG238" s="220">
        <f t="shared" ca="1" si="1113"/>
        <v>0</v>
      </c>
      <c r="AH238" s="220">
        <f t="shared" ca="1" si="1113"/>
        <v>0</v>
      </c>
      <c r="AI238" s="220">
        <f t="shared" ca="1" si="1113"/>
        <v>0</v>
      </c>
      <c r="AJ238" s="220">
        <f t="shared" ca="1" si="1113"/>
        <v>0</v>
      </c>
      <c r="AK238" s="220">
        <f t="shared" ca="1" si="1113"/>
        <v>0</v>
      </c>
      <c r="AL238" s="220">
        <f t="shared" ca="1" si="1113"/>
        <v>0</v>
      </c>
      <c r="AM238" s="220">
        <f t="shared" ca="1" si="1113"/>
        <v>0</v>
      </c>
      <c r="AN238" s="220">
        <f t="shared" ca="1" si="1113"/>
        <v>0</v>
      </c>
      <c r="AO238" s="220">
        <f t="shared" ca="1" si="1113"/>
        <v>0</v>
      </c>
      <c r="AP238" s="220">
        <f t="shared" ca="1" si="1113"/>
        <v>0</v>
      </c>
      <c r="AQ238" s="220">
        <f t="shared" ca="1" si="1113"/>
        <v>0</v>
      </c>
      <c r="AR238" s="220">
        <f t="shared" ca="1" si="1113"/>
        <v>0</v>
      </c>
      <c r="AS238" s="220">
        <f t="shared" ca="1" si="1113"/>
        <v>0</v>
      </c>
      <c r="AT238" s="220">
        <f t="shared" ca="1" si="1113"/>
        <v>0</v>
      </c>
      <c r="AU238" s="220">
        <f t="shared" ca="1" si="1113"/>
        <v>0</v>
      </c>
      <c r="AV238" s="220">
        <f t="shared" ca="1" si="1113"/>
        <v>0</v>
      </c>
      <c r="AW238" s="220">
        <f t="shared" ref="AW238:CB238" ca="1" si="1114">IF(AW$231="","",GG226)</f>
        <v>0</v>
      </c>
      <c r="AX238" s="220">
        <f t="shared" ca="1" si="1114"/>
        <v>0</v>
      </c>
      <c r="AY238" s="220">
        <f t="shared" ca="1" si="1114"/>
        <v>0</v>
      </c>
      <c r="AZ238" s="220">
        <f t="shared" ca="1" si="1114"/>
        <v>0</v>
      </c>
      <c r="BA238" s="220">
        <f t="shared" ca="1" si="1114"/>
        <v>0</v>
      </c>
      <c r="BB238" s="220" t="str">
        <f t="shared" si="1114"/>
        <v/>
      </c>
      <c r="BC238" s="220" t="str">
        <f t="shared" si="1114"/>
        <v/>
      </c>
      <c r="BD238" s="220" t="str">
        <f t="shared" si="1114"/>
        <v/>
      </c>
      <c r="BE238" s="220" t="str">
        <f t="shared" si="1114"/>
        <v/>
      </c>
      <c r="BF238" s="220" t="str">
        <f t="shared" si="1114"/>
        <v/>
      </c>
      <c r="BG238" s="220" t="str">
        <f t="shared" si="1114"/>
        <v/>
      </c>
      <c r="BH238" s="220" t="str">
        <f t="shared" si="1114"/>
        <v/>
      </c>
      <c r="BI238" s="220" t="str">
        <f t="shared" si="1114"/>
        <v/>
      </c>
      <c r="BJ238" s="220" t="str">
        <f t="shared" si="1114"/>
        <v/>
      </c>
      <c r="BK238" s="220" t="str">
        <f t="shared" si="1114"/>
        <v/>
      </c>
      <c r="BL238" s="220" t="str">
        <f t="shared" si="1114"/>
        <v/>
      </c>
      <c r="BM238" s="220" t="str">
        <f t="shared" si="1114"/>
        <v/>
      </c>
      <c r="BN238" s="220" t="str">
        <f t="shared" si="1114"/>
        <v/>
      </c>
      <c r="BO238" s="220" t="str">
        <f t="shared" si="1114"/>
        <v/>
      </c>
      <c r="BP238" s="220" t="str">
        <f t="shared" si="1114"/>
        <v/>
      </c>
      <c r="BQ238" s="220" t="str">
        <f t="shared" si="1114"/>
        <v/>
      </c>
      <c r="BR238" s="220" t="str">
        <f t="shared" si="1114"/>
        <v/>
      </c>
      <c r="BS238" s="220" t="str">
        <f t="shared" si="1114"/>
        <v/>
      </c>
      <c r="BT238" s="220" t="str">
        <f t="shared" si="1114"/>
        <v/>
      </c>
      <c r="BU238" s="220" t="str">
        <f t="shared" si="1114"/>
        <v/>
      </c>
      <c r="BV238" s="220" t="str">
        <f t="shared" si="1114"/>
        <v/>
      </c>
      <c r="BW238" s="220" t="str">
        <f t="shared" si="1114"/>
        <v/>
      </c>
      <c r="BX238" s="220" t="str">
        <f t="shared" si="1114"/>
        <v/>
      </c>
      <c r="BY238" s="220" t="str">
        <f t="shared" si="1114"/>
        <v/>
      </c>
      <c r="BZ238" s="220" t="str">
        <f t="shared" si="1114"/>
        <v/>
      </c>
      <c r="CA238" s="220" t="str">
        <f t="shared" si="1114"/>
        <v/>
      </c>
      <c r="CB238" s="220" t="str">
        <f t="shared" si="1114"/>
        <v/>
      </c>
      <c r="CC238" s="220" t="str">
        <f t="shared" ref="CC238:DH238" si="1115">IF(CC$231="","",HM226)</f>
        <v/>
      </c>
      <c r="CD238" s="220" t="str">
        <f t="shared" si="1115"/>
        <v/>
      </c>
      <c r="CE238" s="220" t="str">
        <f t="shared" si="1115"/>
        <v/>
      </c>
      <c r="CF238" s="220" t="str">
        <f t="shared" si="1115"/>
        <v/>
      </c>
      <c r="CG238" s="220" t="str">
        <f t="shared" si="1115"/>
        <v/>
      </c>
      <c r="CH238" s="220" t="str">
        <f t="shared" si="1115"/>
        <v/>
      </c>
      <c r="CI238" s="220" t="str">
        <f t="shared" si="1115"/>
        <v/>
      </c>
      <c r="CJ238" s="220" t="str">
        <f t="shared" si="1115"/>
        <v/>
      </c>
      <c r="CK238" s="220" t="str">
        <f t="shared" si="1115"/>
        <v/>
      </c>
      <c r="CL238" s="220" t="str">
        <f t="shared" si="1115"/>
        <v/>
      </c>
      <c r="CM238" s="220" t="str">
        <f t="shared" si="1115"/>
        <v/>
      </c>
      <c r="CN238" s="220" t="str">
        <f t="shared" si="1115"/>
        <v/>
      </c>
      <c r="CO238" s="220" t="str">
        <f t="shared" si="1115"/>
        <v/>
      </c>
      <c r="CP238" s="220" t="str">
        <f t="shared" si="1115"/>
        <v/>
      </c>
      <c r="CQ238" s="220" t="str">
        <f t="shared" si="1115"/>
        <v/>
      </c>
      <c r="CR238" s="220" t="str">
        <f t="shared" si="1115"/>
        <v/>
      </c>
      <c r="CS238" s="220" t="str">
        <f t="shared" si="1115"/>
        <v/>
      </c>
      <c r="CT238" s="220" t="str">
        <f t="shared" si="1115"/>
        <v/>
      </c>
      <c r="CU238" s="220" t="str">
        <f t="shared" si="1115"/>
        <v/>
      </c>
      <c r="CV238" s="220" t="str">
        <f t="shared" si="1115"/>
        <v/>
      </c>
      <c r="CW238" s="220" t="str">
        <f t="shared" si="1115"/>
        <v/>
      </c>
      <c r="CX238" s="220" t="str">
        <f t="shared" si="1115"/>
        <v/>
      </c>
      <c r="CY238" s="220" t="str">
        <f t="shared" si="1115"/>
        <v/>
      </c>
      <c r="CZ238" s="220" t="str">
        <f t="shared" si="1115"/>
        <v/>
      </c>
      <c r="DA238" s="220" t="str">
        <f t="shared" si="1115"/>
        <v/>
      </c>
      <c r="DB238" s="220" t="str">
        <f t="shared" si="1115"/>
        <v/>
      </c>
      <c r="DC238" s="220" t="str">
        <f t="shared" si="1115"/>
        <v/>
      </c>
      <c r="DD238" s="220" t="str">
        <f t="shared" si="1115"/>
        <v/>
      </c>
      <c r="DE238" s="220" t="str">
        <f t="shared" si="1115"/>
        <v/>
      </c>
      <c r="DF238" s="220" t="str">
        <f t="shared" si="1115"/>
        <v/>
      </c>
      <c r="DG238" s="220" t="str">
        <f t="shared" si="1115"/>
        <v/>
      </c>
      <c r="DH238" s="220" t="str">
        <f t="shared" si="1115"/>
        <v/>
      </c>
      <c r="DI238" s="220" t="str">
        <f t="shared" ref="DI238:EN238" si="1116">IF(DI$231="","",IS226)</f>
        <v/>
      </c>
      <c r="DJ238" s="220" t="str">
        <f t="shared" si="1116"/>
        <v/>
      </c>
      <c r="DK238" s="220" t="str">
        <f t="shared" si="1116"/>
        <v/>
      </c>
      <c r="DL238" s="220" t="str">
        <f t="shared" si="1116"/>
        <v/>
      </c>
      <c r="DM238" s="220" t="str">
        <f t="shared" si="1116"/>
        <v/>
      </c>
      <c r="DN238" s="220" t="str">
        <f t="shared" si="1116"/>
        <v/>
      </c>
      <c r="DO238" s="220" t="str">
        <f t="shared" si="1116"/>
        <v/>
      </c>
      <c r="DP238" s="220" t="str">
        <f t="shared" si="1116"/>
        <v/>
      </c>
      <c r="DQ238" s="220" t="str">
        <f t="shared" si="1116"/>
        <v/>
      </c>
      <c r="DR238" s="220" t="str">
        <f t="shared" si="1116"/>
        <v/>
      </c>
      <c r="DS238" s="220" t="str">
        <f t="shared" si="1116"/>
        <v/>
      </c>
      <c r="DT238" s="220" t="str">
        <f t="shared" si="1116"/>
        <v/>
      </c>
      <c r="DU238" s="220" t="str">
        <f t="shared" si="1116"/>
        <v/>
      </c>
      <c r="DV238" s="220" t="str">
        <f t="shared" si="1116"/>
        <v/>
      </c>
      <c r="DW238" s="220" t="str">
        <f t="shared" si="1116"/>
        <v/>
      </c>
      <c r="DX238" s="220" t="str">
        <f t="shared" si="1116"/>
        <v/>
      </c>
      <c r="DY238" s="220" t="str">
        <f t="shared" si="1116"/>
        <v/>
      </c>
      <c r="DZ238" s="220" t="str">
        <f t="shared" si="1116"/>
        <v/>
      </c>
      <c r="EA238" s="220" t="str">
        <f t="shared" si="1116"/>
        <v/>
      </c>
      <c r="EB238" s="220" t="str">
        <f t="shared" si="1116"/>
        <v/>
      </c>
      <c r="EC238" s="220" t="str">
        <f t="shared" si="1116"/>
        <v/>
      </c>
      <c r="ED238" s="220" t="str">
        <f t="shared" si="1116"/>
        <v/>
      </c>
      <c r="EE238" s="220" t="str">
        <f t="shared" si="1116"/>
        <v/>
      </c>
      <c r="EF238" s="220" t="str">
        <f t="shared" si="1116"/>
        <v/>
      </c>
      <c r="EG238" s="220" t="str">
        <f t="shared" si="1116"/>
        <v/>
      </c>
      <c r="EH238" s="220" t="str">
        <f t="shared" si="1116"/>
        <v/>
      </c>
      <c r="EI238" s="220" t="str">
        <f t="shared" si="1116"/>
        <v/>
      </c>
      <c r="EJ238" s="220" t="str">
        <f t="shared" si="1116"/>
        <v/>
      </c>
      <c r="EK238" s="220" t="str">
        <f t="shared" si="1116"/>
        <v/>
      </c>
      <c r="EL238" s="220" t="str">
        <f t="shared" si="1116"/>
        <v/>
      </c>
      <c r="EM238" s="220" t="str">
        <f t="shared" si="1116"/>
        <v/>
      </c>
      <c r="EN238" s="220" t="str">
        <f t="shared" si="1116"/>
        <v/>
      </c>
      <c r="EO238" s="220" t="str">
        <f>IF(EO$231="","",JY226)</f>
        <v/>
      </c>
      <c r="EP238" s="220" t="str">
        <f>IF(EP$231="","",JZ226)</f>
        <v/>
      </c>
      <c r="EQ238" s="220" t="str">
        <f>IF(EQ$231="","",KA226)</f>
        <v/>
      </c>
      <c r="ER238" s="220" t="str">
        <f>IF(ER$231="","",KB226)</f>
        <v/>
      </c>
      <c r="ES238" s="220" t="str">
        <f>IF(ES$231="","",KC226)</f>
        <v/>
      </c>
      <c r="EU238" s="202"/>
      <c r="EV238" s="153"/>
      <c r="EW238" s="153"/>
      <c r="EX238" s="153"/>
      <c r="EY238" s="154" t="s">
        <v>372</v>
      </c>
      <c r="EZ238" s="154"/>
      <c r="FA238" s="386">
        <f t="shared" ref="FA238:GF238" ca="1" si="1117">FA$236*$H$240</f>
        <v>0</v>
      </c>
      <c r="FB238" s="386">
        <f t="shared" ca="1" si="1117"/>
        <v>0</v>
      </c>
      <c r="FC238" s="386">
        <f t="shared" ca="1" si="1117"/>
        <v>0</v>
      </c>
      <c r="FD238" s="386">
        <f t="shared" ca="1" si="1117"/>
        <v>0</v>
      </c>
      <c r="FE238" s="386">
        <f t="shared" ca="1" si="1117"/>
        <v>0</v>
      </c>
      <c r="FF238" s="386">
        <f t="shared" ca="1" si="1117"/>
        <v>0</v>
      </c>
      <c r="FG238" s="386">
        <f t="shared" ca="1" si="1117"/>
        <v>0</v>
      </c>
      <c r="FH238" s="386">
        <f t="shared" ca="1" si="1117"/>
        <v>0</v>
      </c>
      <c r="FI238" s="386">
        <f t="shared" ca="1" si="1117"/>
        <v>0</v>
      </c>
      <c r="FJ238" s="386">
        <f t="shared" ca="1" si="1117"/>
        <v>0</v>
      </c>
      <c r="FK238" s="386">
        <f t="shared" ca="1" si="1117"/>
        <v>0</v>
      </c>
      <c r="FL238" s="386">
        <f t="shared" ca="1" si="1117"/>
        <v>0</v>
      </c>
      <c r="FM238" s="386">
        <f t="shared" ca="1" si="1117"/>
        <v>854.48499999999933</v>
      </c>
      <c r="FN238" s="386">
        <f t="shared" ca="1" si="1117"/>
        <v>10928.922499999999</v>
      </c>
      <c r="FO238" s="386">
        <f t="shared" ca="1" si="1117"/>
        <v>19657.158961798061</v>
      </c>
      <c r="FP238" s="386">
        <f t="shared" ca="1" si="1117"/>
        <v>3290.2921752666171</v>
      </c>
      <c r="FQ238" s="386">
        <f t="shared" ca="1" si="1117"/>
        <v>3290.2921752666171</v>
      </c>
      <c r="FR238" s="386">
        <f t="shared" ca="1" si="1117"/>
        <v>3290.2921752666171</v>
      </c>
      <c r="FS238" s="386">
        <f t="shared" ca="1" si="1117"/>
        <v>3290.2921752666171</v>
      </c>
      <c r="FT238" s="386">
        <f t="shared" ca="1" si="1117"/>
        <v>3290.2921752666171</v>
      </c>
      <c r="FU238" s="386">
        <f t="shared" ca="1" si="1117"/>
        <v>3290.2921752666171</v>
      </c>
      <c r="FV238" s="386">
        <f t="shared" ca="1" si="1117"/>
        <v>3290.2921752666171</v>
      </c>
      <c r="FW238" s="386">
        <f t="shared" ca="1" si="1117"/>
        <v>3290.2921752666171</v>
      </c>
      <c r="FX238" s="386">
        <f t="shared" ca="1" si="1117"/>
        <v>3290.2921752666171</v>
      </c>
      <c r="FY238" s="386">
        <f t="shared" ca="1" si="1117"/>
        <v>2322.2629752666126</v>
      </c>
      <c r="FZ238" s="386">
        <f t="shared" ca="1" si="1117"/>
        <v>2630.9179752666187</v>
      </c>
      <c r="GA238" s="386">
        <f t="shared" ca="1" si="1117"/>
        <v>2939.5729752666175</v>
      </c>
      <c r="GB238" s="386">
        <f t="shared" ca="1" si="1117"/>
        <v>2939.5729752666175</v>
      </c>
      <c r="GC238" s="386">
        <f t="shared" ca="1" si="1117"/>
        <v>2939.5729752666175</v>
      </c>
      <c r="GD238" s="386">
        <f t="shared" ca="1" si="1117"/>
        <v>2939.5729752666175</v>
      </c>
      <c r="GE238" s="386">
        <f t="shared" ca="1" si="1117"/>
        <v>2939.5729752666175</v>
      </c>
      <c r="GF238" s="386">
        <f t="shared" ca="1" si="1117"/>
        <v>2939.5729752666175</v>
      </c>
      <c r="GG238" s="386">
        <f t="shared" ref="GG238:HL238" ca="1" si="1118">GG$236*$H$240</f>
        <v>2939.5729752666175</v>
      </c>
      <c r="GH238" s="386">
        <f t="shared" ca="1" si="1118"/>
        <v>2939.5729752666175</v>
      </c>
      <c r="GI238" s="386">
        <f t="shared" ca="1" si="1118"/>
        <v>2939.5729752666175</v>
      </c>
      <c r="GJ238" s="386">
        <f t="shared" ca="1" si="1118"/>
        <v>2939.5729752666175</v>
      </c>
      <c r="GK238" s="386">
        <f t="shared" ca="1" si="1118"/>
        <v>1827482.1425559032</v>
      </c>
      <c r="GL238" s="386">
        <f t="shared" ca="1" si="1118"/>
        <v>0</v>
      </c>
      <c r="GM238" s="386">
        <f t="shared" ca="1" si="1118"/>
        <v>0</v>
      </c>
      <c r="GN238" s="386">
        <f t="shared" ca="1" si="1118"/>
        <v>0</v>
      </c>
      <c r="GO238" s="386">
        <f t="shared" ca="1" si="1118"/>
        <v>0</v>
      </c>
      <c r="GP238" s="386">
        <f t="shared" ca="1" si="1118"/>
        <v>0</v>
      </c>
      <c r="GQ238" s="386">
        <f t="shared" ca="1" si="1118"/>
        <v>0</v>
      </c>
      <c r="GR238" s="386">
        <f t="shared" ca="1" si="1118"/>
        <v>0</v>
      </c>
      <c r="GS238" s="386">
        <f t="shared" ca="1" si="1118"/>
        <v>0</v>
      </c>
      <c r="GT238" s="386">
        <f t="shared" ca="1" si="1118"/>
        <v>0</v>
      </c>
      <c r="GU238" s="386">
        <f t="shared" ca="1" si="1118"/>
        <v>0</v>
      </c>
      <c r="GV238" s="386">
        <f t="shared" ca="1" si="1118"/>
        <v>0</v>
      </c>
      <c r="GW238" s="386">
        <f t="shared" ca="1" si="1118"/>
        <v>0</v>
      </c>
      <c r="GX238" s="386">
        <f t="shared" ca="1" si="1118"/>
        <v>0</v>
      </c>
      <c r="GY238" s="386">
        <f t="shared" ca="1" si="1118"/>
        <v>0</v>
      </c>
      <c r="GZ238" s="386">
        <f t="shared" ca="1" si="1118"/>
        <v>0</v>
      </c>
      <c r="HA238" s="386">
        <f t="shared" ca="1" si="1118"/>
        <v>0</v>
      </c>
      <c r="HB238" s="386">
        <f t="shared" ca="1" si="1118"/>
        <v>0</v>
      </c>
      <c r="HC238" s="386">
        <f t="shared" ca="1" si="1118"/>
        <v>0</v>
      </c>
      <c r="HD238" s="386">
        <f t="shared" ca="1" si="1118"/>
        <v>0</v>
      </c>
      <c r="HE238" s="386">
        <f t="shared" ca="1" si="1118"/>
        <v>0</v>
      </c>
      <c r="HF238" s="386">
        <f t="shared" ca="1" si="1118"/>
        <v>0</v>
      </c>
      <c r="HG238" s="386">
        <f t="shared" ca="1" si="1118"/>
        <v>0</v>
      </c>
      <c r="HH238" s="386">
        <f t="shared" ca="1" si="1118"/>
        <v>0</v>
      </c>
      <c r="HI238" s="386">
        <f t="shared" ca="1" si="1118"/>
        <v>0</v>
      </c>
      <c r="HJ238" s="386">
        <f t="shared" ca="1" si="1118"/>
        <v>0</v>
      </c>
      <c r="HK238" s="386">
        <f t="shared" ca="1" si="1118"/>
        <v>0</v>
      </c>
      <c r="HL238" s="386">
        <f t="shared" ca="1" si="1118"/>
        <v>0</v>
      </c>
      <c r="HM238" s="386">
        <f t="shared" ref="HM238:IR238" ca="1" si="1119">HM$236*$H$240</f>
        <v>0</v>
      </c>
      <c r="HN238" s="386">
        <f t="shared" ca="1" si="1119"/>
        <v>0</v>
      </c>
      <c r="HO238" s="386">
        <f t="shared" ca="1" si="1119"/>
        <v>0</v>
      </c>
      <c r="HP238" s="386">
        <f t="shared" ca="1" si="1119"/>
        <v>0</v>
      </c>
      <c r="HQ238" s="386">
        <f t="shared" ca="1" si="1119"/>
        <v>0</v>
      </c>
      <c r="HR238" s="386">
        <f t="shared" ca="1" si="1119"/>
        <v>0</v>
      </c>
      <c r="HS238" s="386">
        <f t="shared" ca="1" si="1119"/>
        <v>0</v>
      </c>
      <c r="HT238" s="386">
        <f t="shared" ca="1" si="1119"/>
        <v>0</v>
      </c>
      <c r="HU238" s="386">
        <f t="shared" ca="1" si="1119"/>
        <v>0</v>
      </c>
      <c r="HV238" s="386">
        <f t="shared" ca="1" si="1119"/>
        <v>0</v>
      </c>
      <c r="HW238" s="386">
        <f t="shared" ca="1" si="1119"/>
        <v>0</v>
      </c>
      <c r="HX238" s="386">
        <f t="shared" ca="1" si="1119"/>
        <v>0</v>
      </c>
      <c r="HY238" s="386">
        <f t="shared" ca="1" si="1119"/>
        <v>0</v>
      </c>
      <c r="HZ238" s="386">
        <f t="shared" ca="1" si="1119"/>
        <v>0</v>
      </c>
      <c r="IA238" s="386">
        <f t="shared" ca="1" si="1119"/>
        <v>0</v>
      </c>
      <c r="IB238" s="386">
        <f t="shared" ca="1" si="1119"/>
        <v>0</v>
      </c>
      <c r="IC238" s="386">
        <f t="shared" ca="1" si="1119"/>
        <v>0</v>
      </c>
      <c r="ID238" s="386">
        <f t="shared" ca="1" si="1119"/>
        <v>0</v>
      </c>
      <c r="IE238" s="386">
        <f t="shared" ca="1" si="1119"/>
        <v>0</v>
      </c>
      <c r="IF238" s="386">
        <f t="shared" ca="1" si="1119"/>
        <v>0</v>
      </c>
      <c r="IG238" s="386">
        <f t="shared" ca="1" si="1119"/>
        <v>0</v>
      </c>
      <c r="IH238" s="386">
        <f t="shared" ca="1" si="1119"/>
        <v>0</v>
      </c>
      <c r="II238" s="386">
        <f t="shared" ca="1" si="1119"/>
        <v>0</v>
      </c>
      <c r="IJ238" s="386">
        <f t="shared" ca="1" si="1119"/>
        <v>0</v>
      </c>
      <c r="IK238" s="386">
        <f t="shared" ca="1" si="1119"/>
        <v>0</v>
      </c>
      <c r="IL238" s="386">
        <f t="shared" ca="1" si="1119"/>
        <v>0</v>
      </c>
      <c r="IM238" s="386">
        <f t="shared" ca="1" si="1119"/>
        <v>0</v>
      </c>
      <c r="IN238" s="386">
        <f t="shared" ca="1" si="1119"/>
        <v>0</v>
      </c>
      <c r="IO238" s="386">
        <f t="shared" ca="1" si="1119"/>
        <v>0</v>
      </c>
      <c r="IP238" s="386">
        <f t="shared" ca="1" si="1119"/>
        <v>0</v>
      </c>
      <c r="IQ238" s="386">
        <f t="shared" ca="1" si="1119"/>
        <v>0</v>
      </c>
      <c r="IR238" s="386">
        <f t="shared" ca="1" si="1119"/>
        <v>0</v>
      </c>
      <c r="IS238" s="386">
        <f t="shared" ref="IS238:KC238" ca="1" si="1120">IS$236*$H$240</f>
        <v>0</v>
      </c>
      <c r="IT238" s="386">
        <f t="shared" ca="1" si="1120"/>
        <v>0</v>
      </c>
      <c r="IU238" s="386">
        <f t="shared" ca="1" si="1120"/>
        <v>0</v>
      </c>
      <c r="IV238" s="386">
        <f t="shared" ca="1" si="1120"/>
        <v>0</v>
      </c>
      <c r="IW238" s="386">
        <f t="shared" ca="1" si="1120"/>
        <v>0</v>
      </c>
      <c r="IX238" s="386">
        <f t="shared" ca="1" si="1120"/>
        <v>0</v>
      </c>
      <c r="IY238" s="386">
        <f t="shared" ca="1" si="1120"/>
        <v>0</v>
      </c>
      <c r="IZ238" s="386">
        <f t="shared" ca="1" si="1120"/>
        <v>0</v>
      </c>
      <c r="JA238" s="386">
        <f t="shared" ca="1" si="1120"/>
        <v>0</v>
      </c>
      <c r="JB238" s="386">
        <f t="shared" ca="1" si="1120"/>
        <v>0</v>
      </c>
      <c r="JC238" s="386">
        <f t="shared" ca="1" si="1120"/>
        <v>0</v>
      </c>
      <c r="JD238" s="386">
        <f t="shared" ca="1" si="1120"/>
        <v>0</v>
      </c>
      <c r="JE238" s="386">
        <f t="shared" ca="1" si="1120"/>
        <v>0</v>
      </c>
      <c r="JF238" s="386">
        <f t="shared" ca="1" si="1120"/>
        <v>0</v>
      </c>
      <c r="JG238" s="386">
        <f t="shared" ca="1" si="1120"/>
        <v>0</v>
      </c>
      <c r="JH238" s="386">
        <f t="shared" ca="1" si="1120"/>
        <v>0</v>
      </c>
      <c r="JI238" s="386">
        <f t="shared" ca="1" si="1120"/>
        <v>0</v>
      </c>
      <c r="JJ238" s="386">
        <f t="shared" ca="1" si="1120"/>
        <v>0</v>
      </c>
      <c r="JK238" s="386">
        <f t="shared" ca="1" si="1120"/>
        <v>0</v>
      </c>
      <c r="JL238" s="386">
        <f t="shared" ca="1" si="1120"/>
        <v>0</v>
      </c>
      <c r="JM238" s="386">
        <f t="shared" ca="1" si="1120"/>
        <v>0</v>
      </c>
      <c r="JN238" s="386">
        <f t="shared" ca="1" si="1120"/>
        <v>0</v>
      </c>
      <c r="JO238" s="386">
        <f t="shared" ca="1" si="1120"/>
        <v>0</v>
      </c>
      <c r="JP238" s="386">
        <f t="shared" ca="1" si="1120"/>
        <v>0</v>
      </c>
      <c r="JQ238" s="386">
        <f t="shared" ca="1" si="1120"/>
        <v>0</v>
      </c>
      <c r="JR238" s="386">
        <f t="shared" ca="1" si="1120"/>
        <v>0</v>
      </c>
      <c r="JS238" s="386">
        <f t="shared" ca="1" si="1120"/>
        <v>0</v>
      </c>
      <c r="JT238" s="386">
        <f t="shared" ca="1" si="1120"/>
        <v>0</v>
      </c>
      <c r="JU238" s="386">
        <f t="shared" ca="1" si="1120"/>
        <v>0</v>
      </c>
      <c r="JV238" s="386">
        <f t="shared" ca="1" si="1120"/>
        <v>0</v>
      </c>
      <c r="JW238" s="386">
        <f t="shared" ca="1" si="1120"/>
        <v>0</v>
      </c>
      <c r="JX238" s="386">
        <f t="shared" ca="1" si="1120"/>
        <v>0</v>
      </c>
      <c r="JY238" s="386">
        <f t="shared" ca="1" si="1120"/>
        <v>0</v>
      </c>
      <c r="JZ238" s="386">
        <f t="shared" ca="1" si="1120"/>
        <v>0</v>
      </c>
      <c r="KA238" s="386">
        <f t="shared" ca="1" si="1120"/>
        <v>0</v>
      </c>
      <c r="KB238" s="386">
        <f t="shared" ca="1" si="1120"/>
        <v>0</v>
      </c>
      <c r="KC238" s="386">
        <f t="shared" ca="1" si="1120"/>
        <v>0</v>
      </c>
    </row>
    <row r="239" spans="2:289" x14ac:dyDescent="0.25">
      <c r="B239" s="180" t="s">
        <v>335</v>
      </c>
      <c r="C239" s="181"/>
      <c r="D239" s="196"/>
      <c r="E239" s="196" t="s">
        <v>338</v>
      </c>
      <c r="F239" s="419">
        <v>0.15</v>
      </c>
      <c r="G239" s="357">
        <f>30%+(70%*G$232)</f>
        <v>0.3</v>
      </c>
      <c r="H239" s="365">
        <f t="shared" si="1112"/>
        <v>1</v>
      </c>
      <c r="I239" s="346">
        <f>1-H239</f>
        <v>0</v>
      </c>
      <c r="Q239" s="220">
        <f t="shared" ref="Q239:AV239" ca="1" si="1121">IF(Q$231="","",FA235)</f>
        <v>0</v>
      </c>
      <c r="R239" s="220">
        <f t="shared" ca="1" si="1121"/>
        <v>0</v>
      </c>
      <c r="S239" s="220">
        <f t="shared" ca="1" si="1121"/>
        <v>0</v>
      </c>
      <c r="T239" s="220">
        <f t="shared" ca="1" si="1121"/>
        <v>0</v>
      </c>
      <c r="U239" s="220">
        <f t="shared" ca="1" si="1121"/>
        <v>0</v>
      </c>
      <c r="V239" s="220">
        <f t="shared" ca="1" si="1121"/>
        <v>0</v>
      </c>
      <c r="W239" s="220">
        <f t="shared" ca="1" si="1121"/>
        <v>0</v>
      </c>
      <c r="X239" s="220">
        <f t="shared" ca="1" si="1121"/>
        <v>0</v>
      </c>
      <c r="Y239" s="220">
        <f t="shared" ca="1" si="1121"/>
        <v>0</v>
      </c>
      <c r="Z239" s="220">
        <f t="shared" ca="1" si="1121"/>
        <v>0</v>
      </c>
      <c r="AA239" s="220">
        <f t="shared" ca="1" si="1121"/>
        <v>0</v>
      </c>
      <c r="AB239" s="220">
        <f t="shared" ca="1" si="1121"/>
        <v>0</v>
      </c>
      <c r="AC239" s="220">
        <f t="shared" ca="1" si="1121"/>
        <v>0</v>
      </c>
      <c r="AD239" s="220">
        <f t="shared" ca="1" si="1121"/>
        <v>0</v>
      </c>
      <c r="AE239" s="220">
        <f t="shared" ca="1" si="1121"/>
        <v>0</v>
      </c>
      <c r="AF239" s="220">
        <f t="shared" ca="1" si="1121"/>
        <v>0</v>
      </c>
      <c r="AG239" s="220">
        <f t="shared" ca="1" si="1121"/>
        <v>0</v>
      </c>
      <c r="AH239" s="220">
        <f t="shared" ca="1" si="1121"/>
        <v>0</v>
      </c>
      <c r="AI239" s="220">
        <f t="shared" ca="1" si="1121"/>
        <v>0</v>
      </c>
      <c r="AJ239" s="220">
        <f t="shared" ca="1" si="1121"/>
        <v>0</v>
      </c>
      <c r="AK239" s="220">
        <f t="shared" ca="1" si="1121"/>
        <v>0</v>
      </c>
      <c r="AL239" s="220">
        <f t="shared" ca="1" si="1121"/>
        <v>0</v>
      </c>
      <c r="AM239" s="220">
        <f t="shared" ca="1" si="1121"/>
        <v>0</v>
      </c>
      <c r="AN239" s="220">
        <f t="shared" ca="1" si="1121"/>
        <v>0</v>
      </c>
      <c r="AO239" s="220">
        <f t="shared" ca="1" si="1121"/>
        <v>0</v>
      </c>
      <c r="AP239" s="220">
        <f t="shared" ca="1" si="1121"/>
        <v>0</v>
      </c>
      <c r="AQ239" s="220">
        <f t="shared" ca="1" si="1121"/>
        <v>0</v>
      </c>
      <c r="AR239" s="220">
        <f t="shared" ca="1" si="1121"/>
        <v>0</v>
      </c>
      <c r="AS239" s="220">
        <f t="shared" ca="1" si="1121"/>
        <v>0</v>
      </c>
      <c r="AT239" s="220">
        <f t="shared" ca="1" si="1121"/>
        <v>0</v>
      </c>
      <c r="AU239" s="220">
        <f t="shared" ca="1" si="1121"/>
        <v>0</v>
      </c>
      <c r="AV239" s="220">
        <f t="shared" ca="1" si="1121"/>
        <v>0</v>
      </c>
      <c r="AW239" s="220">
        <f t="shared" ref="AW239:CB239" ca="1" si="1122">IF(AW$231="","",GG235)</f>
        <v>0</v>
      </c>
      <c r="AX239" s="220">
        <f t="shared" ca="1" si="1122"/>
        <v>0</v>
      </c>
      <c r="AY239" s="220">
        <f t="shared" ca="1" si="1122"/>
        <v>0</v>
      </c>
      <c r="AZ239" s="220">
        <f t="shared" ca="1" si="1122"/>
        <v>0</v>
      </c>
      <c r="BA239" s="220">
        <f t="shared" ca="1" si="1122"/>
        <v>0</v>
      </c>
      <c r="BB239" s="220" t="str">
        <f t="shared" si="1122"/>
        <v/>
      </c>
      <c r="BC239" s="220" t="str">
        <f t="shared" si="1122"/>
        <v/>
      </c>
      <c r="BD239" s="220" t="str">
        <f t="shared" si="1122"/>
        <v/>
      </c>
      <c r="BE239" s="220" t="str">
        <f t="shared" si="1122"/>
        <v/>
      </c>
      <c r="BF239" s="220" t="str">
        <f t="shared" si="1122"/>
        <v/>
      </c>
      <c r="BG239" s="220" t="str">
        <f t="shared" si="1122"/>
        <v/>
      </c>
      <c r="BH239" s="220" t="str">
        <f t="shared" si="1122"/>
        <v/>
      </c>
      <c r="BI239" s="220" t="str">
        <f t="shared" si="1122"/>
        <v/>
      </c>
      <c r="BJ239" s="220" t="str">
        <f t="shared" si="1122"/>
        <v/>
      </c>
      <c r="BK239" s="220" t="str">
        <f t="shared" si="1122"/>
        <v/>
      </c>
      <c r="BL239" s="220" t="str">
        <f t="shared" si="1122"/>
        <v/>
      </c>
      <c r="BM239" s="220" t="str">
        <f t="shared" si="1122"/>
        <v/>
      </c>
      <c r="BN239" s="220" t="str">
        <f t="shared" si="1122"/>
        <v/>
      </c>
      <c r="BO239" s="220" t="str">
        <f t="shared" si="1122"/>
        <v/>
      </c>
      <c r="BP239" s="220" t="str">
        <f t="shared" si="1122"/>
        <v/>
      </c>
      <c r="BQ239" s="220" t="str">
        <f t="shared" si="1122"/>
        <v/>
      </c>
      <c r="BR239" s="220" t="str">
        <f t="shared" si="1122"/>
        <v/>
      </c>
      <c r="BS239" s="220" t="str">
        <f t="shared" si="1122"/>
        <v/>
      </c>
      <c r="BT239" s="220" t="str">
        <f t="shared" si="1122"/>
        <v/>
      </c>
      <c r="BU239" s="220" t="str">
        <f t="shared" si="1122"/>
        <v/>
      </c>
      <c r="BV239" s="220" t="str">
        <f t="shared" si="1122"/>
        <v/>
      </c>
      <c r="BW239" s="220" t="str">
        <f t="shared" si="1122"/>
        <v/>
      </c>
      <c r="BX239" s="220" t="str">
        <f t="shared" si="1122"/>
        <v/>
      </c>
      <c r="BY239" s="220" t="str">
        <f t="shared" si="1122"/>
        <v/>
      </c>
      <c r="BZ239" s="220" t="str">
        <f t="shared" si="1122"/>
        <v/>
      </c>
      <c r="CA239" s="220" t="str">
        <f t="shared" si="1122"/>
        <v/>
      </c>
      <c r="CB239" s="220" t="str">
        <f t="shared" si="1122"/>
        <v/>
      </c>
      <c r="CC239" s="220" t="str">
        <f t="shared" ref="CC239:DH239" si="1123">IF(CC$231="","",HM235)</f>
        <v/>
      </c>
      <c r="CD239" s="220" t="str">
        <f t="shared" si="1123"/>
        <v/>
      </c>
      <c r="CE239" s="220" t="str">
        <f t="shared" si="1123"/>
        <v/>
      </c>
      <c r="CF239" s="220" t="str">
        <f t="shared" si="1123"/>
        <v/>
      </c>
      <c r="CG239" s="220" t="str">
        <f t="shared" si="1123"/>
        <v/>
      </c>
      <c r="CH239" s="220" t="str">
        <f t="shared" si="1123"/>
        <v/>
      </c>
      <c r="CI239" s="220" t="str">
        <f t="shared" si="1123"/>
        <v/>
      </c>
      <c r="CJ239" s="220" t="str">
        <f t="shared" si="1123"/>
        <v/>
      </c>
      <c r="CK239" s="220" t="str">
        <f t="shared" si="1123"/>
        <v/>
      </c>
      <c r="CL239" s="220" t="str">
        <f t="shared" si="1123"/>
        <v/>
      </c>
      <c r="CM239" s="220" t="str">
        <f t="shared" si="1123"/>
        <v/>
      </c>
      <c r="CN239" s="220" t="str">
        <f t="shared" si="1123"/>
        <v/>
      </c>
      <c r="CO239" s="220" t="str">
        <f t="shared" si="1123"/>
        <v/>
      </c>
      <c r="CP239" s="220" t="str">
        <f t="shared" si="1123"/>
        <v/>
      </c>
      <c r="CQ239" s="220" t="str">
        <f t="shared" si="1123"/>
        <v/>
      </c>
      <c r="CR239" s="220" t="str">
        <f t="shared" si="1123"/>
        <v/>
      </c>
      <c r="CS239" s="220" t="str">
        <f t="shared" si="1123"/>
        <v/>
      </c>
      <c r="CT239" s="220" t="str">
        <f t="shared" si="1123"/>
        <v/>
      </c>
      <c r="CU239" s="220" t="str">
        <f t="shared" si="1123"/>
        <v/>
      </c>
      <c r="CV239" s="220" t="str">
        <f t="shared" si="1123"/>
        <v/>
      </c>
      <c r="CW239" s="220" t="str">
        <f t="shared" si="1123"/>
        <v/>
      </c>
      <c r="CX239" s="220" t="str">
        <f t="shared" si="1123"/>
        <v/>
      </c>
      <c r="CY239" s="220" t="str">
        <f t="shared" si="1123"/>
        <v/>
      </c>
      <c r="CZ239" s="220" t="str">
        <f t="shared" si="1123"/>
        <v/>
      </c>
      <c r="DA239" s="220" t="str">
        <f t="shared" si="1123"/>
        <v/>
      </c>
      <c r="DB239" s="220" t="str">
        <f t="shared" si="1123"/>
        <v/>
      </c>
      <c r="DC239" s="220" t="str">
        <f t="shared" si="1123"/>
        <v/>
      </c>
      <c r="DD239" s="220" t="str">
        <f t="shared" si="1123"/>
        <v/>
      </c>
      <c r="DE239" s="220" t="str">
        <f t="shared" si="1123"/>
        <v/>
      </c>
      <c r="DF239" s="220" t="str">
        <f t="shared" si="1123"/>
        <v/>
      </c>
      <c r="DG239" s="220" t="str">
        <f t="shared" si="1123"/>
        <v/>
      </c>
      <c r="DH239" s="220" t="str">
        <f t="shared" si="1123"/>
        <v/>
      </c>
      <c r="DI239" s="220" t="str">
        <f t="shared" ref="DI239:EN239" si="1124">IF(DI$231="","",IS235)</f>
        <v/>
      </c>
      <c r="DJ239" s="220" t="str">
        <f t="shared" si="1124"/>
        <v/>
      </c>
      <c r="DK239" s="220" t="str">
        <f t="shared" si="1124"/>
        <v/>
      </c>
      <c r="DL239" s="220" t="str">
        <f t="shared" si="1124"/>
        <v/>
      </c>
      <c r="DM239" s="220" t="str">
        <f t="shared" si="1124"/>
        <v/>
      </c>
      <c r="DN239" s="220" t="str">
        <f t="shared" si="1124"/>
        <v/>
      </c>
      <c r="DO239" s="220" t="str">
        <f t="shared" si="1124"/>
        <v/>
      </c>
      <c r="DP239" s="220" t="str">
        <f t="shared" si="1124"/>
        <v/>
      </c>
      <c r="DQ239" s="220" t="str">
        <f t="shared" si="1124"/>
        <v/>
      </c>
      <c r="DR239" s="220" t="str">
        <f t="shared" si="1124"/>
        <v/>
      </c>
      <c r="DS239" s="220" t="str">
        <f t="shared" si="1124"/>
        <v/>
      </c>
      <c r="DT239" s="220" t="str">
        <f t="shared" si="1124"/>
        <v/>
      </c>
      <c r="DU239" s="220" t="str">
        <f t="shared" si="1124"/>
        <v/>
      </c>
      <c r="DV239" s="220" t="str">
        <f t="shared" si="1124"/>
        <v/>
      </c>
      <c r="DW239" s="220" t="str">
        <f t="shared" si="1124"/>
        <v/>
      </c>
      <c r="DX239" s="220" t="str">
        <f t="shared" si="1124"/>
        <v/>
      </c>
      <c r="DY239" s="220" t="str">
        <f t="shared" si="1124"/>
        <v/>
      </c>
      <c r="DZ239" s="220" t="str">
        <f t="shared" si="1124"/>
        <v/>
      </c>
      <c r="EA239" s="220" t="str">
        <f t="shared" si="1124"/>
        <v/>
      </c>
      <c r="EB239" s="220" t="str">
        <f t="shared" si="1124"/>
        <v/>
      </c>
      <c r="EC239" s="220" t="str">
        <f t="shared" si="1124"/>
        <v/>
      </c>
      <c r="ED239" s="220" t="str">
        <f t="shared" si="1124"/>
        <v/>
      </c>
      <c r="EE239" s="220" t="str">
        <f t="shared" si="1124"/>
        <v/>
      </c>
      <c r="EF239" s="220" t="str">
        <f t="shared" si="1124"/>
        <v/>
      </c>
      <c r="EG239" s="220" t="str">
        <f t="shared" si="1124"/>
        <v/>
      </c>
      <c r="EH239" s="220" t="str">
        <f t="shared" si="1124"/>
        <v/>
      </c>
      <c r="EI239" s="220" t="str">
        <f t="shared" si="1124"/>
        <v/>
      </c>
      <c r="EJ239" s="220" t="str">
        <f t="shared" si="1124"/>
        <v/>
      </c>
      <c r="EK239" s="220" t="str">
        <f t="shared" si="1124"/>
        <v/>
      </c>
      <c r="EL239" s="220" t="str">
        <f t="shared" si="1124"/>
        <v/>
      </c>
      <c r="EM239" s="220" t="str">
        <f t="shared" si="1124"/>
        <v/>
      </c>
      <c r="EN239" s="220" t="str">
        <f t="shared" si="1124"/>
        <v/>
      </c>
      <c r="EO239" s="220" t="str">
        <f>IF(EO$231="","",JY235)</f>
        <v/>
      </c>
      <c r="EP239" s="220" t="str">
        <f>IF(EP$231="","",JZ235)</f>
        <v/>
      </c>
      <c r="EQ239" s="220" t="str">
        <f>IF(EQ$231="","",KA235)</f>
        <v/>
      </c>
      <c r="ER239" s="220" t="str">
        <f>IF(ER$231="","",KB235)</f>
        <v/>
      </c>
      <c r="ES239" s="220" t="str">
        <f>IF(ES$231="","",KC235)</f>
        <v/>
      </c>
      <c r="EU239" s="420"/>
      <c r="EV239" s="176"/>
      <c r="EW239" s="176"/>
      <c r="EX239" s="176"/>
      <c r="EY239" s="177" t="s">
        <v>361</v>
      </c>
      <c r="EZ239" s="177"/>
      <c r="FA239" s="391">
        <f ca="1">SUM(FA237:FA238)</f>
        <v>0</v>
      </c>
      <c r="FB239" s="391">
        <f t="shared" ref="FB239:HM239" ca="1" si="1125">SUM(FB237:FB238)</f>
        <v>0</v>
      </c>
      <c r="FC239" s="391">
        <f t="shared" ca="1" si="1125"/>
        <v>0</v>
      </c>
      <c r="FD239" s="391">
        <f t="shared" ca="1" si="1125"/>
        <v>0</v>
      </c>
      <c r="FE239" s="391">
        <f t="shared" ca="1" si="1125"/>
        <v>0</v>
      </c>
      <c r="FF239" s="391">
        <f t="shared" ca="1" si="1125"/>
        <v>0</v>
      </c>
      <c r="FG239" s="391">
        <f t="shared" ca="1" si="1125"/>
        <v>0</v>
      </c>
      <c r="FH239" s="391">
        <f t="shared" ca="1" si="1125"/>
        <v>0</v>
      </c>
      <c r="FI239" s="391">
        <f t="shared" ca="1" si="1125"/>
        <v>0</v>
      </c>
      <c r="FJ239" s="391">
        <f t="shared" ca="1" si="1125"/>
        <v>0</v>
      </c>
      <c r="FK239" s="391">
        <f t="shared" ca="1" si="1125"/>
        <v>0</v>
      </c>
      <c r="FL239" s="391">
        <f t="shared" ca="1" si="1125"/>
        <v>0</v>
      </c>
      <c r="FM239" s="391">
        <f t="shared" ca="1" si="1125"/>
        <v>854.48499999999933</v>
      </c>
      <c r="FN239" s="391">
        <f t="shared" ca="1" si="1125"/>
        <v>10928.922499999999</v>
      </c>
      <c r="FO239" s="391">
        <f t="shared" ca="1" si="1125"/>
        <v>19657.158961798061</v>
      </c>
      <c r="FP239" s="391">
        <f t="shared" ca="1" si="1125"/>
        <v>3290.2921752666171</v>
      </c>
      <c r="FQ239" s="391">
        <f t="shared" ca="1" si="1125"/>
        <v>3290.2921752666171</v>
      </c>
      <c r="FR239" s="391">
        <f t="shared" ca="1" si="1125"/>
        <v>3290.2921752666171</v>
      </c>
      <c r="FS239" s="391">
        <f t="shared" ca="1" si="1125"/>
        <v>3290.2921752666171</v>
      </c>
      <c r="FT239" s="391">
        <f t="shared" ca="1" si="1125"/>
        <v>3290.2921752666171</v>
      </c>
      <c r="FU239" s="391">
        <f t="shared" ca="1" si="1125"/>
        <v>3290.2921752666171</v>
      </c>
      <c r="FV239" s="391">
        <f t="shared" ca="1" si="1125"/>
        <v>3290.2921752666171</v>
      </c>
      <c r="FW239" s="391">
        <f t="shared" ca="1" si="1125"/>
        <v>3290.2921752666171</v>
      </c>
      <c r="FX239" s="391">
        <f t="shared" ca="1" si="1125"/>
        <v>3290.2921752666171</v>
      </c>
      <c r="FY239" s="391">
        <f t="shared" ca="1" si="1125"/>
        <v>2322.2629752666126</v>
      </c>
      <c r="FZ239" s="391">
        <f t="shared" ca="1" si="1125"/>
        <v>2630.9179752666187</v>
      </c>
      <c r="GA239" s="391">
        <f t="shared" ca="1" si="1125"/>
        <v>2939.5729752666175</v>
      </c>
      <c r="GB239" s="391">
        <f t="shared" ca="1" si="1125"/>
        <v>2939.5729752666175</v>
      </c>
      <c r="GC239" s="391">
        <f t="shared" ca="1" si="1125"/>
        <v>2939.5729752666175</v>
      </c>
      <c r="GD239" s="391">
        <f t="shared" ca="1" si="1125"/>
        <v>2939.5729752666175</v>
      </c>
      <c r="GE239" s="391">
        <f t="shared" ca="1" si="1125"/>
        <v>2939.5729752666175</v>
      </c>
      <c r="GF239" s="391">
        <f t="shared" ca="1" si="1125"/>
        <v>2939.5729752666175</v>
      </c>
      <c r="GG239" s="391">
        <f t="shared" ca="1" si="1125"/>
        <v>2939.5729752666175</v>
      </c>
      <c r="GH239" s="391">
        <f t="shared" ca="1" si="1125"/>
        <v>2939.5729752666175</v>
      </c>
      <c r="GI239" s="391">
        <f t="shared" ca="1" si="1125"/>
        <v>2939.5729752666175</v>
      </c>
      <c r="GJ239" s="391">
        <f t="shared" ca="1" si="1125"/>
        <v>2939.5729752666175</v>
      </c>
      <c r="GK239" s="391">
        <f t="shared" ca="1" si="1125"/>
        <v>1827482.1425559032</v>
      </c>
      <c r="GL239" s="391">
        <f t="shared" ca="1" si="1125"/>
        <v>0</v>
      </c>
      <c r="GM239" s="391">
        <f t="shared" ca="1" si="1125"/>
        <v>0</v>
      </c>
      <c r="GN239" s="391">
        <f t="shared" ca="1" si="1125"/>
        <v>0</v>
      </c>
      <c r="GO239" s="391">
        <f t="shared" ca="1" si="1125"/>
        <v>0</v>
      </c>
      <c r="GP239" s="391">
        <f t="shared" ca="1" si="1125"/>
        <v>0</v>
      </c>
      <c r="GQ239" s="391">
        <f t="shared" ca="1" si="1125"/>
        <v>0</v>
      </c>
      <c r="GR239" s="391">
        <f t="shared" ca="1" si="1125"/>
        <v>0</v>
      </c>
      <c r="GS239" s="391">
        <f t="shared" ca="1" si="1125"/>
        <v>0</v>
      </c>
      <c r="GT239" s="391">
        <f t="shared" ca="1" si="1125"/>
        <v>0</v>
      </c>
      <c r="GU239" s="391">
        <f t="shared" ca="1" si="1125"/>
        <v>0</v>
      </c>
      <c r="GV239" s="391">
        <f t="shared" ca="1" si="1125"/>
        <v>0</v>
      </c>
      <c r="GW239" s="391">
        <f t="shared" ca="1" si="1125"/>
        <v>0</v>
      </c>
      <c r="GX239" s="391">
        <f t="shared" ca="1" si="1125"/>
        <v>0</v>
      </c>
      <c r="GY239" s="391">
        <f t="shared" ca="1" si="1125"/>
        <v>0</v>
      </c>
      <c r="GZ239" s="391">
        <f t="shared" ca="1" si="1125"/>
        <v>0</v>
      </c>
      <c r="HA239" s="391">
        <f t="shared" ca="1" si="1125"/>
        <v>0</v>
      </c>
      <c r="HB239" s="391">
        <f t="shared" ca="1" si="1125"/>
        <v>0</v>
      </c>
      <c r="HC239" s="391">
        <f t="shared" ca="1" si="1125"/>
        <v>0</v>
      </c>
      <c r="HD239" s="391">
        <f t="shared" ca="1" si="1125"/>
        <v>0</v>
      </c>
      <c r="HE239" s="391">
        <f t="shared" ca="1" si="1125"/>
        <v>0</v>
      </c>
      <c r="HF239" s="391">
        <f t="shared" ca="1" si="1125"/>
        <v>0</v>
      </c>
      <c r="HG239" s="391">
        <f t="shared" ca="1" si="1125"/>
        <v>0</v>
      </c>
      <c r="HH239" s="391">
        <f t="shared" ca="1" si="1125"/>
        <v>0</v>
      </c>
      <c r="HI239" s="391">
        <f t="shared" ca="1" si="1125"/>
        <v>0</v>
      </c>
      <c r="HJ239" s="391">
        <f t="shared" ca="1" si="1125"/>
        <v>0</v>
      </c>
      <c r="HK239" s="391">
        <f t="shared" ca="1" si="1125"/>
        <v>0</v>
      </c>
      <c r="HL239" s="391">
        <f t="shared" ca="1" si="1125"/>
        <v>0</v>
      </c>
      <c r="HM239" s="391">
        <f t="shared" ca="1" si="1125"/>
        <v>0</v>
      </c>
      <c r="HN239" s="391">
        <f t="shared" ref="HN239:JY239" ca="1" si="1126">SUM(HN237:HN238)</f>
        <v>0</v>
      </c>
      <c r="HO239" s="391">
        <f t="shared" ca="1" si="1126"/>
        <v>0</v>
      </c>
      <c r="HP239" s="391">
        <f t="shared" ca="1" si="1126"/>
        <v>0</v>
      </c>
      <c r="HQ239" s="391">
        <f t="shared" ca="1" si="1126"/>
        <v>0</v>
      </c>
      <c r="HR239" s="391">
        <f t="shared" ca="1" si="1126"/>
        <v>0</v>
      </c>
      <c r="HS239" s="391">
        <f t="shared" ca="1" si="1126"/>
        <v>0</v>
      </c>
      <c r="HT239" s="391">
        <f t="shared" ca="1" si="1126"/>
        <v>0</v>
      </c>
      <c r="HU239" s="391">
        <f t="shared" ca="1" si="1126"/>
        <v>0</v>
      </c>
      <c r="HV239" s="391">
        <f t="shared" ca="1" si="1126"/>
        <v>0</v>
      </c>
      <c r="HW239" s="391">
        <f t="shared" ca="1" si="1126"/>
        <v>0</v>
      </c>
      <c r="HX239" s="391">
        <f t="shared" ca="1" si="1126"/>
        <v>0</v>
      </c>
      <c r="HY239" s="391">
        <f t="shared" ca="1" si="1126"/>
        <v>0</v>
      </c>
      <c r="HZ239" s="391">
        <f t="shared" ca="1" si="1126"/>
        <v>0</v>
      </c>
      <c r="IA239" s="391">
        <f t="shared" ca="1" si="1126"/>
        <v>0</v>
      </c>
      <c r="IB239" s="391">
        <f t="shared" ca="1" si="1126"/>
        <v>0</v>
      </c>
      <c r="IC239" s="391">
        <f t="shared" ca="1" si="1126"/>
        <v>0</v>
      </c>
      <c r="ID239" s="391">
        <f t="shared" ca="1" si="1126"/>
        <v>0</v>
      </c>
      <c r="IE239" s="391">
        <f t="shared" ca="1" si="1126"/>
        <v>0</v>
      </c>
      <c r="IF239" s="391">
        <f t="shared" ca="1" si="1126"/>
        <v>0</v>
      </c>
      <c r="IG239" s="391">
        <f t="shared" ca="1" si="1126"/>
        <v>0</v>
      </c>
      <c r="IH239" s="391">
        <f t="shared" ca="1" si="1126"/>
        <v>0</v>
      </c>
      <c r="II239" s="391">
        <f t="shared" ca="1" si="1126"/>
        <v>0</v>
      </c>
      <c r="IJ239" s="391">
        <f t="shared" ca="1" si="1126"/>
        <v>0</v>
      </c>
      <c r="IK239" s="391">
        <f t="shared" ca="1" si="1126"/>
        <v>0</v>
      </c>
      <c r="IL239" s="391">
        <f t="shared" ca="1" si="1126"/>
        <v>0</v>
      </c>
      <c r="IM239" s="391">
        <f t="shared" ca="1" si="1126"/>
        <v>0</v>
      </c>
      <c r="IN239" s="391">
        <f t="shared" ca="1" si="1126"/>
        <v>0</v>
      </c>
      <c r="IO239" s="391">
        <f t="shared" ca="1" si="1126"/>
        <v>0</v>
      </c>
      <c r="IP239" s="391">
        <f t="shared" ca="1" si="1126"/>
        <v>0</v>
      </c>
      <c r="IQ239" s="391">
        <f t="shared" ca="1" si="1126"/>
        <v>0</v>
      </c>
      <c r="IR239" s="391">
        <f t="shared" ca="1" si="1126"/>
        <v>0</v>
      </c>
      <c r="IS239" s="391">
        <f t="shared" ca="1" si="1126"/>
        <v>0</v>
      </c>
      <c r="IT239" s="391">
        <f t="shared" ca="1" si="1126"/>
        <v>0</v>
      </c>
      <c r="IU239" s="391">
        <f t="shared" ca="1" si="1126"/>
        <v>0</v>
      </c>
      <c r="IV239" s="391">
        <f t="shared" ca="1" si="1126"/>
        <v>0</v>
      </c>
      <c r="IW239" s="391">
        <f t="shared" ca="1" si="1126"/>
        <v>0</v>
      </c>
      <c r="IX239" s="391">
        <f t="shared" ca="1" si="1126"/>
        <v>0</v>
      </c>
      <c r="IY239" s="391">
        <f t="shared" ca="1" si="1126"/>
        <v>0</v>
      </c>
      <c r="IZ239" s="391">
        <f t="shared" ca="1" si="1126"/>
        <v>0</v>
      </c>
      <c r="JA239" s="391">
        <f t="shared" ca="1" si="1126"/>
        <v>0</v>
      </c>
      <c r="JB239" s="391">
        <f t="shared" ca="1" si="1126"/>
        <v>0</v>
      </c>
      <c r="JC239" s="391">
        <f t="shared" ca="1" si="1126"/>
        <v>0</v>
      </c>
      <c r="JD239" s="391">
        <f t="shared" ca="1" si="1126"/>
        <v>0</v>
      </c>
      <c r="JE239" s="391">
        <f t="shared" ca="1" si="1126"/>
        <v>0</v>
      </c>
      <c r="JF239" s="391">
        <f t="shared" ca="1" si="1126"/>
        <v>0</v>
      </c>
      <c r="JG239" s="391">
        <f t="shared" ca="1" si="1126"/>
        <v>0</v>
      </c>
      <c r="JH239" s="391">
        <f t="shared" ca="1" si="1126"/>
        <v>0</v>
      </c>
      <c r="JI239" s="391">
        <f t="shared" ca="1" si="1126"/>
        <v>0</v>
      </c>
      <c r="JJ239" s="391">
        <f t="shared" ca="1" si="1126"/>
        <v>0</v>
      </c>
      <c r="JK239" s="391">
        <f t="shared" ca="1" si="1126"/>
        <v>0</v>
      </c>
      <c r="JL239" s="391">
        <f t="shared" ca="1" si="1126"/>
        <v>0</v>
      </c>
      <c r="JM239" s="391">
        <f t="shared" ca="1" si="1126"/>
        <v>0</v>
      </c>
      <c r="JN239" s="391">
        <f t="shared" ca="1" si="1126"/>
        <v>0</v>
      </c>
      <c r="JO239" s="391">
        <f t="shared" ca="1" si="1126"/>
        <v>0</v>
      </c>
      <c r="JP239" s="391">
        <f t="shared" ca="1" si="1126"/>
        <v>0</v>
      </c>
      <c r="JQ239" s="391">
        <f t="shared" ca="1" si="1126"/>
        <v>0</v>
      </c>
      <c r="JR239" s="391">
        <f t="shared" ca="1" si="1126"/>
        <v>0</v>
      </c>
      <c r="JS239" s="391">
        <f t="shared" ca="1" si="1126"/>
        <v>0</v>
      </c>
      <c r="JT239" s="391">
        <f t="shared" ca="1" si="1126"/>
        <v>0</v>
      </c>
      <c r="JU239" s="391">
        <f t="shared" ca="1" si="1126"/>
        <v>0</v>
      </c>
      <c r="JV239" s="391">
        <f t="shared" ca="1" si="1126"/>
        <v>0</v>
      </c>
      <c r="JW239" s="391">
        <f t="shared" ca="1" si="1126"/>
        <v>0</v>
      </c>
      <c r="JX239" s="391">
        <f t="shared" ca="1" si="1126"/>
        <v>0</v>
      </c>
      <c r="JY239" s="391">
        <f t="shared" ca="1" si="1126"/>
        <v>0</v>
      </c>
      <c r="JZ239" s="391">
        <f ca="1">SUM(JZ237:JZ238)</f>
        <v>0</v>
      </c>
      <c r="KA239" s="391">
        <f ca="1">SUM(KA237:KA238)</f>
        <v>0</v>
      </c>
      <c r="KB239" s="391">
        <f ca="1">SUM(KB237:KB238)</f>
        <v>0</v>
      </c>
      <c r="KC239" s="391">
        <f ca="1">SUM(KC237:KC238)</f>
        <v>0</v>
      </c>
    </row>
    <row r="240" spans="2:289" x14ac:dyDescent="0.25">
      <c r="B240" s="180" t="s">
        <v>336</v>
      </c>
      <c r="C240" s="181"/>
      <c r="D240" s="196"/>
      <c r="E240" s="196" t="s">
        <v>339</v>
      </c>
      <c r="F240" s="421">
        <f>F239</f>
        <v>0.15</v>
      </c>
      <c r="G240" s="357">
        <v>0.4</v>
      </c>
      <c r="H240" s="365">
        <f t="shared" si="1112"/>
        <v>1</v>
      </c>
      <c r="I240" s="346">
        <f>1-H240</f>
        <v>0</v>
      </c>
      <c r="Q240" s="220">
        <f t="shared" ref="Q240:AV240" ca="1" si="1127">IF(Q$231="","",FA239)</f>
        <v>0</v>
      </c>
      <c r="R240" s="220">
        <f t="shared" ca="1" si="1127"/>
        <v>0</v>
      </c>
      <c r="S240" s="220">
        <f t="shared" ca="1" si="1127"/>
        <v>0</v>
      </c>
      <c r="T240" s="220">
        <f t="shared" ca="1" si="1127"/>
        <v>0</v>
      </c>
      <c r="U240" s="220">
        <f t="shared" ca="1" si="1127"/>
        <v>0</v>
      </c>
      <c r="V240" s="220">
        <f t="shared" ca="1" si="1127"/>
        <v>0</v>
      </c>
      <c r="W240" s="220">
        <f t="shared" ca="1" si="1127"/>
        <v>0</v>
      </c>
      <c r="X240" s="220">
        <f t="shared" ca="1" si="1127"/>
        <v>0</v>
      </c>
      <c r="Y240" s="220">
        <f t="shared" ca="1" si="1127"/>
        <v>0</v>
      </c>
      <c r="Z240" s="220">
        <f t="shared" ca="1" si="1127"/>
        <v>0</v>
      </c>
      <c r="AA240" s="220">
        <f t="shared" ca="1" si="1127"/>
        <v>0</v>
      </c>
      <c r="AB240" s="220">
        <f t="shared" ca="1" si="1127"/>
        <v>0</v>
      </c>
      <c r="AC240" s="220">
        <f t="shared" ca="1" si="1127"/>
        <v>854.48499999999933</v>
      </c>
      <c r="AD240" s="220">
        <f t="shared" ca="1" si="1127"/>
        <v>10928.922499999999</v>
      </c>
      <c r="AE240" s="220">
        <f t="shared" ca="1" si="1127"/>
        <v>19657.158961798061</v>
      </c>
      <c r="AF240" s="220">
        <f t="shared" ca="1" si="1127"/>
        <v>3290.2921752666171</v>
      </c>
      <c r="AG240" s="220">
        <f t="shared" ca="1" si="1127"/>
        <v>3290.2921752666171</v>
      </c>
      <c r="AH240" s="220">
        <f t="shared" ca="1" si="1127"/>
        <v>3290.2921752666171</v>
      </c>
      <c r="AI240" s="220">
        <f t="shared" ca="1" si="1127"/>
        <v>3290.2921752666171</v>
      </c>
      <c r="AJ240" s="220">
        <f t="shared" ca="1" si="1127"/>
        <v>3290.2921752666171</v>
      </c>
      <c r="AK240" s="220">
        <f t="shared" ca="1" si="1127"/>
        <v>3290.2921752666171</v>
      </c>
      <c r="AL240" s="220">
        <f t="shared" ca="1" si="1127"/>
        <v>3290.2921752666171</v>
      </c>
      <c r="AM240" s="220">
        <f t="shared" ca="1" si="1127"/>
        <v>3290.2921752666171</v>
      </c>
      <c r="AN240" s="220">
        <f t="shared" ca="1" si="1127"/>
        <v>3290.2921752666171</v>
      </c>
      <c r="AO240" s="220">
        <f t="shared" ca="1" si="1127"/>
        <v>2322.2629752666126</v>
      </c>
      <c r="AP240" s="220">
        <f t="shared" ca="1" si="1127"/>
        <v>2630.9179752666187</v>
      </c>
      <c r="AQ240" s="220">
        <f t="shared" ca="1" si="1127"/>
        <v>2939.5729752666175</v>
      </c>
      <c r="AR240" s="220">
        <f t="shared" ca="1" si="1127"/>
        <v>2939.5729752666175</v>
      </c>
      <c r="AS240" s="220">
        <f t="shared" ca="1" si="1127"/>
        <v>2939.5729752666175</v>
      </c>
      <c r="AT240" s="220">
        <f t="shared" ca="1" si="1127"/>
        <v>2939.5729752666175</v>
      </c>
      <c r="AU240" s="220">
        <f t="shared" ca="1" si="1127"/>
        <v>2939.5729752666175</v>
      </c>
      <c r="AV240" s="220">
        <f t="shared" ca="1" si="1127"/>
        <v>2939.5729752666175</v>
      </c>
      <c r="AW240" s="220">
        <f t="shared" ref="AW240:CB240" ca="1" si="1128">IF(AW$231="","",GG239)</f>
        <v>2939.5729752666175</v>
      </c>
      <c r="AX240" s="220">
        <f t="shared" ca="1" si="1128"/>
        <v>2939.5729752666175</v>
      </c>
      <c r="AY240" s="220">
        <f t="shared" ca="1" si="1128"/>
        <v>2939.5729752666175</v>
      </c>
      <c r="AZ240" s="220">
        <f t="shared" ca="1" si="1128"/>
        <v>2939.5729752666175</v>
      </c>
      <c r="BA240" s="220">
        <f t="shared" ca="1" si="1128"/>
        <v>1827482.1425559032</v>
      </c>
      <c r="BB240" s="220" t="str">
        <f t="shared" si="1128"/>
        <v/>
      </c>
      <c r="BC240" s="220" t="str">
        <f t="shared" si="1128"/>
        <v/>
      </c>
      <c r="BD240" s="220" t="str">
        <f t="shared" si="1128"/>
        <v/>
      </c>
      <c r="BE240" s="220" t="str">
        <f t="shared" si="1128"/>
        <v/>
      </c>
      <c r="BF240" s="220" t="str">
        <f t="shared" si="1128"/>
        <v/>
      </c>
      <c r="BG240" s="220" t="str">
        <f t="shared" si="1128"/>
        <v/>
      </c>
      <c r="BH240" s="220" t="str">
        <f t="shared" si="1128"/>
        <v/>
      </c>
      <c r="BI240" s="220" t="str">
        <f t="shared" si="1128"/>
        <v/>
      </c>
      <c r="BJ240" s="220" t="str">
        <f t="shared" si="1128"/>
        <v/>
      </c>
      <c r="BK240" s="220" t="str">
        <f t="shared" si="1128"/>
        <v/>
      </c>
      <c r="BL240" s="220" t="str">
        <f t="shared" si="1128"/>
        <v/>
      </c>
      <c r="BM240" s="220" t="str">
        <f t="shared" si="1128"/>
        <v/>
      </c>
      <c r="BN240" s="220" t="str">
        <f t="shared" si="1128"/>
        <v/>
      </c>
      <c r="BO240" s="220" t="str">
        <f t="shared" si="1128"/>
        <v/>
      </c>
      <c r="BP240" s="220" t="str">
        <f t="shared" si="1128"/>
        <v/>
      </c>
      <c r="BQ240" s="220" t="str">
        <f t="shared" si="1128"/>
        <v/>
      </c>
      <c r="BR240" s="220" t="str">
        <f t="shared" si="1128"/>
        <v/>
      </c>
      <c r="BS240" s="220" t="str">
        <f t="shared" si="1128"/>
        <v/>
      </c>
      <c r="BT240" s="220" t="str">
        <f t="shared" si="1128"/>
        <v/>
      </c>
      <c r="BU240" s="220" t="str">
        <f t="shared" si="1128"/>
        <v/>
      </c>
      <c r="BV240" s="220" t="str">
        <f t="shared" si="1128"/>
        <v/>
      </c>
      <c r="BW240" s="220" t="str">
        <f t="shared" si="1128"/>
        <v/>
      </c>
      <c r="BX240" s="220" t="str">
        <f t="shared" si="1128"/>
        <v/>
      </c>
      <c r="BY240" s="220" t="str">
        <f t="shared" si="1128"/>
        <v/>
      </c>
      <c r="BZ240" s="220" t="str">
        <f t="shared" si="1128"/>
        <v/>
      </c>
      <c r="CA240" s="220" t="str">
        <f t="shared" si="1128"/>
        <v/>
      </c>
      <c r="CB240" s="220" t="str">
        <f t="shared" si="1128"/>
        <v/>
      </c>
      <c r="CC240" s="220" t="str">
        <f t="shared" ref="CC240:DH240" si="1129">IF(CC$231="","",HM239)</f>
        <v/>
      </c>
      <c r="CD240" s="220" t="str">
        <f t="shared" si="1129"/>
        <v/>
      </c>
      <c r="CE240" s="220" t="str">
        <f t="shared" si="1129"/>
        <v/>
      </c>
      <c r="CF240" s="220" t="str">
        <f t="shared" si="1129"/>
        <v/>
      </c>
      <c r="CG240" s="220" t="str">
        <f t="shared" si="1129"/>
        <v/>
      </c>
      <c r="CH240" s="220" t="str">
        <f t="shared" si="1129"/>
        <v/>
      </c>
      <c r="CI240" s="220" t="str">
        <f t="shared" si="1129"/>
        <v/>
      </c>
      <c r="CJ240" s="220" t="str">
        <f t="shared" si="1129"/>
        <v/>
      </c>
      <c r="CK240" s="220" t="str">
        <f t="shared" si="1129"/>
        <v/>
      </c>
      <c r="CL240" s="220" t="str">
        <f t="shared" si="1129"/>
        <v/>
      </c>
      <c r="CM240" s="220" t="str">
        <f t="shared" si="1129"/>
        <v/>
      </c>
      <c r="CN240" s="220" t="str">
        <f t="shared" si="1129"/>
        <v/>
      </c>
      <c r="CO240" s="220" t="str">
        <f t="shared" si="1129"/>
        <v/>
      </c>
      <c r="CP240" s="220" t="str">
        <f t="shared" si="1129"/>
        <v/>
      </c>
      <c r="CQ240" s="220" t="str">
        <f t="shared" si="1129"/>
        <v/>
      </c>
      <c r="CR240" s="220" t="str">
        <f t="shared" si="1129"/>
        <v/>
      </c>
      <c r="CS240" s="220" t="str">
        <f t="shared" si="1129"/>
        <v/>
      </c>
      <c r="CT240" s="220" t="str">
        <f t="shared" si="1129"/>
        <v/>
      </c>
      <c r="CU240" s="220" t="str">
        <f t="shared" si="1129"/>
        <v/>
      </c>
      <c r="CV240" s="220" t="str">
        <f t="shared" si="1129"/>
        <v/>
      </c>
      <c r="CW240" s="220" t="str">
        <f t="shared" si="1129"/>
        <v/>
      </c>
      <c r="CX240" s="220" t="str">
        <f t="shared" si="1129"/>
        <v/>
      </c>
      <c r="CY240" s="220" t="str">
        <f t="shared" si="1129"/>
        <v/>
      </c>
      <c r="CZ240" s="220" t="str">
        <f t="shared" si="1129"/>
        <v/>
      </c>
      <c r="DA240" s="220" t="str">
        <f t="shared" si="1129"/>
        <v/>
      </c>
      <c r="DB240" s="220" t="str">
        <f t="shared" si="1129"/>
        <v/>
      </c>
      <c r="DC240" s="220" t="str">
        <f t="shared" si="1129"/>
        <v/>
      </c>
      <c r="DD240" s="220" t="str">
        <f t="shared" si="1129"/>
        <v/>
      </c>
      <c r="DE240" s="220" t="str">
        <f t="shared" si="1129"/>
        <v/>
      </c>
      <c r="DF240" s="220" t="str">
        <f t="shared" si="1129"/>
        <v/>
      </c>
      <c r="DG240" s="220" t="str">
        <f t="shared" si="1129"/>
        <v/>
      </c>
      <c r="DH240" s="220" t="str">
        <f t="shared" si="1129"/>
        <v/>
      </c>
      <c r="DI240" s="220" t="str">
        <f t="shared" ref="DI240:EN240" si="1130">IF(DI$231="","",IS239)</f>
        <v/>
      </c>
      <c r="DJ240" s="220" t="str">
        <f t="shared" si="1130"/>
        <v/>
      </c>
      <c r="DK240" s="220" t="str">
        <f t="shared" si="1130"/>
        <v/>
      </c>
      <c r="DL240" s="220" t="str">
        <f t="shared" si="1130"/>
        <v/>
      </c>
      <c r="DM240" s="220" t="str">
        <f t="shared" si="1130"/>
        <v/>
      </c>
      <c r="DN240" s="220" t="str">
        <f t="shared" si="1130"/>
        <v/>
      </c>
      <c r="DO240" s="220" t="str">
        <f t="shared" si="1130"/>
        <v/>
      </c>
      <c r="DP240" s="220" t="str">
        <f t="shared" si="1130"/>
        <v/>
      </c>
      <c r="DQ240" s="220" t="str">
        <f t="shared" si="1130"/>
        <v/>
      </c>
      <c r="DR240" s="220" t="str">
        <f t="shared" si="1130"/>
        <v/>
      </c>
      <c r="DS240" s="220" t="str">
        <f t="shared" si="1130"/>
        <v/>
      </c>
      <c r="DT240" s="220" t="str">
        <f t="shared" si="1130"/>
        <v/>
      </c>
      <c r="DU240" s="220" t="str">
        <f t="shared" si="1130"/>
        <v/>
      </c>
      <c r="DV240" s="220" t="str">
        <f t="shared" si="1130"/>
        <v/>
      </c>
      <c r="DW240" s="220" t="str">
        <f t="shared" si="1130"/>
        <v/>
      </c>
      <c r="DX240" s="220" t="str">
        <f t="shared" si="1130"/>
        <v/>
      </c>
      <c r="DY240" s="220" t="str">
        <f t="shared" si="1130"/>
        <v/>
      </c>
      <c r="DZ240" s="220" t="str">
        <f t="shared" si="1130"/>
        <v/>
      </c>
      <c r="EA240" s="220" t="str">
        <f t="shared" si="1130"/>
        <v/>
      </c>
      <c r="EB240" s="220" t="str">
        <f t="shared" si="1130"/>
        <v/>
      </c>
      <c r="EC240" s="220" t="str">
        <f t="shared" si="1130"/>
        <v/>
      </c>
      <c r="ED240" s="220" t="str">
        <f t="shared" si="1130"/>
        <v/>
      </c>
      <c r="EE240" s="220" t="str">
        <f t="shared" si="1130"/>
        <v/>
      </c>
      <c r="EF240" s="220" t="str">
        <f t="shared" si="1130"/>
        <v/>
      </c>
      <c r="EG240" s="220" t="str">
        <f t="shared" si="1130"/>
        <v/>
      </c>
      <c r="EH240" s="220" t="str">
        <f t="shared" si="1130"/>
        <v/>
      </c>
      <c r="EI240" s="220" t="str">
        <f t="shared" si="1130"/>
        <v/>
      </c>
      <c r="EJ240" s="220" t="str">
        <f t="shared" si="1130"/>
        <v/>
      </c>
      <c r="EK240" s="220" t="str">
        <f t="shared" si="1130"/>
        <v/>
      </c>
      <c r="EL240" s="220" t="str">
        <f t="shared" si="1130"/>
        <v/>
      </c>
      <c r="EM240" s="220" t="str">
        <f t="shared" si="1130"/>
        <v/>
      </c>
      <c r="EN240" s="220" t="str">
        <f t="shared" si="1130"/>
        <v/>
      </c>
      <c r="EO240" s="220" t="str">
        <f>IF(EO$231="","",JY239)</f>
        <v/>
      </c>
      <c r="EP240" s="220" t="str">
        <f>IF(EP$231="","",JZ239)</f>
        <v/>
      </c>
      <c r="EQ240" s="220" t="str">
        <f>IF(EQ$231="","",KA239)</f>
        <v/>
      </c>
      <c r="ER240" s="220" t="str">
        <f>IF(ER$231="","",KB239)</f>
        <v/>
      </c>
      <c r="ES240" s="220" t="str">
        <f>IF(ES$231="","",KC239)</f>
        <v/>
      </c>
      <c r="EU240" s="202"/>
      <c r="EV240" s="202"/>
      <c r="EW240" s="202"/>
      <c r="EX240" s="202"/>
      <c r="EY240" s="154" t="s">
        <v>386</v>
      </c>
      <c r="EZ240" s="422"/>
      <c r="FA240" s="386">
        <f t="shared" ref="FA240:GF240" ca="1" si="1131">IF(Q248="",0,Q248-FA214)</f>
        <v>-822502.85714285716</v>
      </c>
      <c r="FB240" s="386">
        <f t="shared" ca="1" si="1131"/>
        <v>-16840.908265539307</v>
      </c>
      <c r="FC240" s="386">
        <f t="shared" ca="1" si="1131"/>
        <v>-52504.923287438098</v>
      </c>
      <c r="FD240" s="386">
        <f t="shared" ca="1" si="1131"/>
        <v>-136519.80154125288</v>
      </c>
      <c r="FE240" s="386">
        <f t="shared" ca="1" si="1131"/>
        <v>-282437.29328717594</v>
      </c>
      <c r="FF240" s="386">
        <f t="shared" ca="1" si="1131"/>
        <v>-304634.34859430767</v>
      </c>
      <c r="FG240" s="386">
        <f t="shared" ca="1" si="1131"/>
        <v>0</v>
      </c>
      <c r="FH240" s="386">
        <f t="shared" ca="1" si="1131"/>
        <v>0</v>
      </c>
      <c r="FI240" s="386">
        <f t="shared" ca="1" si="1131"/>
        <v>0</v>
      </c>
      <c r="FJ240" s="386">
        <f t="shared" ca="1" si="1131"/>
        <v>0</v>
      </c>
      <c r="FK240" s="386">
        <f t="shared" ca="1" si="1131"/>
        <v>0</v>
      </c>
      <c r="FL240" s="386">
        <f t="shared" ca="1" si="1131"/>
        <v>0</v>
      </c>
      <c r="FM240" s="386">
        <f t="shared" ca="1" si="1131"/>
        <v>854.48499999999933</v>
      </c>
      <c r="FN240" s="386">
        <f t="shared" ca="1" si="1131"/>
        <v>10928.922499999999</v>
      </c>
      <c r="FO240" s="386">
        <f t="shared" ca="1" si="1131"/>
        <v>19657.158961798061</v>
      </c>
      <c r="FP240" s="386">
        <f t="shared" ca="1" si="1131"/>
        <v>3290.2921752666171</v>
      </c>
      <c r="FQ240" s="386">
        <f t="shared" ca="1" si="1131"/>
        <v>3290.2921752666171</v>
      </c>
      <c r="FR240" s="386">
        <f t="shared" ca="1" si="1131"/>
        <v>3290.2921752666171</v>
      </c>
      <c r="FS240" s="386">
        <f t="shared" ca="1" si="1131"/>
        <v>3290.2921752666171</v>
      </c>
      <c r="FT240" s="386">
        <f t="shared" ca="1" si="1131"/>
        <v>3290.2921752666171</v>
      </c>
      <c r="FU240" s="386">
        <f t="shared" ca="1" si="1131"/>
        <v>3290.2921752666171</v>
      </c>
      <c r="FV240" s="386">
        <f t="shared" ca="1" si="1131"/>
        <v>3290.2921752666171</v>
      </c>
      <c r="FW240" s="386">
        <f t="shared" ca="1" si="1131"/>
        <v>3290.2921752666171</v>
      </c>
      <c r="FX240" s="386">
        <f t="shared" ca="1" si="1131"/>
        <v>3290.2921752666171</v>
      </c>
      <c r="FY240" s="386">
        <f t="shared" ca="1" si="1131"/>
        <v>2322.2629752666126</v>
      </c>
      <c r="FZ240" s="386">
        <f t="shared" ca="1" si="1131"/>
        <v>2630.9179752666187</v>
      </c>
      <c r="GA240" s="386">
        <f t="shared" ca="1" si="1131"/>
        <v>2939.5729752666175</v>
      </c>
      <c r="GB240" s="386">
        <f t="shared" ca="1" si="1131"/>
        <v>2939.5729752666175</v>
      </c>
      <c r="GC240" s="386">
        <f t="shared" ca="1" si="1131"/>
        <v>2939.5729752666175</v>
      </c>
      <c r="GD240" s="386">
        <f t="shared" ca="1" si="1131"/>
        <v>2939.5729752666175</v>
      </c>
      <c r="GE240" s="386">
        <f t="shared" ca="1" si="1131"/>
        <v>2939.5729752666175</v>
      </c>
      <c r="GF240" s="386">
        <f t="shared" ca="1" si="1131"/>
        <v>2939.5729752666175</v>
      </c>
      <c r="GG240" s="386">
        <f t="shared" ref="GG240:HL240" ca="1" si="1132">IF(AW248="",0,AW248-GG214)</f>
        <v>2939.5729752666175</v>
      </c>
      <c r="GH240" s="386">
        <f t="shared" ca="1" si="1132"/>
        <v>2939.5729752666175</v>
      </c>
      <c r="GI240" s="386">
        <f t="shared" ca="1" si="1132"/>
        <v>2939.5729752666175</v>
      </c>
      <c r="GJ240" s="386">
        <f t="shared" ca="1" si="1132"/>
        <v>2939.5729752666175</v>
      </c>
      <c r="GK240" s="386">
        <f t="shared" ca="1" si="1132"/>
        <v>1827482.1425559032</v>
      </c>
      <c r="GL240" s="386">
        <f t="shared" si="1132"/>
        <v>0</v>
      </c>
      <c r="GM240" s="386">
        <f t="shared" si="1132"/>
        <v>0</v>
      </c>
      <c r="GN240" s="386">
        <f t="shared" si="1132"/>
        <v>0</v>
      </c>
      <c r="GO240" s="386">
        <f t="shared" si="1132"/>
        <v>0</v>
      </c>
      <c r="GP240" s="386">
        <f t="shared" si="1132"/>
        <v>0</v>
      </c>
      <c r="GQ240" s="386">
        <f t="shared" si="1132"/>
        <v>0</v>
      </c>
      <c r="GR240" s="386">
        <f t="shared" si="1132"/>
        <v>0</v>
      </c>
      <c r="GS240" s="386">
        <f t="shared" si="1132"/>
        <v>0</v>
      </c>
      <c r="GT240" s="386">
        <f t="shared" si="1132"/>
        <v>0</v>
      </c>
      <c r="GU240" s="386">
        <f t="shared" si="1132"/>
        <v>0</v>
      </c>
      <c r="GV240" s="386">
        <f t="shared" si="1132"/>
        <v>0</v>
      </c>
      <c r="GW240" s="386">
        <f t="shared" si="1132"/>
        <v>0</v>
      </c>
      <c r="GX240" s="386">
        <f t="shared" si="1132"/>
        <v>0</v>
      </c>
      <c r="GY240" s="386">
        <f t="shared" si="1132"/>
        <v>0</v>
      </c>
      <c r="GZ240" s="386">
        <f t="shared" si="1132"/>
        <v>0</v>
      </c>
      <c r="HA240" s="386">
        <f t="shared" si="1132"/>
        <v>0</v>
      </c>
      <c r="HB240" s="386">
        <f t="shared" si="1132"/>
        <v>0</v>
      </c>
      <c r="HC240" s="386">
        <f t="shared" si="1132"/>
        <v>0</v>
      </c>
      <c r="HD240" s="386">
        <f t="shared" si="1132"/>
        <v>0</v>
      </c>
      <c r="HE240" s="386">
        <f t="shared" si="1132"/>
        <v>0</v>
      </c>
      <c r="HF240" s="386">
        <f t="shared" si="1132"/>
        <v>0</v>
      </c>
      <c r="HG240" s="386">
        <f t="shared" si="1132"/>
        <v>0</v>
      </c>
      <c r="HH240" s="386">
        <f t="shared" si="1132"/>
        <v>0</v>
      </c>
      <c r="HI240" s="386">
        <f t="shared" si="1132"/>
        <v>0</v>
      </c>
      <c r="HJ240" s="386">
        <f t="shared" si="1132"/>
        <v>0</v>
      </c>
      <c r="HK240" s="386">
        <f t="shared" si="1132"/>
        <v>0</v>
      </c>
      <c r="HL240" s="386">
        <f t="shared" si="1132"/>
        <v>0</v>
      </c>
      <c r="HM240" s="386">
        <f t="shared" ref="HM240:IR240" si="1133">IF(CC248="",0,CC248-HM214)</f>
        <v>0</v>
      </c>
      <c r="HN240" s="386">
        <f t="shared" si="1133"/>
        <v>0</v>
      </c>
      <c r="HO240" s="386">
        <f t="shared" si="1133"/>
        <v>0</v>
      </c>
      <c r="HP240" s="386">
        <f t="shared" si="1133"/>
        <v>0</v>
      </c>
      <c r="HQ240" s="386">
        <f t="shared" si="1133"/>
        <v>0</v>
      </c>
      <c r="HR240" s="386">
        <f t="shared" si="1133"/>
        <v>0</v>
      </c>
      <c r="HS240" s="386">
        <f t="shared" si="1133"/>
        <v>0</v>
      </c>
      <c r="HT240" s="386">
        <f t="shared" si="1133"/>
        <v>0</v>
      </c>
      <c r="HU240" s="386">
        <f t="shared" si="1133"/>
        <v>0</v>
      </c>
      <c r="HV240" s="386">
        <f t="shared" si="1133"/>
        <v>0</v>
      </c>
      <c r="HW240" s="386">
        <f t="shared" si="1133"/>
        <v>0</v>
      </c>
      <c r="HX240" s="386">
        <f t="shared" si="1133"/>
        <v>0</v>
      </c>
      <c r="HY240" s="386">
        <f t="shared" si="1133"/>
        <v>0</v>
      </c>
      <c r="HZ240" s="386">
        <f t="shared" si="1133"/>
        <v>0</v>
      </c>
      <c r="IA240" s="386">
        <f t="shared" si="1133"/>
        <v>0</v>
      </c>
      <c r="IB240" s="386">
        <f t="shared" si="1133"/>
        <v>0</v>
      </c>
      <c r="IC240" s="386">
        <f t="shared" si="1133"/>
        <v>0</v>
      </c>
      <c r="ID240" s="386">
        <f t="shared" si="1133"/>
        <v>0</v>
      </c>
      <c r="IE240" s="386">
        <f t="shared" si="1133"/>
        <v>0</v>
      </c>
      <c r="IF240" s="386">
        <f t="shared" si="1133"/>
        <v>0</v>
      </c>
      <c r="IG240" s="386">
        <f t="shared" si="1133"/>
        <v>0</v>
      </c>
      <c r="IH240" s="386">
        <f t="shared" si="1133"/>
        <v>0</v>
      </c>
      <c r="II240" s="386">
        <f t="shared" si="1133"/>
        <v>0</v>
      </c>
      <c r="IJ240" s="386">
        <f t="shared" si="1133"/>
        <v>0</v>
      </c>
      <c r="IK240" s="386">
        <f t="shared" si="1133"/>
        <v>0</v>
      </c>
      <c r="IL240" s="386">
        <f t="shared" si="1133"/>
        <v>0</v>
      </c>
      <c r="IM240" s="386">
        <f t="shared" si="1133"/>
        <v>0</v>
      </c>
      <c r="IN240" s="386">
        <f t="shared" si="1133"/>
        <v>0</v>
      </c>
      <c r="IO240" s="386">
        <f t="shared" si="1133"/>
        <v>0</v>
      </c>
      <c r="IP240" s="386">
        <f t="shared" si="1133"/>
        <v>0</v>
      </c>
      <c r="IQ240" s="386">
        <f t="shared" si="1133"/>
        <v>0</v>
      </c>
      <c r="IR240" s="386">
        <f t="shared" si="1133"/>
        <v>0</v>
      </c>
      <c r="IS240" s="386">
        <f t="shared" ref="IS240:JX240" si="1134">IF(DI248="",0,DI248-IS214)</f>
        <v>0</v>
      </c>
      <c r="IT240" s="386">
        <f t="shared" si="1134"/>
        <v>0</v>
      </c>
      <c r="IU240" s="386">
        <f t="shared" si="1134"/>
        <v>0</v>
      </c>
      <c r="IV240" s="386">
        <f t="shared" si="1134"/>
        <v>0</v>
      </c>
      <c r="IW240" s="386">
        <f t="shared" si="1134"/>
        <v>0</v>
      </c>
      <c r="IX240" s="386">
        <f t="shared" si="1134"/>
        <v>0</v>
      </c>
      <c r="IY240" s="386">
        <f t="shared" si="1134"/>
        <v>0</v>
      </c>
      <c r="IZ240" s="386">
        <f t="shared" si="1134"/>
        <v>0</v>
      </c>
      <c r="JA240" s="386">
        <f t="shared" si="1134"/>
        <v>0</v>
      </c>
      <c r="JB240" s="386">
        <f t="shared" si="1134"/>
        <v>0</v>
      </c>
      <c r="JC240" s="386">
        <f t="shared" si="1134"/>
        <v>0</v>
      </c>
      <c r="JD240" s="386">
        <f t="shared" si="1134"/>
        <v>0</v>
      </c>
      <c r="JE240" s="386">
        <f t="shared" si="1134"/>
        <v>0</v>
      </c>
      <c r="JF240" s="386">
        <f t="shared" si="1134"/>
        <v>0</v>
      </c>
      <c r="JG240" s="386">
        <f t="shared" si="1134"/>
        <v>0</v>
      </c>
      <c r="JH240" s="386">
        <f t="shared" si="1134"/>
        <v>0</v>
      </c>
      <c r="JI240" s="386">
        <f t="shared" si="1134"/>
        <v>0</v>
      </c>
      <c r="JJ240" s="386">
        <f t="shared" si="1134"/>
        <v>0</v>
      </c>
      <c r="JK240" s="386">
        <f t="shared" si="1134"/>
        <v>0</v>
      </c>
      <c r="JL240" s="386">
        <f t="shared" si="1134"/>
        <v>0</v>
      </c>
      <c r="JM240" s="386">
        <f t="shared" si="1134"/>
        <v>0</v>
      </c>
      <c r="JN240" s="386">
        <f t="shared" si="1134"/>
        <v>0</v>
      </c>
      <c r="JO240" s="386">
        <f t="shared" si="1134"/>
        <v>0</v>
      </c>
      <c r="JP240" s="386">
        <f t="shared" si="1134"/>
        <v>0</v>
      </c>
      <c r="JQ240" s="386">
        <f t="shared" si="1134"/>
        <v>0</v>
      </c>
      <c r="JR240" s="386">
        <f t="shared" si="1134"/>
        <v>0</v>
      </c>
      <c r="JS240" s="386">
        <f t="shared" si="1134"/>
        <v>0</v>
      </c>
      <c r="JT240" s="386">
        <f t="shared" si="1134"/>
        <v>0</v>
      </c>
      <c r="JU240" s="386">
        <f t="shared" si="1134"/>
        <v>0</v>
      </c>
      <c r="JV240" s="386">
        <f t="shared" si="1134"/>
        <v>0</v>
      </c>
      <c r="JW240" s="386">
        <f t="shared" si="1134"/>
        <v>0</v>
      </c>
      <c r="JX240" s="386">
        <f t="shared" si="1134"/>
        <v>0</v>
      </c>
      <c r="JY240" s="386">
        <f>IF(EO248="",0,EO248-JY214)</f>
        <v>0</v>
      </c>
      <c r="JZ240" s="386">
        <f>IF(EP248="",0,EP248-JZ214)</f>
        <v>0</v>
      </c>
      <c r="KA240" s="386">
        <f>IF(EQ248="",0,EQ248-KA214)</f>
        <v>0</v>
      </c>
      <c r="KB240" s="386">
        <f>IF(ER248="",0,ER248-KB214)</f>
        <v>0</v>
      </c>
      <c r="KC240" s="386">
        <f>IF(ES248="",0,ES248-KC214)</f>
        <v>0</v>
      </c>
    </row>
    <row r="241" spans="2:289" ht="5.0999999999999996" customHeight="1" x14ac:dyDescent="0.25">
      <c r="B241" s="180"/>
      <c r="C241" s="181"/>
      <c r="D241" s="181"/>
      <c r="E241" s="181"/>
      <c r="F241" s="181"/>
      <c r="G241" s="181"/>
      <c r="H241" s="181"/>
      <c r="I241" s="181"/>
      <c r="EU241" s="387" t="s">
        <v>371</v>
      </c>
      <c r="EV241" s="202"/>
      <c r="EW241" s="202"/>
      <c r="EX241" s="202"/>
      <c r="EY241" s="202"/>
      <c r="EZ241" s="154"/>
      <c r="FA241" s="202"/>
      <c r="FB241" s="202"/>
      <c r="FC241" s="202"/>
      <c r="FD241" s="202"/>
      <c r="FE241" s="202"/>
      <c r="FF241" s="202"/>
      <c r="FG241" s="202"/>
      <c r="FH241" s="202"/>
      <c r="FI241" s="202"/>
      <c r="FJ241" s="202"/>
      <c r="FK241" s="202"/>
      <c r="FL241" s="202"/>
      <c r="FM241" s="202"/>
      <c r="FN241" s="202"/>
      <c r="FO241" s="202"/>
      <c r="FP241" s="202"/>
      <c r="FQ241" s="202"/>
      <c r="FR241" s="202"/>
      <c r="FS241" s="202"/>
      <c r="FT241" s="202"/>
      <c r="FU241" s="202"/>
      <c r="FV241" s="202"/>
      <c r="FW241" s="202"/>
      <c r="FX241" s="202"/>
      <c r="FY241" s="202"/>
      <c r="FZ241" s="202"/>
      <c r="GA241" s="202"/>
      <c r="GB241" s="202"/>
      <c r="GC241" s="202"/>
      <c r="GD241" s="202"/>
      <c r="GE241" s="202"/>
      <c r="GF241" s="202"/>
      <c r="GG241" s="202"/>
      <c r="GH241" s="202"/>
      <c r="GI241" s="202"/>
      <c r="GJ241" s="202"/>
      <c r="GK241" s="202"/>
      <c r="GL241" s="202"/>
      <c r="GM241" s="202"/>
      <c r="GN241" s="202"/>
      <c r="GO241" s="202"/>
      <c r="GP241" s="202"/>
      <c r="GQ241" s="202"/>
      <c r="GR241" s="202"/>
      <c r="GS241" s="202"/>
      <c r="GT241" s="202"/>
      <c r="GU241" s="202"/>
      <c r="GV241" s="202"/>
      <c r="GW241" s="202"/>
      <c r="GX241" s="202"/>
      <c r="GY241" s="202"/>
      <c r="GZ241" s="202"/>
      <c r="HA241" s="202"/>
      <c r="HB241" s="202"/>
      <c r="HC241" s="202"/>
      <c r="HD241" s="202"/>
      <c r="HE241" s="202"/>
      <c r="HF241" s="202"/>
      <c r="HG241" s="202"/>
      <c r="HH241" s="202"/>
      <c r="HI241" s="202"/>
      <c r="HJ241" s="202"/>
      <c r="HK241" s="202"/>
      <c r="HL241" s="202"/>
      <c r="HM241" s="202"/>
      <c r="HN241" s="202"/>
      <c r="HO241" s="202"/>
      <c r="HP241" s="202"/>
      <c r="HQ241" s="202"/>
      <c r="HR241" s="202"/>
      <c r="HS241" s="202"/>
      <c r="HT241" s="202"/>
      <c r="HU241" s="202"/>
      <c r="HV241" s="202"/>
      <c r="HW241" s="202"/>
      <c r="HX241" s="202"/>
      <c r="HY241" s="202"/>
      <c r="HZ241" s="202"/>
      <c r="IA241" s="202"/>
      <c r="IB241" s="202"/>
      <c r="IC241" s="202"/>
      <c r="ID241" s="202"/>
      <c r="IE241" s="202"/>
      <c r="IF241" s="202"/>
      <c r="IG241" s="202"/>
      <c r="IH241" s="202"/>
      <c r="II241" s="202"/>
      <c r="IJ241" s="202"/>
      <c r="IK241" s="202"/>
      <c r="IL241" s="202"/>
      <c r="IM241" s="202"/>
      <c r="IN241" s="202"/>
      <c r="IO241" s="202"/>
      <c r="IP241" s="202"/>
      <c r="IQ241" s="202"/>
      <c r="IR241" s="202"/>
      <c r="IS241" s="202"/>
      <c r="IT241" s="202"/>
      <c r="IU241" s="202"/>
      <c r="IV241" s="202"/>
      <c r="IW241" s="202"/>
      <c r="IX241" s="202"/>
      <c r="IY241" s="202"/>
      <c r="IZ241" s="202"/>
      <c r="JA241" s="202"/>
      <c r="JB241" s="202"/>
      <c r="JC241" s="202"/>
      <c r="JD241" s="202"/>
      <c r="JE241" s="202"/>
      <c r="JF241" s="202"/>
      <c r="JG241" s="202"/>
      <c r="JH241" s="202"/>
      <c r="JI241" s="202"/>
      <c r="JJ241" s="202"/>
      <c r="JK241" s="202"/>
      <c r="JL241" s="202"/>
      <c r="JM241" s="202"/>
      <c r="JN241" s="202"/>
      <c r="JO241" s="202"/>
      <c r="JP241" s="202"/>
      <c r="JQ241" s="202"/>
      <c r="JR241" s="202"/>
      <c r="JS241" s="202"/>
      <c r="JT241" s="202"/>
      <c r="JU241" s="202"/>
      <c r="JV241" s="202"/>
      <c r="JW241" s="202"/>
      <c r="JX241" s="202"/>
      <c r="JY241" s="202"/>
      <c r="JZ241" s="202"/>
      <c r="KA241" s="202"/>
      <c r="KB241" s="202"/>
      <c r="KC241" s="202"/>
    </row>
    <row r="242" spans="2:289" x14ac:dyDescent="0.25">
      <c r="B242" s="209" t="s">
        <v>332</v>
      </c>
      <c r="C242" s="181"/>
      <c r="D242" s="181"/>
      <c r="E242" s="181"/>
      <c r="F242" s="181"/>
      <c r="G242" s="181"/>
      <c r="H242" s="210" t="s">
        <v>191</v>
      </c>
      <c r="I242" s="210" t="s">
        <v>44</v>
      </c>
      <c r="EU242" s="202" t="s">
        <v>350</v>
      </c>
      <c r="EV242" s="153"/>
      <c r="EW242" s="153"/>
      <c r="EX242" s="153"/>
      <c r="EY242" s="154" t="s">
        <v>375</v>
      </c>
      <c r="EZ242" s="154"/>
      <c r="FA242" s="388">
        <f t="shared" ref="FA242:GF242" si="1135">(FA$201&lt;=Timing_Reversion_Month)*EZ246</f>
        <v>0</v>
      </c>
      <c r="FB242" s="388">
        <f t="shared" ca="1" si="1135"/>
        <v>740252.57142857148</v>
      </c>
      <c r="FC242" s="388">
        <f t="shared" ca="1" si="1135"/>
        <v>760744.62848544412</v>
      </c>
      <c r="FD242" s="388">
        <f t="shared" ca="1" si="1135"/>
        <v>813481.99194264738</v>
      </c>
      <c r="FE242" s="388">
        <f t="shared" ca="1" si="1135"/>
        <v>942212.84105756064</v>
      </c>
      <c r="FF242" s="388">
        <f t="shared" ca="1" si="1135"/>
        <v>1203197.2375941365</v>
      </c>
      <c r="FG242" s="388">
        <f t="shared" ca="1" si="1135"/>
        <v>1486039.9828334367</v>
      </c>
      <c r="FH242" s="388">
        <f t="shared" ca="1" si="1135"/>
        <v>1496750.3534504236</v>
      </c>
      <c r="FI242" s="388">
        <f t="shared" ca="1" si="1135"/>
        <v>1507537.9171712827</v>
      </c>
      <c r="FJ242" s="388">
        <f t="shared" ca="1" si="1135"/>
        <v>1518403.2303516716</v>
      </c>
      <c r="FK242" s="388">
        <f t="shared" ca="1" si="1135"/>
        <v>1529346.8533570825</v>
      </c>
      <c r="FL242" s="388">
        <f t="shared" ca="1" si="1135"/>
        <v>1540369.3505917434</v>
      </c>
      <c r="FM242" s="388">
        <f t="shared" ca="1" si="1135"/>
        <v>1551471.2905277256</v>
      </c>
      <c r="FN242" s="388">
        <f t="shared" ca="1" si="1135"/>
        <v>1561884.2092342628</v>
      </c>
      <c r="FO242" s="388">
        <f t="shared" ca="1" si="1135"/>
        <v>1563305.1834625825</v>
      </c>
      <c r="FP242" s="388">
        <f t="shared" ca="1" si="1135"/>
        <v>1556880.9862959716</v>
      </c>
      <c r="FQ242" s="388">
        <f t="shared" ca="1" si="1135"/>
        <v>1565140.6679712126</v>
      </c>
      <c r="FR242" s="388">
        <f t="shared" ca="1" si="1135"/>
        <v>1573459.8798427754</v>
      </c>
      <c r="FS242" s="388">
        <f t="shared" ca="1" si="1135"/>
        <v>1581839.0509640321</v>
      </c>
      <c r="FT242" s="388">
        <f t="shared" ca="1" si="1135"/>
        <v>1590278.6134806809</v>
      </c>
      <c r="FU242" s="388">
        <f t="shared" ca="1" si="1135"/>
        <v>1598779.0026530339</v>
      </c>
      <c r="FV242" s="388">
        <f t="shared" ca="1" si="1135"/>
        <v>1607340.6568784651</v>
      </c>
      <c r="FW242" s="388">
        <f t="shared" ca="1" si="1135"/>
        <v>1615964.0177140199</v>
      </c>
      <c r="FX242" s="388">
        <f t="shared" ca="1" si="1135"/>
        <v>1624649.5298991883</v>
      </c>
      <c r="FY242" s="388">
        <f t="shared" ca="1" si="1135"/>
        <v>1633397.6413788414</v>
      </c>
      <c r="FZ242" s="388">
        <f t="shared" ca="1" si="1135"/>
        <v>1643080.0296063337</v>
      </c>
      <c r="GA242" s="388">
        <f t="shared" ca="1" si="1135"/>
        <v>1652554.4124362541</v>
      </c>
      <c r="GB242" s="388">
        <f t="shared" ca="1" si="1135"/>
        <v>1661819.2907064506</v>
      </c>
      <c r="GC242" s="388">
        <f t="shared" ca="1" si="1135"/>
        <v>1671150.9439498249</v>
      </c>
      <c r="GD242" s="388">
        <f t="shared" ca="1" si="1135"/>
        <v>1680549.8534351983</v>
      </c>
      <c r="GE242" s="388">
        <f t="shared" ca="1" si="1135"/>
        <v>1690016.503900052</v>
      </c>
      <c r="GF242" s="388">
        <f t="shared" ca="1" si="1135"/>
        <v>1699551.3835755268</v>
      </c>
      <c r="GG242" s="388">
        <f t="shared" ref="GG242:HL242" ca="1" si="1136">(GG$201&lt;=Timing_Reversion_Month)*GF246</f>
        <v>1709154.9842116032</v>
      </c>
      <c r="GH242" s="388">
        <f t="shared" ca="1" si="1136"/>
        <v>1718827.8011024627</v>
      </c>
      <c r="GI242" s="388">
        <f t="shared" ca="1" si="1136"/>
        <v>1728570.3331120326</v>
      </c>
      <c r="GJ242" s="388">
        <f t="shared" ca="1" si="1136"/>
        <v>1738383.0826997133</v>
      </c>
      <c r="GK242" s="388">
        <f t="shared" ca="1" si="1136"/>
        <v>1748266.5559462926</v>
      </c>
      <c r="GL242" s="388">
        <f t="shared" ca="1" si="1136"/>
        <v>0</v>
      </c>
      <c r="GM242" s="388">
        <f t="shared" ca="1" si="1136"/>
        <v>0</v>
      </c>
      <c r="GN242" s="388">
        <f t="shared" ca="1" si="1136"/>
        <v>0</v>
      </c>
      <c r="GO242" s="388">
        <f t="shared" ca="1" si="1136"/>
        <v>0</v>
      </c>
      <c r="GP242" s="388">
        <f t="shared" ca="1" si="1136"/>
        <v>0</v>
      </c>
      <c r="GQ242" s="388">
        <f t="shared" ca="1" si="1136"/>
        <v>0</v>
      </c>
      <c r="GR242" s="388">
        <f t="shared" ca="1" si="1136"/>
        <v>0</v>
      </c>
      <c r="GS242" s="388">
        <f t="shared" ca="1" si="1136"/>
        <v>0</v>
      </c>
      <c r="GT242" s="388">
        <f t="shared" ca="1" si="1136"/>
        <v>0</v>
      </c>
      <c r="GU242" s="388">
        <f t="shared" ca="1" si="1136"/>
        <v>0</v>
      </c>
      <c r="GV242" s="388">
        <f t="shared" ca="1" si="1136"/>
        <v>0</v>
      </c>
      <c r="GW242" s="388">
        <f t="shared" ca="1" si="1136"/>
        <v>0</v>
      </c>
      <c r="GX242" s="388">
        <f t="shared" ca="1" si="1136"/>
        <v>0</v>
      </c>
      <c r="GY242" s="388">
        <f t="shared" ca="1" si="1136"/>
        <v>0</v>
      </c>
      <c r="GZ242" s="388">
        <f t="shared" ca="1" si="1136"/>
        <v>0</v>
      </c>
      <c r="HA242" s="388">
        <f t="shared" ca="1" si="1136"/>
        <v>0</v>
      </c>
      <c r="HB242" s="388">
        <f t="shared" ca="1" si="1136"/>
        <v>0</v>
      </c>
      <c r="HC242" s="388">
        <f t="shared" ca="1" si="1136"/>
        <v>0</v>
      </c>
      <c r="HD242" s="388">
        <f t="shared" ca="1" si="1136"/>
        <v>0</v>
      </c>
      <c r="HE242" s="388">
        <f t="shared" ca="1" si="1136"/>
        <v>0</v>
      </c>
      <c r="HF242" s="388">
        <f t="shared" ca="1" si="1136"/>
        <v>0</v>
      </c>
      <c r="HG242" s="388">
        <f t="shared" ca="1" si="1136"/>
        <v>0</v>
      </c>
      <c r="HH242" s="388">
        <f t="shared" ca="1" si="1136"/>
        <v>0</v>
      </c>
      <c r="HI242" s="388">
        <f t="shared" ca="1" si="1136"/>
        <v>0</v>
      </c>
      <c r="HJ242" s="388">
        <f t="shared" ca="1" si="1136"/>
        <v>0</v>
      </c>
      <c r="HK242" s="388">
        <f t="shared" ca="1" si="1136"/>
        <v>0</v>
      </c>
      <c r="HL242" s="388">
        <f t="shared" ca="1" si="1136"/>
        <v>0</v>
      </c>
      <c r="HM242" s="388">
        <f t="shared" ref="HM242:IR242" ca="1" si="1137">(HM$201&lt;=Timing_Reversion_Month)*HL246</f>
        <v>0</v>
      </c>
      <c r="HN242" s="388">
        <f t="shared" ca="1" si="1137"/>
        <v>0</v>
      </c>
      <c r="HO242" s="388">
        <f t="shared" ca="1" si="1137"/>
        <v>0</v>
      </c>
      <c r="HP242" s="388">
        <f t="shared" ca="1" si="1137"/>
        <v>0</v>
      </c>
      <c r="HQ242" s="388">
        <f t="shared" ca="1" si="1137"/>
        <v>0</v>
      </c>
      <c r="HR242" s="388">
        <f t="shared" ca="1" si="1137"/>
        <v>0</v>
      </c>
      <c r="HS242" s="388">
        <f t="shared" ca="1" si="1137"/>
        <v>0</v>
      </c>
      <c r="HT242" s="388">
        <f t="shared" ca="1" si="1137"/>
        <v>0</v>
      </c>
      <c r="HU242" s="388">
        <f t="shared" ca="1" si="1137"/>
        <v>0</v>
      </c>
      <c r="HV242" s="388">
        <f t="shared" ca="1" si="1137"/>
        <v>0</v>
      </c>
      <c r="HW242" s="388">
        <f t="shared" ca="1" si="1137"/>
        <v>0</v>
      </c>
      <c r="HX242" s="388">
        <f t="shared" ca="1" si="1137"/>
        <v>0</v>
      </c>
      <c r="HY242" s="388">
        <f t="shared" ca="1" si="1137"/>
        <v>0</v>
      </c>
      <c r="HZ242" s="388">
        <f t="shared" ca="1" si="1137"/>
        <v>0</v>
      </c>
      <c r="IA242" s="388">
        <f t="shared" ca="1" si="1137"/>
        <v>0</v>
      </c>
      <c r="IB242" s="388">
        <f t="shared" ca="1" si="1137"/>
        <v>0</v>
      </c>
      <c r="IC242" s="388">
        <f t="shared" ca="1" si="1137"/>
        <v>0</v>
      </c>
      <c r="ID242" s="388">
        <f t="shared" ca="1" si="1137"/>
        <v>0</v>
      </c>
      <c r="IE242" s="388">
        <f t="shared" ca="1" si="1137"/>
        <v>0</v>
      </c>
      <c r="IF242" s="388">
        <f t="shared" ca="1" si="1137"/>
        <v>0</v>
      </c>
      <c r="IG242" s="388">
        <f t="shared" ca="1" si="1137"/>
        <v>0</v>
      </c>
      <c r="IH242" s="388">
        <f t="shared" ca="1" si="1137"/>
        <v>0</v>
      </c>
      <c r="II242" s="388">
        <f t="shared" ca="1" si="1137"/>
        <v>0</v>
      </c>
      <c r="IJ242" s="388">
        <f t="shared" ca="1" si="1137"/>
        <v>0</v>
      </c>
      <c r="IK242" s="388">
        <f t="shared" ca="1" si="1137"/>
        <v>0</v>
      </c>
      <c r="IL242" s="388">
        <f t="shared" ca="1" si="1137"/>
        <v>0</v>
      </c>
      <c r="IM242" s="388">
        <f t="shared" ca="1" si="1137"/>
        <v>0</v>
      </c>
      <c r="IN242" s="388">
        <f t="shared" ca="1" si="1137"/>
        <v>0</v>
      </c>
      <c r="IO242" s="388">
        <f t="shared" ca="1" si="1137"/>
        <v>0</v>
      </c>
      <c r="IP242" s="388">
        <f t="shared" ca="1" si="1137"/>
        <v>0</v>
      </c>
      <c r="IQ242" s="388">
        <f t="shared" ca="1" si="1137"/>
        <v>0</v>
      </c>
      <c r="IR242" s="388">
        <f t="shared" ca="1" si="1137"/>
        <v>0</v>
      </c>
      <c r="IS242" s="388">
        <f t="shared" ref="IS242:KC242" ca="1" si="1138">(IS$201&lt;=Timing_Reversion_Month)*IR246</f>
        <v>0</v>
      </c>
      <c r="IT242" s="388">
        <f t="shared" ca="1" si="1138"/>
        <v>0</v>
      </c>
      <c r="IU242" s="388">
        <f t="shared" ca="1" si="1138"/>
        <v>0</v>
      </c>
      <c r="IV242" s="388">
        <f t="shared" ca="1" si="1138"/>
        <v>0</v>
      </c>
      <c r="IW242" s="388">
        <f t="shared" ca="1" si="1138"/>
        <v>0</v>
      </c>
      <c r="IX242" s="388">
        <f t="shared" ca="1" si="1138"/>
        <v>0</v>
      </c>
      <c r="IY242" s="388">
        <f t="shared" ca="1" si="1138"/>
        <v>0</v>
      </c>
      <c r="IZ242" s="388">
        <f t="shared" ca="1" si="1138"/>
        <v>0</v>
      </c>
      <c r="JA242" s="388">
        <f t="shared" ca="1" si="1138"/>
        <v>0</v>
      </c>
      <c r="JB242" s="388">
        <f t="shared" ca="1" si="1138"/>
        <v>0</v>
      </c>
      <c r="JC242" s="388">
        <f t="shared" ca="1" si="1138"/>
        <v>0</v>
      </c>
      <c r="JD242" s="388">
        <f t="shared" ca="1" si="1138"/>
        <v>0</v>
      </c>
      <c r="JE242" s="388">
        <f t="shared" ca="1" si="1138"/>
        <v>0</v>
      </c>
      <c r="JF242" s="388">
        <f t="shared" ca="1" si="1138"/>
        <v>0</v>
      </c>
      <c r="JG242" s="388">
        <f t="shared" ca="1" si="1138"/>
        <v>0</v>
      </c>
      <c r="JH242" s="388">
        <f t="shared" ca="1" si="1138"/>
        <v>0</v>
      </c>
      <c r="JI242" s="388">
        <f t="shared" ca="1" si="1138"/>
        <v>0</v>
      </c>
      <c r="JJ242" s="388">
        <f t="shared" ca="1" si="1138"/>
        <v>0</v>
      </c>
      <c r="JK242" s="388">
        <f t="shared" ca="1" si="1138"/>
        <v>0</v>
      </c>
      <c r="JL242" s="388">
        <f t="shared" ca="1" si="1138"/>
        <v>0</v>
      </c>
      <c r="JM242" s="388">
        <f t="shared" ca="1" si="1138"/>
        <v>0</v>
      </c>
      <c r="JN242" s="388">
        <f t="shared" ca="1" si="1138"/>
        <v>0</v>
      </c>
      <c r="JO242" s="388">
        <f t="shared" ca="1" si="1138"/>
        <v>0</v>
      </c>
      <c r="JP242" s="388">
        <f t="shared" ca="1" si="1138"/>
        <v>0</v>
      </c>
      <c r="JQ242" s="388">
        <f t="shared" ca="1" si="1138"/>
        <v>0</v>
      </c>
      <c r="JR242" s="388">
        <f t="shared" ca="1" si="1138"/>
        <v>0</v>
      </c>
      <c r="JS242" s="388">
        <f t="shared" ca="1" si="1138"/>
        <v>0</v>
      </c>
      <c r="JT242" s="388">
        <f t="shared" ca="1" si="1138"/>
        <v>0</v>
      </c>
      <c r="JU242" s="388">
        <f t="shared" ca="1" si="1138"/>
        <v>0</v>
      </c>
      <c r="JV242" s="388">
        <f t="shared" ca="1" si="1138"/>
        <v>0</v>
      </c>
      <c r="JW242" s="388">
        <f t="shared" ca="1" si="1138"/>
        <v>0</v>
      </c>
      <c r="JX242" s="388">
        <f t="shared" ca="1" si="1138"/>
        <v>0</v>
      </c>
      <c r="JY242" s="388">
        <f t="shared" ca="1" si="1138"/>
        <v>0</v>
      </c>
      <c r="JZ242" s="388">
        <f t="shared" ca="1" si="1138"/>
        <v>0</v>
      </c>
      <c r="KA242" s="388">
        <f t="shared" ca="1" si="1138"/>
        <v>0</v>
      </c>
      <c r="KB242" s="388">
        <f t="shared" ca="1" si="1138"/>
        <v>0</v>
      </c>
      <c r="KC242" s="388">
        <f t="shared" ca="1" si="1138"/>
        <v>0</v>
      </c>
    </row>
    <row r="243" spans="2:289" x14ac:dyDescent="0.25">
      <c r="B243" s="180" t="s">
        <v>189</v>
      </c>
      <c r="C243" s="413" t="str">
        <f>C232</f>
        <v>OGM HOLDINGS</v>
      </c>
      <c r="D243" s="181"/>
      <c r="E243" s="181"/>
      <c r="F243" s="181"/>
      <c r="G243" s="335"/>
      <c r="H243" s="365">
        <f ca="1">I243/$I$245</f>
        <v>1</v>
      </c>
      <c r="I243" s="218">
        <f ca="1">SUM(Q243:ES243)</f>
        <v>1953846.8731769312</v>
      </c>
      <c r="Q243" s="220">
        <f t="shared" ref="Q243:AV243" ca="1" si="1139">IF(Q$231="","",FA211+FA214+FA224+FA234+FA238)</f>
        <v>0</v>
      </c>
      <c r="R243" s="220">
        <f t="shared" ca="1" si="1139"/>
        <v>0</v>
      </c>
      <c r="S243" s="220">
        <f t="shared" ca="1" si="1139"/>
        <v>0</v>
      </c>
      <c r="T243" s="220">
        <f t="shared" ca="1" si="1139"/>
        <v>0</v>
      </c>
      <c r="U243" s="220">
        <f t="shared" ca="1" si="1139"/>
        <v>0</v>
      </c>
      <c r="V243" s="220">
        <f t="shared" ca="1" si="1139"/>
        <v>0</v>
      </c>
      <c r="W243" s="220">
        <f t="shared" ca="1" si="1139"/>
        <v>0</v>
      </c>
      <c r="X243" s="220">
        <f t="shared" ca="1" si="1139"/>
        <v>0</v>
      </c>
      <c r="Y243" s="220">
        <f t="shared" ca="1" si="1139"/>
        <v>0</v>
      </c>
      <c r="Z243" s="220">
        <f t="shared" ca="1" si="1139"/>
        <v>0</v>
      </c>
      <c r="AA243" s="220">
        <f t="shared" ca="1" si="1139"/>
        <v>0</v>
      </c>
      <c r="AB243" s="220">
        <f t="shared" ca="1" si="1139"/>
        <v>0</v>
      </c>
      <c r="AC243" s="220">
        <f t="shared" ca="1" si="1139"/>
        <v>854.48499999999933</v>
      </c>
      <c r="AD243" s="220">
        <f t="shared" ca="1" si="1139"/>
        <v>10928.922499999999</v>
      </c>
      <c r="AE243" s="220">
        <f t="shared" ca="1" si="1139"/>
        <v>21003.359999999404</v>
      </c>
      <c r="AF243" s="220">
        <f t="shared" ca="1" si="1139"/>
        <v>4636.4932134679602</v>
      </c>
      <c r="AG243" s="220">
        <f t="shared" ca="1" si="1139"/>
        <v>4636.4932134679602</v>
      </c>
      <c r="AH243" s="220">
        <f t="shared" ca="1" si="1139"/>
        <v>4636.4932134679602</v>
      </c>
      <c r="AI243" s="220">
        <f t="shared" ca="1" si="1139"/>
        <v>4636.4932134679602</v>
      </c>
      <c r="AJ243" s="220">
        <f t="shared" ca="1" si="1139"/>
        <v>4636.4932134679602</v>
      </c>
      <c r="AK243" s="220">
        <f t="shared" ca="1" si="1139"/>
        <v>4636.4932134679602</v>
      </c>
      <c r="AL243" s="220">
        <f t="shared" ca="1" si="1139"/>
        <v>4636.4932134679602</v>
      </c>
      <c r="AM243" s="220">
        <f t="shared" ca="1" si="1139"/>
        <v>4636.4932134679602</v>
      </c>
      <c r="AN243" s="220">
        <f t="shared" ca="1" si="1139"/>
        <v>4636.4932134679602</v>
      </c>
      <c r="AO243" s="220">
        <f t="shared" ca="1" si="1139"/>
        <v>3668.4640134679557</v>
      </c>
      <c r="AP243" s="220">
        <f t="shared" ca="1" si="1139"/>
        <v>3977.1190134679618</v>
      </c>
      <c r="AQ243" s="220">
        <f t="shared" ca="1" si="1139"/>
        <v>4285.7740134679607</v>
      </c>
      <c r="AR243" s="220">
        <f t="shared" ca="1" si="1139"/>
        <v>4285.7740134679607</v>
      </c>
      <c r="AS243" s="220">
        <f t="shared" ca="1" si="1139"/>
        <v>4285.7740134679607</v>
      </c>
      <c r="AT243" s="220">
        <f t="shared" ca="1" si="1139"/>
        <v>4285.7740134679607</v>
      </c>
      <c r="AU243" s="220">
        <f t="shared" ca="1" si="1139"/>
        <v>4285.7740134679607</v>
      </c>
      <c r="AV243" s="220">
        <f t="shared" ca="1" si="1139"/>
        <v>4285.7740134679607</v>
      </c>
      <c r="AW243" s="220">
        <f t="shared" ref="AW243:CB243" ca="1" si="1140">IF(AW$231="","",GG211+GG214+GG224+GG234+GG238)</f>
        <v>4285.7740134679607</v>
      </c>
      <c r="AX243" s="220">
        <f t="shared" ca="1" si="1140"/>
        <v>4285.7740134679607</v>
      </c>
      <c r="AY243" s="220">
        <f t="shared" ca="1" si="1140"/>
        <v>4285.7740134679607</v>
      </c>
      <c r="AZ243" s="220">
        <f t="shared" ca="1" si="1140"/>
        <v>4285.7740134679607</v>
      </c>
      <c r="BA243" s="220">
        <f t="shared" ca="1" si="1140"/>
        <v>1828828.3435941045</v>
      </c>
      <c r="BB243" s="220" t="str">
        <f t="shared" si="1140"/>
        <v/>
      </c>
      <c r="BC243" s="220" t="str">
        <f t="shared" si="1140"/>
        <v/>
      </c>
      <c r="BD243" s="220" t="str">
        <f t="shared" si="1140"/>
        <v/>
      </c>
      <c r="BE243" s="220" t="str">
        <f t="shared" si="1140"/>
        <v/>
      </c>
      <c r="BF243" s="220" t="str">
        <f t="shared" si="1140"/>
        <v/>
      </c>
      <c r="BG243" s="220" t="str">
        <f t="shared" si="1140"/>
        <v/>
      </c>
      <c r="BH243" s="220" t="str">
        <f t="shared" si="1140"/>
        <v/>
      </c>
      <c r="BI243" s="220" t="str">
        <f t="shared" si="1140"/>
        <v/>
      </c>
      <c r="BJ243" s="220" t="str">
        <f t="shared" si="1140"/>
        <v/>
      </c>
      <c r="BK243" s="220" t="str">
        <f t="shared" si="1140"/>
        <v/>
      </c>
      <c r="BL243" s="220" t="str">
        <f t="shared" si="1140"/>
        <v/>
      </c>
      <c r="BM243" s="220" t="str">
        <f t="shared" si="1140"/>
        <v/>
      </c>
      <c r="BN243" s="220" t="str">
        <f t="shared" si="1140"/>
        <v/>
      </c>
      <c r="BO243" s="220" t="str">
        <f t="shared" si="1140"/>
        <v/>
      </c>
      <c r="BP243" s="220" t="str">
        <f t="shared" si="1140"/>
        <v/>
      </c>
      <c r="BQ243" s="220" t="str">
        <f t="shared" si="1140"/>
        <v/>
      </c>
      <c r="BR243" s="220" t="str">
        <f t="shared" si="1140"/>
        <v/>
      </c>
      <c r="BS243" s="220" t="str">
        <f t="shared" si="1140"/>
        <v/>
      </c>
      <c r="BT243" s="220" t="str">
        <f t="shared" si="1140"/>
        <v/>
      </c>
      <c r="BU243" s="220" t="str">
        <f t="shared" si="1140"/>
        <v/>
      </c>
      <c r="BV243" s="220" t="str">
        <f t="shared" si="1140"/>
        <v/>
      </c>
      <c r="BW243" s="220" t="str">
        <f t="shared" si="1140"/>
        <v/>
      </c>
      <c r="BX243" s="220" t="str">
        <f t="shared" si="1140"/>
        <v/>
      </c>
      <c r="BY243" s="220" t="str">
        <f t="shared" si="1140"/>
        <v/>
      </c>
      <c r="BZ243" s="220" t="str">
        <f t="shared" si="1140"/>
        <v/>
      </c>
      <c r="CA243" s="220" t="str">
        <f t="shared" si="1140"/>
        <v/>
      </c>
      <c r="CB243" s="220" t="str">
        <f t="shared" si="1140"/>
        <v/>
      </c>
      <c r="CC243" s="220" t="str">
        <f t="shared" ref="CC243:DH243" si="1141">IF(CC$231="","",HM211+HM214+HM224+HM234+HM238)</f>
        <v/>
      </c>
      <c r="CD243" s="220" t="str">
        <f t="shared" si="1141"/>
        <v/>
      </c>
      <c r="CE243" s="220" t="str">
        <f t="shared" si="1141"/>
        <v/>
      </c>
      <c r="CF243" s="220" t="str">
        <f t="shared" si="1141"/>
        <v/>
      </c>
      <c r="CG243" s="220" t="str">
        <f t="shared" si="1141"/>
        <v/>
      </c>
      <c r="CH243" s="220" t="str">
        <f t="shared" si="1141"/>
        <v/>
      </c>
      <c r="CI243" s="220" t="str">
        <f t="shared" si="1141"/>
        <v/>
      </c>
      <c r="CJ243" s="220" t="str">
        <f t="shared" si="1141"/>
        <v/>
      </c>
      <c r="CK243" s="220" t="str">
        <f t="shared" si="1141"/>
        <v/>
      </c>
      <c r="CL243" s="220" t="str">
        <f t="shared" si="1141"/>
        <v/>
      </c>
      <c r="CM243" s="220" t="str">
        <f t="shared" si="1141"/>
        <v/>
      </c>
      <c r="CN243" s="220" t="str">
        <f t="shared" si="1141"/>
        <v/>
      </c>
      <c r="CO243" s="220" t="str">
        <f t="shared" si="1141"/>
        <v/>
      </c>
      <c r="CP243" s="220" t="str">
        <f t="shared" si="1141"/>
        <v/>
      </c>
      <c r="CQ243" s="220" t="str">
        <f t="shared" si="1141"/>
        <v/>
      </c>
      <c r="CR243" s="220" t="str">
        <f t="shared" si="1141"/>
        <v/>
      </c>
      <c r="CS243" s="220" t="str">
        <f t="shared" si="1141"/>
        <v/>
      </c>
      <c r="CT243" s="220" t="str">
        <f t="shared" si="1141"/>
        <v/>
      </c>
      <c r="CU243" s="220" t="str">
        <f t="shared" si="1141"/>
        <v/>
      </c>
      <c r="CV243" s="220" t="str">
        <f t="shared" si="1141"/>
        <v/>
      </c>
      <c r="CW243" s="220" t="str">
        <f t="shared" si="1141"/>
        <v/>
      </c>
      <c r="CX243" s="220" t="str">
        <f t="shared" si="1141"/>
        <v/>
      </c>
      <c r="CY243" s="220" t="str">
        <f t="shared" si="1141"/>
        <v/>
      </c>
      <c r="CZ243" s="220" t="str">
        <f t="shared" si="1141"/>
        <v/>
      </c>
      <c r="DA243" s="220" t="str">
        <f t="shared" si="1141"/>
        <v/>
      </c>
      <c r="DB243" s="220" t="str">
        <f t="shared" si="1141"/>
        <v/>
      </c>
      <c r="DC243" s="220" t="str">
        <f t="shared" si="1141"/>
        <v/>
      </c>
      <c r="DD243" s="220" t="str">
        <f t="shared" si="1141"/>
        <v/>
      </c>
      <c r="DE243" s="220" t="str">
        <f t="shared" si="1141"/>
        <v/>
      </c>
      <c r="DF243" s="220" t="str">
        <f t="shared" si="1141"/>
        <v/>
      </c>
      <c r="DG243" s="220" t="str">
        <f t="shared" si="1141"/>
        <v/>
      </c>
      <c r="DH243" s="220" t="str">
        <f t="shared" si="1141"/>
        <v/>
      </c>
      <c r="DI243" s="220" t="str">
        <f t="shared" ref="DI243:EN243" si="1142">IF(DI$231="","",IS211+IS214+IS224+IS234+IS238)</f>
        <v/>
      </c>
      <c r="DJ243" s="220" t="str">
        <f t="shared" si="1142"/>
        <v/>
      </c>
      <c r="DK243" s="220" t="str">
        <f t="shared" si="1142"/>
        <v/>
      </c>
      <c r="DL243" s="220" t="str">
        <f t="shared" si="1142"/>
        <v/>
      </c>
      <c r="DM243" s="220" t="str">
        <f t="shared" si="1142"/>
        <v/>
      </c>
      <c r="DN243" s="220" t="str">
        <f t="shared" si="1142"/>
        <v/>
      </c>
      <c r="DO243" s="220" t="str">
        <f t="shared" si="1142"/>
        <v/>
      </c>
      <c r="DP243" s="220" t="str">
        <f t="shared" si="1142"/>
        <v/>
      </c>
      <c r="DQ243" s="220" t="str">
        <f t="shared" si="1142"/>
        <v/>
      </c>
      <c r="DR243" s="220" t="str">
        <f t="shared" si="1142"/>
        <v/>
      </c>
      <c r="DS243" s="220" t="str">
        <f t="shared" si="1142"/>
        <v/>
      </c>
      <c r="DT243" s="220" t="str">
        <f t="shared" si="1142"/>
        <v/>
      </c>
      <c r="DU243" s="220" t="str">
        <f t="shared" si="1142"/>
        <v/>
      </c>
      <c r="DV243" s="220" t="str">
        <f t="shared" si="1142"/>
        <v/>
      </c>
      <c r="DW243" s="220" t="str">
        <f t="shared" si="1142"/>
        <v/>
      </c>
      <c r="DX243" s="220" t="str">
        <f t="shared" si="1142"/>
        <v/>
      </c>
      <c r="DY243" s="220" t="str">
        <f t="shared" si="1142"/>
        <v/>
      </c>
      <c r="DZ243" s="220" t="str">
        <f t="shared" si="1142"/>
        <v/>
      </c>
      <c r="EA243" s="220" t="str">
        <f t="shared" si="1142"/>
        <v/>
      </c>
      <c r="EB243" s="220" t="str">
        <f t="shared" si="1142"/>
        <v/>
      </c>
      <c r="EC243" s="220" t="str">
        <f t="shared" si="1142"/>
        <v/>
      </c>
      <c r="ED243" s="220" t="str">
        <f t="shared" si="1142"/>
        <v/>
      </c>
      <c r="EE243" s="220" t="str">
        <f t="shared" si="1142"/>
        <v/>
      </c>
      <c r="EF243" s="220" t="str">
        <f t="shared" si="1142"/>
        <v/>
      </c>
      <c r="EG243" s="220" t="str">
        <f t="shared" si="1142"/>
        <v/>
      </c>
      <c r="EH243" s="220" t="str">
        <f t="shared" si="1142"/>
        <v/>
      </c>
      <c r="EI243" s="220" t="str">
        <f t="shared" si="1142"/>
        <v/>
      </c>
      <c r="EJ243" s="220" t="str">
        <f t="shared" si="1142"/>
        <v/>
      </c>
      <c r="EK243" s="220" t="str">
        <f t="shared" si="1142"/>
        <v/>
      </c>
      <c r="EL243" s="220" t="str">
        <f t="shared" si="1142"/>
        <v/>
      </c>
      <c r="EM243" s="220" t="str">
        <f t="shared" si="1142"/>
        <v/>
      </c>
      <c r="EN243" s="220" t="str">
        <f t="shared" si="1142"/>
        <v/>
      </c>
      <c r="EO243" s="220" t="str">
        <f t="shared" ref="EO243:ES243" si="1143">IF(EO$231="","",JY211+JY214+JY224+JY234+JY238)</f>
        <v/>
      </c>
      <c r="EP243" s="220" t="str">
        <f t="shared" si="1143"/>
        <v/>
      </c>
      <c r="EQ243" s="220" t="str">
        <f t="shared" si="1143"/>
        <v/>
      </c>
      <c r="ER243" s="220" t="str">
        <f t="shared" si="1143"/>
        <v/>
      </c>
      <c r="ES243" s="220" t="str">
        <f t="shared" si="1143"/>
        <v/>
      </c>
      <c r="EU243" s="202" t="s">
        <v>349</v>
      </c>
      <c r="EV243" s="153"/>
      <c r="EW243" s="153"/>
      <c r="EX243" s="153"/>
      <c r="EY243" s="154" t="s">
        <v>376</v>
      </c>
      <c r="EZ243" s="154"/>
      <c r="FA243" s="388">
        <f t="shared" ref="FA243:GF243" si="1144">(FA$201&lt;=Timing_Reversion_Month)*(FA242*((1+$EU244)^(1/12)-1))</f>
        <v>0</v>
      </c>
      <c r="FB243" s="388">
        <f t="shared" ca="1" si="1144"/>
        <v>5335.2396178873023</v>
      </c>
      <c r="FC243" s="388">
        <f t="shared" ca="1" si="1144"/>
        <v>5482.9324985089052</v>
      </c>
      <c r="FD243" s="388">
        <f t="shared" ca="1" si="1144"/>
        <v>5863.0277277855821</v>
      </c>
      <c r="FE243" s="388">
        <f t="shared" ca="1" si="1144"/>
        <v>6790.8325781175745</v>
      </c>
      <c r="FF243" s="388">
        <f t="shared" ca="1" si="1144"/>
        <v>8671.8315044235078</v>
      </c>
      <c r="FG243" s="388">
        <f t="shared" ca="1" si="1144"/>
        <v>10710.370616986833</v>
      </c>
      <c r="FH243" s="388">
        <f t="shared" ca="1" si="1144"/>
        <v>10787.563720859109</v>
      </c>
      <c r="FI243" s="388">
        <f t="shared" ca="1" si="1144"/>
        <v>10865.313180388766</v>
      </c>
      <c r="FJ243" s="388">
        <f t="shared" ca="1" si="1144"/>
        <v>10943.623005410911</v>
      </c>
      <c r="FK243" s="388">
        <f t="shared" ca="1" si="1144"/>
        <v>11022.497234660819</v>
      </c>
      <c r="FL243" s="388">
        <f t="shared" ca="1" si="1144"/>
        <v>11101.939935982244</v>
      </c>
      <c r="FM243" s="388">
        <f t="shared" ca="1" si="1144"/>
        <v>11181.955206537197</v>
      </c>
      <c r="FN243" s="388">
        <f t="shared" ca="1" si="1144"/>
        <v>11257.004478319859</v>
      </c>
      <c r="FO243" s="388">
        <f t="shared" ca="1" si="1144"/>
        <v>11267.245899007257</v>
      </c>
      <c r="FP243" s="388">
        <f t="shared" ca="1" si="1144"/>
        <v>11220.944632980882</v>
      </c>
      <c r="FQ243" s="388">
        <f t="shared" ca="1" si="1144"/>
        <v>11280.474829302715</v>
      </c>
      <c r="FR243" s="388">
        <f t="shared" ca="1" si="1144"/>
        <v>11340.43407899651</v>
      </c>
      <c r="FS243" s="388">
        <f t="shared" ca="1" si="1144"/>
        <v>11400.825474388643</v>
      </c>
      <c r="FT243" s="388">
        <f t="shared" ca="1" si="1144"/>
        <v>11461.65213009288</v>
      </c>
      <c r="FU243" s="388">
        <f t="shared" ca="1" si="1144"/>
        <v>11522.917183171015</v>
      </c>
      <c r="FV243" s="388">
        <f t="shared" ca="1" si="1144"/>
        <v>11584.623793294666</v>
      </c>
      <c r="FW243" s="388">
        <f t="shared" ca="1" si="1144"/>
        <v>11646.77514290822</v>
      </c>
      <c r="FX243" s="388">
        <f t="shared" ca="1" si="1144"/>
        <v>11709.374437392975</v>
      </c>
      <c r="FY243" s="388">
        <f t="shared" ca="1" si="1144"/>
        <v>11772.424905232441</v>
      </c>
      <c r="FZ243" s="388">
        <f t="shared" ca="1" si="1144"/>
        <v>11842.209007660334</v>
      </c>
      <c r="GA243" s="388">
        <f t="shared" ca="1" si="1144"/>
        <v>11910.493947936424</v>
      </c>
      <c r="GB243" s="388">
        <f t="shared" ca="1" si="1144"/>
        <v>11977.268921114381</v>
      </c>
      <c r="GC243" s="388">
        <f t="shared" ca="1" si="1144"/>
        <v>12044.525163113454</v>
      </c>
      <c r="GD243" s="388">
        <f t="shared" ca="1" si="1144"/>
        <v>12112.266142593646</v>
      </c>
      <c r="GE243" s="388">
        <f t="shared" ca="1" si="1144"/>
        <v>12180.495353214701</v>
      </c>
      <c r="GF243" s="388">
        <f t="shared" ca="1" si="1144"/>
        <v>12249.216313816309</v>
      </c>
      <c r="GG243" s="388">
        <f t="shared" ref="GG243:HL243" ca="1" si="1145">(GG$201&lt;=Timing_Reversion_Month)*(GG242*((1+$EU244)^(1/12)-1))</f>
        <v>12318.432568599568</v>
      </c>
      <c r="GH243" s="388">
        <f t="shared" ca="1" si="1145"/>
        <v>12388.14768730978</v>
      </c>
      <c r="GI243" s="388">
        <f t="shared" ca="1" si="1145"/>
        <v>12458.365265420562</v>
      </c>
      <c r="GJ243" s="388">
        <f t="shared" ca="1" si="1145"/>
        <v>12529.088924319263</v>
      </c>
      <c r="GK243" s="388">
        <f t="shared" ca="1" si="1145"/>
        <v>12600.322311493748</v>
      </c>
      <c r="GL243" s="388">
        <f t="shared" ca="1" si="1145"/>
        <v>0</v>
      </c>
      <c r="GM243" s="388">
        <f t="shared" ca="1" si="1145"/>
        <v>0</v>
      </c>
      <c r="GN243" s="388">
        <f t="shared" ca="1" si="1145"/>
        <v>0</v>
      </c>
      <c r="GO243" s="388">
        <f t="shared" ca="1" si="1145"/>
        <v>0</v>
      </c>
      <c r="GP243" s="388">
        <f t="shared" ca="1" si="1145"/>
        <v>0</v>
      </c>
      <c r="GQ243" s="388">
        <f t="shared" ca="1" si="1145"/>
        <v>0</v>
      </c>
      <c r="GR243" s="388">
        <f t="shared" ca="1" si="1145"/>
        <v>0</v>
      </c>
      <c r="GS243" s="388">
        <f t="shared" ca="1" si="1145"/>
        <v>0</v>
      </c>
      <c r="GT243" s="388">
        <f t="shared" ca="1" si="1145"/>
        <v>0</v>
      </c>
      <c r="GU243" s="388">
        <f t="shared" ca="1" si="1145"/>
        <v>0</v>
      </c>
      <c r="GV243" s="388">
        <f t="shared" ca="1" si="1145"/>
        <v>0</v>
      </c>
      <c r="GW243" s="388">
        <f t="shared" ca="1" si="1145"/>
        <v>0</v>
      </c>
      <c r="GX243" s="388">
        <f t="shared" ca="1" si="1145"/>
        <v>0</v>
      </c>
      <c r="GY243" s="388">
        <f t="shared" ca="1" si="1145"/>
        <v>0</v>
      </c>
      <c r="GZ243" s="388">
        <f t="shared" ca="1" si="1145"/>
        <v>0</v>
      </c>
      <c r="HA243" s="388">
        <f t="shared" ca="1" si="1145"/>
        <v>0</v>
      </c>
      <c r="HB243" s="388">
        <f t="shared" ca="1" si="1145"/>
        <v>0</v>
      </c>
      <c r="HC243" s="388">
        <f t="shared" ca="1" si="1145"/>
        <v>0</v>
      </c>
      <c r="HD243" s="388">
        <f t="shared" ca="1" si="1145"/>
        <v>0</v>
      </c>
      <c r="HE243" s="388">
        <f t="shared" ca="1" si="1145"/>
        <v>0</v>
      </c>
      <c r="HF243" s="388">
        <f t="shared" ca="1" si="1145"/>
        <v>0</v>
      </c>
      <c r="HG243" s="388">
        <f t="shared" ca="1" si="1145"/>
        <v>0</v>
      </c>
      <c r="HH243" s="388">
        <f t="shared" ca="1" si="1145"/>
        <v>0</v>
      </c>
      <c r="HI243" s="388">
        <f t="shared" ca="1" si="1145"/>
        <v>0</v>
      </c>
      <c r="HJ243" s="388">
        <f t="shared" ca="1" si="1145"/>
        <v>0</v>
      </c>
      <c r="HK243" s="388">
        <f t="shared" ca="1" si="1145"/>
        <v>0</v>
      </c>
      <c r="HL243" s="388">
        <f t="shared" ca="1" si="1145"/>
        <v>0</v>
      </c>
      <c r="HM243" s="388">
        <f t="shared" ref="HM243:IR243" ca="1" si="1146">(HM$201&lt;=Timing_Reversion_Month)*(HM242*((1+$EU244)^(1/12)-1))</f>
        <v>0</v>
      </c>
      <c r="HN243" s="388">
        <f t="shared" ca="1" si="1146"/>
        <v>0</v>
      </c>
      <c r="HO243" s="388">
        <f t="shared" ca="1" si="1146"/>
        <v>0</v>
      </c>
      <c r="HP243" s="388">
        <f t="shared" ca="1" si="1146"/>
        <v>0</v>
      </c>
      <c r="HQ243" s="388">
        <f t="shared" ca="1" si="1146"/>
        <v>0</v>
      </c>
      <c r="HR243" s="388">
        <f t="shared" ca="1" si="1146"/>
        <v>0</v>
      </c>
      <c r="HS243" s="388">
        <f t="shared" ca="1" si="1146"/>
        <v>0</v>
      </c>
      <c r="HT243" s="388">
        <f t="shared" ca="1" si="1146"/>
        <v>0</v>
      </c>
      <c r="HU243" s="388">
        <f t="shared" ca="1" si="1146"/>
        <v>0</v>
      </c>
      <c r="HV243" s="388">
        <f t="shared" ca="1" si="1146"/>
        <v>0</v>
      </c>
      <c r="HW243" s="388">
        <f t="shared" ca="1" si="1146"/>
        <v>0</v>
      </c>
      <c r="HX243" s="388">
        <f t="shared" ca="1" si="1146"/>
        <v>0</v>
      </c>
      <c r="HY243" s="388">
        <f t="shared" ca="1" si="1146"/>
        <v>0</v>
      </c>
      <c r="HZ243" s="388">
        <f t="shared" ca="1" si="1146"/>
        <v>0</v>
      </c>
      <c r="IA243" s="388">
        <f t="shared" ca="1" si="1146"/>
        <v>0</v>
      </c>
      <c r="IB243" s="388">
        <f t="shared" ca="1" si="1146"/>
        <v>0</v>
      </c>
      <c r="IC243" s="388">
        <f t="shared" ca="1" si="1146"/>
        <v>0</v>
      </c>
      <c r="ID243" s="388">
        <f t="shared" ca="1" si="1146"/>
        <v>0</v>
      </c>
      <c r="IE243" s="388">
        <f t="shared" ca="1" si="1146"/>
        <v>0</v>
      </c>
      <c r="IF243" s="388">
        <f t="shared" ca="1" si="1146"/>
        <v>0</v>
      </c>
      <c r="IG243" s="388">
        <f t="shared" ca="1" si="1146"/>
        <v>0</v>
      </c>
      <c r="IH243" s="388">
        <f t="shared" ca="1" si="1146"/>
        <v>0</v>
      </c>
      <c r="II243" s="388">
        <f t="shared" ca="1" si="1146"/>
        <v>0</v>
      </c>
      <c r="IJ243" s="388">
        <f t="shared" ca="1" si="1146"/>
        <v>0</v>
      </c>
      <c r="IK243" s="388">
        <f t="shared" ca="1" si="1146"/>
        <v>0</v>
      </c>
      <c r="IL243" s="388">
        <f t="shared" ca="1" si="1146"/>
        <v>0</v>
      </c>
      <c r="IM243" s="388">
        <f t="shared" ca="1" si="1146"/>
        <v>0</v>
      </c>
      <c r="IN243" s="388">
        <f t="shared" ca="1" si="1146"/>
        <v>0</v>
      </c>
      <c r="IO243" s="388">
        <f t="shared" ca="1" si="1146"/>
        <v>0</v>
      </c>
      <c r="IP243" s="388">
        <f t="shared" ca="1" si="1146"/>
        <v>0</v>
      </c>
      <c r="IQ243" s="388">
        <f t="shared" ca="1" si="1146"/>
        <v>0</v>
      </c>
      <c r="IR243" s="388">
        <f t="shared" ca="1" si="1146"/>
        <v>0</v>
      </c>
      <c r="IS243" s="388">
        <f t="shared" ref="IS243:JX243" ca="1" si="1147">(IS$201&lt;=Timing_Reversion_Month)*(IS242*((1+$EU244)^(1/12)-1))</f>
        <v>0</v>
      </c>
      <c r="IT243" s="388">
        <f t="shared" ca="1" si="1147"/>
        <v>0</v>
      </c>
      <c r="IU243" s="388">
        <f t="shared" ca="1" si="1147"/>
        <v>0</v>
      </c>
      <c r="IV243" s="388">
        <f t="shared" ca="1" si="1147"/>
        <v>0</v>
      </c>
      <c r="IW243" s="388">
        <f t="shared" ca="1" si="1147"/>
        <v>0</v>
      </c>
      <c r="IX243" s="388">
        <f t="shared" ca="1" si="1147"/>
        <v>0</v>
      </c>
      <c r="IY243" s="388">
        <f t="shared" ca="1" si="1147"/>
        <v>0</v>
      </c>
      <c r="IZ243" s="388">
        <f t="shared" ca="1" si="1147"/>
        <v>0</v>
      </c>
      <c r="JA243" s="388">
        <f t="shared" ca="1" si="1147"/>
        <v>0</v>
      </c>
      <c r="JB243" s="388">
        <f t="shared" ca="1" si="1147"/>
        <v>0</v>
      </c>
      <c r="JC243" s="388">
        <f t="shared" ca="1" si="1147"/>
        <v>0</v>
      </c>
      <c r="JD243" s="388">
        <f t="shared" ca="1" si="1147"/>
        <v>0</v>
      </c>
      <c r="JE243" s="388">
        <f t="shared" ca="1" si="1147"/>
        <v>0</v>
      </c>
      <c r="JF243" s="388">
        <f t="shared" ca="1" si="1147"/>
        <v>0</v>
      </c>
      <c r="JG243" s="388">
        <f t="shared" ca="1" si="1147"/>
        <v>0</v>
      </c>
      <c r="JH243" s="388">
        <f t="shared" ca="1" si="1147"/>
        <v>0</v>
      </c>
      <c r="JI243" s="388">
        <f t="shared" ca="1" si="1147"/>
        <v>0</v>
      </c>
      <c r="JJ243" s="388">
        <f t="shared" ca="1" si="1147"/>
        <v>0</v>
      </c>
      <c r="JK243" s="388">
        <f t="shared" ca="1" si="1147"/>
        <v>0</v>
      </c>
      <c r="JL243" s="388">
        <f t="shared" ca="1" si="1147"/>
        <v>0</v>
      </c>
      <c r="JM243" s="388">
        <f t="shared" ca="1" si="1147"/>
        <v>0</v>
      </c>
      <c r="JN243" s="388">
        <f t="shared" ca="1" si="1147"/>
        <v>0</v>
      </c>
      <c r="JO243" s="388">
        <f t="shared" ca="1" si="1147"/>
        <v>0</v>
      </c>
      <c r="JP243" s="388">
        <f t="shared" ca="1" si="1147"/>
        <v>0</v>
      </c>
      <c r="JQ243" s="388">
        <f t="shared" ca="1" si="1147"/>
        <v>0</v>
      </c>
      <c r="JR243" s="388">
        <f t="shared" ca="1" si="1147"/>
        <v>0</v>
      </c>
      <c r="JS243" s="388">
        <f t="shared" ca="1" si="1147"/>
        <v>0</v>
      </c>
      <c r="JT243" s="388">
        <f t="shared" ca="1" si="1147"/>
        <v>0</v>
      </c>
      <c r="JU243" s="388">
        <f t="shared" ca="1" si="1147"/>
        <v>0</v>
      </c>
      <c r="JV243" s="388">
        <f t="shared" ca="1" si="1147"/>
        <v>0</v>
      </c>
      <c r="JW243" s="388">
        <f t="shared" ca="1" si="1147"/>
        <v>0</v>
      </c>
      <c r="JX243" s="388">
        <f t="shared" ca="1" si="1147"/>
        <v>0</v>
      </c>
      <c r="JY243" s="388">
        <f t="shared" ref="JY243:KC243" ca="1" si="1148">(JY$201&lt;=Timing_Reversion_Month)*(JY242*((1+$EU244)^(1/12)-1))</f>
        <v>0</v>
      </c>
      <c r="JZ243" s="388">
        <f t="shared" ca="1" si="1148"/>
        <v>0</v>
      </c>
      <c r="KA243" s="388">
        <f t="shared" ca="1" si="1148"/>
        <v>0</v>
      </c>
      <c r="KB243" s="388">
        <f t="shared" ca="1" si="1148"/>
        <v>0</v>
      </c>
      <c r="KC243" s="388">
        <f t="shared" ca="1" si="1148"/>
        <v>0</v>
      </c>
    </row>
    <row r="244" spans="2:289" ht="16.5" x14ac:dyDescent="0.35">
      <c r="B244" s="209" t="s">
        <v>190</v>
      </c>
      <c r="C244" s="413" t="str">
        <f>C233</f>
        <v>LP</v>
      </c>
      <c r="D244" s="181"/>
      <c r="E244" s="181"/>
      <c r="F244" s="181"/>
      <c r="G244" s="335"/>
      <c r="H244" s="416">
        <f ca="1">I244/$I$245</f>
        <v>0</v>
      </c>
      <c r="I244" s="224">
        <f ca="1">SUM(Q244:ES244)</f>
        <v>0</v>
      </c>
      <c r="Q244" s="226">
        <f t="shared" ref="Q244:AV244" ca="1" si="1149">IF(Q$231="","",FA205+FA221+FA231+FA237)</f>
        <v>0</v>
      </c>
      <c r="R244" s="226">
        <f t="shared" ca="1" si="1149"/>
        <v>0</v>
      </c>
      <c r="S244" s="226">
        <f t="shared" ca="1" si="1149"/>
        <v>0</v>
      </c>
      <c r="T244" s="226">
        <f t="shared" ca="1" si="1149"/>
        <v>0</v>
      </c>
      <c r="U244" s="226">
        <f t="shared" ca="1" si="1149"/>
        <v>0</v>
      </c>
      <c r="V244" s="226">
        <f t="shared" ca="1" si="1149"/>
        <v>0</v>
      </c>
      <c r="W244" s="226">
        <f t="shared" ca="1" si="1149"/>
        <v>0</v>
      </c>
      <c r="X244" s="226">
        <f t="shared" ca="1" si="1149"/>
        <v>0</v>
      </c>
      <c r="Y244" s="226">
        <f t="shared" ca="1" si="1149"/>
        <v>0</v>
      </c>
      <c r="Z244" s="226">
        <f t="shared" ca="1" si="1149"/>
        <v>0</v>
      </c>
      <c r="AA244" s="226">
        <f t="shared" ca="1" si="1149"/>
        <v>0</v>
      </c>
      <c r="AB244" s="226">
        <f t="shared" ca="1" si="1149"/>
        <v>0</v>
      </c>
      <c r="AC244" s="226">
        <f t="shared" ca="1" si="1149"/>
        <v>0</v>
      </c>
      <c r="AD244" s="226">
        <f t="shared" ca="1" si="1149"/>
        <v>0</v>
      </c>
      <c r="AE244" s="226">
        <f t="shared" ca="1" si="1149"/>
        <v>0</v>
      </c>
      <c r="AF244" s="226">
        <f t="shared" ca="1" si="1149"/>
        <v>0</v>
      </c>
      <c r="AG244" s="226">
        <f t="shared" ca="1" si="1149"/>
        <v>0</v>
      </c>
      <c r="AH244" s="226">
        <f t="shared" ca="1" si="1149"/>
        <v>0</v>
      </c>
      <c r="AI244" s="226">
        <f t="shared" ca="1" si="1149"/>
        <v>0</v>
      </c>
      <c r="AJ244" s="226">
        <f t="shared" ca="1" si="1149"/>
        <v>0</v>
      </c>
      <c r="AK244" s="226">
        <f t="shared" ca="1" si="1149"/>
        <v>0</v>
      </c>
      <c r="AL244" s="226">
        <f t="shared" ca="1" si="1149"/>
        <v>0</v>
      </c>
      <c r="AM244" s="226">
        <f t="shared" ca="1" si="1149"/>
        <v>0</v>
      </c>
      <c r="AN244" s="226">
        <f t="shared" ca="1" si="1149"/>
        <v>0</v>
      </c>
      <c r="AO244" s="226">
        <f t="shared" ca="1" si="1149"/>
        <v>0</v>
      </c>
      <c r="AP244" s="226">
        <f t="shared" ca="1" si="1149"/>
        <v>0</v>
      </c>
      <c r="AQ244" s="226">
        <f t="shared" ca="1" si="1149"/>
        <v>0</v>
      </c>
      <c r="AR244" s="226">
        <f t="shared" ca="1" si="1149"/>
        <v>0</v>
      </c>
      <c r="AS244" s="226">
        <f t="shared" ca="1" si="1149"/>
        <v>0</v>
      </c>
      <c r="AT244" s="226">
        <f t="shared" ca="1" si="1149"/>
        <v>0</v>
      </c>
      <c r="AU244" s="226">
        <f t="shared" ca="1" si="1149"/>
        <v>0</v>
      </c>
      <c r="AV244" s="226">
        <f t="shared" ca="1" si="1149"/>
        <v>0</v>
      </c>
      <c r="AW244" s="226">
        <f t="shared" ref="AW244:CB244" ca="1" si="1150">IF(AW$231="","",GG205+GG221+GG231+GG237)</f>
        <v>0</v>
      </c>
      <c r="AX244" s="226">
        <f t="shared" ca="1" si="1150"/>
        <v>0</v>
      </c>
      <c r="AY244" s="226">
        <f t="shared" ca="1" si="1150"/>
        <v>0</v>
      </c>
      <c r="AZ244" s="226">
        <f t="shared" ca="1" si="1150"/>
        <v>0</v>
      </c>
      <c r="BA244" s="226">
        <f t="shared" ca="1" si="1150"/>
        <v>0</v>
      </c>
      <c r="BB244" s="226" t="str">
        <f t="shared" si="1150"/>
        <v/>
      </c>
      <c r="BC244" s="226" t="str">
        <f t="shared" si="1150"/>
        <v/>
      </c>
      <c r="BD244" s="226" t="str">
        <f t="shared" si="1150"/>
        <v/>
      </c>
      <c r="BE244" s="226" t="str">
        <f t="shared" si="1150"/>
        <v/>
      </c>
      <c r="BF244" s="226" t="str">
        <f t="shared" si="1150"/>
        <v/>
      </c>
      <c r="BG244" s="226" t="str">
        <f t="shared" si="1150"/>
        <v/>
      </c>
      <c r="BH244" s="226" t="str">
        <f t="shared" si="1150"/>
        <v/>
      </c>
      <c r="BI244" s="226" t="str">
        <f t="shared" si="1150"/>
        <v/>
      </c>
      <c r="BJ244" s="226" t="str">
        <f t="shared" si="1150"/>
        <v/>
      </c>
      <c r="BK244" s="226" t="str">
        <f t="shared" si="1150"/>
        <v/>
      </c>
      <c r="BL244" s="226" t="str">
        <f t="shared" si="1150"/>
        <v/>
      </c>
      <c r="BM244" s="226" t="str">
        <f t="shared" si="1150"/>
        <v/>
      </c>
      <c r="BN244" s="226" t="str">
        <f t="shared" si="1150"/>
        <v/>
      </c>
      <c r="BO244" s="226" t="str">
        <f t="shared" si="1150"/>
        <v/>
      </c>
      <c r="BP244" s="226" t="str">
        <f t="shared" si="1150"/>
        <v/>
      </c>
      <c r="BQ244" s="226" t="str">
        <f t="shared" si="1150"/>
        <v/>
      </c>
      <c r="BR244" s="226" t="str">
        <f t="shared" si="1150"/>
        <v/>
      </c>
      <c r="BS244" s="226" t="str">
        <f t="shared" si="1150"/>
        <v/>
      </c>
      <c r="BT244" s="226" t="str">
        <f t="shared" si="1150"/>
        <v/>
      </c>
      <c r="BU244" s="226" t="str">
        <f t="shared" si="1150"/>
        <v/>
      </c>
      <c r="BV244" s="226" t="str">
        <f t="shared" si="1150"/>
        <v/>
      </c>
      <c r="BW244" s="226" t="str">
        <f t="shared" si="1150"/>
        <v/>
      </c>
      <c r="BX244" s="226" t="str">
        <f t="shared" si="1150"/>
        <v/>
      </c>
      <c r="BY244" s="226" t="str">
        <f t="shared" si="1150"/>
        <v/>
      </c>
      <c r="BZ244" s="226" t="str">
        <f t="shared" si="1150"/>
        <v/>
      </c>
      <c r="CA244" s="226" t="str">
        <f t="shared" si="1150"/>
        <v/>
      </c>
      <c r="CB244" s="226" t="str">
        <f t="shared" si="1150"/>
        <v/>
      </c>
      <c r="CC244" s="226" t="str">
        <f t="shared" ref="CC244:DH244" si="1151">IF(CC$231="","",HM205+HM221+HM231+HM237)</f>
        <v/>
      </c>
      <c r="CD244" s="226" t="str">
        <f t="shared" si="1151"/>
        <v/>
      </c>
      <c r="CE244" s="226" t="str">
        <f t="shared" si="1151"/>
        <v/>
      </c>
      <c r="CF244" s="226" t="str">
        <f t="shared" si="1151"/>
        <v/>
      </c>
      <c r="CG244" s="226" t="str">
        <f t="shared" si="1151"/>
        <v/>
      </c>
      <c r="CH244" s="226" t="str">
        <f t="shared" si="1151"/>
        <v/>
      </c>
      <c r="CI244" s="226" t="str">
        <f t="shared" si="1151"/>
        <v/>
      </c>
      <c r="CJ244" s="226" t="str">
        <f t="shared" si="1151"/>
        <v/>
      </c>
      <c r="CK244" s="226" t="str">
        <f t="shared" si="1151"/>
        <v/>
      </c>
      <c r="CL244" s="226" t="str">
        <f t="shared" si="1151"/>
        <v/>
      </c>
      <c r="CM244" s="226" t="str">
        <f t="shared" si="1151"/>
        <v/>
      </c>
      <c r="CN244" s="226" t="str">
        <f t="shared" si="1151"/>
        <v/>
      </c>
      <c r="CO244" s="226" t="str">
        <f t="shared" si="1151"/>
        <v/>
      </c>
      <c r="CP244" s="226" t="str">
        <f t="shared" si="1151"/>
        <v/>
      </c>
      <c r="CQ244" s="226" t="str">
        <f t="shared" si="1151"/>
        <v/>
      </c>
      <c r="CR244" s="226" t="str">
        <f t="shared" si="1151"/>
        <v/>
      </c>
      <c r="CS244" s="226" t="str">
        <f t="shared" si="1151"/>
        <v/>
      </c>
      <c r="CT244" s="226" t="str">
        <f t="shared" si="1151"/>
        <v/>
      </c>
      <c r="CU244" s="226" t="str">
        <f t="shared" si="1151"/>
        <v/>
      </c>
      <c r="CV244" s="226" t="str">
        <f t="shared" si="1151"/>
        <v/>
      </c>
      <c r="CW244" s="226" t="str">
        <f t="shared" si="1151"/>
        <v/>
      </c>
      <c r="CX244" s="226" t="str">
        <f t="shared" si="1151"/>
        <v/>
      </c>
      <c r="CY244" s="226" t="str">
        <f t="shared" si="1151"/>
        <v/>
      </c>
      <c r="CZ244" s="226" t="str">
        <f t="shared" si="1151"/>
        <v/>
      </c>
      <c r="DA244" s="226" t="str">
        <f t="shared" si="1151"/>
        <v/>
      </c>
      <c r="DB244" s="226" t="str">
        <f t="shared" si="1151"/>
        <v/>
      </c>
      <c r="DC244" s="226" t="str">
        <f t="shared" si="1151"/>
        <v/>
      </c>
      <c r="DD244" s="226" t="str">
        <f t="shared" si="1151"/>
        <v/>
      </c>
      <c r="DE244" s="226" t="str">
        <f t="shared" si="1151"/>
        <v/>
      </c>
      <c r="DF244" s="226" t="str">
        <f t="shared" si="1151"/>
        <v/>
      </c>
      <c r="DG244" s="226" t="str">
        <f t="shared" si="1151"/>
        <v/>
      </c>
      <c r="DH244" s="226" t="str">
        <f t="shared" si="1151"/>
        <v/>
      </c>
      <c r="DI244" s="226" t="str">
        <f t="shared" ref="DI244:EN244" si="1152">IF(DI$231="","",IS205+IS221+IS231+IS237)</f>
        <v/>
      </c>
      <c r="DJ244" s="226" t="str">
        <f t="shared" si="1152"/>
        <v/>
      </c>
      <c r="DK244" s="226" t="str">
        <f t="shared" si="1152"/>
        <v/>
      </c>
      <c r="DL244" s="226" t="str">
        <f t="shared" si="1152"/>
        <v/>
      </c>
      <c r="DM244" s="226" t="str">
        <f t="shared" si="1152"/>
        <v/>
      </c>
      <c r="DN244" s="226" t="str">
        <f t="shared" si="1152"/>
        <v/>
      </c>
      <c r="DO244" s="226" t="str">
        <f t="shared" si="1152"/>
        <v/>
      </c>
      <c r="DP244" s="226" t="str">
        <f t="shared" si="1152"/>
        <v/>
      </c>
      <c r="DQ244" s="226" t="str">
        <f t="shared" si="1152"/>
        <v/>
      </c>
      <c r="DR244" s="226" t="str">
        <f t="shared" si="1152"/>
        <v/>
      </c>
      <c r="DS244" s="226" t="str">
        <f t="shared" si="1152"/>
        <v/>
      </c>
      <c r="DT244" s="226" t="str">
        <f t="shared" si="1152"/>
        <v/>
      </c>
      <c r="DU244" s="226" t="str">
        <f t="shared" si="1152"/>
        <v/>
      </c>
      <c r="DV244" s="226" t="str">
        <f t="shared" si="1152"/>
        <v/>
      </c>
      <c r="DW244" s="226" t="str">
        <f t="shared" si="1152"/>
        <v/>
      </c>
      <c r="DX244" s="226" t="str">
        <f t="shared" si="1152"/>
        <v/>
      </c>
      <c r="DY244" s="226" t="str">
        <f t="shared" si="1152"/>
        <v/>
      </c>
      <c r="DZ244" s="226" t="str">
        <f t="shared" si="1152"/>
        <v/>
      </c>
      <c r="EA244" s="226" t="str">
        <f t="shared" si="1152"/>
        <v/>
      </c>
      <c r="EB244" s="226" t="str">
        <f t="shared" si="1152"/>
        <v/>
      </c>
      <c r="EC244" s="226" t="str">
        <f t="shared" si="1152"/>
        <v/>
      </c>
      <c r="ED244" s="226" t="str">
        <f t="shared" si="1152"/>
        <v/>
      </c>
      <c r="EE244" s="226" t="str">
        <f t="shared" si="1152"/>
        <v/>
      </c>
      <c r="EF244" s="226" t="str">
        <f t="shared" si="1152"/>
        <v/>
      </c>
      <c r="EG244" s="226" t="str">
        <f t="shared" si="1152"/>
        <v/>
      </c>
      <c r="EH244" s="226" t="str">
        <f t="shared" si="1152"/>
        <v/>
      </c>
      <c r="EI244" s="226" t="str">
        <f t="shared" si="1152"/>
        <v/>
      </c>
      <c r="EJ244" s="226" t="str">
        <f t="shared" si="1152"/>
        <v/>
      </c>
      <c r="EK244" s="226" t="str">
        <f t="shared" si="1152"/>
        <v/>
      </c>
      <c r="EL244" s="226" t="str">
        <f t="shared" si="1152"/>
        <v/>
      </c>
      <c r="EM244" s="226" t="str">
        <f t="shared" si="1152"/>
        <v/>
      </c>
      <c r="EN244" s="226" t="str">
        <f t="shared" si="1152"/>
        <v/>
      </c>
      <c r="EO244" s="226" t="str">
        <f t="shared" ref="EO244:ES244" si="1153">IF(EO$231="","",JY205+JY221+JY231+JY237)</f>
        <v/>
      </c>
      <c r="EP244" s="226" t="str">
        <f t="shared" si="1153"/>
        <v/>
      </c>
      <c r="EQ244" s="226" t="str">
        <f t="shared" si="1153"/>
        <v/>
      </c>
      <c r="ER244" s="226" t="str">
        <f t="shared" si="1153"/>
        <v/>
      </c>
      <c r="ES244" s="226" t="str">
        <f t="shared" si="1153"/>
        <v/>
      </c>
      <c r="EU244" s="362">
        <f>F258</f>
        <v>0.09</v>
      </c>
      <c r="EV244" s="153" t="s">
        <v>351</v>
      </c>
      <c r="EW244" s="153"/>
      <c r="EX244" s="153"/>
      <c r="EY244" s="154" t="s">
        <v>377</v>
      </c>
      <c r="EZ244" s="154"/>
      <c r="FA244" s="388">
        <f t="shared" ref="FA244:GF244" ca="1" si="1154">IF(Q254="",0,Q254)</f>
        <v>740252.57142857148</v>
      </c>
      <c r="FB244" s="388">
        <f t="shared" ca="1" si="1154"/>
        <v>15156.817438985376</v>
      </c>
      <c r="FC244" s="388">
        <f t="shared" ca="1" si="1154"/>
        <v>47254.430958694291</v>
      </c>
      <c r="FD244" s="388">
        <f t="shared" ca="1" si="1154"/>
        <v>122867.82138712759</v>
      </c>
      <c r="FE244" s="388">
        <f t="shared" ca="1" si="1154"/>
        <v>254193.56395845834</v>
      </c>
      <c r="FF244" s="388">
        <f t="shared" ca="1" si="1154"/>
        <v>274170.9137348769</v>
      </c>
      <c r="FG244" s="388">
        <f t="shared" ca="1" si="1154"/>
        <v>0</v>
      </c>
      <c r="FH244" s="388">
        <f t="shared" ca="1" si="1154"/>
        <v>0</v>
      </c>
      <c r="FI244" s="388">
        <f t="shared" ca="1" si="1154"/>
        <v>0</v>
      </c>
      <c r="FJ244" s="388">
        <f t="shared" ca="1" si="1154"/>
        <v>0</v>
      </c>
      <c r="FK244" s="388">
        <f t="shared" ca="1" si="1154"/>
        <v>0</v>
      </c>
      <c r="FL244" s="388">
        <f t="shared" ca="1" si="1154"/>
        <v>0</v>
      </c>
      <c r="FM244" s="388">
        <f t="shared" ca="1" si="1154"/>
        <v>0</v>
      </c>
      <c r="FN244" s="388">
        <f t="shared" ca="1" si="1154"/>
        <v>0</v>
      </c>
      <c r="FO244" s="388">
        <f t="shared" ca="1" si="1154"/>
        <v>0</v>
      </c>
      <c r="FP244" s="388">
        <f t="shared" ca="1" si="1154"/>
        <v>0</v>
      </c>
      <c r="FQ244" s="388">
        <f t="shared" ca="1" si="1154"/>
        <v>0</v>
      </c>
      <c r="FR244" s="388">
        <f t="shared" ca="1" si="1154"/>
        <v>0</v>
      </c>
      <c r="FS244" s="388">
        <f t="shared" ca="1" si="1154"/>
        <v>0</v>
      </c>
      <c r="FT244" s="388">
        <f t="shared" ca="1" si="1154"/>
        <v>0</v>
      </c>
      <c r="FU244" s="388">
        <f t="shared" ca="1" si="1154"/>
        <v>0</v>
      </c>
      <c r="FV244" s="388">
        <f t="shared" ca="1" si="1154"/>
        <v>0</v>
      </c>
      <c r="FW244" s="388">
        <f t="shared" ca="1" si="1154"/>
        <v>0</v>
      </c>
      <c r="FX244" s="388">
        <f t="shared" ca="1" si="1154"/>
        <v>0</v>
      </c>
      <c r="FY244" s="388">
        <f t="shared" ca="1" si="1154"/>
        <v>0</v>
      </c>
      <c r="FZ244" s="388">
        <f t="shared" ca="1" si="1154"/>
        <v>0</v>
      </c>
      <c r="GA244" s="388">
        <f t="shared" ca="1" si="1154"/>
        <v>0</v>
      </c>
      <c r="GB244" s="388">
        <f t="shared" ca="1" si="1154"/>
        <v>0</v>
      </c>
      <c r="GC244" s="388">
        <f t="shared" ca="1" si="1154"/>
        <v>0</v>
      </c>
      <c r="GD244" s="388">
        <f t="shared" ca="1" si="1154"/>
        <v>0</v>
      </c>
      <c r="GE244" s="388">
        <f t="shared" ca="1" si="1154"/>
        <v>0</v>
      </c>
      <c r="GF244" s="388">
        <f t="shared" ca="1" si="1154"/>
        <v>0</v>
      </c>
      <c r="GG244" s="388">
        <f t="shared" ref="GG244:HL244" ca="1" si="1155">IF(AW254="",0,AW254)</f>
        <v>0</v>
      </c>
      <c r="GH244" s="388">
        <f t="shared" ca="1" si="1155"/>
        <v>0</v>
      </c>
      <c r="GI244" s="388">
        <f t="shared" ca="1" si="1155"/>
        <v>0</v>
      </c>
      <c r="GJ244" s="388">
        <f t="shared" ca="1" si="1155"/>
        <v>0</v>
      </c>
      <c r="GK244" s="388">
        <f t="shared" ca="1" si="1155"/>
        <v>0</v>
      </c>
      <c r="GL244" s="388">
        <f t="shared" si="1155"/>
        <v>0</v>
      </c>
      <c r="GM244" s="388">
        <f t="shared" si="1155"/>
        <v>0</v>
      </c>
      <c r="GN244" s="388">
        <f t="shared" si="1155"/>
        <v>0</v>
      </c>
      <c r="GO244" s="388">
        <f t="shared" si="1155"/>
        <v>0</v>
      </c>
      <c r="GP244" s="388">
        <f t="shared" si="1155"/>
        <v>0</v>
      </c>
      <c r="GQ244" s="388">
        <f t="shared" si="1155"/>
        <v>0</v>
      </c>
      <c r="GR244" s="388">
        <f t="shared" si="1155"/>
        <v>0</v>
      </c>
      <c r="GS244" s="388">
        <f t="shared" si="1155"/>
        <v>0</v>
      </c>
      <c r="GT244" s="388">
        <f t="shared" si="1155"/>
        <v>0</v>
      </c>
      <c r="GU244" s="388">
        <f t="shared" si="1155"/>
        <v>0</v>
      </c>
      <c r="GV244" s="388">
        <f t="shared" si="1155"/>
        <v>0</v>
      </c>
      <c r="GW244" s="388">
        <f t="shared" si="1155"/>
        <v>0</v>
      </c>
      <c r="GX244" s="388">
        <f t="shared" si="1155"/>
        <v>0</v>
      </c>
      <c r="GY244" s="388">
        <f t="shared" si="1155"/>
        <v>0</v>
      </c>
      <c r="GZ244" s="388">
        <f t="shared" si="1155"/>
        <v>0</v>
      </c>
      <c r="HA244" s="388">
        <f t="shared" si="1155"/>
        <v>0</v>
      </c>
      <c r="HB244" s="388">
        <f t="shared" si="1155"/>
        <v>0</v>
      </c>
      <c r="HC244" s="388">
        <f t="shared" si="1155"/>
        <v>0</v>
      </c>
      <c r="HD244" s="388">
        <f t="shared" si="1155"/>
        <v>0</v>
      </c>
      <c r="HE244" s="388">
        <f t="shared" si="1155"/>
        <v>0</v>
      </c>
      <c r="HF244" s="388">
        <f t="shared" si="1155"/>
        <v>0</v>
      </c>
      <c r="HG244" s="388">
        <f t="shared" si="1155"/>
        <v>0</v>
      </c>
      <c r="HH244" s="388">
        <f t="shared" si="1155"/>
        <v>0</v>
      </c>
      <c r="HI244" s="388">
        <f t="shared" si="1155"/>
        <v>0</v>
      </c>
      <c r="HJ244" s="388">
        <f t="shared" si="1155"/>
        <v>0</v>
      </c>
      <c r="HK244" s="388">
        <f t="shared" si="1155"/>
        <v>0</v>
      </c>
      <c r="HL244" s="388">
        <f t="shared" si="1155"/>
        <v>0</v>
      </c>
      <c r="HM244" s="388">
        <f t="shared" ref="HM244:IR244" si="1156">IF(CC254="",0,CC254)</f>
        <v>0</v>
      </c>
      <c r="HN244" s="388">
        <f t="shared" si="1156"/>
        <v>0</v>
      </c>
      <c r="HO244" s="388">
        <f t="shared" si="1156"/>
        <v>0</v>
      </c>
      <c r="HP244" s="388">
        <f t="shared" si="1156"/>
        <v>0</v>
      </c>
      <c r="HQ244" s="388">
        <f t="shared" si="1156"/>
        <v>0</v>
      </c>
      <c r="HR244" s="388">
        <f t="shared" si="1156"/>
        <v>0</v>
      </c>
      <c r="HS244" s="388">
        <f t="shared" si="1156"/>
        <v>0</v>
      </c>
      <c r="HT244" s="388">
        <f t="shared" si="1156"/>
        <v>0</v>
      </c>
      <c r="HU244" s="388">
        <f t="shared" si="1156"/>
        <v>0</v>
      </c>
      <c r="HV244" s="388">
        <f t="shared" si="1156"/>
        <v>0</v>
      </c>
      <c r="HW244" s="388">
        <f t="shared" si="1156"/>
        <v>0</v>
      </c>
      <c r="HX244" s="388">
        <f t="shared" si="1156"/>
        <v>0</v>
      </c>
      <c r="HY244" s="388">
        <f t="shared" si="1156"/>
        <v>0</v>
      </c>
      <c r="HZ244" s="388">
        <f t="shared" si="1156"/>
        <v>0</v>
      </c>
      <c r="IA244" s="388">
        <f t="shared" si="1156"/>
        <v>0</v>
      </c>
      <c r="IB244" s="388">
        <f t="shared" si="1156"/>
        <v>0</v>
      </c>
      <c r="IC244" s="388">
        <f t="shared" si="1156"/>
        <v>0</v>
      </c>
      <c r="ID244" s="388">
        <f t="shared" si="1156"/>
        <v>0</v>
      </c>
      <c r="IE244" s="388">
        <f t="shared" si="1156"/>
        <v>0</v>
      </c>
      <c r="IF244" s="388">
        <f t="shared" si="1156"/>
        <v>0</v>
      </c>
      <c r="IG244" s="388">
        <f t="shared" si="1156"/>
        <v>0</v>
      </c>
      <c r="IH244" s="388">
        <f t="shared" si="1156"/>
        <v>0</v>
      </c>
      <c r="II244" s="388">
        <f t="shared" si="1156"/>
        <v>0</v>
      </c>
      <c r="IJ244" s="388">
        <f t="shared" si="1156"/>
        <v>0</v>
      </c>
      <c r="IK244" s="388">
        <f t="shared" si="1156"/>
        <v>0</v>
      </c>
      <c r="IL244" s="388">
        <f t="shared" si="1156"/>
        <v>0</v>
      </c>
      <c r="IM244" s="388">
        <f t="shared" si="1156"/>
        <v>0</v>
      </c>
      <c r="IN244" s="388">
        <f t="shared" si="1156"/>
        <v>0</v>
      </c>
      <c r="IO244" s="388">
        <f t="shared" si="1156"/>
        <v>0</v>
      </c>
      <c r="IP244" s="388">
        <f t="shared" si="1156"/>
        <v>0</v>
      </c>
      <c r="IQ244" s="388">
        <f t="shared" si="1156"/>
        <v>0</v>
      </c>
      <c r="IR244" s="388">
        <f t="shared" si="1156"/>
        <v>0</v>
      </c>
      <c r="IS244" s="388">
        <f t="shared" ref="IS244:JX244" si="1157">IF(DI254="",0,DI254)</f>
        <v>0</v>
      </c>
      <c r="IT244" s="388">
        <f t="shared" si="1157"/>
        <v>0</v>
      </c>
      <c r="IU244" s="388">
        <f t="shared" si="1157"/>
        <v>0</v>
      </c>
      <c r="IV244" s="388">
        <f t="shared" si="1157"/>
        <v>0</v>
      </c>
      <c r="IW244" s="388">
        <f t="shared" si="1157"/>
        <v>0</v>
      </c>
      <c r="IX244" s="388">
        <f t="shared" si="1157"/>
        <v>0</v>
      </c>
      <c r="IY244" s="388">
        <f t="shared" si="1157"/>
        <v>0</v>
      </c>
      <c r="IZ244" s="388">
        <f t="shared" si="1157"/>
        <v>0</v>
      </c>
      <c r="JA244" s="388">
        <f t="shared" si="1157"/>
        <v>0</v>
      </c>
      <c r="JB244" s="388">
        <f t="shared" si="1157"/>
        <v>0</v>
      </c>
      <c r="JC244" s="388">
        <f t="shared" si="1157"/>
        <v>0</v>
      </c>
      <c r="JD244" s="388">
        <f t="shared" si="1157"/>
        <v>0</v>
      </c>
      <c r="JE244" s="388">
        <f t="shared" si="1157"/>
        <v>0</v>
      </c>
      <c r="JF244" s="388">
        <f t="shared" si="1157"/>
        <v>0</v>
      </c>
      <c r="JG244" s="388">
        <f t="shared" si="1157"/>
        <v>0</v>
      </c>
      <c r="JH244" s="388">
        <f t="shared" si="1157"/>
        <v>0</v>
      </c>
      <c r="JI244" s="388">
        <f t="shared" si="1157"/>
        <v>0</v>
      </c>
      <c r="JJ244" s="388">
        <f t="shared" si="1157"/>
        <v>0</v>
      </c>
      <c r="JK244" s="388">
        <f t="shared" si="1157"/>
        <v>0</v>
      </c>
      <c r="JL244" s="388">
        <f t="shared" si="1157"/>
        <v>0</v>
      </c>
      <c r="JM244" s="388">
        <f t="shared" si="1157"/>
        <v>0</v>
      </c>
      <c r="JN244" s="388">
        <f t="shared" si="1157"/>
        <v>0</v>
      </c>
      <c r="JO244" s="388">
        <f t="shared" si="1157"/>
        <v>0</v>
      </c>
      <c r="JP244" s="388">
        <f t="shared" si="1157"/>
        <v>0</v>
      </c>
      <c r="JQ244" s="388">
        <f t="shared" si="1157"/>
        <v>0</v>
      </c>
      <c r="JR244" s="388">
        <f t="shared" si="1157"/>
        <v>0</v>
      </c>
      <c r="JS244" s="388">
        <f t="shared" si="1157"/>
        <v>0</v>
      </c>
      <c r="JT244" s="388">
        <f t="shared" si="1157"/>
        <v>0</v>
      </c>
      <c r="JU244" s="388">
        <f t="shared" si="1157"/>
        <v>0</v>
      </c>
      <c r="JV244" s="388">
        <f t="shared" si="1157"/>
        <v>0</v>
      </c>
      <c r="JW244" s="388">
        <f t="shared" si="1157"/>
        <v>0</v>
      </c>
      <c r="JX244" s="388">
        <f t="shared" si="1157"/>
        <v>0</v>
      </c>
      <c r="JY244" s="388">
        <f>IF(EO254="",0,EO254)</f>
        <v>0</v>
      </c>
      <c r="JZ244" s="388">
        <f>IF(EP254="",0,EP254)</f>
        <v>0</v>
      </c>
      <c r="KA244" s="388">
        <f>IF(EQ254="",0,EQ254)</f>
        <v>0</v>
      </c>
      <c r="KB244" s="388">
        <f>IF(ER254="",0,ER254)</f>
        <v>0</v>
      </c>
      <c r="KC244" s="388">
        <f>IF(ES254="",0,ES254)</f>
        <v>0</v>
      </c>
    </row>
    <row r="245" spans="2:289" x14ac:dyDescent="0.25">
      <c r="B245" s="180" t="s">
        <v>68</v>
      </c>
      <c r="C245" s="181"/>
      <c r="D245" s="181"/>
      <c r="E245" s="181"/>
      <c r="F245" s="181"/>
      <c r="G245" s="335"/>
      <c r="H245" s="346">
        <f ca="1">I245/$I$245</f>
        <v>1</v>
      </c>
      <c r="I245" s="335">
        <f ca="1">SUM(I243:I244)</f>
        <v>1953846.8731769312</v>
      </c>
      <c r="Q245" s="220">
        <f t="shared" ref="Q245:AV245" ca="1" si="1158">IF(Q$231="","",SUM(Q243:Q244))</f>
        <v>0</v>
      </c>
      <c r="R245" s="220">
        <f t="shared" ca="1" si="1158"/>
        <v>0</v>
      </c>
      <c r="S245" s="220">
        <f t="shared" ca="1" si="1158"/>
        <v>0</v>
      </c>
      <c r="T245" s="220">
        <f t="shared" ca="1" si="1158"/>
        <v>0</v>
      </c>
      <c r="U245" s="220">
        <f t="shared" ca="1" si="1158"/>
        <v>0</v>
      </c>
      <c r="V245" s="220">
        <f t="shared" ca="1" si="1158"/>
        <v>0</v>
      </c>
      <c r="W245" s="220">
        <f t="shared" ca="1" si="1158"/>
        <v>0</v>
      </c>
      <c r="X245" s="220">
        <f t="shared" ca="1" si="1158"/>
        <v>0</v>
      </c>
      <c r="Y245" s="220">
        <f t="shared" ca="1" si="1158"/>
        <v>0</v>
      </c>
      <c r="Z245" s="220">
        <f t="shared" ca="1" si="1158"/>
        <v>0</v>
      </c>
      <c r="AA245" s="220">
        <f t="shared" ca="1" si="1158"/>
        <v>0</v>
      </c>
      <c r="AB245" s="220">
        <f t="shared" ca="1" si="1158"/>
        <v>0</v>
      </c>
      <c r="AC245" s="220">
        <f t="shared" ca="1" si="1158"/>
        <v>854.48499999999933</v>
      </c>
      <c r="AD245" s="220">
        <f t="shared" ca="1" si="1158"/>
        <v>10928.922499999999</v>
      </c>
      <c r="AE245" s="220">
        <f t="shared" ca="1" si="1158"/>
        <v>21003.359999999404</v>
      </c>
      <c r="AF245" s="220">
        <f t="shared" ca="1" si="1158"/>
        <v>4636.4932134679602</v>
      </c>
      <c r="AG245" s="220">
        <f t="shared" ca="1" si="1158"/>
        <v>4636.4932134679602</v>
      </c>
      <c r="AH245" s="220">
        <f t="shared" ca="1" si="1158"/>
        <v>4636.4932134679602</v>
      </c>
      <c r="AI245" s="220">
        <f t="shared" ca="1" si="1158"/>
        <v>4636.4932134679602</v>
      </c>
      <c r="AJ245" s="220">
        <f t="shared" ca="1" si="1158"/>
        <v>4636.4932134679602</v>
      </c>
      <c r="AK245" s="220">
        <f t="shared" ca="1" si="1158"/>
        <v>4636.4932134679602</v>
      </c>
      <c r="AL245" s="220">
        <f t="shared" ca="1" si="1158"/>
        <v>4636.4932134679602</v>
      </c>
      <c r="AM245" s="220">
        <f t="shared" ca="1" si="1158"/>
        <v>4636.4932134679602</v>
      </c>
      <c r="AN245" s="220">
        <f t="shared" ca="1" si="1158"/>
        <v>4636.4932134679602</v>
      </c>
      <c r="AO245" s="220">
        <f t="shared" ca="1" si="1158"/>
        <v>3668.4640134679557</v>
      </c>
      <c r="AP245" s="220">
        <f t="shared" ca="1" si="1158"/>
        <v>3977.1190134679618</v>
      </c>
      <c r="AQ245" s="220">
        <f t="shared" ca="1" si="1158"/>
        <v>4285.7740134679607</v>
      </c>
      <c r="AR245" s="220">
        <f t="shared" ca="1" si="1158"/>
        <v>4285.7740134679607</v>
      </c>
      <c r="AS245" s="220">
        <f t="shared" ca="1" si="1158"/>
        <v>4285.7740134679607</v>
      </c>
      <c r="AT245" s="220">
        <f t="shared" ca="1" si="1158"/>
        <v>4285.7740134679607</v>
      </c>
      <c r="AU245" s="220">
        <f t="shared" ca="1" si="1158"/>
        <v>4285.7740134679607</v>
      </c>
      <c r="AV245" s="220">
        <f t="shared" ca="1" si="1158"/>
        <v>4285.7740134679607</v>
      </c>
      <c r="AW245" s="220">
        <f t="shared" ref="AW245:CB245" ca="1" si="1159">IF(AW$231="","",SUM(AW243:AW244))</f>
        <v>4285.7740134679607</v>
      </c>
      <c r="AX245" s="220">
        <f t="shared" ca="1" si="1159"/>
        <v>4285.7740134679607</v>
      </c>
      <c r="AY245" s="220">
        <f t="shared" ca="1" si="1159"/>
        <v>4285.7740134679607</v>
      </c>
      <c r="AZ245" s="220">
        <f t="shared" ca="1" si="1159"/>
        <v>4285.7740134679607</v>
      </c>
      <c r="BA245" s="220">
        <f t="shared" ca="1" si="1159"/>
        <v>1828828.3435941045</v>
      </c>
      <c r="BB245" s="220" t="str">
        <f t="shared" si="1159"/>
        <v/>
      </c>
      <c r="BC245" s="220" t="str">
        <f t="shared" si="1159"/>
        <v/>
      </c>
      <c r="BD245" s="220" t="str">
        <f t="shared" si="1159"/>
        <v/>
      </c>
      <c r="BE245" s="220" t="str">
        <f t="shared" si="1159"/>
        <v/>
      </c>
      <c r="BF245" s="220" t="str">
        <f t="shared" si="1159"/>
        <v/>
      </c>
      <c r="BG245" s="220" t="str">
        <f t="shared" si="1159"/>
        <v/>
      </c>
      <c r="BH245" s="220" t="str">
        <f t="shared" si="1159"/>
        <v/>
      </c>
      <c r="BI245" s="220" t="str">
        <f t="shared" si="1159"/>
        <v/>
      </c>
      <c r="BJ245" s="220" t="str">
        <f t="shared" si="1159"/>
        <v/>
      </c>
      <c r="BK245" s="220" t="str">
        <f t="shared" si="1159"/>
        <v/>
      </c>
      <c r="BL245" s="220" t="str">
        <f t="shared" si="1159"/>
        <v/>
      </c>
      <c r="BM245" s="220" t="str">
        <f t="shared" si="1159"/>
        <v/>
      </c>
      <c r="BN245" s="220" t="str">
        <f t="shared" si="1159"/>
        <v/>
      </c>
      <c r="BO245" s="220" t="str">
        <f t="shared" si="1159"/>
        <v/>
      </c>
      <c r="BP245" s="220" t="str">
        <f t="shared" si="1159"/>
        <v/>
      </c>
      <c r="BQ245" s="220" t="str">
        <f t="shared" si="1159"/>
        <v/>
      </c>
      <c r="BR245" s="220" t="str">
        <f t="shared" si="1159"/>
        <v/>
      </c>
      <c r="BS245" s="220" t="str">
        <f t="shared" si="1159"/>
        <v/>
      </c>
      <c r="BT245" s="220" t="str">
        <f t="shared" si="1159"/>
        <v/>
      </c>
      <c r="BU245" s="220" t="str">
        <f t="shared" si="1159"/>
        <v/>
      </c>
      <c r="BV245" s="220" t="str">
        <f t="shared" si="1159"/>
        <v/>
      </c>
      <c r="BW245" s="220" t="str">
        <f t="shared" si="1159"/>
        <v/>
      </c>
      <c r="BX245" s="220" t="str">
        <f t="shared" si="1159"/>
        <v/>
      </c>
      <c r="BY245" s="220" t="str">
        <f t="shared" si="1159"/>
        <v/>
      </c>
      <c r="BZ245" s="220" t="str">
        <f t="shared" si="1159"/>
        <v/>
      </c>
      <c r="CA245" s="220" t="str">
        <f t="shared" si="1159"/>
        <v/>
      </c>
      <c r="CB245" s="220" t="str">
        <f t="shared" si="1159"/>
        <v/>
      </c>
      <c r="CC245" s="220" t="str">
        <f t="shared" ref="CC245:DH245" si="1160">IF(CC$231="","",SUM(CC243:CC244))</f>
        <v/>
      </c>
      <c r="CD245" s="220" t="str">
        <f t="shared" si="1160"/>
        <v/>
      </c>
      <c r="CE245" s="220" t="str">
        <f t="shared" si="1160"/>
        <v/>
      </c>
      <c r="CF245" s="220" t="str">
        <f t="shared" si="1160"/>
        <v/>
      </c>
      <c r="CG245" s="220" t="str">
        <f t="shared" si="1160"/>
        <v/>
      </c>
      <c r="CH245" s="220" t="str">
        <f t="shared" si="1160"/>
        <v/>
      </c>
      <c r="CI245" s="220" t="str">
        <f t="shared" si="1160"/>
        <v/>
      </c>
      <c r="CJ245" s="220" t="str">
        <f t="shared" si="1160"/>
        <v/>
      </c>
      <c r="CK245" s="220" t="str">
        <f t="shared" si="1160"/>
        <v/>
      </c>
      <c r="CL245" s="220" t="str">
        <f t="shared" si="1160"/>
        <v/>
      </c>
      <c r="CM245" s="220" t="str">
        <f t="shared" si="1160"/>
        <v/>
      </c>
      <c r="CN245" s="220" t="str">
        <f t="shared" si="1160"/>
        <v/>
      </c>
      <c r="CO245" s="220" t="str">
        <f t="shared" si="1160"/>
        <v/>
      </c>
      <c r="CP245" s="220" t="str">
        <f t="shared" si="1160"/>
        <v/>
      </c>
      <c r="CQ245" s="220" t="str">
        <f t="shared" si="1160"/>
        <v/>
      </c>
      <c r="CR245" s="220" t="str">
        <f t="shared" si="1160"/>
        <v/>
      </c>
      <c r="CS245" s="220" t="str">
        <f t="shared" si="1160"/>
        <v/>
      </c>
      <c r="CT245" s="220" t="str">
        <f t="shared" si="1160"/>
        <v/>
      </c>
      <c r="CU245" s="220" t="str">
        <f t="shared" si="1160"/>
        <v/>
      </c>
      <c r="CV245" s="220" t="str">
        <f t="shared" si="1160"/>
        <v/>
      </c>
      <c r="CW245" s="220" t="str">
        <f t="shared" si="1160"/>
        <v/>
      </c>
      <c r="CX245" s="220" t="str">
        <f t="shared" si="1160"/>
        <v/>
      </c>
      <c r="CY245" s="220" t="str">
        <f t="shared" si="1160"/>
        <v/>
      </c>
      <c r="CZ245" s="220" t="str">
        <f t="shared" si="1160"/>
        <v/>
      </c>
      <c r="DA245" s="220" t="str">
        <f t="shared" si="1160"/>
        <v/>
      </c>
      <c r="DB245" s="220" t="str">
        <f t="shared" si="1160"/>
        <v/>
      </c>
      <c r="DC245" s="220" t="str">
        <f t="shared" si="1160"/>
        <v/>
      </c>
      <c r="DD245" s="220" t="str">
        <f t="shared" si="1160"/>
        <v/>
      </c>
      <c r="DE245" s="220" t="str">
        <f t="shared" si="1160"/>
        <v/>
      </c>
      <c r="DF245" s="220" t="str">
        <f t="shared" si="1160"/>
        <v/>
      </c>
      <c r="DG245" s="220" t="str">
        <f t="shared" si="1160"/>
        <v/>
      </c>
      <c r="DH245" s="220" t="str">
        <f t="shared" si="1160"/>
        <v/>
      </c>
      <c r="DI245" s="220" t="str">
        <f t="shared" ref="DI245:EN245" si="1161">IF(DI$231="","",SUM(DI243:DI244))</f>
        <v/>
      </c>
      <c r="DJ245" s="220" t="str">
        <f t="shared" si="1161"/>
        <v/>
      </c>
      <c r="DK245" s="220" t="str">
        <f t="shared" si="1161"/>
        <v/>
      </c>
      <c r="DL245" s="220" t="str">
        <f t="shared" si="1161"/>
        <v/>
      </c>
      <c r="DM245" s="220" t="str">
        <f t="shared" si="1161"/>
        <v/>
      </c>
      <c r="DN245" s="220" t="str">
        <f t="shared" si="1161"/>
        <v/>
      </c>
      <c r="DO245" s="220" t="str">
        <f t="shared" si="1161"/>
        <v/>
      </c>
      <c r="DP245" s="220" t="str">
        <f t="shared" si="1161"/>
        <v/>
      </c>
      <c r="DQ245" s="220" t="str">
        <f t="shared" si="1161"/>
        <v/>
      </c>
      <c r="DR245" s="220" t="str">
        <f t="shared" si="1161"/>
        <v/>
      </c>
      <c r="DS245" s="220" t="str">
        <f t="shared" si="1161"/>
        <v/>
      </c>
      <c r="DT245" s="220" t="str">
        <f t="shared" si="1161"/>
        <v/>
      </c>
      <c r="DU245" s="220" t="str">
        <f t="shared" si="1161"/>
        <v/>
      </c>
      <c r="DV245" s="220" t="str">
        <f t="shared" si="1161"/>
        <v/>
      </c>
      <c r="DW245" s="220" t="str">
        <f t="shared" si="1161"/>
        <v/>
      </c>
      <c r="DX245" s="220" t="str">
        <f t="shared" si="1161"/>
        <v/>
      </c>
      <c r="DY245" s="220" t="str">
        <f t="shared" si="1161"/>
        <v/>
      </c>
      <c r="DZ245" s="220" t="str">
        <f t="shared" si="1161"/>
        <v/>
      </c>
      <c r="EA245" s="220" t="str">
        <f t="shared" si="1161"/>
        <v/>
      </c>
      <c r="EB245" s="220" t="str">
        <f t="shared" si="1161"/>
        <v/>
      </c>
      <c r="EC245" s="220" t="str">
        <f t="shared" si="1161"/>
        <v/>
      </c>
      <c r="ED245" s="220" t="str">
        <f t="shared" si="1161"/>
        <v/>
      </c>
      <c r="EE245" s="220" t="str">
        <f t="shared" si="1161"/>
        <v/>
      </c>
      <c r="EF245" s="220" t="str">
        <f t="shared" si="1161"/>
        <v/>
      </c>
      <c r="EG245" s="220" t="str">
        <f t="shared" si="1161"/>
        <v/>
      </c>
      <c r="EH245" s="220" t="str">
        <f t="shared" si="1161"/>
        <v/>
      </c>
      <c r="EI245" s="220" t="str">
        <f t="shared" si="1161"/>
        <v/>
      </c>
      <c r="EJ245" s="220" t="str">
        <f t="shared" si="1161"/>
        <v/>
      </c>
      <c r="EK245" s="220" t="str">
        <f t="shared" si="1161"/>
        <v/>
      </c>
      <c r="EL245" s="220" t="str">
        <f t="shared" si="1161"/>
        <v/>
      </c>
      <c r="EM245" s="220" t="str">
        <f t="shared" si="1161"/>
        <v/>
      </c>
      <c r="EN245" s="220" t="str">
        <f t="shared" si="1161"/>
        <v/>
      </c>
      <c r="EO245" s="220" t="str">
        <f>IF(EO$231="","",SUM(EO243:EO244))</f>
        <v/>
      </c>
      <c r="EP245" s="220" t="str">
        <f>IF(EP$231="","",SUM(EP243:EP244))</f>
        <v/>
      </c>
      <c r="EQ245" s="220" t="str">
        <f>IF(EQ$231="","",SUM(EQ243:EQ244))</f>
        <v/>
      </c>
      <c r="ER245" s="220" t="str">
        <f>IF(ER$231="","",SUM(ER243:ER244))</f>
        <v/>
      </c>
      <c r="ES245" s="220" t="str">
        <f>IF(ES$231="","",SUM(ES243:ES244))</f>
        <v/>
      </c>
      <c r="EU245" s="202"/>
      <c r="EV245" s="153"/>
      <c r="EW245" s="153"/>
      <c r="EX245" s="153"/>
      <c r="EY245" s="154" t="s">
        <v>378</v>
      </c>
      <c r="EZ245" s="154"/>
      <c r="FA245" s="388">
        <f t="shared" ref="FA245:GF245" ca="1" si="1162">(FA$201&lt;=Timing_Reversion_Month)*(MIN(FA242+FA243,MAX(FA240,0)*$I$258))</f>
        <v>0</v>
      </c>
      <c r="FB245" s="388">
        <f t="shared" ca="1" si="1162"/>
        <v>0</v>
      </c>
      <c r="FC245" s="388">
        <f t="shared" ca="1" si="1162"/>
        <v>0</v>
      </c>
      <c r="FD245" s="388">
        <f t="shared" ca="1" si="1162"/>
        <v>0</v>
      </c>
      <c r="FE245" s="388">
        <f t="shared" ca="1" si="1162"/>
        <v>0</v>
      </c>
      <c r="FF245" s="388">
        <f t="shared" ca="1" si="1162"/>
        <v>0</v>
      </c>
      <c r="FG245" s="388">
        <f t="shared" ca="1" si="1162"/>
        <v>0</v>
      </c>
      <c r="FH245" s="388">
        <f t="shared" ca="1" si="1162"/>
        <v>0</v>
      </c>
      <c r="FI245" s="388">
        <f t="shared" ca="1" si="1162"/>
        <v>0</v>
      </c>
      <c r="FJ245" s="388">
        <f t="shared" ca="1" si="1162"/>
        <v>0</v>
      </c>
      <c r="FK245" s="388">
        <f t="shared" ca="1" si="1162"/>
        <v>0</v>
      </c>
      <c r="FL245" s="388">
        <f t="shared" ca="1" si="1162"/>
        <v>0</v>
      </c>
      <c r="FM245" s="388">
        <f t="shared" ca="1" si="1162"/>
        <v>769.03649999999936</v>
      </c>
      <c r="FN245" s="388">
        <f t="shared" ca="1" si="1162"/>
        <v>9836.0302499999998</v>
      </c>
      <c r="FO245" s="388">
        <f t="shared" ca="1" si="1162"/>
        <v>17691.443065618256</v>
      </c>
      <c r="FP245" s="388">
        <f t="shared" ca="1" si="1162"/>
        <v>2961.2629577399553</v>
      </c>
      <c r="FQ245" s="388">
        <f t="shared" ca="1" si="1162"/>
        <v>2961.2629577399553</v>
      </c>
      <c r="FR245" s="388">
        <f t="shared" ca="1" si="1162"/>
        <v>2961.2629577399553</v>
      </c>
      <c r="FS245" s="388">
        <f t="shared" ca="1" si="1162"/>
        <v>2961.2629577399553</v>
      </c>
      <c r="FT245" s="388">
        <f t="shared" ca="1" si="1162"/>
        <v>2961.2629577399553</v>
      </c>
      <c r="FU245" s="388">
        <f t="shared" ca="1" si="1162"/>
        <v>2961.2629577399553</v>
      </c>
      <c r="FV245" s="388">
        <f t="shared" ca="1" si="1162"/>
        <v>2961.2629577399553</v>
      </c>
      <c r="FW245" s="388">
        <f t="shared" ca="1" si="1162"/>
        <v>2961.2629577399553</v>
      </c>
      <c r="FX245" s="388">
        <f t="shared" ca="1" si="1162"/>
        <v>2961.2629577399553</v>
      </c>
      <c r="FY245" s="388">
        <f t="shared" ca="1" si="1162"/>
        <v>2090.0366777399513</v>
      </c>
      <c r="FZ245" s="388">
        <f t="shared" ca="1" si="1162"/>
        <v>2367.8261777399571</v>
      </c>
      <c r="GA245" s="388">
        <f t="shared" ca="1" si="1162"/>
        <v>2645.615677739956</v>
      </c>
      <c r="GB245" s="388">
        <f t="shared" ca="1" si="1162"/>
        <v>2645.615677739956</v>
      </c>
      <c r="GC245" s="388">
        <f t="shared" ca="1" si="1162"/>
        <v>2645.615677739956</v>
      </c>
      <c r="GD245" s="388">
        <f t="shared" ca="1" si="1162"/>
        <v>2645.615677739956</v>
      </c>
      <c r="GE245" s="388">
        <f t="shared" ca="1" si="1162"/>
        <v>2645.615677739956</v>
      </c>
      <c r="GF245" s="388">
        <f t="shared" ca="1" si="1162"/>
        <v>2645.615677739956</v>
      </c>
      <c r="GG245" s="388">
        <f t="shared" ref="GG245:HL245" ca="1" si="1163">(GG$201&lt;=Timing_Reversion_Month)*(MIN(GG242+GG243,MAX(GG240,0)*$I$258))</f>
        <v>2645.615677739956</v>
      </c>
      <c r="GH245" s="388">
        <f t="shared" ca="1" si="1163"/>
        <v>2645.615677739956</v>
      </c>
      <c r="GI245" s="388">
        <f t="shared" ca="1" si="1163"/>
        <v>2645.615677739956</v>
      </c>
      <c r="GJ245" s="388">
        <f t="shared" ca="1" si="1163"/>
        <v>2645.615677739956</v>
      </c>
      <c r="GK245" s="388">
        <f t="shared" ca="1" si="1163"/>
        <v>1644733.928300313</v>
      </c>
      <c r="GL245" s="423">
        <f t="shared" ca="1" si="1163"/>
        <v>0</v>
      </c>
      <c r="GM245" s="388">
        <f t="shared" ca="1" si="1163"/>
        <v>0</v>
      </c>
      <c r="GN245" s="388">
        <f t="shared" ca="1" si="1163"/>
        <v>0</v>
      </c>
      <c r="GO245" s="388">
        <f t="shared" ca="1" si="1163"/>
        <v>0</v>
      </c>
      <c r="GP245" s="388">
        <f t="shared" ca="1" si="1163"/>
        <v>0</v>
      </c>
      <c r="GQ245" s="388">
        <f t="shared" ca="1" si="1163"/>
        <v>0</v>
      </c>
      <c r="GR245" s="388">
        <f t="shared" ca="1" si="1163"/>
        <v>0</v>
      </c>
      <c r="GS245" s="388">
        <f t="shared" ca="1" si="1163"/>
        <v>0</v>
      </c>
      <c r="GT245" s="388">
        <f t="shared" ca="1" si="1163"/>
        <v>0</v>
      </c>
      <c r="GU245" s="388">
        <f t="shared" ca="1" si="1163"/>
        <v>0</v>
      </c>
      <c r="GV245" s="388">
        <f t="shared" ca="1" si="1163"/>
        <v>0</v>
      </c>
      <c r="GW245" s="388">
        <f t="shared" ca="1" si="1163"/>
        <v>0</v>
      </c>
      <c r="GX245" s="388">
        <f t="shared" ca="1" si="1163"/>
        <v>0</v>
      </c>
      <c r="GY245" s="388">
        <f t="shared" ca="1" si="1163"/>
        <v>0</v>
      </c>
      <c r="GZ245" s="388">
        <f t="shared" ca="1" si="1163"/>
        <v>0</v>
      </c>
      <c r="HA245" s="388">
        <f t="shared" ca="1" si="1163"/>
        <v>0</v>
      </c>
      <c r="HB245" s="388">
        <f t="shared" ca="1" si="1163"/>
        <v>0</v>
      </c>
      <c r="HC245" s="388">
        <f t="shared" ca="1" si="1163"/>
        <v>0</v>
      </c>
      <c r="HD245" s="388">
        <f t="shared" ca="1" si="1163"/>
        <v>0</v>
      </c>
      <c r="HE245" s="388">
        <f t="shared" ca="1" si="1163"/>
        <v>0</v>
      </c>
      <c r="HF245" s="388">
        <f t="shared" ca="1" si="1163"/>
        <v>0</v>
      </c>
      <c r="HG245" s="388">
        <f t="shared" ca="1" si="1163"/>
        <v>0</v>
      </c>
      <c r="HH245" s="388">
        <f t="shared" ca="1" si="1163"/>
        <v>0</v>
      </c>
      <c r="HI245" s="388">
        <f t="shared" ca="1" si="1163"/>
        <v>0</v>
      </c>
      <c r="HJ245" s="388">
        <f t="shared" ca="1" si="1163"/>
        <v>0</v>
      </c>
      <c r="HK245" s="388">
        <f t="shared" ca="1" si="1163"/>
        <v>0</v>
      </c>
      <c r="HL245" s="388">
        <f t="shared" ca="1" si="1163"/>
        <v>0</v>
      </c>
      <c r="HM245" s="388">
        <f t="shared" ref="HM245:IR245" ca="1" si="1164">(HM$201&lt;=Timing_Reversion_Month)*(MIN(HM242+HM243,MAX(HM240,0)*$I$258))</f>
        <v>0</v>
      </c>
      <c r="HN245" s="388">
        <f t="shared" ca="1" si="1164"/>
        <v>0</v>
      </c>
      <c r="HO245" s="388">
        <f t="shared" ca="1" si="1164"/>
        <v>0</v>
      </c>
      <c r="HP245" s="388">
        <f t="shared" ca="1" si="1164"/>
        <v>0</v>
      </c>
      <c r="HQ245" s="388">
        <f t="shared" ca="1" si="1164"/>
        <v>0</v>
      </c>
      <c r="HR245" s="388">
        <f t="shared" ca="1" si="1164"/>
        <v>0</v>
      </c>
      <c r="HS245" s="388">
        <f t="shared" ca="1" si="1164"/>
        <v>0</v>
      </c>
      <c r="HT245" s="388">
        <f t="shared" ca="1" si="1164"/>
        <v>0</v>
      </c>
      <c r="HU245" s="388">
        <f t="shared" ca="1" si="1164"/>
        <v>0</v>
      </c>
      <c r="HV245" s="388">
        <f t="shared" ca="1" si="1164"/>
        <v>0</v>
      </c>
      <c r="HW245" s="388">
        <f t="shared" ca="1" si="1164"/>
        <v>0</v>
      </c>
      <c r="HX245" s="388">
        <f t="shared" ca="1" si="1164"/>
        <v>0</v>
      </c>
      <c r="HY245" s="388">
        <f t="shared" ca="1" si="1164"/>
        <v>0</v>
      </c>
      <c r="HZ245" s="388">
        <f t="shared" ca="1" si="1164"/>
        <v>0</v>
      </c>
      <c r="IA245" s="388">
        <f t="shared" ca="1" si="1164"/>
        <v>0</v>
      </c>
      <c r="IB245" s="388">
        <f t="shared" ca="1" si="1164"/>
        <v>0</v>
      </c>
      <c r="IC245" s="388">
        <f t="shared" ca="1" si="1164"/>
        <v>0</v>
      </c>
      <c r="ID245" s="388">
        <f t="shared" ca="1" si="1164"/>
        <v>0</v>
      </c>
      <c r="IE245" s="388">
        <f t="shared" ca="1" si="1164"/>
        <v>0</v>
      </c>
      <c r="IF245" s="388">
        <f t="shared" ca="1" si="1164"/>
        <v>0</v>
      </c>
      <c r="IG245" s="388">
        <f t="shared" ca="1" si="1164"/>
        <v>0</v>
      </c>
      <c r="IH245" s="388">
        <f t="shared" ca="1" si="1164"/>
        <v>0</v>
      </c>
      <c r="II245" s="388">
        <f t="shared" ca="1" si="1164"/>
        <v>0</v>
      </c>
      <c r="IJ245" s="388">
        <f t="shared" ca="1" si="1164"/>
        <v>0</v>
      </c>
      <c r="IK245" s="388">
        <f t="shared" ca="1" si="1164"/>
        <v>0</v>
      </c>
      <c r="IL245" s="388">
        <f t="shared" ca="1" si="1164"/>
        <v>0</v>
      </c>
      <c r="IM245" s="388">
        <f t="shared" ca="1" si="1164"/>
        <v>0</v>
      </c>
      <c r="IN245" s="388">
        <f t="shared" ca="1" si="1164"/>
        <v>0</v>
      </c>
      <c r="IO245" s="388">
        <f t="shared" ca="1" si="1164"/>
        <v>0</v>
      </c>
      <c r="IP245" s="388">
        <f t="shared" ca="1" si="1164"/>
        <v>0</v>
      </c>
      <c r="IQ245" s="388">
        <f t="shared" ca="1" si="1164"/>
        <v>0</v>
      </c>
      <c r="IR245" s="388">
        <f t="shared" ca="1" si="1164"/>
        <v>0</v>
      </c>
      <c r="IS245" s="388">
        <f t="shared" ref="IS245:KC245" ca="1" si="1165">(IS$201&lt;=Timing_Reversion_Month)*(MIN(IS242+IS243,MAX(IS240,0)*$I$258))</f>
        <v>0</v>
      </c>
      <c r="IT245" s="388">
        <f t="shared" ca="1" si="1165"/>
        <v>0</v>
      </c>
      <c r="IU245" s="388">
        <f t="shared" ca="1" si="1165"/>
        <v>0</v>
      </c>
      <c r="IV245" s="388">
        <f t="shared" ca="1" si="1165"/>
        <v>0</v>
      </c>
      <c r="IW245" s="388">
        <f t="shared" ca="1" si="1165"/>
        <v>0</v>
      </c>
      <c r="IX245" s="388">
        <f t="shared" ca="1" si="1165"/>
        <v>0</v>
      </c>
      <c r="IY245" s="388">
        <f t="shared" ca="1" si="1165"/>
        <v>0</v>
      </c>
      <c r="IZ245" s="388">
        <f t="shared" ca="1" si="1165"/>
        <v>0</v>
      </c>
      <c r="JA245" s="388">
        <f t="shared" ca="1" si="1165"/>
        <v>0</v>
      </c>
      <c r="JB245" s="388">
        <f t="shared" ca="1" si="1165"/>
        <v>0</v>
      </c>
      <c r="JC245" s="388">
        <f t="shared" ca="1" si="1165"/>
        <v>0</v>
      </c>
      <c r="JD245" s="388">
        <f t="shared" ca="1" si="1165"/>
        <v>0</v>
      </c>
      <c r="JE245" s="388">
        <f t="shared" ca="1" si="1165"/>
        <v>0</v>
      </c>
      <c r="JF245" s="388">
        <f t="shared" ca="1" si="1165"/>
        <v>0</v>
      </c>
      <c r="JG245" s="388">
        <f t="shared" ca="1" si="1165"/>
        <v>0</v>
      </c>
      <c r="JH245" s="388">
        <f t="shared" ca="1" si="1165"/>
        <v>0</v>
      </c>
      <c r="JI245" s="388">
        <f t="shared" ca="1" si="1165"/>
        <v>0</v>
      </c>
      <c r="JJ245" s="388">
        <f t="shared" ca="1" si="1165"/>
        <v>0</v>
      </c>
      <c r="JK245" s="388">
        <f t="shared" ca="1" si="1165"/>
        <v>0</v>
      </c>
      <c r="JL245" s="388">
        <f t="shared" ca="1" si="1165"/>
        <v>0</v>
      </c>
      <c r="JM245" s="388">
        <f t="shared" ca="1" si="1165"/>
        <v>0</v>
      </c>
      <c r="JN245" s="388">
        <f t="shared" ca="1" si="1165"/>
        <v>0</v>
      </c>
      <c r="JO245" s="388">
        <f t="shared" ca="1" si="1165"/>
        <v>0</v>
      </c>
      <c r="JP245" s="388">
        <f t="shared" ca="1" si="1165"/>
        <v>0</v>
      </c>
      <c r="JQ245" s="388">
        <f t="shared" ca="1" si="1165"/>
        <v>0</v>
      </c>
      <c r="JR245" s="388">
        <f t="shared" ca="1" si="1165"/>
        <v>0</v>
      </c>
      <c r="JS245" s="388">
        <f t="shared" ca="1" si="1165"/>
        <v>0</v>
      </c>
      <c r="JT245" s="388">
        <f t="shared" ca="1" si="1165"/>
        <v>0</v>
      </c>
      <c r="JU245" s="388">
        <f t="shared" ca="1" si="1165"/>
        <v>0</v>
      </c>
      <c r="JV245" s="388">
        <f t="shared" ca="1" si="1165"/>
        <v>0</v>
      </c>
      <c r="JW245" s="388">
        <f t="shared" ca="1" si="1165"/>
        <v>0</v>
      </c>
      <c r="JX245" s="388">
        <f t="shared" ca="1" si="1165"/>
        <v>0</v>
      </c>
      <c r="JY245" s="388">
        <f t="shared" ca="1" si="1165"/>
        <v>0</v>
      </c>
      <c r="JZ245" s="388">
        <f t="shared" ca="1" si="1165"/>
        <v>0</v>
      </c>
      <c r="KA245" s="388">
        <f t="shared" ca="1" si="1165"/>
        <v>0</v>
      </c>
      <c r="KB245" s="388">
        <f t="shared" ca="1" si="1165"/>
        <v>0</v>
      </c>
      <c r="KC245" s="388">
        <f t="shared" ca="1" si="1165"/>
        <v>0</v>
      </c>
    </row>
    <row r="246" spans="2:289" ht="5.0999999999999996" customHeight="1" x14ac:dyDescent="0.25">
      <c r="B246" s="180"/>
      <c r="C246" s="181"/>
      <c r="D246" s="181"/>
      <c r="E246" s="181"/>
      <c r="F246" s="181"/>
      <c r="G246" s="181"/>
      <c r="H246" s="181"/>
      <c r="I246" s="181"/>
      <c r="EU246" s="202"/>
      <c r="EV246" s="153"/>
      <c r="EW246" s="153"/>
      <c r="EX246" s="153"/>
      <c r="EY246" s="154" t="s">
        <v>379</v>
      </c>
      <c r="EZ246" s="154"/>
      <c r="FA246" s="388">
        <f t="shared" ref="FA246:GF246" ca="1" si="1166">(FA$201&lt;=Timing_Reversion_Month)*(FA242+FA243+FA244-FA245)</f>
        <v>740252.57142857148</v>
      </c>
      <c r="FB246" s="388">
        <f t="shared" ca="1" si="1166"/>
        <v>760744.62848544412</v>
      </c>
      <c r="FC246" s="388">
        <f t="shared" ca="1" si="1166"/>
        <v>813481.99194264738</v>
      </c>
      <c r="FD246" s="388">
        <f t="shared" ca="1" si="1166"/>
        <v>942212.84105756064</v>
      </c>
      <c r="FE246" s="388">
        <f t="shared" ca="1" si="1166"/>
        <v>1203197.2375941365</v>
      </c>
      <c r="FF246" s="388">
        <f t="shared" ca="1" si="1166"/>
        <v>1486039.9828334367</v>
      </c>
      <c r="FG246" s="388">
        <f t="shared" ca="1" si="1166"/>
        <v>1496750.3534504236</v>
      </c>
      <c r="FH246" s="388">
        <f t="shared" ca="1" si="1166"/>
        <v>1507537.9171712827</v>
      </c>
      <c r="FI246" s="388">
        <f t="shared" ca="1" si="1166"/>
        <v>1518403.2303516716</v>
      </c>
      <c r="FJ246" s="388">
        <f t="shared" ca="1" si="1166"/>
        <v>1529346.8533570825</v>
      </c>
      <c r="FK246" s="388">
        <f t="shared" ca="1" si="1166"/>
        <v>1540369.3505917434</v>
      </c>
      <c r="FL246" s="388">
        <f t="shared" ca="1" si="1166"/>
        <v>1551471.2905277256</v>
      </c>
      <c r="FM246" s="388">
        <f t="shared" ca="1" si="1166"/>
        <v>1561884.2092342628</v>
      </c>
      <c r="FN246" s="388">
        <f t="shared" ca="1" si="1166"/>
        <v>1563305.1834625825</v>
      </c>
      <c r="FO246" s="388">
        <f t="shared" ca="1" si="1166"/>
        <v>1556880.9862959716</v>
      </c>
      <c r="FP246" s="388">
        <f t="shared" ca="1" si="1166"/>
        <v>1565140.6679712126</v>
      </c>
      <c r="FQ246" s="388">
        <f t="shared" ca="1" si="1166"/>
        <v>1573459.8798427754</v>
      </c>
      <c r="FR246" s="388">
        <f t="shared" ca="1" si="1166"/>
        <v>1581839.0509640321</v>
      </c>
      <c r="FS246" s="388">
        <f t="shared" ca="1" si="1166"/>
        <v>1590278.6134806809</v>
      </c>
      <c r="FT246" s="388">
        <f t="shared" ca="1" si="1166"/>
        <v>1598779.0026530339</v>
      </c>
      <c r="FU246" s="388">
        <f t="shared" ca="1" si="1166"/>
        <v>1607340.6568784651</v>
      </c>
      <c r="FV246" s="388">
        <f t="shared" ca="1" si="1166"/>
        <v>1615964.0177140199</v>
      </c>
      <c r="FW246" s="388">
        <f t="shared" ca="1" si="1166"/>
        <v>1624649.5298991883</v>
      </c>
      <c r="FX246" s="388">
        <f t="shared" ca="1" si="1166"/>
        <v>1633397.6413788414</v>
      </c>
      <c r="FY246" s="388">
        <f t="shared" ca="1" si="1166"/>
        <v>1643080.0296063337</v>
      </c>
      <c r="FZ246" s="388">
        <f t="shared" ca="1" si="1166"/>
        <v>1652554.4124362541</v>
      </c>
      <c r="GA246" s="388">
        <f t="shared" ca="1" si="1166"/>
        <v>1661819.2907064506</v>
      </c>
      <c r="GB246" s="388">
        <f t="shared" ca="1" si="1166"/>
        <v>1671150.9439498249</v>
      </c>
      <c r="GC246" s="388">
        <f t="shared" ca="1" si="1166"/>
        <v>1680549.8534351983</v>
      </c>
      <c r="GD246" s="388">
        <f t="shared" ca="1" si="1166"/>
        <v>1690016.503900052</v>
      </c>
      <c r="GE246" s="388">
        <f t="shared" ca="1" si="1166"/>
        <v>1699551.3835755268</v>
      </c>
      <c r="GF246" s="388">
        <f t="shared" ca="1" si="1166"/>
        <v>1709154.9842116032</v>
      </c>
      <c r="GG246" s="388">
        <f t="shared" ref="GG246:HL246" ca="1" si="1167">(GG$201&lt;=Timing_Reversion_Month)*(GG242+GG243+GG244-GG245)</f>
        <v>1718827.8011024627</v>
      </c>
      <c r="GH246" s="388">
        <f t="shared" ca="1" si="1167"/>
        <v>1728570.3331120326</v>
      </c>
      <c r="GI246" s="388">
        <f t="shared" ca="1" si="1167"/>
        <v>1738383.0826997133</v>
      </c>
      <c r="GJ246" s="388">
        <f t="shared" ca="1" si="1167"/>
        <v>1748266.5559462926</v>
      </c>
      <c r="GK246" s="388">
        <f t="shared" ca="1" si="1167"/>
        <v>116132.94995747344</v>
      </c>
      <c r="GL246" s="388">
        <f t="shared" ca="1" si="1167"/>
        <v>0</v>
      </c>
      <c r="GM246" s="388">
        <f t="shared" ca="1" si="1167"/>
        <v>0</v>
      </c>
      <c r="GN246" s="388">
        <f t="shared" ca="1" si="1167"/>
        <v>0</v>
      </c>
      <c r="GO246" s="388">
        <f t="shared" ca="1" si="1167"/>
        <v>0</v>
      </c>
      <c r="GP246" s="388">
        <f t="shared" ca="1" si="1167"/>
        <v>0</v>
      </c>
      <c r="GQ246" s="388">
        <f t="shared" ca="1" si="1167"/>
        <v>0</v>
      </c>
      <c r="GR246" s="388">
        <f t="shared" ca="1" si="1167"/>
        <v>0</v>
      </c>
      <c r="GS246" s="388">
        <f t="shared" ca="1" si="1167"/>
        <v>0</v>
      </c>
      <c r="GT246" s="388">
        <f t="shared" ca="1" si="1167"/>
        <v>0</v>
      </c>
      <c r="GU246" s="388">
        <f t="shared" ca="1" si="1167"/>
        <v>0</v>
      </c>
      <c r="GV246" s="388">
        <f t="shared" ca="1" si="1167"/>
        <v>0</v>
      </c>
      <c r="GW246" s="388">
        <f t="shared" ca="1" si="1167"/>
        <v>0</v>
      </c>
      <c r="GX246" s="388">
        <f t="shared" ca="1" si="1167"/>
        <v>0</v>
      </c>
      <c r="GY246" s="388">
        <f t="shared" ca="1" si="1167"/>
        <v>0</v>
      </c>
      <c r="GZ246" s="388">
        <f t="shared" ca="1" si="1167"/>
        <v>0</v>
      </c>
      <c r="HA246" s="388">
        <f t="shared" ca="1" si="1167"/>
        <v>0</v>
      </c>
      <c r="HB246" s="388">
        <f t="shared" ca="1" si="1167"/>
        <v>0</v>
      </c>
      <c r="HC246" s="388">
        <f t="shared" ca="1" si="1167"/>
        <v>0</v>
      </c>
      <c r="HD246" s="388">
        <f t="shared" ca="1" si="1167"/>
        <v>0</v>
      </c>
      <c r="HE246" s="388">
        <f t="shared" ca="1" si="1167"/>
        <v>0</v>
      </c>
      <c r="HF246" s="388">
        <f t="shared" ca="1" si="1167"/>
        <v>0</v>
      </c>
      <c r="HG246" s="388">
        <f t="shared" ca="1" si="1167"/>
        <v>0</v>
      </c>
      <c r="HH246" s="388">
        <f t="shared" ca="1" si="1167"/>
        <v>0</v>
      </c>
      <c r="HI246" s="388">
        <f t="shared" ca="1" si="1167"/>
        <v>0</v>
      </c>
      <c r="HJ246" s="388">
        <f t="shared" ca="1" si="1167"/>
        <v>0</v>
      </c>
      <c r="HK246" s="388">
        <f t="shared" ca="1" si="1167"/>
        <v>0</v>
      </c>
      <c r="HL246" s="388">
        <f t="shared" ca="1" si="1167"/>
        <v>0</v>
      </c>
      <c r="HM246" s="388">
        <f t="shared" ref="HM246:IR246" ca="1" si="1168">(HM$201&lt;=Timing_Reversion_Month)*(HM242+HM243+HM244-HM245)</f>
        <v>0</v>
      </c>
      <c r="HN246" s="388">
        <f t="shared" ca="1" si="1168"/>
        <v>0</v>
      </c>
      <c r="HO246" s="388">
        <f t="shared" ca="1" si="1168"/>
        <v>0</v>
      </c>
      <c r="HP246" s="388">
        <f t="shared" ca="1" si="1168"/>
        <v>0</v>
      </c>
      <c r="HQ246" s="388">
        <f t="shared" ca="1" si="1168"/>
        <v>0</v>
      </c>
      <c r="HR246" s="388">
        <f t="shared" ca="1" si="1168"/>
        <v>0</v>
      </c>
      <c r="HS246" s="388">
        <f t="shared" ca="1" si="1168"/>
        <v>0</v>
      </c>
      <c r="HT246" s="388">
        <f t="shared" ca="1" si="1168"/>
        <v>0</v>
      </c>
      <c r="HU246" s="388">
        <f t="shared" ca="1" si="1168"/>
        <v>0</v>
      </c>
      <c r="HV246" s="388">
        <f t="shared" ca="1" si="1168"/>
        <v>0</v>
      </c>
      <c r="HW246" s="388">
        <f t="shared" ca="1" si="1168"/>
        <v>0</v>
      </c>
      <c r="HX246" s="388">
        <f t="shared" ca="1" si="1168"/>
        <v>0</v>
      </c>
      <c r="HY246" s="388">
        <f t="shared" ca="1" si="1168"/>
        <v>0</v>
      </c>
      <c r="HZ246" s="388">
        <f t="shared" ca="1" si="1168"/>
        <v>0</v>
      </c>
      <c r="IA246" s="388">
        <f t="shared" ca="1" si="1168"/>
        <v>0</v>
      </c>
      <c r="IB246" s="388">
        <f t="shared" ca="1" si="1168"/>
        <v>0</v>
      </c>
      <c r="IC246" s="388">
        <f t="shared" ca="1" si="1168"/>
        <v>0</v>
      </c>
      <c r="ID246" s="388">
        <f t="shared" ca="1" si="1168"/>
        <v>0</v>
      </c>
      <c r="IE246" s="388">
        <f t="shared" ca="1" si="1168"/>
        <v>0</v>
      </c>
      <c r="IF246" s="388">
        <f t="shared" ca="1" si="1168"/>
        <v>0</v>
      </c>
      <c r="IG246" s="388">
        <f t="shared" ca="1" si="1168"/>
        <v>0</v>
      </c>
      <c r="IH246" s="388">
        <f t="shared" ca="1" si="1168"/>
        <v>0</v>
      </c>
      <c r="II246" s="388">
        <f t="shared" ca="1" si="1168"/>
        <v>0</v>
      </c>
      <c r="IJ246" s="388">
        <f t="shared" ca="1" si="1168"/>
        <v>0</v>
      </c>
      <c r="IK246" s="388">
        <f t="shared" ca="1" si="1168"/>
        <v>0</v>
      </c>
      <c r="IL246" s="388">
        <f t="shared" ca="1" si="1168"/>
        <v>0</v>
      </c>
      <c r="IM246" s="388">
        <f t="shared" ca="1" si="1168"/>
        <v>0</v>
      </c>
      <c r="IN246" s="388">
        <f t="shared" ca="1" si="1168"/>
        <v>0</v>
      </c>
      <c r="IO246" s="388">
        <f t="shared" ca="1" si="1168"/>
        <v>0</v>
      </c>
      <c r="IP246" s="388">
        <f t="shared" ca="1" si="1168"/>
        <v>0</v>
      </c>
      <c r="IQ246" s="388">
        <f t="shared" ca="1" si="1168"/>
        <v>0</v>
      </c>
      <c r="IR246" s="388">
        <f t="shared" ca="1" si="1168"/>
        <v>0</v>
      </c>
      <c r="IS246" s="388">
        <f t="shared" ref="IS246:JX246" ca="1" si="1169">(IS$201&lt;=Timing_Reversion_Month)*(IS242+IS243+IS244-IS245)</f>
        <v>0</v>
      </c>
      <c r="IT246" s="388">
        <f t="shared" ca="1" si="1169"/>
        <v>0</v>
      </c>
      <c r="IU246" s="388">
        <f t="shared" ca="1" si="1169"/>
        <v>0</v>
      </c>
      <c r="IV246" s="388">
        <f t="shared" ca="1" si="1169"/>
        <v>0</v>
      </c>
      <c r="IW246" s="388">
        <f t="shared" ca="1" si="1169"/>
        <v>0</v>
      </c>
      <c r="IX246" s="388">
        <f t="shared" ca="1" si="1169"/>
        <v>0</v>
      </c>
      <c r="IY246" s="388">
        <f t="shared" ca="1" si="1169"/>
        <v>0</v>
      </c>
      <c r="IZ246" s="388">
        <f t="shared" ca="1" si="1169"/>
        <v>0</v>
      </c>
      <c r="JA246" s="388">
        <f t="shared" ca="1" si="1169"/>
        <v>0</v>
      </c>
      <c r="JB246" s="388">
        <f t="shared" ca="1" si="1169"/>
        <v>0</v>
      </c>
      <c r="JC246" s="388">
        <f t="shared" ca="1" si="1169"/>
        <v>0</v>
      </c>
      <c r="JD246" s="388">
        <f t="shared" ca="1" si="1169"/>
        <v>0</v>
      </c>
      <c r="JE246" s="388">
        <f t="shared" ca="1" si="1169"/>
        <v>0</v>
      </c>
      <c r="JF246" s="388">
        <f t="shared" ca="1" si="1169"/>
        <v>0</v>
      </c>
      <c r="JG246" s="388">
        <f t="shared" ca="1" si="1169"/>
        <v>0</v>
      </c>
      <c r="JH246" s="388">
        <f t="shared" ca="1" si="1169"/>
        <v>0</v>
      </c>
      <c r="JI246" s="388">
        <f t="shared" ca="1" si="1169"/>
        <v>0</v>
      </c>
      <c r="JJ246" s="388">
        <f t="shared" ca="1" si="1169"/>
        <v>0</v>
      </c>
      <c r="JK246" s="388">
        <f t="shared" ca="1" si="1169"/>
        <v>0</v>
      </c>
      <c r="JL246" s="388">
        <f t="shared" ca="1" si="1169"/>
        <v>0</v>
      </c>
      <c r="JM246" s="388">
        <f t="shared" ca="1" si="1169"/>
        <v>0</v>
      </c>
      <c r="JN246" s="388">
        <f t="shared" ca="1" si="1169"/>
        <v>0</v>
      </c>
      <c r="JO246" s="388">
        <f t="shared" ca="1" si="1169"/>
        <v>0</v>
      </c>
      <c r="JP246" s="388">
        <f t="shared" ca="1" si="1169"/>
        <v>0</v>
      </c>
      <c r="JQ246" s="388">
        <f t="shared" ca="1" si="1169"/>
        <v>0</v>
      </c>
      <c r="JR246" s="388">
        <f t="shared" ca="1" si="1169"/>
        <v>0</v>
      </c>
      <c r="JS246" s="388">
        <f t="shared" ca="1" si="1169"/>
        <v>0</v>
      </c>
      <c r="JT246" s="388">
        <f t="shared" ca="1" si="1169"/>
        <v>0</v>
      </c>
      <c r="JU246" s="388">
        <f t="shared" ca="1" si="1169"/>
        <v>0</v>
      </c>
      <c r="JV246" s="388">
        <f t="shared" ca="1" si="1169"/>
        <v>0</v>
      </c>
      <c r="JW246" s="388">
        <f t="shared" ca="1" si="1169"/>
        <v>0</v>
      </c>
      <c r="JX246" s="388">
        <f t="shared" ca="1" si="1169"/>
        <v>0</v>
      </c>
      <c r="JY246" s="388">
        <f t="shared" ref="JY246:KC246" ca="1" si="1170">(JY$201&lt;=Timing_Reversion_Month)*(JY242+JY243+JY244-JY245)</f>
        <v>0</v>
      </c>
      <c r="JZ246" s="388">
        <f t="shared" ca="1" si="1170"/>
        <v>0</v>
      </c>
      <c r="KA246" s="388">
        <f t="shared" ca="1" si="1170"/>
        <v>0</v>
      </c>
      <c r="KB246" s="388">
        <f t="shared" ca="1" si="1170"/>
        <v>0</v>
      </c>
      <c r="KC246" s="388">
        <f t="shared" ca="1" si="1170"/>
        <v>0</v>
      </c>
    </row>
    <row r="247" spans="2:289" x14ac:dyDescent="0.25">
      <c r="B247" s="209" t="s">
        <v>333</v>
      </c>
      <c r="C247" s="181"/>
      <c r="D247" s="181"/>
      <c r="E247" s="181"/>
      <c r="F247" s="210" t="s">
        <v>850</v>
      </c>
      <c r="G247" s="210" t="s">
        <v>849</v>
      </c>
      <c r="H247" s="210" t="s">
        <v>191</v>
      </c>
      <c r="I247" s="210" t="s">
        <v>44</v>
      </c>
      <c r="EU247" s="202"/>
      <c r="EV247" s="153"/>
      <c r="EW247" s="153"/>
      <c r="EX247" s="154" t="s">
        <v>354</v>
      </c>
      <c r="EY247" s="393">
        <f ca="1">XIRR(OFFSET(FA247,,,1,Timing_Reversion_Month+1),OFFSET($FA$23,,,1,Timing_Reversion_Month+1))</f>
        <v>6.4810648560524015E-2</v>
      </c>
      <c r="EZ247" s="154"/>
      <c r="FA247" s="386">
        <f ca="1">+-FA244+FA245</f>
        <v>-740252.57142857148</v>
      </c>
      <c r="FB247" s="386">
        <f t="shared" ref="FB247:HM247" ca="1" si="1171">+-FB244+FB245</f>
        <v>-15156.817438985376</v>
      </c>
      <c r="FC247" s="386">
        <f t="shared" ca="1" si="1171"/>
        <v>-47254.430958694291</v>
      </c>
      <c r="FD247" s="386">
        <f t="shared" ca="1" si="1171"/>
        <v>-122867.82138712759</v>
      </c>
      <c r="FE247" s="386">
        <f t="shared" ca="1" si="1171"/>
        <v>-254193.56395845834</v>
      </c>
      <c r="FF247" s="386">
        <f t="shared" ca="1" si="1171"/>
        <v>-274170.9137348769</v>
      </c>
      <c r="FG247" s="386">
        <f t="shared" ca="1" si="1171"/>
        <v>0</v>
      </c>
      <c r="FH247" s="386">
        <f t="shared" ca="1" si="1171"/>
        <v>0</v>
      </c>
      <c r="FI247" s="386">
        <f t="shared" ca="1" si="1171"/>
        <v>0</v>
      </c>
      <c r="FJ247" s="386">
        <f t="shared" ca="1" si="1171"/>
        <v>0</v>
      </c>
      <c r="FK247" s="386">
        <f t="shared" ca="1" si="1171"/>
        <v>0</v>
      </c>
      <c r="FL247" s="386">
        <f t="shared" ca="1" si="1171"/>
        <v>0</v>
      </c>
      <c r="FM247" s="386">
        <f t="shared" ca="1" si="1171"/>
        <v>769.03649999999936</v>
      </c>
      <c r="FN247" s="386">
        <f t="shared" ca="1" si="1171"/>
        <v>9836.0302499999998</v>
      </c>
      <c r="FO247" s="386">
        <f t="shared" ca="1" si="1171"/>
        <v>17691.443065618256</v>
      </c>
      <c r="FP247" s="386">
        <f t="shared" ca="1" si="1171"/>
        <v>2961.2629577399553</v>
      </c>
      <c r="FQ247" s="386">
        <f t="shared" ca="1" si="1171"/>
        <v>2961.2629577399553</v>
      </c>
      <c r="FR247" s="386">
        <f t="shared" ca="1" si="1171"/>
        <v>2961.2629577399553</v>
      </c>
      <c r="FS247" s="386">
        <f t="shared" ca="1" si="1171"/>
        <v>2961.2629577399553</v>
      </c>
      <c r="FT247" s="386">
        <f t="shared" ca="1" si="1171"/>
        <v>2961.2629577399553</v>
      </c>
      <c r="FU247" s="386">
        <f t="shared" ca="1" si="1171"/>
        <v>2961.2629577399553</v>
      </c>
      <c r="FV247" s="386">
        <f t="shared" ca="1" si="1171"/>
        <v>2961.2629577399553</v>
      </c>
      <c r="FW247" s="386">
        <f t="shared" ca="1" si="1171"/>
        <v>2961.2629577399553</v>
      </c>
      <c r="FX247" s="386">
        <f t="shared" ca="1" si="1171"/>
        <v>2961.2629577399553</v>
      </c>
      <c r="FY247" s="386">
        <f t="shared" ca="1" si="1171"/>
        <v>2090.0366777399513</v>
      </c>
      <c r="FZ247" s="386">
        <f t="shared" ca="1" si="1171"/>
        <v>2367.8261777399571</v>
      </c>
      <c r="GA247" s="386">
        <f t="shared" ca="1" si="1171"/>
        <v>2645.615677739956</v>
      </c>
      <c r="GB247" s="386">
        <f t="shared" ca="1" si="1171"/>
        <v>2645.615677739956</v>
      </c>
      <c r="GC247" s="386">
        <f t="shared" ca="1" si="1171"/>
        <v>2645.615677739956</v>
      </c>
      <c r="GD247" s="386">
        <f t="shared" ca="1" si="1171"/>
        <v>2645.615677739956</v>
      </c>
      <c r="GE247" s="386">
        <f t="shared" ca="1" si="1171"/>
        <v>2645.615677739956</v>
      </c>
      <c r="GF247" s="386">
        <f t="shared" ca="1" si="1171"/>
        <v>2645.615677739956</v>
      </c>
      <c r="GG247" s="386">
        <f t="shared" ca="1" si="1171"/>
        <v>2645.615677739956</v>
      </c>
      <c r="GH247" s="386">
        <f t="shared" ca="1" si="1171"/>
        <v>2645.615677739956</v>
      </c>
      <c r="GI247" s="386">
        <f t="shared" ca="1" si="1171"/>
        <v>2645.615677739956</v>
      </c>
      <c r="GJ247" s="386">
        <f t="shared" ca="1" si="1171"/>
        <v>2645.615677739956</v>
      </c>
      <c r="GK247" s="386">
        <f t="shared" ca="1" si="1171"/>
        <v>1644733.928300313</v>
      </c>
      <c r="GL247" s="386">
        <f t="shared" ca="1" si="1171"/>
        <v>0</v>
      </c>
      <c r="GM247" s="386">
        <f t="shared" ca="1" si="1171"/>
        <v>0</v>
      </c>
      <c r="GN247" s="386">
        <f t="shared" ca="1" si="1171"/>
        <v>0</v>
      </c>
      <c r="GO247" s="386">
        <f t="shared" ca="1" si="1171"/>
        <v>0</v>
      </c>
      <c r="GP247" s="386">
        <f t="shared" ca="1" si="1171"/>
        <v>0</v>
      </c>
      <c r="GQ247" s="386">
        <f t="shared" ca="1" si="1171"/>
        <v>0</v>
      </c>
      <c r="GR247" s="386">
        <f t="shared" ca="1" si="1171"/>
        <v>0</v>
      </c>
      <c r="GS247" s="386">
        <f t="shared" ca="1" si="1171"/>
        <v>0</v>
      </c>
      <c r="GT247" s="386">
        <f t="shared" ca="1" si="1171"/>
        <v>0</v>
      </c>
      <c r="GU247" s="386">
        <f t="shared" ca="1" si="1171"/>
        <v>0</v>
      </c>
      <c r="GV247" s="386">
        <f t="shared" ca="1" si="1171"/>
        <v>0</v>
      </c>
      <c r="GW247" s="386">
        <f t="shared" ca="1" si="1171"/>
        <v>0</v>
      </c>
      <c r="GX247" s="386">
        <f t="shared" ca="1" si="1171"/>
        <v>0</v>
      </c>
      <c r="GY247" s="386">
        <f t="shared" ca="1" si="1171"/>
        <v>0</v>
      </c>
      <c r="GZ247" s="386">
        <f t="shared" ca="1" si="1171"/>
        <v>0</v>
      </c>
      <c r="HA247" s="386">
        <f t="shared" ca="1" si="1171"/>
        <v>0</v>
      </c>
      <c r="HB247" s="386">
        <f t="shared" ca="1" si="1171"/>
        <v>0</v>
      </c>
      <c r="HC247" s="386">
        <f t="shared" ca="1" si="1171"/>
        <v>0</v>
      </c>
      <c r="HD247" s="386">
        <f t="shared" ca="1" si="1171"/>
        <v>0</v>
      </c>
      <c r="HE247" s="386">
        <f t="shared" ca="1" si="1171"/>
        <v>0</v>
      </c>
      <c r="HF247" s="386">
        <f t="shared" ca="1" si="1171"/>
        <v>0</v>
      </c>
      <c r="HG247" s="386">
        <f t="shared" ca="1" si="1171"/>
        <v>0</v>
      </c>
      <c r="HH247" s="386">
        <f t="shared" ca="1" si="1171"/>
        <v>0</v>
      </c>
      <c r="HI247" s="386">
        <f t="shared" ca="1" si="1171"/>
        <v>0</v>
      </c>
      <c r="HJ247" s="386">
        <f t="shared" ca="1" si="1171"/>
        <v>0</v>
      </c>
      <c r="HK247" s="386">
        <f t="shared" ca="1" si="1171"/>
        <v>0</v>
      </c>
      <c r="HL247" s="386">
        <f t="shared" ca="1" si="1171"/>
        <v>0</v>
      </c>
      <c r="HM247" s="386">
        <f t="shared" ca="1" si="1171"/>
        <v>0</v>
      </c>
      <c r="HN247" s="386">
        <f t="shared" ref="HN247:JY247" ca="1" si="1172">+-HN244+HN245</f>
        <v>0</v>
      </c>
      <c r="HO247" s="386">
        <f t="shared" ca="1" si="1172"/>
        <v>0</v>
      </c>
      <c r="HP247" s="386">
        <f t="shared" ca="1" si="1172"/>
        <v>0</v>
      </c>
      <c r="HQ247" s="386">
        <f t="shared" ca="1" si="1172"/>
        <v>0</v>
      </c>
      <c r="HR247" s="386">
        <f t="shared" ca="1" si="1172"/>
        <v>0</v>
      </c>
      <c r="HS247" s="386">
        <f t="shared" ca="1" si="1172"/>
        <v>0</v>
      </c>
      <c r="HT247" s="386">
        <f t="shared" ca="1" si="1172"/>
        <v>0</v>
      </c>
      <c r="HU247" s="386">
        <f t="shared" ca="1" si="1172"/>
        <v>0</v>
      </c>
      <c r="HV247" s="386">
        <f t="shared" ca="1" si="1172"/>
        <v>0</v>
      </c>
      <c r="HW247" s="386">
        <f t="shared" ca="1" si="1172"/>
        <v>0</v>
      </c>
      <c r="HX247" s="386">
        <f t="shared" ca="1" si="1172"/>
        <v>0</v>
      </c>
      <c r="HY247" s="386">
        <f t="shared" ca="1" si="1172"/>
        <v>0</v>
      </c>
      <c r="HZ247" s="386">
        <f t="shared" ca="1" si="1172"/>
        <v>0</v>
      </c>
      <c r="IA247" s="386">
        <f t="shared" ca="1" si="1172"/>
        <v>0</v>
      </c>
      <c r="IB247" s="386">
        <f t="shared" ca="1" si="1172"/>
        <v>0</v>
      </c>
      <c r="IC247" s="386">
        <f t="shared" ca="1" si="1172"/>
        <v>0</v>
      </c>
      <c r="ID247" s="386">
        <f t="shared" ca="1" si="1172"/>
        <v>0</v>
      </c>
      <c r="IE247" s="386">
        <f t="shared" ca="1" si="1172"/>
        <v>0</v>
      </c>
      <c r="IF247" s="386">
        <f t="shared" ca="1" si="1172"/>
        <v>0</v>
      </c>
      <c r="IG247" s="386">
        <f t="shared" ca="1" si="1172"/>
        <v>0</v>
      </c>
      <c r="IH247" s="386">
        <f t="shared" ca="1" si="1172"/>
        <v>0</v>
      </c>
      <c r="II247" s="386">
        <f t="shared" ca="1" si="1172"/>
        <v>0</v>
      </c>
      <c r="IJ247" s="386">
        <f t="shared" ca="1" si="1172"/>
        <v>0</v>
      </c>
      <c r="IK247" s="386">
        <f t="shared" ca="1" si="1172"/>
        <v>0</v>
      </c>
      <c r="IL247" s="386">
        <f t="shared" ca="1" si="1172"/>
        <v>0</v>
      </c>
      <c r="IM247" s="386">
        <f t="shared" ca="1" si="1172"/>
        <v>0</v>
      </c>
      <c r="IN247" s="386">
        <f t="shared" ca="1" si="1172"/>
        <v>0</v>
      </c>
      <c r="IO247" s="386">
        <f t="shared" ca="1" si="1172"/>
        <v>0</v>
      </c>
      <c r="IP247" s="386">
        <f t="shared" ca="1" si="1172"/>
        <v>0</v>
      </c>
      <c r="IQ247" s="386">
        <f t="shared" ca="1" si="1172"/>
        <v>0</v>
      </c>
      <c r="IR247" s="386">
        <f t="shared" ca="1" si="1172"/>
        <v>0</v>
      </c>
      <c r="IS247" s="386">
        <f t="shared" ca="1" si="1172"/>
        <v>0</v>
      </c>
      <c r="IT247" s="386">
        <f t="shared" ca="1" si="1172"/>
        <v>0</v>
      </c>
      <c r="IU247" s="386">
        <f t="shared" ca="1" si="1172"/>
        <v>0</v>
      </c>
      <c r="IV247" s="386">
        <f t="shared" ca="1" si="1172"/>
        <v>0</v>
      </c>
      <c r="IW247" s="386">
        <f t="shared" ca="1" si="1172"/>
        <v>0</v>
      </c>
      <c r="IX247" s="386">
        <f t="shared" ca="1" si="1172"/>
        <v>0</v>
      </c>
      <c r="IY247" s="386">
        <f t="shared" ca="1" si="1172"/>
        <v>0</v>
      </c>
      <c r="IZ247" s="386">
        <f t="shared" ca="1" si="1172"/>
        <v>0</v>
      </c>
      <c r="JA247" s="386">
        <f t="shared" ca="1" si="1172"/>
        <v>0</v>
      </c>
      <c r="JB247" s="386">
        <f t="shared" ca="1" si="1172"/>
        <v>0</v>
      </c>
      <c r="JC247" s="386">
        <f t="shared" ca="1" si="1172"/>
        <v>0</v>
      </c>
      <c r="JD247" s="386">
        <f t="shared" ca="1" si="1172"/>
        <v>0</v>
      </c>
      <c r="JE247" s="386">
        <f t="shared" ca="1" si="1172"/>
        <v>0</v>
      </c>
      <c r="JF247" s="386">
        <f t="shared" ca="1" si="1172"/>
        <v>0</v>
      </c>
      <c r="JG247" s="386">
        <f t="shared" ca="1" si="1172"/>
        <v>0</v>
      </c>
      <c r="JH247" s="386">
        <f t="shared" ca="1" si="1172"/>
        <v>0</v>
      </c>
      <c r="JI247" s="386">
        <f t="shared" ca="1" si="1172"/>
        <v>0</v>
      </c>
      <c r="JJ247" s="386">
        <f t="shared" ca="1" si="1172"/>
        <v>0</v>
      </c>
      <c r="JK247" s="386">
        <f t="shared" ca="1" si="1172"/>
        <v>0</v>
      </c>
      <c r="JL247" s="386">
        <f t="shared" ca="1" si="1172"/>
        <v>0</v>
      </c>
      <c r="JM247" s="386">
        <f t="shared" ca="1" si="1172"/>
        <v>0</v>
      </c>
      <c r="JN247" s="386">
        <f t="shared" ca="1" si="1172"/>
        <v>0</v>
      </c>
      <c r="JO247" s="386">
        <f t="shared" ca="1" si="1172"/>
        <v>0</v>
      </c>
      <c r="JP247" s="386">
        <f t="shared" ca="1" si="1172"/>
        <v>0</v>
      </c>
      <c r="JQ247" s="386">
        <f t="shared" ca="1" si="1172"/>
        <v>0</v>
      </c>
      <c r="JR247" s="386">
        <f t="shared" ca="1" si="1172"/>
        <v>0</v>
      </c>
      <c r="JS247" s="386">
        <f t="shared" ca="1" si="1172"/>
        <v>0</v>
      </c>
      <c r="JT247" s="386">
        <f t="shared" ca="1" si="1172"/>
        <v>0</v>
      </c>
      <c r="JU247" s="386">
        <f t="shared" ca="1" si="1172"/>
        <v>0</v>
      </c>
      <c r="JV247" s="386">
        <f t="shared" ca="1" si="1172"/>
        <v>0</v>
      </c>
      <c r="JW247" s="386">
        <f t="shared" ca="1" si="1172"/>
        <v>0</v>
      </c>
      <c r="JX247" s="386">
        <f t="shared" ca="1" si="1172"/>
        <v>0</v>
      </c>
      <c r="JY247" s="386">
        <f t="shared" ca="1" si="1172"/>
        <v>0</v>
      </c>
      <c r="JZ247" s="386">
        <f ca="1">+-JZ244+JZ245</f>
        <v>0</v>
      </c>
      <c r="KA247" s="386">
        <f ca="1">+-KA244+KA245</f>
        <v>0</v>
      </c>
      <c r="KB247" s="386">
        <f ca="1">+-KB244+KB245</f>
        <v>0</v>
      </c>
      <c r="KC247" s="386">
        <f ca="1">+-KC244+KC245</f>
        <v>0</v>
      </c>
    </row>
    <row r="248" spans="2:289" x14ac:dyDescent="0.25">
      <c r="B248" s="180" t="s">
        <v>189</v>
      </c>
      <c r="C248" s="413" t="str">
        <f>C243</f>
        <v>OGM HOLDINGS</v>
      </c>
      <c r="D248" s="181"/>
      <c r="E248" s="181"/>
      <c r="F248" s="409">
        <f ca="1">IFERROR(I243/I232,"NA")</f>
        <v>1.2094826879251515</v>
      </c>
      <c r="G248" s="272">
        <f ca="1">IFERROR(IF($Q$59=0,XIRR(OFFSET($R$248,0,0,1,Timing_Analysis_End_Month),OFFSET($R$199,0,0,1,Timing_Analysis_End_Month)),XIRR(OFFSET($Q$248,0,0,1,Timing_Analysis_End_Month+1),OFFSET($Q$199,0,0,1,Timing_Analysis_End_Month+1))),"NA")</f>
        <v>7.1340659260749825E-2</v>
      </c>
      <c r="H248" s="365">
        <f ca="1">I248/$I$250</f>
        <v>1</v>
      </c>
      <c r="I248" s="218">
        <f ca="1">SUM(Q248:ES248)</f>
        <v>338406.74105836172</v>
      </c>
      <c r="Q248" s="220">
        <f t="shared" ref="Q248:AV248" ca="1" si="1173">IF(Q$231="","",-Q232+Q243)</f>
        <v>-822502.85714285716</v>
      </c>
      <c r="R248" s="220">
        <f t="shared" ca="1" si="1173"/>
        <v>-16840.908265539307</v>
      </c>
      <c r="S248" s="220">
        <f t="shared" ca="1" si="1173"/>
        <v>-52504.923287438098</v>
      </c>
      <c r="T248" s="220">
        <f t="shared" ca="1" si="1173"/>
        <v>-136519.80154125288</v>
      </c>
      <c r="U248" s="220">
        <f t="shared" ca="1" si="1173"/>
        <v>-282437.29328717594</v>
      </c>
      <c r="V248" s="220">
        <f t="shared" ca="1" si="1173"/>
        <v>-304634.34859430767</v>
      </c>
      <c r="W248" s="220">
        <f t="shared" ca="1" si="1173"/>
        <v>0</v>
      </c>
      <c r="X248" s="220">
        <f t="shared" ca="1" si="1173"/>
        <v>0</v>
      </c>
      <c r="Y248" s="220">
        <f t="shared" ca="1" si="1173"/>
        <v>0</v>
      </c>
      <c r="Z248" s="220">
        <f t="shared" ca="1" si="1173"/>
        <v>0</v>
      </c>
      <c r="AA248" s="220">
        <f t="shared" ca="1" si="1173"/>
        <v>0</v>
      </c>
      <c r="AB248" s="220">
        <f t="shared" ca="1" si="1173"/>
        <v>0</v>
      </c>
      <c r="AC248" s="220">
        <f t="shared" ca="1" si="1173"/>
        <v>854.48499999999933</v>
      </c>
      <c r="AD248" s="220">
        <f t="shared" ca="1" si="1173"/>
        <v>10928.922499999999</v>
      </c>
      <c r="AE248" s="220">
        <f t="shared" ca="1" si="1173"/>
        <v>21003.359999999404</v>
      </c>
      <c r="AF248" s="220">
        <f t="shared" ca="1" si="1173"/>
        <v>4636.4932134679602</v>
      </c>
      <c r="AG248" s="220">
        <f t="shared" ca="1" si="1173"/>
        <v>4636.4932134679602</v>
      </c>
      <c r="AH248" s="220">
        <f t="shared" ca="1" si="1173"/>
        <v>4636.4932134679602</v>
      </c>
      <c r="AI248" s="220">
        <f t="shared" ca="1" si="1173"/>
        <v>4636.4932134679602</v>
      </c>
      <c r="AJ248" s="220">
        <f t="shared" ca="1" si="1173"/>
        <v>4636.4932134679602</v>
      </c>
      <c r="AK248" s="220">
        <f t="shared" ca="1" si="1173"/>
        <v>4636.4932134679602</v>
      </c>
      <c r="AL248" s="220">
        <f t="shared" ca="1" si="1173"/>
        <v>4636.4932134679602</v>
      </c>
      <c r="AM248" s="220">
        <f t="shared" ca="1" si="1173"/>
        <v>4636.4932134679602</v>
      </c>
      <c r="AN248" s="220">
        <f t="shared" ca="1" si="1173"/>
        <v>4636.4932134679602</v>
      </c>
      <c r="AO248" s="220">
        <f t="shared" ca="1" si="1173"/>
        <v>3668.4640134679557</v>
      </c>
      <c r="AP248" s="220">
        <f t="shared" ca="1" si="1173"/>
        <v>3977.1190134679618</v>
      </c>
      <c r="AQ248" s="220">
        <f t="shared" ca="1" si="1173"/>
        <v>4285.7740134679607</v>
      </c>
      <c r="AR248" s="220">
        <f t="shared" ca="1" si="1173"/>
        <v>4285.7740134679607</v>
      </c>
      <c r="AS248" s="220">
        <f t="shared" ca="1" si="1173"/>
        <v>4285.7740134679607</v>
      </c>
      <c r="AT248" s="220">
        <f t="shared" ca="1" si="1173"/>
        <v>4285.7740134679607</v>
      </c>
      <c r="AU248" s="220">
        <f t="shared" ca="1" si="1173"/>
        <v>4285.7740134679607</v>
      </c>
      <c r="AV248" s="220">
        <f t="shared" ca="1" si="1173"/>
        <v>4285.7740134679607</v>
      </c>
      <c r="AW248" s="220">
        <f t="shared" ref="AW248:CB248" ca="1" si="1174">IF(AW$231="","",-AW232+AW243)</f>
        <v>4285.7740134679607</v>
      </c>
      <c r="AX248" s="220">
        <f t="shared" ca="1" si="1174"/>
        <v>4285.7740134679607</v>
      </c>
      <c r="AY248" s="220">
        <f t="shared" ca="1" si="1174"/>
        <v>4285.7740134679607</v>
      </c>
      <c r="AZ248" s="220">
        <f t="shared" ca="1" si="1174"/>
        <v>4285.7740134679607</v>
      </c>
      <c r="BA248" s="220">
        <f t="shared" ca="1" si="1174"/>
        <v>1828828.3435941045</v>
      </c>
      <c r="BB248" s="220" t="str">
        <f t="shared" si="1174"/>
        <v/>
      </c>
      <c r="BC248" s="220" t="str">
        <f t="shared" si="1174"/>
        <v/>
      </c>
      <c r="BD248" s="220" t="str">
        <f t="shared" si="1174"/>
        <v/>
      </c>
      <c r="BE248" s="220" t="str">
        <f t="shared" si="1174"/>
        <v/>
      </c>
      <c r="BF248" s="220" t="str">
        <f t="shared" si="1174"/>
        <v/>
      </c>
      <c r="BG248" s="220" t="str">
        <f t="shared" si="1174"/>
        <v/>
      </c>
      <c r="BH248" s="220" t="str">
        <f t="shared" si="1174"/>
        <v/>
      </c>
      <c r="BI248" s="220" t="str">
        <f t="shared" si="1174"/>
        <v/>
      </c>
      <c r="BJ248" s="220" t="str">
        <f t="shared" si="1174"/>
        <v/>
      </c>
      <c r="BK248" s="220" t="str">
        <f t="shared" si="1174"/>
        <v/>
      </c>
      <c r="BL248" s="220" t="str">
        <f t="shared" si="1174"/>
        <v/>
      </c>
      <c r="BM248" s="220" t="str">
        <f t="shared" si="1174"/>
        <v/>
      </c>
      <c r="BN248" s="220" t="str">
        <f t="shared" si="1174"/>
        <v/>
      </c>
      <c r="BO248" s="220" t="str">
        <f t="shared" si="1174"/>
        <v/>
      </c>
      <c r="BP248" s="220" t="str">
        <f t="shared" si="1174"/>
        <v/>
      </c>
      <c r="BQ248" s="220" t="str">
        <f t="shared" si="1174"/>
        <v/>
      </c>
      <c r="BR248" s="220" t="str">
        <f t="shared" si="1174"/>
        <v/>
      </c>
      <c r="BS248" s="220" t="str">
        <f t="shared" si="1174"/>
        <v/>
      </c>
      <c r="BT248" s="220" t="str">
        <f t="shared" si="1174"/>
        <v/>
      </c>
      <c r="BU248" s="220" t="str">
        <f t="shared" si="1174"/>
        <v/>
      </c>
      <c r="BV248" s="220" t="str">
        <f t="shared" si="1174"/>
        <v/>
      </c>
      <c r="BW248" s="220" t="str">
        <f t="shared" si="1174"/>
        <v/>
      </c>
      <c r="BX248" s="220" t="str">
        <f t="shared" si="1174"/>
        <v/>
      </c>
      <c r="BY248" s="220" t="str">
        <f t="shared" si="1174"/>
        <v/>
      </c>
      <c r="BZ248" s="220" t="str">
        <f t="shared" si="1174"/>
        <v/>
      </c>
      <c r="CA248" s="220" t="str">
        <f t="shared" si="1174"/>
        <v/>
      </c>
      <c r="CB248" s="220" t="str">
        <f t="shared" si="1174"/>
        <v/>
      </c>
      <c r="CC248" s="220" t="str">
        <f t="shared" ref="CC248:DH248" si="1175">IF(CC$231="","",-CC232+CC243)</f>
        <v/>
      </c>
      <c r="CD248" s="220" t="str">
        <f t="shared" si="1175"/>
        <v/>
      </c>
      <c r="CE248" s="220" t="str">
        <f t="shared" si="1175"/>
        <v/>
      </c>
      <c r="CF248" s="220" t="str">
        <f t="shared" si="1175"/>
        <v/>
      </c>
      <c r="CG248" s="220" t="str">
        <f t="shared" si="1175"/>
        <v/>
      </c>
      <c r="CH248" s="220" t="str">
        <f t="shared" si="1175"/>
        <v/>
      </c>
      <c r="CI248" s="220" t="str">
        <f t="shared" si="1175"/>
        <v/>
      </c>
      <c r="CJ248" s="220" t="str">
        <f t="shared" si="1175"/>
        <v/>
      </c>
      <c r="CK248" s="220" t="str">
        <f t="shared" si="1175"/>
        <v/>
      </c>
      <c r="CL248" s="220" t="str">
        <f t="shared" si="1175"/>
        <v/>
      </c>
      <c r="CM248" s="220" t="str">
        <f t="shared" si="1175"/>
        <v/>
      </c>
      <c r="CN248" s="220" t="str">
        <f t="shared" si="1175"/>
        <v/>
      </c>
      <c r="CO248" s="220" t="str">
        <f t="shared" si="1175"/>
        <v/>
      </c>
      <c r="CP248" s="220" t="str">
        <f t="shared" si="1175"/>
        <v/>
      </c>
      <c r="CQ248" s="220" t="str">
        <f t="shared" si="1175"/>
        <v/>
      </c>
      <c r="CR248" s="220" t="str">
        <f t="shared" si="1175"/>
        <v/>
      </c>
      <c r="CS248" s="220" t="str">
        <f t="shared" si="1175"/>
        <v/>
      </c>
      <c r="CT248" s="220" t="str">
        <f t="shared" si="1175"/>
        <v/>
      </c>
      <c r="CU248" s="220" t="str">
        <f t="shared" si="1175"/>
        <v/>
      </c>
      <c r="CV248" s="220" t="str">
        <f t="shared" si="1175"/>
        <v/>
      </c>
      <c r="CW248" s="220" t="str">
        <f t="shared" si="1175"/>
        <v/>
      </c>
      <c r="CX248" s="220" t="str">
        <f t="shared" si="1175"/>
        <v/>
      </c>
      <c r="CY248" s="220" t="str">
        <f t="shared" si="1175"/>
        <v/>
      </c>
      <c r="CZ248" s="220" t="str">
        <f t="shared" si="1175"/>
        <v/>
      </c>
      <c r="DA248" s="220" t="str">
        <f t="shared" si="1175"/>
        <v/>
      </c>
      <c r="DB248" s="220" t="str">
        <f t="shared" si="1175"/>
        <v/>
      </c>
      <c r="DC248" s="220" t="str">
        <f t="shared" si="1175"/>
        <v/>
      </c>
      <c r="DD248" s="220" t="str">
        <f t="shared" si="1175"/>
        <v/>
      </c>
      <c r="DE248" s="220" t="str">
        <f t="shared" si="1175"/>
        <v/>
      </c>
      <c r="DF248" s="220" t="str">
        <f t="shared" si="1175"/>
        <v/>
      </c>
      <c r="DG248" s="220" t="str">
        <f t="shared" si="1175"/>
        <v/>
      </c>
      <c r="DH248" s="220" t="str">
        <f t="shared" si="1175"/>
        <v/>
      </c>
      <c r="DI248" s="220" t="str">
        <f t="shared" ref="DI248:ES248" si="1176">IF(DI$231="","",-DI232+DI243)</f>
        <v/>
      </c>
      <c r="DJ248" s="220" t="str">
        <f t="shared" si="1176"/>
        <v/>
      </c>
      <c r="DK248" s="220" t="str">
        <f t="shared" si="1176"/>
        <v/>
      </c>
      <c r="DL248" s="220" t="str">
        <f t="shared" si="1176"/>
        <v/>
      </c>
      <c r="DM248" s="220" t="str">
        <f t="shared" si="1176"/>
        <v/>
      </c>
      <c r="DN248" s="220" t="str">
        <f t="shared" si="1176"/>
        <v/>
      </c>
      <c r="DO248" s="220" t="str">
        <f t="shared" si="1176"/>
        <v/>
      </c>
      <c r="DP248" s="220" t="str">
        <f t="shared" si="1176"/>
        <v/>
      </c>
      <c r="DQ248" s="220" t="str">
        <f t="shared" si="1176"/>
        <v/>
      </c>
      <c r="DR248" s="220" t="str">
        <f t="shared" si="1176"/>
        <v/>
      </c>
      <c r="DS248" s="220" t="str">
        <f t="shared" si="1176"/>
        <v/>
      </c>
      <c r="DT248" s="220" t="str">
        <f t="shared" si="1176"/>
        <v/>
      </c>
      <c r="DU248" s="220" t="str">
        <f t="shared" si="1176"/>
        <v/>
      </c>
      <c r="DV248" s="220" t="str">
        <f t="shared" si="1176"/>
        <v/>
      </c>
      <c r="DW248" s="220" t="str">
        <f t="shared" si="1176"/>
        <v/>
      </c>
      <c r="DX248" s="220" t="str">
        <f t="shared" si="1176"/>
        <v/>
      </c>
      <c r="DY248" s="220" t="str">
        <f t="shared" si="1176"/>
        <v/>
      </c>
      <c r="DZ248" s="220" t="str">
        <f t="shared" si="1176"/>
        <v/>
      </c>
      <c r="EA248" s="220" t="str">
        <f t="shared" si="1176"/>
        <v/>
      </c>
      <c r="EB248" s="220" t="str">
        <f t="shared" si="1176"/>
        <v/>
      </c>
      <c r="EC248" s="220" t="str">
        <f t="shared" si="1176"/>
        <v/>
      </c>
      <c r="ED248" s="220" t="str">
        <f t="shared" si="1176"/>
        <v/>
      </c>
      <c r="EE248" s="220" t="str">
        <f t="shared" si="1176"/>
        <v/>
      </c>
      <c r="EF248" s="220" t="str">
        <f t="shared" si="1176"/>
        <v/>
      </c>
      <c r="EG248" s="220" t="str">
        <f t="shared" si="1176"/>
        <v/>
      </c>
      <c r="EH248" s="220" t="str">
        <f t="shared" si="1176"/>
        <v/>
      </c>
      <c r="EI248" s="220" t="str">
        <f t="shared" si="1176"/>
        <v/>
      </c>
      <c r="EJ248" s="220" t="str">
        <f t="shared" si="1176"/>
        <v/>
      </c>
      <c r="EK248" s="220" t="str">
        <f t="shared" si="1176"/>
        <v/>
      </c>
      <c r="EL248" s="220" t="str">
        <f t="shared" si="1176"/>
        <v/>
      </c>
      <c r="EM248" s="220" t="str">
        <f t="shared" si="1176"/>
        <v/>
      </c>
      <c r="EN248" s="220" t="str">
        <f t="shared" si="1176"/>
        <v/>
      </c>
      <c r="EO248" s="220" t="str">
        <f t="shared" si="1176"/>
        <v/>
      </c>
      <c r="EP248" s="220" t="str">
        <f t="shared" si="1176"/>
        <v/>
      </c>
      <c r="EQ248" s="220" t="str">
        <f t="shared" si="1176"/>
        <v/>
      </c>
      <c r="ER248" s="220" t="str">
        <f t="shared" si="1176"/>
        <v/>
      </c>
      <c r="ES248" s="220" t="str">
        <f t="shared" si="1176"/>
        <v/>
      </c>
      <c r="EU248" s="202"/>
      <c r="EV248" s="153"/>
      <c r="EW248" s="153"/>
      <c r="EX248" s="153"/>
      <c r="EY248" s="154" t="s">
        <v>374</v>
      </c>
      <c r="EZ248" s="154"/>
      <c r="FA248" s="388">
        <f t="shared" ref="FA248:GF248" ca="1" si="1177">(FA$201&lt;=Timing_Reversion_Month)*(FA245/$I$258*$H$258)</f>
        <v>0</v>
      </c>
      <c r="FB248" s="388">
        <f t="shared" ca="1" si="1177"/>
        <v>0</v>
      </c>
      <c r="FC248" s="388">
        <f t="shared" ca="1" si="1177"/>
        <v>0</v>
      </c>
      <c r="FD248" s="388">
        <f t="shared" ca="1" si="1177"/>
        <v>0</v>
      </c>
      <c r="FE248" s="388">
        <f t="shared" ca="1" si="1177"/>
        <v>0</v>
      </c>
      <c r="FF248" s="388">
        <f t="shared" ca="1" si="1177"/>
        <v>0</v>
      </c>
      <c r="FG248" s="388">
        <f t="shared" ca="1" si="1177"/>
        <v>0</v>
      </c>
      <c r="FH248" s="388">
        <f t="shared" ca="1" si="1177"/>
        <v>0</v>
      </c>
      <c r="FI248" s="388">
        <f t="shared" ca="1" si="1177"/>
        <v>0</v>
      </c>
      <c r="FJ248" s="388">
        <f t="shared" ca="1" si="1177"/>
        <v>0</v>
      </c>
      <c r="FK248" s="388">
        <f t="shared" ca="1" si="1177"/>
        <v>0</v>
      </c>
      <c r="FL248" s="388">
        <f t="shared" ca="1" si="1177"/>
        <v>0</v>
      </c>
      <c r="FM248" s="388">
        <f t="shared" ca="1" si="1177"/>
        <v>85.448499999999925</v>
      </c>
      <c r="FN248" s="388">
        <f t="shared" ca="1" si="1177"/>
        <v>1092.8922499999999</v>
      </c>
      <c r="FO248" s="388">
        <f t="shared" ca="1" si="1177"/>
        <v>1965.7158961798061</v>
      </c>
      <c r="FP248" s="388">
        <f t="shared" ca="1" si="1177"/>
        <v>329.02921752666174</v>
      </c>
      <c r="FQ248" s="388">
        <f t="shared" ca="1" si="1177"/>
        <v>329.02921752666174</v>
      </c>
      <c r="FR248" s="388">
        <f t="shared" ca="1" si="1177"/>
        <v>329.02921752666174</v>
      </c>
      <c r="FS248" s="388">
        <f t="shared" ca="1" si="1177"/>
        <v>329.02921752666174</v>
      </c>
      <c r="FT248" s="388">
        <f t="shared" ca="1" si="1177"/>
        <v>329.02921752666174</v>
      </c>
      <c r="FU248" s="388">
        <f t="shared" ca="1" si="1177"/>
        <v>329.02921752666174</v>
      </c>
      <c r="FV248" s="388">
        <f t="shared" ca="1" si="1177"/>
        <v>329.02921752666174</v>
      </c>
      <c r="FW248" s="388">
        <f t="shared" ca="1" si="1177"/>
        <v>329.02921752666174</v>
      </c>
      <c r="FX248" s="388">
        <f t="shared" ca="1" si="1177"/>
        <v>329.02921752666174</v>
      </c>
      <c r="FY248" s="388">
        <f t="shared" ca="1" si="1177"/>
        <v>232.22629752666126</v>
      </c>
      <c r="FZ248" s="388">
        <f t="shared" ca="1" si="1177"/>
        <v>263.09179752666194</v>
      </c>
      <c r="GA248" s="388">
        <f t="shared" ca="1" si="1177"/>
        <v>293.95729752666182</v>
      </c>
      <c r="GB248" s="388">
        <f t="shared" ca="1" si="1177"/>
        <v>293.95729752666182</v>
      </c>
      <c r="GC248" s="388">
        <f t="shared" ca="1" si="1177"/>
        <v>293.95729752666182</v>
      </c>
      <c r="GD248" s="388">
        <f t="shared" ca="1" si="1177"/>
        <v>293.95729752666182</v>
      </c>
      <c r="GE248" s="388">
        <f t="shared" ca="1" si="1177"/>
        <v>293.95729752666182</v>
      </c>
      <c r="GF248" s="388">
        <f t="shared" ca="1" si="1177"/>
        <v>293.95729752666182</v>
      </c>
      <c r="GG248" s="388">
        <f t="shared" ref="GG248:HL248" ca="1" si="1178">(GG$201&lt;=Timing_Reversion_Month)*(GG245/$I$258*$H$258)</f>
        <v>293.95729752666182</v>
      </c>
      <c r="GH248" s="388">
        <f t="shared" ca="1" si="1178"/>
        <v>293.95729752666182</v>
      </c>
      <c r="GI248" s="388">
        <f t="shared" ca="1" si="1178"/>
        <v>293.95729752666182</v>
      </c>
      <c r="GJ248" s="388">
        <f t="shared" ca="1" si="1178"/>
        <v>293.95729752666182</v>
      </c>
      <c r="GK248" s="388">
        <f t="shared" ca="1" si="1178"/>
        <v>182748.21425559034</v>
      </c>
      <c r="GL248" s="388">
        <f t="shared" ca="1" si="1178"/>
        <v>0</v>
      </c>
      <c r="GM248" s="388">
        <f t="shared" ca="1" si="1178"/>
        <v>0</v>
      </c>
      <c r="GN248" s="388">
        <f t="shared" ca="1" si="1178"/>
        <v>0</v>
      </c>
      <c r="GO248" s="388">
        <f t="shared" ca="1" si="1178"/>
        <v>0</v>
      </c>
      <c r="GP248" s="388">
        <f t="shared" ca="1" si="1178"/>
        <v>0</v>
      </c>
      <c r="GQ248" s="388">
        <f t="shared" ca="1" si="1178"/>
        <v>0</v>
      </c>
      <c r="GR248" s="388">
        <f t="shared" ca="1" si="1178"/>
        <v>0</v>
      </c>
      <c r="GS248" s="388">
        <f t="shared" ca="1" si="1178"/>
        <v>0</v>
      </c>
      <c r="GT248" s="388">
        <f t="shared" ca="1" si="1178"/>
        <v>0</v>
      </c>
      <c r="GU248" s="388">
        <f t="shared" ca="1" si="1178"/>
        <v>0</v>
      </c>
      <c r="GV248" s="388">
        <f t="shared" ca="1" si="1178"/>
        <v>0</v>
      </c>
      <c r="GW248" s="388">
        <f t="shared" ca="1" si="1178"/>
        <v>0</v>
      </c>
      <c r="GX248" s="388">
        <f t="shared" ca="1" si="1178"/>
        <v>0</v>
      </c>
      <c r="GY248" s="388">
        <f t="shared" ca="1" si="1178"/>
        <v>0</v>
      </c>
      <c r="GZ248" s="388">
        <f t="shared" ca="1" si="1178"/>
        <v>0</v>
      </c>
      <c r="HA248" s="388">
        <f t="shared" ca="1" si="1178"/>
        <v>0</v>
      </c>
      <c r="HB248" s="388">
        <f t="shared" ca="1" si="1178"/>
        <v>0</v>
      </c>
      <c r="HC248" s="388">
        <f t="shared" ca="1" si="1178"/>
        <v>0</v>
      </c>
      <c r="HD248" s="388">
        <f t="shared" ca="1" si="1178"/>
        <v>0</v>
      </c>
      <c r="HE248" s="388">
        <f t="shared" ca="1" si="1178"/>
        <v>0</v>
      </c>
      <c r="HF248" s="388">
        <f t="shared" ca="1" si="1178"/>
        <v>0</v>
      </c>
      <c r="HG248" s="388">
        <f t="shared" ca="1" si="1178"/>
        <v>0</v>
      </c>
      <c r="HH248" s="388">
        <f t="shared" ca="1" si="1178"/>
        <v>0</v>
      </c>
      <c r="HI248" s="388">
        <f t="shared" ca="1" si="1178"/>
        <v>0</v>
      </c>
      <c r="HJ248" s="388">
        <f t="shared" ca="1" si="1178"/>
        <v>0</v>
      </c>
      <c r="HK248" s="388">
        <f t="shared" ca="1" si="1178"/>
        <v>0</v>
      </c>
      <c r="HL248" s="388">
        <f t="shared" ca="1" si="1178"/>
        <v>0</v>
      </c>
      <c r="HM248" s="388">
        <f t="shared" ref="HM248:IR248" ca="1" si="1179">(HM$201&lt;=Timing_Reversion_Month)*(HM245/$I$258*$H$258)</f>
        <v>0</v>
      </c>
      <c r="HN248" s="388">
        <f t="shared" ca="1" si="1179"/>
        <v>0</v>
      </c>
      <c r="HO248" s="388">
        <f t="shared" ca="1" si="1179"/>
        <v>0</v>
      </c>
      <c r="HP248" s="388">
        <f t="shared" ca="1" si="1179"/>
        <v>0</v>
      </c>
      <c r="HQ248" s="388">
        <f t="shared" ca="1" si="1179"/>
        <v>0</v>
      </c>
      <c r="HR248" s="388">
        <f t="shared" ca="1" si="1179"/>
        <v>0</v>
      </c>
      <c r="HS248" s="388">
        <f t="shared" ca="1" si="1179"/>
        <v>0</v>
      </c>
      <c r="HT248" s="388">
        <f t="shared" ca="1" si="1179"/>
        <v>0</v>
      </c>
      <c r="HU248" s="388">
        <f t="shared" ca="1" si="1179"/>
        <v>0</v>
      </c>
      <c r="HV248" s="388">
        <f t="shared" ca="1" si="1179"/>
        <v>0</v>
      </c>
      <c r="HW248" s="388">
        <f t="shared" ca="1" si="1179"/>
        <v>0</v>
      </c>
      <c r="HX248" s="388">
        <f t="shared" ca="1" si="1179"/>
        <v>0</v>
      </c>
      <c r="HY248" s="388">
        <f t="shared" ca="1" si="1179"/>
        <v>0</v>
      </c>
      <c r="HZ248" s="388">
        <f t="shared" ca="1" si="1179"/>
        <v>0</v>
      </c>
      <c r="IA248" s="388">
        <f t="shared" ca="1" si="1179"/>
        <v>0</v>
      </c>
      <c r="IB248" s="388">
        <f t="shared" ca="1" si="1179"/>
        <v>0</v>
      </c>
      <c r="IC248" s="388">
        <f t="shared" ca="1" si="1179"/>
        <v>0</v>
      </c>
      <c r="ID248" s="388">
        <f t="shared" ca="1" si="1179"/>
        <v>0</v>
      </c>
      <c r="IE248" s="388">
        <f t="shared" ca="1" si="1179"/>
        <v>0</v>
      </c>
      <c r="IF248" s="388">
        <f t="shared" ca="1" si="1179"/>
        <v>0</v>
      </c>
      <c r="IG248" s="388">
        <f t="shared" ca="1" si="1179"/>
        <v>0</v>
      </c>
      <c r="IH248" s="388">
        <f t="shared" ca="1" si="1179"/>
        <v>0</v>
      </c>
      <c r="II248" s="388">
        <f t="shared" ca="1" si="1179"/>
        <v>0</v>
      </c>
      <c r="IJ248" s="388">
        <f t="shared" ca="1" si="1179"/>
        <v>0</v>
      </c>
      <c r="IK248" s="388">
        <f t="shared" ca="1" si="1179"/>
        <v>0</v>
      </c>
      <c r="IL248" s="388">
        <f t="shared" ca="1" si="1179"/>
        <v>0</v>
      </c>
      <c r="IM248" s="388">
        <f t="shared" ca="1" si="1179"/>
        <v>0</v>
      </c>
      <c r="IN248" s="388">
        <f t="shared" ca="1" si="1179"/>
        <v>0</v>
      </c>
      <c r="IO248" s="388">
        <f t="shared" ca="1" si="1179"/>
        <v>0</v>
      </c>
      <c r="IP248" s="388">
        <f t="shared" ca="1" si="1179"/>
        <v>0</v>
      </c>
      <c r="IQ248" s="388">
        <f t="shared" ca="1" si="1179"/>
        <v>0</v>
      </c>
      <c r="IR248" s="388">
        <f t="shared" ca="1" si="1179"/>
        <v>0</v>
      </c>
      <c r="IS248" s="388">
        <f t="shared" ref="IS248:KC248" ca="1" si="1180">(IS$201&lt;=Timing_Reversion_Month)*(IS245/$I$258*$H$258)</f>
        <v>0</v>
      </c>
      <c r="IT248" s="388">
        <f t="shared" ca="1" si="1180"/>
        <v>0</v>
      </c>
      <c r="IU248" s="388">
        <f t="shared" ca="1" si="1180"/>
        <v>0</v>
      </c>
      <c r="IV248" s="388">
        <f t="shared" ca="1" si="1180"/>
        <v>0</v>
      </c>
      <c r="IW248" s="388">
        <f t="shared" ca="1" si="1180"/>
        <v>0</v>
      </c>
      <c r="IX248" s="388">
        <f t="shared" ca="1" si="1180"/>
        <v>0</v>
      </c>
      <c r="IY248" s="388">
        <f t="shared" ca="1" si="1180"/>
        <v>0</v>
      </c>
      <c r="IZ248" s="388">
        <f t="shared" ca="1" si="1180"/>
        <v>0</v>
      </c>
      <c r="JA248" s="388">
        <f t="shared" ca="1" si="1180"/>
        <v>0</v>
      </c>
      <c r="JB248" s="388">
        <f t="shared" ca="1" si="1180"/>
        <v>0</v>
      </c>
      <c r="JC248" s="388">
        <f t="shared" ca="1" si="1180"/>
        <v>0</v>
      </c>
      <c r="JD248" s="388">
        <f t="shared" ca="1" si="1180"/>
        <v>0</v>
      </c>
      <c r="JE248" s="388">
        <f t="shared" ca="1" si="1180"/>
        <v>0</v>
      </c>
      <c r="JF248" s="388">
        <f t="shared" ca="1" si="1180"/>
        <v>0</v>
      </c>
      <c r="JG248" s="388">
        <f t="shared" ca="1" si="1180"/>
        <v>0</v>
      </c>
      <c r="JH248" s="388">
        <f t="shared" ca="1" si="1180"/>
        <v>0</v>
      </c>
      <c r="JI248" s="388">
        <f t="shared" ca="1" si="1180"/>
        <v>0</v>
      </c>
      <c r="JJ248" s="388">
        <f t="shared" ca="1" si="1180"/>
        <v>0</v>
      </c>
      <c r="JK248" s="388">
        <f t="shared" ca="1" si="1180"/>
        <v>0</v>
      </c>
      <c r="JL248" s="388">
        <f t="shared" ca="1" si="1180"/>
        <v>0</v>
      </c>
      <c r="JM248" s="388">
        <f t="shared" ca="1" si="1180"/>
        <v>0</v>
      </c>
      <c r="JN248" s="388">
        <f t="shared" ca="1" si="1180"/>
        <v>0</v>
      </c>
      <c r="JO248" s="388">
        <f t="shared" ca="1" si="1180"/>
        <v>0</v>
      </c>
      <c r="JP248" s="388">
        <f t="shared" ca="1" si="1180"/>
        <v>0</v>
      </c>
      <c r="JQ248" s="388">
        <f t="shared" ca="1" si="1180"/>
        <v>0</v>
      </c>
      <c r="JR248" s="388">
        <f t="shared" ca="1" si="1180"/>
        <v>0</v>
      </c>
      <c r="JS248" s="388">
        <f t="shared" ca="1" si="1180"/>
        <v>0</v>
      </c>
      <c r="JT248" s="388">
        <f t="shared" ca="1" si="1180"/>
        <v>0</v>
      </c>
      <c r="JU248" s="388">
        <f t="shared" ca="1" si="1180"/>
        <v>0</v>
      </c>
      <c r="JV248" s="388">
        <f t="shared" ca="1" si="1180"/>
        <v>0</v>
      </c>
      <c r="JW248" s="388">
        <f t="shared" ca="1" si="1180"/>
        <v>0</v>
      </c>
      <c r="JX248" s="388">
        <f t="shared" ca="1" si="1180"/>
        <v>0</v>
      </c>
      <c r="JY248" s="388">
        <f t="shared" ca="1" si="1180"/>
        <v>0</v>
      </c>
      <c r="JZ248" s="388">
        <f t="shared" ca="1" si="1180"/>
        <v>0</v>
      </c>
      <c r="KA248" s="388">
        <f t="shared" ca="1" si="1180"/>
        <v>0</v>
      </c>
      <c r="KB248" s="388">
        <f t="shared" ca="1" si="1180"/>
        <v>0</v>
      </c>
      <c r="KC248" s="388">
        <f t="shared" ca="1" si="1180"/>
        <v>0</v>
      </c>
    </row>
    <row r="249" spans="2:289" ht="16.5" x14ac:dyDescent="0.35">
      <c r="B249" s="209" t="s">
        <v>190</v>
      </c>
      <c r="C249" s="413" t="str">
        <f>C244</f>
        <v>LP</v>
      </c>
      <c r="D249" s="181"/>
      <c r="E249" s="181"/>
      <c r="F249" s="424" t="str">
        <f ca="1">IFERROR(I244/I233,"NA")</f>
        <v>NA</v>
      </c>
      <c r="G249" s="349" t="str">
        <f ca="1">IFERROR(IF($Q$59=0,XIRR(OFFSET($R$249,0,0,1,Timing_Analysis_End_Month),OFFSET($R$199,0,0,1,Timing_Analysis_End_Month)),XIRR(OFFSET($Q$249,0,0,1,Timing_Analysis_End_Month+1),OFFSET($Q$199,0,0,1,Timing_Analysis_End_Month+1))),"NA")</f>
        <v>NA</v>
      </c>
      <c r="H249" s="416">
        <f ca="1">I249/$I$250</f>
        <v>0</v>
      </c>
      <c r="I249" s="224">
        <f ca="1">SUM(Q249:ES249)</f>
        <v>0</v>
      </c>
      <c r="Q249" s="226">
        <f t="shared" ref="Q249:AV249" ca="1" si="1181">IF(Q$231="","",-Q233+Q244)</f>
        <v>0</v>
      </c>
      <c r="R249" s="226">
        <f t="shared" ca="1" si="1181"/>
        <v>0</v>
      </c>
      <c r="S249" s="226">
        <f t="shared" ca="1" si="1181"/>
        <v>0</v>
      </c>
      <c r="T249" s="226">
        <f t="shared" ca="1" si="1181"/>
        <v>0</v>
      </c>
      <c r="U249" s="226">
        <f t="shared" ca="1" si="1181"/>
        <v>0</v>
      </c>
      <c r="V249" s="226">
        <f t="shared" ca="1" si="1181"/>
        <v>0</v>
      </c>
      <c r="W249" s="226">
        <f t="shared" ca="1" si="1181"/>
        <v>0</v>
      </c>
      <c r="X249" s="226">
        <f t="shared" ca="1" si="1181"/>
        <v>0</v>
      </c>
      <c r="Y249" s="226">
        <f t="shared" ca="1" si="1181"/>
        <v>0</v>
      </c>
      <c r="Z249" s="226">
        <f t="shared" ca="1" si="1181"/>
        <v>0</v>
      </c>
      <c r="AA249" s="226">
        <f t="shared" ca="1" si="1181"/>
        <v>0</v>
      </c>
      <c r="AB249" s="226">
        <f t="shared" ca="1" si="1181"/>
        <v>0</v>
      </c>
      <c r="AC249" s="226">
        <f t="shared" ca="1" si="1181"/>
        <v>0</v>
      </c>
      <c r="AD249" s="226">
        <f t="shared" ca="1" si="1181"/>
        <v>0</v>
      </c>
      <c r="AE249" s="226">
        <f t="shared" ca="1" si="1181"/>
        <v>0</v>
      </c>
      <c r="AF249" s="226">
        <f t="shared" ca="1" si="1181"/>
        <v>0</v>
      </c>
      <c r="AG249" s="226">
        <f t="shared" ca="1" si="1181"/>
        <v>0</v>
      </c>
      <c r="AH249" s="226">
        <f t="shared" ca="1" si="1181"/>
        <v>0</v>
      </c>
      <c r="AI249" s="226">
        <f t="shared" ca="1" si="1181"/>
        <v>0</v>
      </c>
      <c r="AJ249" s="226">
        <f t="shared" ca="1" si="1181"/>
        <v>0</v>
      </c>
      <c r="AK249" s="226">
        <f t="shared" ca="1" si="1181"/>
        <v>0</v>
      </c>
      <c r="AL249" s="226">
        <f t="shared" ca="1" si="1181"/>
        <v>0</v>
      </c>
      <c r="AM249" s="226">
        <f t="shared" ca="1" si="1181"/>
        <v>0</v>
      </c>
      <c r="AN249" s="226">
        <f t="shared" ca="1" si="1181"/>
        <v>0</v>
      </c>
      <c r="AO249" s="226">
        <f t="shared" ca="1" si="1181"/>
        <v>0</v>
      </c>
      <c r="AP249" s="226">
        <f t="shared" ca="1" si="1181"/>
        <v>0</v>
      </c>
      <c r="AQ249" s="226">
        <f t="shared" ca="1" si="1181"/>
        <v>0</v>
      </c>
      <c r="AR249" s="226">
        <f t="shared" ca="1" si="1181"/>
        <v>0</v>
      </c>
      <c r="AS249" s="226">
        <f t="shared" ca="1" si="1181"/>
        <v>0</v>
      </c>
      <c r="AT249" s="226">
        <f t="shared" ca="1" si="1181"/>
        <v>0</v>
      </c>
      <c r="AU249" s="226">
        <f t="shared" ca="1" si="1181"/>
        <v>0</v>
      </c>
      <c r="AV249" s="226">
        <f t="shared" ca="1" si="1181"/>
        <v>0</v>
      </c>
      <c r="AW249" s="226">
        <f t="shared" ref="AW249:CB249" ca="1" si="1182">IF(AW$231="","",-AW233+AW244)</f>
        <v>0</v>
      </c>
      <c r="AX249" s="226">
        <f t="shared" ca="1" si="1182"/>
        <v>0</v>
      </c>
      <c r="AY249" s="226">
        <f t="shared" ca="1" si="1182"/>
        <v>0</v>
      </c>
      <c r="AZ249" s="226">
        <f t="shared" ca="1" si="1182"/>
        <v>0</v>
      </c>
      <c r="BA249" s="226">
        <f t="shared" ca="1" si="1182"/>
        <v>0</v>
      </c>
      <c r="BB249" s="226" t="str">
        <f t="shared" si="1182"/>
        <v/>
      </c>
      <c r="BC249" s="226" t="str">
        <f t="shared" si="1182"/>
        <v/>
      </c>
      <c r="BD249" s="226" t="str">
        <f t="shared" si="1182"/>
        <v/>
      </c>
      <c r="BE249" s="226" t="str">
        <f t="shared" si="1182"/>
        <v/>
      </c>
      <c r="BF249" s="226" t="str">
        <f t="shared" si="1182"/>
        <v/>
      </c>
      <c r="BG249" s="226" t="str">
        <f t="shared" si="1182"/>
        <v/>
      </c>
      <c r="BH249" s="226" t="str">
        <f t="shared" si="1182"/>
        <v/>
      </c>
      <c r="BI249" s="226" t="str">
        <f t="shared" si="1182"/>
        <v/>
      </c>
      <c r="BJ249" s="226" t="str">
        <f t="shared" si="1182"/>
        <v/>
      </c>
      <c r="BK249" s="226" t="str">
        <f t="shared" si="1182"/>
        <v/>
      </c>
      <c r="BL249" s="226" t="str">
        <f t="shared" si="1182"/>
        <v/>
      </c>
      <c r="BM249" s="226" t="str">
        <f t="shared" si="1182"/>
        <v/>
      </c>
      <c r="BN249" s="226" t="str">
        <f t="shared" si="1182"/>
        <v/>
      </c>
      <c r="BO249" s="226" t="str">
        <f t="shared" si="1182"/>
        <v/>
      </c>
      <c r="BP249" s="226" t="str">
        <f t="shared" si="1182"/>
        <v/>
      </c>
      <c r="BQ249" s="226" t="str">
        <f t="shared" si="1182"/>
        <v/>
      </c>
      <c r="BR249" s="226" t="str">
        <f t="shared" si="1182"/>
        <v/>
      </c>
      <c r="BS249" s="226" t="str">
        <f t="shared" si="1182"/>
        <v/>
      </c>
      <c r="BT249" s="226" t="str">
        <f t="shared" si="1182"/>
        <v/>
      </c>
      <c r="BU249" s="226" t="str">
        <f t="shared" si="1182"/>
        <v/>
      </c>
      <c r="BV249" s="226" t="str">
        <f t="shared" si="1182"/>
        <v/>
      </c>
      <c r="BW249" s="226" t="str">
        <f t="shared" si="1182"/>
        <v/>
      </c>
      <c r="BX249" s="226" t="str">
        <f t="shared" si="1182"/>
        <v/>
      </c>
      <c r="BY249" s="226" t="str">
        <f t="shared" si="1182"/>
        <v/>
      </c>
      <c r="BZ249" s="226" t="str">
        <f t="shared" si="1182"/>
        <v/>
      </c>
      <c r="CA249" s="226" t="str">
        <f t="shared" si="1182"/>
        <v/>
      </c>
      <c r="CB249" s="226" t="str">
        <f t="shared" si="1182"/>
        <v/>
      </c>
      <c r="CC249" s="226" t="str">
        <f t="shared" ref="CC249:DH249" si="1183">IF(CC$231="","",-CC233+CC244)</f>
        <v/>
      </c>
      <c r="CD249" s="226" t="str">
        <f t="shared" si="1183"/>
        <v/>
      </c>
      <c r="CE249" s="226" t="str">
        <f t="shared" si="1183"/>
        <v/>
      </c>
      <c r="CF249" s="226" t="str">
        <f t="shared" si="1183"/>
        <v/>
      </c>
      <c r="CG249" s="226" t="str">
        <f t="shared" si="1183"/>
        <v/>
      </c>
      <c r="CH249" s="226" t="str">
        <f t="shared" si="1183"/>
        <v/>
      </c>
      <c r="CI249" s="226" t="str">
        <f t="shared" si="1183"/>
        <v/>
      </c>
      <c r="CJ249" s="226" t="str">
        <f t="shared" si="1183"/>
        <v/>
      </c>
      <c r="CK249" s="226" t="str">
        <f t="shared" si="1183"/>
        <v/>
      </c>
      <c r="CL249" s="226" t="str">
        <f t="shared" si="1183"/>
        <v/>
      </c>
      <c r="CM249" s="226" t="str">
        <f t="shared" si="1183"/>
        <v/>
      </c>
      <c r="CN249" s="226" t="str">
        <f t="shared" si="1183"/>
        <v/>
      </c>
      <c r="CO249" s="226" t="str">
        <f t="shared" si="1183"/>
        <v/>
      </c>
      <c r="CP249" s="226" t="str">
        <f t="shared" si="1183"/>
        <v/>
      </c>
      <c r="CQ249" s="226" t="str">
        <f t="shared" si="1183"/>
        <v/>
      </c>
      <c r="CR249" s="226" t="str">
        <f t="shared" si="1183"/>
        <v/>
      </c>
      <c r="CS249" s="226" t="str">
        <f t="shared" si="1183"/>
        <v/>
      </c>
      <c r="CT249" s="226" t="str">
        <f t="shared" si="1183"/>
        <v/>
      </c>
      <c r="CU249" s="226" t="str">
        <f t="shared" si="1183"/>
        <v/>
      </c>
      <c r="CV249" s="226" t="str">
        <f t="shared" si="1183"/>
        <v/>
      </c>
      <c r="CW249" s="226" t="str">
        <f t="shared" si="1183"/>
        <v/>
      </c>
      <c r="CX249" s="226" t="str">
        <f t="shared" si="1183"/>
        <v/>
      </c>
      <c r="CY249" s="226" t="str">
        <f t="shared" si="1183"/>
        <v/>
      </c>
      <c r="CZ249" s="226" t="str">
        <f t="shared" si="1183"/>
        <v/>
      </c>
      <c r="DA249" s="226" t="str">
        <f t="shared" si="1183"/>
        <v/>
      </c>
      <c r="DB249" s="226" t="str">
        <f t="shared" si="1183"/>
        <v/>
      </c>
      <c r="DC249" s="226" t="str">
        <f t="shared" si="1183"/>
        <v/>
      </c>
      <c r="DD249" s="226" t="str">
        <f t="shared" si="1183"/>
        <v/>
      </c>
      <c r="DE249" s="226" t="str">
        <f t="shared" si="1183"/>
        <v/>
      </c>
      <c r="DF249" s="226" t="str">
        <f t="shared" si="1183"/>
        <v/>
      </c>
      <c r="DG249" s="226" t="str">
        <f t="shared" si="1183"/>
        <v/>
      </c>
      <c r="DH249" s="226" t="str">
        <f t="shared" si="1183"/>
        <v/>
      </c>
      <c r="DI249" s="226" t="str">
        <f t="shared" ref="DI249:ES249" si="1184">IF(DI$231="","",-DI233+DI244)</f>
        <v/>
      </c>
      <c r="DJ249" s="226" t="str">
        <f t="shared" si="1184"/>
        <v/>
      </c>
      <c r="DK249" s="226" t="str">
        <f t="shared" si="1184"/>
        <v/>
      </c>
      <c r="DL249" s="226" t="str">
        <f t="shared" si="1184"/>
        <v/>
      </c>
      <c r="DM249" s="226" t="str">
        <f t="shared" si="1184"/>
        <v/>
      </c>
      <c r="DN249" s="226" t="str">
        <f t="shared" si="1184"/>
        <v/>
      </c>
      <c r="DO249" s="226" t="str">
        <f t="shared" si="1184"/>
        <v/>
      </c>
      <c r="DP249" s="226" t="str">
        <f t="shared" si="1184"/>
        <v/>
      </c>
      <c r="DQ249" s="226" t="str">
        <f t="shared" si="1184"/>
        <v/>
      </c>
      <c r="DR249" s="226" t="str">
        <f t="shared" si="1184"/>
        <v/>
      </c>
      <c r="DS249" s="226" t="str">
        <f t="shared" si="1184"/>
        <v/>
      </c>
      <c r="DT249" s="226" t="str">
        <f t="shared" si="1184"/>
        <v/>
      </c>
      <c r="DU249" s="226" t="str">
        <f t="shared" si="1184"/>
        <v/>
      </c>
      <c r="DV249" s="226" t="str">
        <f t="shared" si="1184"/>
        <v/>
      </c>
      <c r="DW249" s="226" t="str">
        <f t="shared" si="1184"/>
        <v/>
      </c>
      <c r="DX249" s="226" t="str">
        <f t="shared" si="1184"/>
        <v/>
      </c>
      <c r="DY249" s="226" t="str">
        <f t="shared" si="1184"/>
        <v/>
      </c>
      <c r="DZ249" s="226" t="str">
        <f t="shared" si="1184"/>
        <v/>
      </c>
      <c r="EA249" s="226" t="str">
        <f t="shared" si="1184"/>
        <v/>
      </c>
      <c r="EB249" s="226" t="str">
        <f t="shared" si="1184"/>
        <v/>
      </c>
      <c r="EC249" s="226" t="str">
        <f t="shared" si="1184"/>
        <v/>
      </c>
      <c r="ED249" s="226" t="str">
        <f t="shared" si="1184"/>
        <v/>
      </c>
      <c r="EE249" s="226" t="str">
        <f t="shared" si="1184"/>
        <v/>
      </c>
      <c r="EF249" s="226" t="str">
        <f t="shared" si="1184"/>
        <v/>
      </c>
      <c r="EG249" s="226" t="str">
        <f t="shared" si="1184"/>
        <v/>
      </c>
      <c r="EH249" s="226" t="str">
        <f t="shared" si="1184"/>
        <v/>
      </c>
      <c r="EI249" s="226" t="str">
        <f t="shared" si="1184"/>
        <v/>
      </c>
      <c r="EJ249" s="226" t="str">
        <f t="shared" si="1184"/>
        <v/>
      </c>
      <c r="EK249" s="226" t="str">
        <f t="shared" si="1184"/>
        <v/>
      </c>
      <c r="EL249" s="226" t="str">
        <f t="shared" si="1184"/>
        <v/>
      </c>
      <c r="EM249" s="226" t="str">
        <f t="shared" si="1184"/>
        <v/>
      </c>
      <c r="EN249" s="226" t="str">
        <f t="shared" si="1184"/>
        <v/>
      </c>
      <c r="EO249" s="226" t="str">
        <f t="shared" si="1184"/>
        <v/>
      </c>
      <c r="EP249" s="226" t="str">
        <f t="shared" si="1184"/>
        <v/>
      </c>
      <c r="EQ249" s="226" t="str">
        <f t="shared" si="1184"/>
        <v/>
      </c>
      <c r="ER249" s="226" t="str">
        <f t="shared" si="1184"/>
        <v/>
      </c>
      <c r="ES249" s="226" t="str">
        <f t="shared" si="1184"/>
        <v/>
      </c>
      <c r="EU249" s="202"/>
      <c r="EV249" s="153"/>
      <c r="EW249" s="153"/>
      <c r="EX249" s="153"/>
      <c r="EY249" s="154" t="s">
        <v>353</v>
      </c>
      <c r="EZ249" s="154"/>
      <c r="FA249" s="386">
        <f ca="1">+FA248+FA245</f>
        <v>0</v>
      </c>
      <c r="FB249" s="386">
        <f t="shared" ref="FB249:HM249" ca="1" si="1185">+FB248+FB245</f>
        <v>0</v>
      </c>
      <c r="FC249" s="386">
        <f t="shared" ca="1" si="1185"/>
        <v>0</v>
      </c>
      <c r="FD249" s="386">
        <f t="shared" ca="1" si="1185"/>
        <v>0</v>
      </c>
      <c r="FE249" s="386">
        <f t="shared" ca="1" si="1185"/>
        <v>0</v>
      </c>
      <c r="FF249" s="386">
        <f t="shared" ca="1" si="1185"/>
        <v>0</v>
      </c>
      <c r="FG249" s="386">
        <f t="shared" ca="1" si="1185"/>
        <v>0</v>
      </c>
      <c r="FH249" s="386">
        <f t="shared" ca="1" si="1185"/>
        <v>0</v>
      </c>
      <c r="FI249" s="386">
        <f t="shared" ca="1" si="1185"/>
        <v>0</v>
      </c>
      <c r="FJ249" s="386">
        <f t="shared" ca="1" si="1185"/>
        <v>0</v>
      </c>
      <c r="FK249" s="386">
        <f t="shared" ca="1" si="1185"/>
        <v>0</v>
      </c>
      <c r="FL249" s="386">
        <f t="shared" ca="1" si="1185"/>
        <v>0</v>
      </c>
      <c r="FM249" s="386">
        <f t="shared" ca="1" si="1185"/>
        <v>854.48499999999933</v>
      </c>
      <c r="FN249" s="386">
        <f t="shared" ca="1" si="1185"/>
        <v>10928.922500000001</v>
      </c>
      <c r="FO249" s="386">
        <f t="shared" ca="1" si="1185"/>
        <v>19657.158961798061</v>
      </c>
      <c r="FP249" s="386">
        <f t="shared" ca="1" si="1185"/>
        <v>3290.2921752666171</v>
      </c>
      <c r="FQ249" s="386">
        <f t="shared" ca="1" si="1185"/>
        <v>3290.2921752666171</v>
      </c>
      <c r="FR249" s="386">
        <f t="shared" ca="1" si="1185"/>
        <v>3290.2921752666171</v>
      </c>
      <c r="FS249" s="386">
        <f t="shared" ca="1" si="1185"/>
        <v>3290.2921752666171</v>
      </c>
      <c r="FT249" s="386">
        <f t="shared" ca="1" si="1185"/>
        <v>3290.2921752666171</v>
      </c>
      <c r="FU249" s="386">
        <f t="shared" ca="1" si="1185"/>
        <v>3290.2921752666171</v>
      </c>
      <c r="FV249" s="386">
        <f t="shared" ca="1" si="1185"/>
        <v>3290.2921752666171</v>
      </c>
      <c r="FW249" s="386">
        <f t="shared" ca="1" si="1185"/>
        <v>3290.2921752666171</v>
      </c>
      <c r="FX249" s="386">
        <f t="shared" ca="1" si="1185"/>
        <v>3290.2921752666171</v>
      </c>
      <c r="FY249" s="386">
        <f t="shared" ca="1" si="1185"/>
        <v>2322.2629752666126</v>
      </c>
      <c r="FZ249" s="386">
        <f t="shared" ca="1" si="1185"/>
        <v>2630.9179752666191</v>
      </c>
      <c r="GA249" s="386">
        <f t="shared" ca="1" si="1185"/>
        <v>2939.572975266618</v>
      </c>
      <c r="GB249" s="386">
        <f t="shared" ca="1" si="1185"/>
        <v>2939.572975266618</v>
      </c>
      <c r="GC249" s="386">
        <f t="shared" ca="1" si="1185"/>
        <v>2939.572975266618</v>
      </c>
      <c r="GD249" s="386">
        <f t="shared" ca="1" si="1185"/>
        <v>2939.572975266618</v>
      </c>
      <c r="GE249" s="386">
        <f t="shared" ca="1" si="1185"/>
        <v>2939.572975266618</v>
      </c>
      <c r="GF249" s="386">
        <f t="shared" ca="1" si="1185"/>
        <v>2939.572975266618</v>
      </c>
      <c r="GG249" s="386">
        <f t="shared" ca="1" si="1185"/>
        <v>2939.572975266618</v>
      </c>
      <c r="GH249" s="386">
        <f t="shared" ca="1" si="1185"/>
        <v>2939.572975266618</v>
      </c>
      <c r="GI249" s="386">
        <f t="shared" ca="1" si="1185"/>
        <v>2939.572975266618</v>
      </c>
      <c r="GJ249" s="386">
        <f t="shared" ca="1" si="1185"/>
        <v>2939.572975266618</v>
      </c>
      <c r="GK249" s="386">
        <f t="shared" ca="1" si="1185"/>
        <v>1827482.1425559032</v>
      </c>
      <c r="GL249" s="386">
        <f t="shared" ca="1" si="1185"/>
        <v>0</v>
      </c>
      <c r="GM249" s="386">
        <f t="shared" ca="1" si="1185"/>
        <v>0</v>
      </c>
      <c r="GN249" s="386">
        <f t="shared" ca="1" si="1185"/>
        <v>0</v>
      </c>
      <c r="GO249" s="386">
        <f t="shared" ca="1" si="1185"/>
        <v>0</v>
      </c>
      <c r="GP249" s="386">
        <f t="shared" ca="1" si="1185"/>
        <v>0</v>
      </c>
      <c r="GQ249" s="386">
        <f t="shared" ca="1" si="1185"/>
        <v>0</v>
      </c>
      <c r="GR249" s="386">
        <f t="shared" ca="1" si="1185"/>
        <v>0</v>
      </c>
      <c r="GS249" s="386">
        <f t="shared" ca="1" si="1185"/>
        <v>0</v>
      </c>
      <c r="GT249" s="386">
        <f t="shared" ca="1" si="1185"/>
        <v>0</v>
      </c>
      <c r="GU249" s="386">
        <f t="shared" ca="1" si="1185"/>
        <v>0</v>
      </c>
      <c r="GV249" s="386">
        <f t="shared" ca="1" si="1185"/>
        <v>0</v>
      </c>
      <c r="GW249" s="386">
        <f t="shared" ca="1" si="1185"/>
        <v>0</v>
      </c>
      <c r="GX249" s="386">
        <f t="shared" ca="1" si="1185"/>
        <v>0</v>
      </c>
      <c r="GY249" s="386">
        <f t="shared" ca="1" si="1185"/>
        <v>0</v>
      </c>
      <c r="GZ249" s="386">
        <f t="shared" ca="1" si="1185"/>
        <v>0</v>
      </c>
      <c r="HA249" s="386">
        <f t="shared" ca="1" si="1185"/>
        <v>0</v>
      </c>
      <c r="HB249" s="386">
        <f t="shared" ca="1" si="1185"/>
        <v>0</v>
      </c>
      <c r="HC249" s="386">
        <f t="shared" ca="1" si="1185"/>
        <v>0</v>
      </c>
      <c r="HD249" s="386">
        <f t="shared" ca="1" si="1185"/>
        <v>0</v>
      </c>
      <c r="HE249" s="386">
        <f t="shared" ca="1" si="1185"/>
        <v>0</v>
      </c>
      <c r="HF249" s="386">
        <f t="shared" ca="1" si="1185"/>
        <v>0</v>
      </c>
      <c r="HG249" s="386">
        <f t="shared" ca="1" si="1185"/>
        <v>0</v>
      </c>
      <c r="HH249" s="386">
        <f t="shared" ca="1" si="1185"/>
        <v>0</v>
      </c>
      <c r="HI249" s="386">
        <f t="shared" ca="1" si="1185"/>
        <v>0</v>
      </c>
      <c r="HJ249" s="386">
        <f t="shared" ca="1" si="1185"/>
        <v>0</v>
      </c>
      <c r="HK249" s="386">
        <f t="shared" ca="1" si="1185"/>
        <v>0</v>
      </c>
      <c r="HL249" s="386">
        <f t="shared" ca="1" si="1185"/>
        <v>0</v>
      </c>
      <c r="HM249" s="386">
        <f t="shared" ca="1" si="1185"/>
        <v>0</v>
      </c>
      <c r="HN249" s="386">
        <f t="shared" ref="HN249:JY249" ca="1" si="1186">+HN248+HN245</f>
        <v>0</v>
      </c>
      <c r="HO249" s="386">
        <f t="shared" ca="1" si="1186"/>
        <v>0</v>
      </c>
      <c r="HP249" s="386">
        <f t="shared" ca="1" si="1186"/>
        <v>0</v>
      </c>
      <c r="HQ249" s="386">
        <f t="shared" ca="1" si="1186"/>
        <v>0</v>
      </c>
      <c r="HR249" s="386">
        <f t="shared" ca="1" si="1186"/>
        <v>0</v>
      </c>
      <c r="HS249" s="386">
        <f t="shared" ca="1" si="1186"/>
        <v>0</v>
      </c>
      <c r="HT249" s="386">
        <f t="shared" ca="1" si="1186"/>
        <v>0</v>
      </c>
      <c r="HU249" s="386">
        <f t="shared" ca="1" si="1186"/>
        <v>0</v>
      </c>
      <c r="HV249" s="386">
        <f t="shared" ca="1" si="1186"/>
        <v>0</v>
      </c>
      <c r="HW249" s="386">
        <f t="shared" ca="1" si="1186"/>
        <v>0</v>
      </c>
      <c r="HX249" s="386">
        <f t="shared" ca="1" si="1186"/>
        <v>0</v>
      </c>
      <c r="HY249" s="386">
        <f t="shared" ca="1" si="1186"/>
        <v>0</v>
      </c>
      <c r="HZ249" s="386">
        <f t="shared" ca="1" si="1186"/>
        <v>0</v>
      </c>
      <c r="IA249" s="386">
        <f t="shared" ca="1" si="1186"/>
        <v>0</v>
      </c>
      <c r="IB249" s="386">
        <f t="shared" ca="1" si="1186"/>
        <v>0</v>
      </c>
      <c r="IC249" s="386">
        <f t="shared" ca="1" si="1186"/>
        <v>0</v>
      </c>
      <c r="ID249" s="386">
        <f t="shared" ca="1" si="1186"/>
        <v>0</v>
      </c>
      <c r="IE249" s="386">
        <f t="shared" ca="1" si="1186"/>
        <v>0</v>
      </c>
      <c r="IF249" s="386">
        <f t="shared" ca="1" si="1186"/>
        <v>0</v>
      </c>
      <c r="IG249" s="386">
        <f t="shared" ca="1" si="1186"/>
        <v>0</v>
      </c>
      <c r="IH249" s="386">
        <f t="shared" ca="1" si="1186"/>
        <v>0</v>
      </c>
      <c r="II249" s="386">
        <f t="shared" ca="1" si="1186"/>
        <v>0</v>
      </c>
      <c r="IJ249" s="386">
        <f t="shared" ca="1" si="1186"/>
        <v>0</v>
      </c>
      <c r="IK249" s="386">
        <f t="shared" ca="1" si="1186"/>
        <v>0</v>
      </c>
      <c r="IL249" s="386">
        <f t="shared" ca="1" si="1186"/>
        <v>0</v>
      </c>
      <c r="IM249" s="386">
        <f t="shared" ca="1" si="1186"/>
        <v>0</v>
      </c>
      <c r="IN249" s="386">
        <f t="shared" ca="1" si="1186"/>
        <v>0</v>
      </c>
      <c r="IO249" s="386">
        <f t="shared" ca="1" si="1186"/>
        <v>0</v>
      </c>
      <c r="IP249" s="386">
        <f t="shared" ca="1" si="1186"/>
        <v>0</v>
      </c>
      <c r="IQ249" s="386">
        <f t="shared" ca="1" si="1186"/>
        <v>0</v>
      </c>
      <c r="IR249" s="386">
        <f t="shared" ca="1" si="1186"/>
        <v>0</v>
      </c>
      <c r="IS249" s="386">
        <f t="shared" ca="1" si="1186"/>
        <v>0</v>
      </c>
      <c r="IT249" s="386">
        <f t="shared" ca="1" si="1186"/>
        <v>0</v>
      </c>
      <c r="IU249" s="386">
        <f t="shared" ca="1" si="1186"/>
        <v>0</v>
      </c>
      <c r="IV249" s="386">
        <f t="shared" ca="1" si="1186"/>
        <v>0</v>
      </c>
      <c r="IW249" s="386">
        <f t="shared" ca="1" si="1186"/>
        <v>0</v>
      </c>
      <c r="IX249" s="386">
        <f t="shared" ca="1" si="1186"/>
        <v>0</v>
      </c>
      <c r="IY249" s="386">
        <f t="shared" ca="1" si="1186"/>
        <v>0</v>
      </c>
      <c r="IZ249" s="386">
        <f t="shared" ca="1" si="1186"/>
        <v>0</v>
      </c>
      <c r="JA249" s="386">
        <f t="shared" ca="1" si="1186"/>
        <v>0</v>
      </c>
      <c r="JB249" s="386">
        <f t="shared" ca="1" si="1186"/>
        <v>0</v>
      </c>
      <c r="JC249" s="386">
        <f t="shared" ca="1" si="1186"/>
        <v>0</v>
      </c>
      <c r="JD249" s="386">
        <f t="shared" ca="1" si="1186"/>
        <v>0</v>
      </c>
      <c r="JE249" s="386">
        <f t="shared" ca="1" si="1186"/>
        <v>0</v>
      </c>
      <c r="JF249" s="386">
        <f t="shared" ca="1" si="1186"/>
        <v>0</v>
      </c>
      <c r="JG249" s="386">
        <f t="shared" ca="1" si="1186"/>
        <v>0</v>
      </c>
      <c r="JH249" s="386">
        <f t="shared" ca="1" si="1186"/>
        <v>0</v>
      </c>
      <c r="JI249" s="386">
        <f t="shared" ca="1" si="1186"/>
        <v>0</v>
      </c>
      <c r="JJ249" s="386">
        <f t="shared" ca="1" si="1186"/>
        <v>0</v>
      </c>
      <c r="JK249" s="386">
        <f t="shared" ca="1" si="1186"/>
        <v>0</v>
      </c>
      <c r="JL249" s="386">
        <f t="shared" ca="1" si="1186"/>
        <v>0</v>
      </c>
      <c r="JM249" s="386">
        <f t="shared" ca="1" si="1186"/>
        <v>0</v>
      </c>
      <c r="JN249" s="386">
        <f t="shared" ca="1" si="1186"/>
        <v>0</v>
      </c>
      <c r="JO249" s="386">
        <f t="shared" ca="1" si="1186"/>
        <v>0</v>
      </c>
      <c r="JP249" s="386">
        <f t="shared" ca="1" si="1186"/>
        <v>0</v>
      </c>
      <c r="JQ249" s="386">
        <f t="shared" ca="1" si="1186"/>
        <v>0</v>
      </c>
      <c r="JR249" s="386">
        <f t="shared" ca="1" si="1186"/>
        <v>0</v>
      </c>
      <c r="JS249" s="386">
        <f t="shared" ca="1" si="1186"/>
        <v>0</v>
      </c>
      <c r="JT249" s="386">
        <f t="shared" ca="1" si="1186"/>
        <v>0</v>
      </c>
      <c r="JU249" s="386">
        <f t="shared" ca="1" si="1186"/>
        <v>0</v>
      </c>
      <c r="JV249" s="386">
        <f t="shared" ca="1" si="1186"/>
        <v>0</v>
      </c>
      <c r="JW249" s="386">
        <f t="shared" ca="1" si="1186"/>
        <v>0</v>
      </c>
      <c r="JX249" s="386">
        <f t="shared" ca="1" si="1186"/>
        <v>0</v>
      </c>
      <c r="JY249" s="386">
        <f t="shared" ca="1" si="1186"/>
        <v>0</v>
      </c>
      <c r="JZ249" s="386">
        <f ca="1">+JZ248+JZ245</f>
        <v>0</v>
      </c>
      <c r="KA249" s="386">
        <f ca="1">+KA248+KA245</f>
        <v>0</v>
      </c>
      <c r="KB249" s="386">
        <f ca="1">+KB248+KB245</f>
        <v>0</v>
      </c>
      <c r="KC249" s="386">
        <f ca="1">+KC248+KC245</f>
        <v>0</v>
      </c>
    </row>
    <row r="250" spans="2:289" x14ac:dyDescent="0.25">
      <c r="B250" s="425" t="s">
        <v>68</v>
      </c>
      <c r="C250" s="426"/>
      <c r="D250" s="426"/>
      <c r="E250" s="426"/>
      <c r="F250" s="410">
        <f ca="1">I245/I234</f>
        <v>1.2094826879251515</v>
      </c>
      <c r="G250" s="427">
        <f ca="1">IF($Q$59=0,XIRR(OFFSET($R$250,0,0,1,Timing_Analysis_End_Month),OFFSET($R$199,0,0,1,Timing_Analysis_End_Month)),XIRR(OFFSET($Q$250,0,0,1,Timing_Analysis_End_Month+1),OFFSET($Q$199,0,0,1,Timing_Analysis_End_Month+1)))</f>
        <v>7.1340659260749825E-2</v>
      </c>
      <c r="H250" s="428">
        <f ca="1">I250/$I$250</f>
        <v>1</v>
      </c>
      <c r="I250" s="429">
        <f ca="1">SUM(I248:I249)</f>
        <v>338406.74105836172</v>
      </c>
      <c r="J250" s="411"/>
      <c r="K250" s="411"/>
      <c r="L250" s="411"/>
      <c r="M250" s="411"/>
      <c r="N250" s="411"/>
      <c r="O250" s="411"/>
      <c r="P250" s="411"/>
      <c r="Q250" s="430">
        <f t="shared" ref="Q250:AV250" ca="1" si="1187">IF(Q$231="","",SUM(Q248:Q249))</f>
        <v>-822502.85714285716</v>
      </c>
      <c r="R250" s="430">
        <f t="shared" ca="1" si="1187"/>
        <v>-16840.908265539307</v>
      </c>
      <c r="S250" s="430">
        <f t="shared" ca="1" si="1187"/>
        <v>-52504.923287438098</v>
      </c>
      <c r="T250" s="430">
        <f t="shared" ca="1" si="1187"/>
        <v>-136519.80154125288</v>
      </c>
      <c r="U250" s="430">
        <f t="shared" ca="1" si="1187"/>
        <v>-282437.29328717594</v>
      </c>
      <c r="V250" s="430">
        <f t="shared" ca="1" si="1187"/>
        <v>-304634.34859430767</v>
      </c>
      <c r="W250" s="430">
        <f t="shared" ca="1" si="1187"/>
        <v>0</v>
      </c>
      <c r="X250" s="430">
        <f t="shared" ca="1" si="1187"/>
        <v>0</v>
      </c>
      <c r="Y250" s="430">
        <f t="shared" ca="1" si="1187"/>
        <v>0</v>
      </c>
      <c r="Z250" s="430">
        <f t="shared" ca="1" si="1187"/>
        <v>0</v>
      </c>
      <c r="AA250" s="430">
        <f t="shared" ca="1" si="1187"/>
        <v>0</v>
      </c>
      <c r="AB250" s="430">
        <f t="shared" ca="1" si="1187"/>
        <v>0</v>
      </c>
      <c r="AC250" s="430">
        <f t="shared" ca="1" si="1187"/>
        <v>854.48499999999933</v>
      </c>
      <c r="AD250" s="430">
        <f t="shared" ca="1" si="1187"/>
        <v>10928.922499999999</v>
      </c>
      <c r="AE250" s="430">
        <f t="shared" ca="1" si="1187"/>
        <v>21003.359999999404</v>
      </c>
      <c r="AF250" s="430">
        <f t="shared" ca="1" si="1187"/>
        <v>4636.4932134679602</v>
      </c>
      <c r="AG250" s="430">
        <f t="shared" ca="1" si="1187"/>
        <v>4636.4932134679602</v>
      </c>
      <c r="AH250" s="430">
        <f t="shared" ca="1" si="1187"/>
        <v>4636.4932134679602</v>
      </c>
      <c r="AI250" s="430">
        <f t="shared" ca="1" si="1187"/>
        <v>4636.4932134679602</v>
      </c>
      <c r="AJ250" s="430">
        <f t="shared" ca="1" si="1187"/>
        <v>4636.4932134679602</v>
      </c>
      <c r="AK250" s="430">
        <f t="shared" ca="1" si="1187"/>
        <v>4636.4932134679602</v>
      </c>
      <c r="AL250" s="430">
        <f t="shared" ca="1" si="1187"/>
        <v>4636.4932134679602</v>
      </c>
      <c r="AM250" s="430">
        <f t="shared" ca="1" si="1187"/>
        <v>4636.4932134679602</v>
      </c>
      <c r="AN250" s="430">
        <f t="shared" ca="1" si="1187"/>
        <v>4636.4932134679602</v>
      </c>
      <c r="AO250" s="430">
        <f t="shared" ca="1" si="1187"/>
        <v>3668.4640134679557</v>
      </c>
      <c r="AP250" s="430">
        <f t="shared" ca="1" si="1187"/>
        <v>3977.1190134679618</v>
      </c>
      <c r="AQ250" s="430">
        <f t="shared" ca="1" si="1187"/>
        <v>4285.7740134679607</v>
      </c>
      <c r="AR250" s="430">
        <f t="shared" ca="1" si="1187"/>
        <v>4285.7740134679607</v>
      </c>
      <c r="AS250" s="430">
        <f t="shared" ca="1" si="1187"/>
        <v>4285.7740134679607</v>
      </c>
      <c r="AT250" s="430">
        <f t="shared" ca="1" si="1187"/>
        <v>4285.7740134679607</v>
      </c>
      <c r="AU250" s="430">
        <f t="shared" ca="1" si="1187"/>
        <v>4285.7740134679607</v>
      </c>
      <c r="AV250" s="430">
        <f t="shared" ca="1" si="1187"/>
        <v>4285.7740134679607</v>
      </c>
      <c r="AW250" s="430">
        <f t="shared" ref="AW250:CB250" ca="1" si="1188">IF(AW$231="","",SUM(AW248:AW249))</f>
        <v>4285.7740134679607</v>
      </c>
      <c r="AX250" s="430">
        <f t="shared" ca="1" si="1188"/>
        <v>4285.7740134679607</v>
      </c>
      <c r="AY250" s="430">
        <f t="shared" ca="1" si="1188"/>
        <v>4285.7740134679607</v>
      </c>
      <c r="AZ250" s="430">
        <f t="shared" ca="1" si="1188"/>
        <v>4285.7740134679607</v>
      </c>
      <c r="BA250" s="430">
        <f t="shared" ca="1" si="1188"/>
        <v>1828828.3435941045</v>
      </c>
      <c r="BB250" s="430" t="str">
        <f t="shared" si="1188"/>
        <v/>
      </c>
      <c r="BC250" s="430" t="str">
        <f t="shared" si="1188"/>
        <v/>
      </c>
      <c r="BD250" s="430" t="str">
        <f t="shared" si="1188"/>
        <v/>
      </c>
      <c r="BE250" s="430" t="str">
        <f t="shared" si="1188"/>
        <v/>
      </c>
      <c r="BF250" s="430" t="str">
        <f t="shared" si="1188"/>
        <v/>
      </c>
      <c r="BG250" s="430" t="str">
        <f t="shared" si="1188"/>
        <v/>
      </c>
      <c r="BH250" s="430" t="str">
        <f t="shared" si="1188"/>
        <v/>
      </c>
      <c r="BI250" s="430" t="str">
        <f t="shared" si="1188"/>
        <v/>
      </c>
      <c r="BJ250" s="430" t="str">
        <f t="shared" si="1188"/>
        <v/>
      </c>
      <c r="BK250" s="430" t="str">
        <f t="shared" si="1188"/>
        <v/>
      </c>
      <c r="BL250" s="430" t="str">
        <f t="shared" si="1188"/>
        <v/>
      </c>
      <c r="BM250" s="430" t="str">
        <f t="shared" si="1188"/>
        <v/>
      </c>
      <c r="BN250" s="430" t="str">
        <f t="shared" si="1188"/>
        <v/>
      </c>
      <c r="BO250" s="430" t="str">
        <f t="shared" si="1188"/>
        <v/>
      </c>
      <c r="BP250" s="430" t="str">
        <f t="shared" si="1188"/>
        <v/>
      </c>
      <c r="BQ250" s="430" t="str">
        <f t="shared" si="1188"/>
        <v/>
      </c>
      <c r="BR250" s="430" t="str">
        <f t="shared" si="1188"/>
        <v/>
      </c>
      <c r="BS250" s="430" t="str">
        <f t="shared" si="1188"/>
        <v/>
      </c>
      <c r="BT250" s="430" t="str">
        <f t="shared" si="1188"/>
        <v/>
      </c>
      <c r="BU250" s="430" t="str">
        <f t="shared" si="1188"/>
        <v/>
      </c>
      <c r="BV250" s="430" t="str">
        <f t="shared" si="1188"/>
        <v/>
      </c>
      <c r="BW250" s="430" t="str">
        <f t="shared" si="1188"/>
        <v/>
      </c>
      <c r="BX250" s="430" t="str">
        <f t="shared" si="1188"/>
        <v/>
      </c>
      <c r="BY250" s="430" t="str">
        <f t="shared" si="1188"/>
        <v/>
      </c>
      <c r="BZ250" s="430" t="str">
        <f t="shared" si="1188"/>
        <v/>
      </c>
      <c r="CA250" s="430" t="str">
        <f t="shared" si="1188"/>
        <v/>
      </c>
      <c r="CB250" s="430" t="str">
        <f t="shared" si="1188"/>
        <v/>
      </c>
      <c r="CC250" s="430" t="str">
        <f t="shared" ref="CC250:DH250" si="1189">IF(CC$231="","",SUM(CC248:CC249))</f>
        <v/>
      </c>
      <c r="CD250" s="430" t="str">
        <f t="shared" si="1189"/>
        <v/>
      </c>
      <c r="CE250" s="430" t="str">
        <f t="shared" si="1189"/>
        <v/>
      </c>
      <c r="CF250" s="430" t="str">
        <f t="shared" si="1189"/>
        <v/>
      </c>
      <c r="CG250" s="430" t="str">
        <f t="shared" si="1189"/>
        <v/>
      </c>
      <c r="CH250" s="430" t="str">
        <f t="shared" si="1189"/>
        <v/>
      </c>
      <c r="CI250" s="430" t="str">
        <f t="shared" si="1189"/>
        <v/>
      </c>
      <c r="CJ250" s="430" t="str">
        <f t="shared" si="1189"/>
        <v/>
      </c>
      <c r="CK250" s="430" t="str">
        <f t="shared" si="1189"/>
        <v/>
      </c>
      <c r="CL250" s="430" t="str">
        <f t="shared" si="1189"/>
        <v/>
      </c>
      <c r="CM250" s="430" t="str">
        <f t="shared" si="1189"/>
        <v/>
      </c>
      <c r="CN250" s="430" t="str">
        <f t="shared" si="1189"/>
        <v/>
      </c>
      <c r="CO250" s="430" t="str">
        <f t="shared" si="1189"/>
        <v/>
      </c>
      <c r="CP250" s="430" t="str">
        <f t="shared" si="1189"/>
        <v/>
      </c>
      <c r="CQ250" s="430" t="str">
        <f t="shared" si="1189"/>
        <v/>
      </c>
      <c r="CR250" s="430" t="str">
        <f t="shared" si="1189"/>
        <v/>
      </c>
      <c r="CS250" s="430" t="str">
        <f t="shared" si="1189"/>
        <v/>
      </c>
      <c r="CT250" s="430" t="str">
        <f t="shared" si="1189"/>
        <v/>
      </c>
      <c r="CU250" s="430" t="str">
        <f t="shared" si="1189"/>
        <v/>
      </c>
      <c r="CV250" s="430" t="str">
        <f t="shared" si="1189"/>
        <v/>
      </c>
      <c r="CW250" s="430" t="str">
        <f t="shared" si="1189"/>
        <v/>
      </c>
      <c r="CX250" s="430" t="str">
        <f t="shared" si="1189"/>
        <v/>
      </c>
      <c r="CY250" s="430" t="str">
        <f t="shared" si="1189"/>
        <v/>
      </c>
      <c r="CZ250" s="430" t="str">
        <f t="shared" si="1189"/>
        <v/>
      </c>
      <c r="DA250" s="430" t="str">
        <f t="shared" si="1189"/>
        <v/>
      </c>
      <c r="DB250" s="430" t="str">
        <f t="shared" si="1189"/>
        <v/>
      </c>
      <c r="DC250" s="430" t="str">
        <f t="shared" si="1189"/>
        <v/>
      </c>
      <c r="DD250" s="430" t="str">
        <f t="shared" si="1189"/>
        <v/>
      </c>
      <c r="DE250" s="430" t="str">
        <f t="shared" si="1189"/>
        <v/>
      </c>
      <c r="DF250" s="430" t="str">
        <f t="shared" si="1189"/>
        <v/>
      </c>
      <c r="DG250" s="430" t="str">
        <f t="shared" si="1189"/>
        <v/>
      </c>
      <c r="DH250" s="430" t="str">
        <f t="shared" si="1189"/>
        <v/>
      </c>
      <c r="DI250" s="430" t="str">
        <f t="shared" ref="DI250:EN250" si="1190">IF(DI$231="","",SUM(DI248:DI249))</f>
        <v/>
      </c>
      <c r="DJ250" s="430" t="str">
        <f t="shared" si="1190"/>
        <v/>
      </c>
      <c r="DK250" s="430" t="str">
        <f t="shared" si="1190"/>
        <v/>
      </c>
      <c r="DL250" s="430" t="str">
        <f t="shared" si="1190"/>
        <v/>
      </c>
      <c r="DM250" s="430" t="str">
        <f t="shared" si="1190"/>
        <v/>
      </c>
      <c r="DN250" s="430" t="str">
        <f t="shared" si="1190"/>
        <v/>
      </c>
      <c r="DO250" s="430" t="str">
        <f t="shared" si="1190"/>
        <v/>
      </c>
      <c r="DP250" s="430" t="str">
        <f t="shared" si="1190"/>
        <v/>
      </c>
      <c r="DQ250" s="430" t="str">
        <f t="shared" si="1190"/>
        <v/>
      </c>
      <c r="DR250" s="430" t="str">
        <f t="shared" si="1190"/>
        <v/>
      </c>
      <c r="DS250" s="430" t="str">
        <f t="shared" si="1190"/>
        <v/>
      </c>
      <c r="DT250" s="430" t="str">
        <f t="shared" si="1190"/>
        <v/>
      </c>
      <c r="DU250" s="430" t="str">
        <f t="shared" si="1190"/>
        <v/>
      </c>
      <c r="DV250" s="430" t="str">
        <f t="shared" si="1190"/>
        <v/>
      </c>
      <c r="DW250" s="430" t="str">
        <f t="shared" si="1190"/>
        <v/>
      </c>
      <c r="DX250" s="430" t="str">
        <f t="shared" si="1190"/>
        <v/>
      </c>
      <c r="DY250" s="430" t="str">
        <f t="shared" si="1190"/>
        <v/>
      </c>
      <c r="DZ250" s="430" t="str">
        <f t="shared" si="1190"/>
        <v/>
      </c>
      <c r="EA250" s="430" t="str">
        <f t="shared" si="1190"/>
        <v/>
      </c>
      <c r="EB250" s="430" t="str">
        <f t="shared" si="1190"/>
        <v/>
      </c>
      <c r="EC250" s="430" t="str">
        <f t="shared" si="1190"/>
        <v/>
      </c>
      <c r="ED250" s="430" t="str">
        <f t="shared" si="1190"/>
        <v/>
      </c>
      <c r="EE250" s="430" t="str">
        <f t="shared" si="1190"/>
        <v/>
      </c>
      <c r="EF250" s="430" t="str">
        <f t="shared" si="1190"/>
        <v/>
      </c>
      <c r="EG250" s="430" t="str">
        <f t="shared" si="1190"/>
        <v/>
      </c>
      <c r="EH250" s="430" t="str">
        <f t="shared" si="1190"/>
        <v/>
      </c>
      <c r="EI250" s="430" t="str">
        <f t="shared" si="1190"/>
        <v/>
      </c>
      <c r="EJ250" s="430" t="str">
        <f t="shared" si="1190"/>
        <v/>
      </c>
      <c r="EK250" s="430" t="str">
        <f t="shared" si="1190"/>
        <v/>
      </c>
      <c r="EL250" s="430" t="str">
        <f t="shared" si="1190"/>
        <v/>
      </c>
      <c r="EM250" s="430" t="str">
        <f t="shared" si="1190"/>
        <v/>
      </c>
      <c r="EN250" s="430" t="str">
        <f t="shared" si="1190"/>
        <v/>
      </c>
      <c r="EO250" s="430" t="str">
        <f>IF(EO$231="","",SUM(EO248:EO249))</f>
        <v/>
      </c>
      <c r="EP250" s="430" t="str">
        <f>IF(EP$231="","",SUM(EP248:EP249))</f>
        <v/>
      </c>
      <c r="EQ250" s="430" t="str">
        <f>IF(EQ$231="","",SUM(EQ248:EQ249))</f>
        <v/>
      </c>
      <c r="ER250" s="430" t="str">
        <f>IF(ER$231="","",SUM(ER248:ER249))</f>
        <v/>
      </c>
      <c r="ES250" s="430" t="str">
        <f>IF(ES$231="","",SUM(ES248:ES249))</f>
        <v/>
      </c>
      <c r="ET250" s="411"/>
      <c r="EU250" s="397"/>
      <c r="EV250" s="398"/>
      <c r="EW250" s="398"/>
      <c r="EX250" s="398"/>
      <c r="EY250" s="399" t="s">
        <v>348</v>
      </c>
      <c r="EZ250" s="399"/>
      <c r="FA250" s="400">
        <f t="shared" ref="FA250:GF250" ca="1" si="1191">IF(Q248="",0,MAX(FA240-FA249,0))</f>
        <v>0</v>
      </c>
      <c r="FB250" s="400">
        <f t="shared" ca="1" si="1191"/>
        <v>0</v>
      </c>
      <c r="FC250" s="400">
        <f t="shared" ca="1" si="1191"/>
        <v>0</v>
      </c>
      <c r="FD250" s="400">
        <f t="shared" ca="1" si="1191"/>
        <v>0</v>
      </c>
      <c r="FE250" s="400">
        <f t="shared" ca="1" si="1191"/>
        <v>0</v>
      </c>
      <c r="FF250" s="400">
        <f t="shared" ca="1" si="1191"/>
        <v>0</v>
      </c>
      <c r="FG250" s="400">
        <f t="shared" ca="1" si="1191"/>
        <v>0</v>
      </c>
      <c r="FH250" s="400">
        <f t="shared" ca="1" si="1191"/>
        <v>0</v>
      </c>
      <c r="FI250" s="400">
        <f t="shared" ca="1" si="1191"/>
        <v>0</v>
      </c>
      <c r="FJ250" s="400">
        <f t="shared" ca="1" si="1191"/>
        <v>0</v>
      </c>
      <c r="FK250" s="400">
        <f t="shared" ca="1" si="1191"/>
        <v>0</v>
      </c>
      <c r="FL250" s="400">
        <f t="shared" ca="1" si="1191"/>
        <v>0</v>
      </c>
      <c r="FM250" s="400">
        <f t="shared" ca="1" si="1191"/>
        <v>0</v>
      </c>
      <c r="FN250" s="400">
        <f t="shared" ca="1" si="1191"/>
        <v>0</v>
      </c>
      <c r="FO250" s="400">
        <f t="shared" ca="1" si="1191"/>
        <v>0</v>
      </c>
      <c r="FP250" s="400">
        <f t="shared" ca="1" si="1191"/>
        <v>0</v>
      </c>
      <c r="FQ250" s="400">
        <f t="shared" ca="1" si="1191"/>
        <v>0</v>
      </c>
      <c r="FR250" s="400">
        <f t="shared" ca="1" si="1191"/>
        <v>0</v>
      </c>
      <c r="FS250" s="400">
        <f t="shared" ca="1" si="1191"/>
        <v>0</v>
      </c>
      <c r="FT250" s="400">
        <f t="shared" ca="1" si="1191"/>
        <v>0</v>
      </c>
      <c r="FU250" s="400">
        <f t="shared" ca="1" si="1191"/>
        <v>0</v>
      </c>
      <c r="FV250" s="400">
        <f t="shared" ca="1" si="1191"/>
        <v>0</v>
      </c>
      <c r="FW250" s="400">
        <f t="shared" ca="1" si="1191"/>
        <v>0</v>
      </c>
      <c r="FX250" s="400">
        <f t="shared" ca="1" si="1191"/>
        <v>0</v>
      </c>
      <c r="FY250" s="400">
        <f t="shared" ca="1" si="1191"/>
        <v>0</v>
      </c>
      <c r="FZ250" s="400">
        <f t="shared" ca="1" si="1191"/>
        <v>0</v>
      </c>
      <c r="GA250" s="400">
        <f t="shared" ca="1" si="1191"/>
        <v>0</v>
      </c>
      <c r="GB250" s="400">
        <f t="shared" ca="1" si="1191"/>
        <v>0</v>
      </c>
      <c r="GC250" s="400">
        <f t="shared" ca="1" si="1191"/>
        <v>0</v>
      </c>
      <c r="GD250" s="400">
        <f t="shared" ca="1" si="1191"/>
        <v>0</v>
      </c>
      <c r="GE250" s="400">
        <f t="shared" ca="1" si="1191"/>
        <v>0</v>
      </c>
      <c r="GF250" s="400">
        <f t="shared" ca="1" si="1191"/>
        <v>0</v>
      </c>
      <c r="GG250" s="400">
        <f t="shared" ref="GG250:HL250" ca="1" si="1192">IF(AW248="",0,MAX(GG240-GG249,0))</f>
        <v>0</v>
      </c>
      <c r="GH250" s="400">
        <f t="shared" ca="1" si="1192"/>
        <v>0</v>
      </c>
      <c r="GI250" s="400">
        <f t="shared" ca="1" si="1192"/>
        <v>0</v>
      </c>
      <c r="GJ250" s="400">
        <f t="shared" ca="1" si="1192"/>
        <v>0</v>
      </c>
      <c r="GK250" s="400">
        <f t="shared" ca="1" si="1192"/>
        <v>0</v>
      </c>
      <c r="GL250" s="400">
        <f t="shared" si="1192"/>
        <v>0</v>
      </c>
      <c r="GM250" s="400">
        <f t="shared" si="1192"/>
        <v>0</v>
      </c>
      <c r="GN250" s="400">
        <f t="shared" si="1192"/>
        <v>0</v>
      </c>
      <c r="GO250" s="400">
        <f t="shared" si="1192"/>
        <v>0</v>
      </c>
      <c r="GP250" s="400">
        <f t="shared" si="1192"/>
        <v>0</v>
      </c>
      <c r="GQ250" s="400">
        <f t="shared" si="1192"/>
        <v>0</v>
      </c>
      <c r="GR250" s="400">
        <f t="shared" si="1192"/>
        <v>0</v>
      </c>
      <c r="GS250" s="400">
        <f t="shared" si="1192"/>
        <v>0</v>
      </c>
      <c r="GT250" s="400">
        <f t="shared" si="1192"/>
        <v>0</v>
      </c>
      <c r="GU250" s="400">
        <f t="shared" si="1192"/>
        <v>0</v>
      </c>
      <c r="GV250" s="400">
        <f t="shared" si="1192"/>
        <v>0</v>
      </c>
      <c r="GW250" s="400">
        <f t="shared" si="1192"/>
        <v>0</v>
      </c>
      <c r="GX250" s="400">
        <f t="shared" si="1192"/>
        <v>0</v>
      </c>
      <c r="GY250" s="400">
        <f t="shared" si="1192"/>
        <v>0</v>
      </c>
      <c r="GZ250" s="400">
        <f t="shared" si="1192"/>
        <v>0</v>
      </c>
      <c r="HA250" s="400">
        <f t="shared" si="1192"/>
        <v>0</v>
      </c>
      <c r="HB250" s="400">
        <f t="shared" si="1192"/>
        <v>0</v>
      </c>
      <c r="HC250" s="400">
        <f t="shared" si="1192"/>
        <v>0</v>
      </c>
      <c r="HD250" s="400">
        <f t="shared" si="1192"/>
        <v>0</v>
      </c>
      <c r="HE250" s="400">
        <f t="shared" si="1192"/>
        <v>0</v>
      </c>
      <c r="HF250" s="400">
        <f t="shared" si="1192"/>
        <v>0</v>
      </c>
      <c r="HG250" s="400">
        <f t="shared" si="1192"/>
        <v>0</v>
      </c>
      <c r="HH250" s="400">
        <f t="shared" si="1192"/>
        <v>0</v>
      </c>
      <c r="HI250" s="400">
        <f t="shared" si="1192"/>
        <v>0</v>
      </c>
      <c r="HJ250" s="400">
        <f t="shared" si="1192"/>
        <v>0</v>
      </c>
      <c r="HK250" s="400">
        <f t="shared" si="1192"/>
        <v>0</v>
      </c>
      <c r="HL250" s="400">
        <f t="shared" si="1192"/>
        <v>0</v>
      </c>
      <c r="HM250" s="400">
        <f t="shared" ref="HM250:IR250" si="1193">IF(CC248="",0,MAX(HM240-HM249,0))</f>
        <v>0</v>
      </c>
      <c r="HN250" s="400">
        <f t="shared" si="1193"/>
        <v>0</v>
      </c>
      <c r="HO250" s="400">
        <f t="shared" si="1193"/>
        <v>0</v>
      </c>
      <c r="HP250" s="400">
        <f t="shared" si="1193"/>
        <v>0</v>
      </c>
      <c r="HQ250" s="400">
        <f t="shared" si="1193"/>
        <v>0</v>
      </c>
      <c r="HR250" s="400">
        <f t="shared" si="1193"/>
        <v>0</v>
      </c>
      <c r="HS250" s="400">
        <f t="shared" si="1193"/>
        <v>0</v>
      </c>
      <c r="HT250" s="400">
        <f t="shared" si="1193"/>
        <v>0</v>
      </c>
      <c r="HU250" s="400">
        <f t="shared" si="1193"/>
        <v>0</v>
      </c>
      <c r="HV250" s="400">
        <f t="shared" si="1193"/>
        <v>0</v>
      </c>
      <c r="HW250" s="400">
        <f t="shared" si="1193"/>
        <v>0</v>
      </c>
      <c r="HX250" s="400">
        <f t="shared" si="1193"/>
        <v>0</v>
      </c>
      <c r="HY250" s="400">
        <f t="shared" si="1193"/>
        <v>0</v>
      </c>
      <c r="HZ250" s="400">
        <f t="shared" si="1193"/>
        <v>0</v>
      </c>
      <c r="IA250" s="400">
        <f t="shared" si="1193"/>
        <v>0</v>
      </c>
      <c r="IB250" s="400">
        <f t="shared" si="1193"/>
        <v>0</v>
      </c>
      <c r="IC250" s="400">
        <f t="shared" si="1193"/>
        <v>0</v>
      </c>
      <c r="ID250" s="400">
        <f t="shared" si="1193"/>
        <v>0</v>
      </c>
      <c r="IE250" s="400">
        <f t="shared" si="1193"/>
        <v>0</v>
      </c>
      <c r="IF250" s="400">
        <f t="shared" si="1193"/>
        <v>0</v>
      </c>
      <c r="IG250" s="400">
        <f t="shared" si="1193"/>
        <v>0</v>
      </c>
      <c r="IH250" s="400">
        <f t="shared" si="1193"/>
        <v>0</v>
      </c>
      <c r="II250" s="400">
        <f t="shared" si="1193"/>
        <v>0</v>
      </c>
      <c r="IJ250" s="400">
        <f t="shared" si="1193"/>
        <v>0</v>
      </c>
      <c r="IK250" s="400">
        <f t="shared" si="1193"/>
        <v>0</v>
      </c>
      <c r="IL250" s="400">
        <f t="shared" si="1193"/>
        <v>0</v>
      </c>
      <c r="IM250" s="400">
        <f t="shared" si="1193"/>
        <v>0</v>
      </c>
      <c r="IN250" s="400">
        <f t="shared" si="1193"/>
        <v>0</v>
      </c>
      <c r="IO250" s="400">
        <f t="shared" si="1193"/>
        <v>0</v>
      </c>
      <c r="IP250" s="400">
        <f t="shared" si="1193"/>
        <v>0</v>
      </c>
      <c r="IQ250" s="400">
        <f t="shared" si="1193"/>
        <v>0</v>
      </c>
      <c r="IR250" s="400">
        <f t="shared" si="1193"/>
        <v>0</v>
      </c>
      <c r="IS250" s="400">
        <f t="shared" ref="IS250:JX250" si="1194">IF(DI248="",0,MAX(IS240-IS249,0))</f>
        <v>0</v>
      </c>
      <c r="IT250" s="400">
        <f t="shared" si="1194"/>
        <v>0</v>
      </c>
      <c r="IU250" s="400">
        <f t="shared" si="1194"/>
        <v>0</v>
      </c>
      <c r="IV250" s="400">
        <f t="shared" si="1194"/>
        <v>0</v>
      </c>
      <c r="IW250" s="400">
        <f t="shared" si="1194"/>
        <v>0</v>
      </c>
      <c r="IX250" s="400">
        <f t="shared" si="1194"/>
        <v>0</v>
      </c>
      <c r="IY250" s="400">
        <f t="shared" si="1194"/>
        <v>0</v>
      </c>
      <c r="IZ250" s="400">
        <f t="shared" si="1194"/>
        <v>0</v>
      </c>
      <c r="JA250" s="400">
        <f t="shared" si="1194"/>
        <v>0</v>
      </c>
      <c r="JB250" s="400">
        <f t="shared" si="1194"/>
        <v>0</v>
      </c>
      <c r="JC250" s="400">
        <f t="shared" si="1194"/>
        <v>0</v>
      </c>
      <c r="JD250" s="400">
        <f t="shared" si="1194"/>
        <v>0</v>
      </c>
      <c r="JE250" s="400">
        <f t="shared" si="1194"/>
        <v>0</v>
      </c>
      <c r="JF250" s="400">
        <f t="shared" si="1194"/>
        <v>0</v>
      </c>
      <c r="JG250" s="400">
        <f t="shared" si="1194"/>
        <v>0</v>
      </c>
      <c r="JH250" s="400">
        <f t="shared" si="1194"/>
        <v>0</v>
      </c>
      <c r="JI250" s="400">
        <f t="shared" si="1194"/>
        <v>0</v>
      </c>
      <c r="JJ250" s="400">
        <f t="shared" si="1194"/>
        <v>0</v>
      </c>
      <c r="JK250" s="400">
        <f t="shared" si="1194"/>
        <v>0</v>
      </c>
      <c r="JL250" s="400">
        <f t="shared" si="1194"/>
        <v>0</v>
      </c>
      <c r="JM250" s="400">
        <f t="shared" si="1194"/>
        <v>0</v>
      </c>
      <c r="JN250" s="400">
        <f t="shared" si="1194"/>
        <v>0</v>
      </c>
      <c r="JO250" s="400">
        <f t="shared" si="1194"/>
        <v>0</v>
      </c>
      <c r="JP250" s="400">
        <f t="shared" si="1194"/>
        <v>0</v>
      </c>
      <c r="JQ250" s="400">
        <f t="shared" si="1194"/>
        <v>0</v>
      </c>
      <c r="JR250" s="400">
        <f t="shared" si="1194"/>
        <v>0</v>
      </c>
      <c r="JS250" s="400">
        <f t="shared" si="1194"/>
        <v>0</v>
      </c>
      <c r="JT250" s="400">
        <f t="shared" si="1194"/>
        <v>0</v>
      </c>
      <c r="JU250" s="400">
        <f t="shared" si="1194"/>
        <v>0</v>
      </c>
      <c r="JV250" s="400">
        <f t="shared" si="1194"/>
        <v>0</v>
      </c>
      <c r="JW250" s="400">
        <f t="shared" si="1194"/>
        <v>0</v>
      </c>
      <c r="JX250" s="400">
        <f t="shared" si="1194"/>
        <v>0</v>
      </c>
      <c r="JY250" s="400">
        <f>IF(EO248="",0,MAX(JY240-JY249,0))</f>
        <v>0</v>
      </c>
      <c r="JZ250" s="400">
        <f>IF(EP248="",0,MAX(JZ240-JZ249,0))</f>
        <v>0</v>
      </c>
      <c r="KA250" s="400">
        <f>IF(EQ248="",0,MAX(KA240-KA249,0))</f>
        <v>0</v>
      </c>
      <c r="KB250" s="400">
        <f>IF(ER248="",0,MAX(KB240-KB249,0))</f>
        <v>0</v>
      </c>
      <c r="KC250" s="400">
        <f>IF(ES248="",0,MAX(KC240-KC249,0))</f>
        <v>0</v>
      </c>
    </row>
    <row r="251" spans="2:289" ht="0.6" customHeight="1" x14ac:dyDescent="0.25">
      <c r="B251" s="412" t="s">
        <v>382</v>
      </c>
      <c r="C251" s="412"/>
      <c r="D251" s="412"/>
      <c r="E251" s="412"/>
      <c r="F251" s="412"/>
      <c r="G251" s="412"/>
      <c r="H251" s="412"/>
      <c r="I251" s="412"/>
      <c r="EU251" s="202" t="s">
        <v>355</v>
      </c>
      <c r="EV251" s="153"/>
      <c r="EW251" s="153"/>
      <c r="EX251" s="153"/>
      <c r="EY251" s="154" t="s">
        <v>375</v>
      </c>
      <c r="EZ251" s="154"/>
      <c r="FA251" s="388">
        <f t="shared" ref="FA251:GF251" si="1195">(FA$201&lt;=Timing_Reversion_Month)*EZ255</f>
        <v>0</v>
      </c>
      <c r="FB251" s="388">
        <f t="shared" ca="1" si="1195"/>
        <v>740252.57142857148</v>
      </c>
      <c r="FC251" s="388">
        <f t="shared" ca="1" si="1195"/>
        <v>762433.49223713519</v>
      </c>
      <c r="FD251" s="388">
        <f t="shared" ca="1" si="1195"/>
        <v>816922.49673005869</v>
      </c>
      <c r="FE251" s="388">
        <f t="shared" ca="1" si="1195"/>
        <v>947541.92653226049</v>
      </c>
      <c r="FF251" s="388">
        <f t="shared" ca="1" si="1195"/>
        <v>1210726.5196284193</v>
      </c>
      <c r="FG251" s="388">
        <f t="shared" ca="1" si="1195"/>
        <v>1496385.7666084585</v>
      </c>
      <c r="FH251" s="388">
        <f t="shared" ca="1" si="1195"/>
        <v>1510584.6612980634</v>
      </c>
      <c r="FI251" s="388">
        <f t="shared" ca="1" si="1195"/>
        <v>1524918.286359278</v>
      </c>
      <c r="FJ251" s="388">
        <f t="shared" ca="1" si="1195"/>
        <v>1539387.9202207003</v>
      </c>
      <c r="FK251" s="388">
        <f t="shared" ca="1" si="1195"/>
        <v>1553994.8534416731</v>
      </c>
      <c r="FL251" s="388">
        <f t="shared" ca="1" si="1195"/>
        <v>1568740.3888273889</v>
      </c>
      <c r="FM251" s="388">
        <f t="shared" ca="1" si="1195"/>
        <v>1583625.8415450891</v>
      </c>
      <c r="FN251" s="388">
        <f t="shared" ca="1" si="1195"/>
        <v>1597883.5027413655</v>
      </c>
      <c r="FO251" s="388">
        <f t="shared" ca="1" si="1195"/>
        <v>1603209.4581824644</v>
      </c>
      <c r="FP251" s="388">
        <f t="shared" ca="1" si="1195"/>
        <v>1600730.5376963047</v>
      </c>
      <c r="FQ251" s="388">
        <f t="shared" ca="1" si="1195"/>
        <v>1612958.2753548289</v>
      </c>
      <c r="FR251" s="388">
        <f t="shared" ca="1" si="1195"/>
        <v>1625302.0394840532</v>
      </c>
      <c r="FS251" s="388">
        <f t="shared" ca="1" si="1195"/>
        <v>1637762.9310351331</v>
      </c>
      <c r="FT251" s="388">
        <f t="shared" ca="1" si="1195"/>
        <v>1650342.0614059214</v>
      </c>
      <c r="FU251" s="388">
        <f t="shared" ca="1" si="1195"/>
        <v>1663040.5525400953</v>
      </c>
      <c r="FV251" s="388">
        <f t="shared" ca="1" si="1195"/>
        <v>1675859.537027223</v>
      </c>
      <c r="FW251" s="388">
        <f t="shared" ca="1" si="1195"/>
        <v>1688800.1582037807</v>
      </c>
      <c r="FX251" s="388">
        <f t="shared" ca="1" si="1195"/>
        <v>1701863.5702551275</v>
      </c>
      <c r="FY251" s="388">
        <f t="shared" ca="1" si="1195"/>
        <v>1715050.9383184488</v>
      </c>
      <c r="FZ251" s="388">
        <f t="shared" ca="1" si="1195"/>
        <v>1729234.6648666749</v>
      </c>
      <c r="GA251" s="388">
        <f t="shared" ca="1" si="1195"/>
        <v>1743275.1883591579</v>
      </c>
      <c r="GB251" s="388">
        <f t="shared" ca="1" si="1195"/>
        <v>1757171.1499717543</v>
      </c>
      <c r="GC251" s="388">
        <f t="shared" ca="1" si="1195"/>
        <v>1771198.9674867194</v>
      </c>
      <c r="GD251" s="388">
        <f t="shared" ca="1" si="1195"/>
        <v>1785359.8920574081</v>
      </c>
      <c r="GE251" s="388">
        <f t="shared" ca="1" si="1195"/>
        <v>1799655.1867091104</v>
      </c>
      <c r="GF251" s="388">
        <f t="shared" ca="1" si="1195"/>
        <v>1814086.1264517016</v>
      </c>
      <c r="GG251" s="388">
        <f t="shared" ref="GG251:HL251" ca="1" si="1196">(GG$201&lt;=Timing_Reversion_Month)*GF255</f>
        <v>1828653.9983933617</v>
      </c>
      <c r="GH251" s="388">
        <f t="shared" ca="1" si="1196"/>
        <v>1843360.1018553737</v>
      </c>
      <c r="GI251" s="388">
        <f t="shared" ca="1" si="1196"/>
        <v>1858205.7484880113</v>
      </c>
      <c r="GJ251" s="388">
        <f t="shared" ca="1" si="1196"/>
        <v>1873192.262387526</v>
      </c>
      <c r="GK251" s="388">
        <f t="shared" ca="1" si="1196"/>
        <v>1888320.9802142445</v>
      </c>
      <c r="GL251" s="388">
        <f t="shared" ca="1" si="1196"/>
        <v>0</v>
      </c>
      <c r="GM251" s="388">
        <f t="shared" ca="1" si="1196"/>
        <v>0</v>
      </c>
      <c r="GN251" s="388">
        <f t="shared" ca="1" si="1196"/>
        <v>0</v>
      </c>
      <c r="GO251" s="388">
        <f t="shared" ca="1" si="1196"/>
        <v>0</v>
      </c>
      <c r="GP251" s="388">
        <f t="shared" ca="1" si="1196"/>
        <v>0</v>
      </c>
      <c r="GQ251" s="388">
        <f t="shared" ca="1" si="1196"/>
        <v>0</v>
      </c>
      <c r="GR251" s="388">
        <f t="shared" ca="1" si="1196"/>
        <v>0</v>
      </c>
      <c r="GS251" s="388">
        <f t="shared" ca="1" si="1196"/>
        <v>0</v>
      </c>
      <c r="GT251" s="388">
        <f t="shared" ca="1" si="1196"/>
        <v>0</v>
      </c>
      <c r="GU251" s="388">
        <f t="shared" ca="1" si="1196"/>
        <v>0</v>
      </c>
      <c r="GV251" s="388">
        <f t="shared" ca="1" si="1196"/>
        <v>0</v>
      </c>
      <c r="GW251" s="388">
        <f t="shared" ca="1" si="1196"/>
        <v>0</v>
      </c>
      <c r="GX251" s="388">
        <f t="shared" ca="1" si="1196"/>
        <v>0</v>
      </c>
      <c r="GY251" s="388">
        <f t="shared" ca="1" si="1196"/>
        <v>0</v>
      </c>
      <c r="GZ251" s="388">
        <f t="shared" ca="1" si="1196"/>
        <v>0</v>
      </c>
      <c r="HA251" s="388">
        <f t="shared" ca="1" si="1196"/>
        <v>0</v>
      </c>
      <c r="HB251" s="388">
        <f t="shared" ca="1" si="1196"/>
        <v>0</v>
      </c>
      <c r="HC251" s="388">
        <f t="shared" ca="1" si="1196"/>
        <v>0</v>
      </c>
      <c r="HD251" s="388">
        <f t="shared" ca="1" si="1196"/>
        <v>0</v>
      </c>
      <c r="HE251" s="388">
        <f t="shared" ca="1" si="1196"/>
        <v>0</v>
      </c>
      <c r="HF251" s="388">
        <f t="shared" ca="1" si="1196"/>
        <v>0</v>
      </c>
      <c r="HG251" s="388">
        <f t="shared" ca="1" si="1196"/>
        <v>0</v>
      </c>
      <c r="HH251" s="388">
        <f t="shared" ca="1" si="1196"/>
        <v>0</v>
      </c>
      <c r="HI251" s="388">
        <f t="shared" ca="1" si="1196"/>
        <v>0</v>
      </c>
      <c r="HJ251" s="388">
        <f t="shared" ca="1" si="1196"/>
        <v>0</v>
      </c>
      <c r="HK251" s="388">
        <f t="shared" ca="1" si="1196"/>
        <v>0</v>
      </c>
      <c r="HL251" s="388">
        <f t="shared" ca="1" si="1196"/>
        <v>0</v>
      </c>
      <c r="HM251" s="388">
        <f t="shared" ref="HM251:IR251" ca="1" si="1197">(HM$201&lt;=Timing_Reversion_Month)*HL255</f>
        <v>0</v>
      </c>
      <c r="HN251" s="388">
        <f t="shared" ca="1" si="1197"/>
        <v>0</v>
      </c>
      <c r="HO251" s="388">
        <f t="shared" ca="1" si="1197"/>
        <v>0</v>
      </c>
      <c r="HP251" s="388">
        <f t="shared" ca="1" si="1197"/>
        <v>0</v>
      </c>
      <c r="HQ251" s="388">
        <f t="shared" ca="1" si="1197"/>
        <v>0</v>
      </c>
      <c r="HR251" s="388">
        <f t="shared" ca="1" si="1197"/>
        <v>0</v>
      </c>
      <c r="HS251" s="388">
        <f t="shared" ca="1" si="1197"/>
        <v>0</v>
      </c>
      <c r="HT251" s="388">
        <f t="shared" ca="1" si="1197"/>
        <v>0</v>
      </c>
      <c r="HU251" s="388">
        <f t="shared" ca="1" si="1197"/>
        <v>0</v>
      </c>
      <c r="HV251" s="388">
        <f t="shared" ca="1" si="1197"/>
        <v>0</v>
      </c>
      <c r="HW251" s="388">
        <f t="shared" ca="1" si="1197"/>
        <v>0</v>
      </c>
      <c r="HX251" s="388">
        <f t="shared" ca="1" si="1197"/>
        <v>0</v>
      </c>
      <c r="HY251" s="388">
        <f t="shared" ca="1" si="1197"/>
        <v>0</v>
      </c>
      <c r="HZ251" s="388">
        <f t="shared" ca="1" si="1197"/>
        <v>0</v>
      </c>
      <c r="IA251" s="388">
        <f t="shared" ca="1" si="1197"/>
        <v>0</v>
      </c>
      <c r="IB251" s="388">
        <f t="shared" ca="1" si="1197"/>
        <v>0</v>
      </c>
      <c r="IC251" s="388">
        <f t="shared" ca="1" si="1197"/>
        <v>0</v>
      </c>
      <c r="ID251" s="388">
        <f t="shared" ca="1" si="1197"/>
        <v>0</v>
      </c>
      <c r="IE251" s="388">
        <f t="shared" ca="1" si="1197"/>
        <v>0</v>
      </c>
      <c r="IF251" s="388">
        <f t="shared" ca="1" si="1197"/>
        <v>0</v>
      </c>
      <c r="IG251" s="388">
        <f t="shared" ca="1" si="1197"/>
        <v>0</v>
      </c>
      <c r="IH251" s="388">
        <f t="shared" ca="1" si="1197"/>
        <v>0</v>
      </c>
      <c r="II251" s="388">
        <f t="shared" ca="1" si="1197"/>
        <v>0</v>
      </c>
      <c r="IJ251" s="388">
        <f t="shared" ca="1" si="1197"/>
        <v>0</v>
      </c>
      <c r="IK251" s="388">
        <f t="shared" ca="1" si="1197"/>
        <v>0</v>
      </c>
      <c r="IL251" s="388">
        <f t="shared" ca="1" si="1197"/>
        <v>0</v>
      </c>
      <c r="IM251" s="388">
        <f t="shared" ca="1" si="1197"/>
        <v>0</v>
      </c>
      <c r="IN251" s="388">
        <f t="shared" ca="1" si="1197"/>
        <v>0</v>
      </c>
      <c r="IO251" s="388">
        <f t="shared" ca="1" si="1197"/>
        <v>0</v>
      </c>
      <c r="IP251" s="388">
        <f t="shared" ca="1" si="1197"/>
        <v>0</v>
      </c>
      <c r="IQ251" s="388">
        <f t="shared" ca="1" si="1197"/>
        <v>0</v>
      </c>
      <c r="IR251" s="388">
        <f t="shared" ca="1" si="1197"/>
        <v>0</v>
      </c>
      <c r="IS251" s="388">
        <f t="shared" ref="IS251:KC251" ca="1" si="1198">(IS$201&lt;=Timing_Reversion_Month)*IR255</f>
        <v>0</v>
      </c>
      <c r="IT251" s="388">
        <f t="shared" ca="1" si="1198"/>
        <v>0</v>
      </c>
      <c r="IU251" s="388">
        <f t="shared" ca="1" si="1198"/>
        <v>0</v>
      </c>
      <c r="IV251" s="388">
        <f t="shared" ca="1" si="1198"/>
        <v>0</v>
      </c>
      <c r="IW251" s="388">
        <f t="shared" ca="1" si="1198"/>
        <v>0</v>
      </c>
      <c r="IX251" s="388">
        <f t="shared" ca="1" si="1198"/>
        <v>0</v>
      </c>
      <c r="IY251" s="388">
        <f t="shared" ca="1" si="1198"/>
        <v>0</v>
      </c>
      <c r="IZ251" s="388">
        <f t="shared" ca="1" si="1198"/>
        <v>0</v>
      </c>
      <c r="JA251" s="388">
        <f t="shared" ca="1" si="1198"/>
        <v>0</v>
      </c>
      <c r="JB251" s="388">
        <f t="shared" ca="1" si="1198"/>
        <v>0</v>
      </c>
      <c r="JC251" s="388">
        <f t="shared" ca="1" si="1198"/>
        <v>0</v>
      </c>
      <c r="JD251" s="388">
        <f t="shared" ca="1" si="1198"/>
        <v>0</v>
      </c>
      <c r="JE251" s="388">
        <f t="shared" ca="1" si="1198"/>
        <v>0</v>
      </c>
      <c r="JF251" s="388">
        <f t="shared" ca="1" si="1198"/>
        <v>0</v>
      </c>
      <c r="JG251" s="388">
        <f t="shared" ca="1" si="1198"/>
        <v>0</v>
      </c>
      <c r="JH251" s="388">
        <f t="shared" ca="1" si="1198"/>
        <v>0</v>
      </c>
      <c r="JI251" s="388">
        <f t="shared" ca="1" si="1198"/>
        <v>0</v>
      </c>
      <c r="JJ251" s="388">
        <f t="shared" ca="1" si="1198"/>
        <v>0</v>
      </c>
      <c r="JK251" s="388">
        <f t="shared" ca="1" si="1198"/>
        <v>0</v>
      </c>
      <c r="JL251" s="388">
        <f t="shared" ca="1" si="1198"/>
        <v>0</v>
      </c>
      <c r="JM251" s="388">
        <f t="shared" ca="1" si="1198"/>
        <v>0</v>
      </c>
      <c r="JN251" s="388">
        <f t="shared" ca="1" si="1198"/>
        <v>0</v>
      </c>
      <c r="JO251" s="388">
        <f t="shared" ca="1" si="1198"/>
        <v>0</v>
      </c>
      <c r="JP251" s="388">
        <f t="shared" ca="1" si="1198"/>
        <v>0</v>
      </c>
      <c r="JQ251" s="388">
        <f t="shared" ca="1" si="1198"/>
        <v>0</v>
      </c>
      <c r="JR251" s="388">
        <f t="shared" ca="1" si="1198"/>
        <v>0</v>
      </c>
      <c r="JS251" s="388">
        <f t="shared" ca="1" si="1198"/>
        <v>0</v>
      </c>
      <c r="JT251" s="388">
        <f t="shared" ca="1" si="1198"/>
        <v>0</v>
      </c>
      <c r="JU251" s="388">
        <f t="shared" ca="1" si="1198"/>
        <v>0</v>
      </c>
      <c r="JV251" s="388">
        <f t="shared" ca="1" si="1198"/>
        <v>0</v>
      </c>
      <c r="JW251" s="388">
        <f t="shared" ca="1" si="1198"/>
        <v>0</v>
      </c>
      <c r="JX251" s="388">
        <f t="shared" ca="1" si="1198"/>
        <v>0</v>
      </c>
      <c r="JY251" s="388">
        <f t="shared" ca="1" si="1198"/>
        <v>0</v>
      </c>
      <c r="JZ251" s="388">
        <f t="shared" ca="1" si="1198"/>
        <v>0</v>
      </c>
      <c r="KA251" s="388">
        <f t="shared" ca="1" si="1198"/>
        <v>0</v>
      </c>
      <c r="KB251" s="388">
        <f t="shared" ca="1" si="1198"/>
        <v>0</v>
      </c>
      <c r="KC251" s="388">
        <f t="shared" ca="1" si="1198"/>
        <v>0</v>
      </c>
    </row>
    <row r="252" spans="2:289" ht="0.6" customHeight="1" x14ac:dyDescent="0.25">
      <c r="B252" s="209" t="s">
        <v>366</v>
      </c>
      <c r="C252" s="181"/>
      <c r="D252" s="181"/>
      <c r="E252" s="431" t="s">
        <v>383</v>
      </c>
      <c r="F252" s="431"/>
      <c r="G252" s="181"/>
      <c r="H252" s="210" t="s">
        <v>384</v>
      </c>
      <c r="I252" s="210" t="s">
        <v>385</v>
      </c>
      <c r="Q252" s="161">
        <f>Q231</f>
        <v>0</v>
      </c>
      <c r="R252" s="161">
        <f t="shared" ref="R252:CC252" si="1199">R231</f>
        <v>1</v>
      </c>
      <c r="S252" s="161">
        <f t="shared" si="1199"/>
        <v>2</v>
      </c>
      <c r="T252" s="161">
        <f t="shared" si="1199"/>
        <v>3</v>
      </c>
      <c r="U252" s="161">
        <f t="shared" si="1199"/>
        <v>4</v>
      </c>
      <c r="V252" s="161">
        <f t="shared" si="1199"/>
        <v>5</v>
      </c>
      <c r="W252" s="161">
        <f t="shared" si="1199"/>
        <v>6</v>
      </c>
      <c r="X252" s="161">
        <f t="shared" si="1199"/>
        <v>7</v>
      </c>
      <c r="Y252" s="161">
        <f t="shared" si="1199"/>
        <v>8</v>
      </c>
      <c r="Z252" s="161">
        <f t="shared" si="1199"/>
        <v>9</v>
      </c>
      <c r="AA252" s="161">
        <f t="shared" si="1199"/>
        <v>10</v>
      </c>
      <c r="AB252" s="161">
        <f t="shared" si="1199"/>
        <v>11</v>
      </c>
      <c r="AC252" s="161">
        <f t="shared" si="1199"/>
        <v>12</v>
      </c>
      <c r="AD252" s="161">
        <f t="shared" si="1199"/>
        <v>13</v>
      </c>
      <c r="AE252" s="161">
        <f t="shared" si="1199"/>
        <v>14</v>
      </c>
      <c r="AF252" s="161">
        <f t="shared" si="1199"/>
        <v>15</v>
      </c>
      <c r="AG252" s="161">
        <f t="shared" si="1199"/>
        <v>16</v>
      </c>
      <c r="AH252" s="161">
        <f t="shared" si="1199"/>
        <v>17</v>
      </c>
      <c r="AI252" s="161">
        <f t="shared" si="1199"/>
        <v>18</v>
      </c>
      <c r="AJ252" s="161">
        <f t="shared" si="1199"/>
        <v>19</v>
      </c>
      <c r="AK252" s="161">
        <f t="shared" si="1199"/>
        <v>20</v>
      </c>
      <c r="AL252" s="161">
        <f t="shared" si="1199"/>
        <v>21</v>
      </c>
      <c r="AM252" s="161">
        <f t="shared" si="1199"/>
        <v>22</v>
      </c>
      <c r="AN252" s="161">
        <f t="shared" si="1199"/>
        <v>23</v>
      </c>
      <c r="AO252" s="161">
        <f t="shared" si="1199"/>
        <v>24</v>
      </c>
      <c r="AP252" s="161">
        <f t="shared" si="1199"/>
        <v>25</v>
      </c>
      <c r="AQ252" s="161">
        <f t="shared" si="1199"/>
        <v>26</v>
      </c>
      <c r="AR252" s="161">
        <f t="shared" si="1199"/>
        <v>27</v>
      </c>
      <c r="AS252" s="161">
        <f t="shared" si="1199"/>
        <v>28</v>
      </c>
      <c r="AT252" s="161">
        <f t="shared" si="1199"/>
        <v>29</v>
      </c>
      <c r="AU252" s="161">
        <f t="shared" si="1199"/>
        <v>30</v>
      </c>
      <c r="AV252" s="161">
        <f t="shared" si="1199"/>
        <v>31</v>
      </c>
      <c r="AW252" s="161">
        <f t="shared" si="1199"/>
        <v>32</v>
      </c>
      <c r="AX252" s="161">
        <f t="shared" si="1199"/>
        <v>33</v>
      </c>
      <c r="AY252" s="161">
        <f t="shared" si="1199"/>
        <v>34</v>
      </c>
      <c r="AZ252" s="161">
        <f t="shared" si="1199"/>
        <v>35</v>
      </c>
      <c r="BA252" s="161">
        <f t="shared" si="1199"/>
        <v>36</v>
      </c>
      <c r="BB252" s="161" t="str">
        <f t="shared" si="1199"/>
        <v/>
      </c>
      <c r="BC252" s="161" t="str">
        <f t="shared" si="1199"/>
        <v/>
      </c>
      <c r="BD252" s="161" t="str">
        <f t="shared" si="1199"/>
        <v/>
      </c>
      <c r="BE252" s="161" t="str">
        <f t="shared" si="1199"/>
        <v/>
      </c>
      <c r="BF252" s="161" t="str">
        <f t="shared" si="1199"/>
        <v/>
      </c>
      <c r="BG252" s="161" t="str">
        <f t="shared" si="1199"/>
        <v/>
      </c>
      <c r="BH252" s="161" t="str">
        <f t="shared" si="1199"/>
        <v/>
      </c>
      <c r="BI252" s="161" t="str">
        <f t="shared" si="1199"/>
        <v/>
      </c>
      <c r="BJ252" s="161" t="str">
        <f t="shared" si="1199"/>
        <v/>
      </c>
      <c r="BK252" s="161" t="str">
        <f t="shared" si="1199"/>
        <v/>
      </c>
      <c r="BL252" s="161" t="str">
        <f t="shared" si="1199"/>
        <v/>
      </c>
      <c r="BM252" s="161" t="str">
        <f t="shared" si="1199"/>
        <v/>
      </c>
      <c r="BN252" s="161" t="str">
        <f t="shared" si="1199"/>
        <v/>
      </c>
      <c r="BO252" s="161" t="str">
        <f t="shared" si="1199"/>
        <v/>
      </c>
      <c r="BP252" s="161" t="str">
        <f t="shared" si="1199"/>
        <v/>
      </c>
      <c r="BQ252" s="161" t="str">
        <f t="shared" si="1199"/>
        <v/>
      </c>
      <c r="BR252" s="161" t="str">
        <f t="shared" si="1199"/>
        <v/>
      </c>
      <c r="BS252" s="161" t="str">
        <f t="shared" si="1199"/>
        <v/>
      </c>
      <c r="BT252" s="161" t="str">
        <f t="shared" si="1199"/>
        <v/>
      </c>
      <c r="BU252" s="161" t="str">
        <f t="shared" si="1199"/>
        <v/>
      </c>
      <c r="BV252" s="161" t="str">
        <f t="shared" si="1199"/>
        <v/>
      </c>
      <c r="BW252" s="161" t="str">
        <f t="shared" si="1199"/>
        <v/>
      </c>
      <c r="BX252" s="161" t="str">
        <f t="shared" si="1199"/>
        <v/>
      </c>
      <c r="BY252" s="161" t="str">
        <f t="shared" si="1199"/>
        <v/>
      </c>
      <c r="BZ252" s="161" t="str">
        <f t="shared" si="1199"/>
        <v/>
      </c>
      <c r="CA252" s="161" t="str">
        <f t="shared" si="1199"/>
        <v/>
      </c>
      <c r="CB252" s="161" t="str">
        <f t="shared" si="1199"/>
        <v/>
      </c>
      <c r="CC252" s="161" t="str">
        <f t="shared" si="1199"/>
        <v/>
      </c>
      <c r="CD252" s="161" t="str">
        <f t="shared" ref="CD252:EO252" si="1200">CD231</f>
        <v/>
      </c>
      <c r="CE252" s="161" t="str">
        <f t="shared" si="1200"/>
        <v/>
      </c>
      <c r="CF252" s="161" t="str">
        <f t="shared" si="1200"/>
        <v/>
      </c>
      <c r="CG252" s="161" t="str">
        <f t="shared" si="1200"/>
        <v/>
      </c>
      <c r="CH252" s="161" t="str">
        <f t="shared" si="1200"/>
        <v/>
      </c>
      <c r="CI252" s="161" t="str">
        <f t="shared" si="1200"/>
        <v/>
      </c>
      <c r="CJ252" s="161" t="str">
        <f t="shared" si="1200"/>
        <v/>
      </c>
      <c r="CK252" s="161" t="str">
        <f t="shared" si="1200"/>
        <v/>
      </c>
      <c r="CL252" s="161" t="str">
        <f t="shared" si="1200"/>
        <v/>
      </c>
      <c r="CM252" s="161" t="str">
        <f t="shared" si="1200"/>
        <v/>
      </c>
      <c r="CN252" s="161" t="str">
        <f t="shared" si="1200"/>
        <v/>
      </c>
      <c r="CO252" s="161" t="str">
        <f t="shared" si="1200"/>
        <v/>
      </c>
      <c r="CP252" s="161" t="str">
        <f t="shared" si="1200"/>
        <v/>
      </c>
      <c r="CQ252" s="161" t="str">
        <f t="shared" si="1200"/>
        <v/>
      </c>
      <c r="CR252" s="161" t="str">
        <f t="shared" si="1200"/>
        <v/>
      </c>
      <c r="CS252" s="161" t="str">
        <f t="shared" si="1200"/>
        <v/>
      </c>
      <c r="CT252" s="161" t="str">
        <f t="shared" si="1200"/>
        <v/>
      </c>
      <c r="CU252" s="161" t="str">
        <f t="shared" si="1200"/>
        <v/>
      </c>
      <c r="CV252" s="161" t="str">
        <f t="shared" si="1200"/>
        <v/>
      </c>
      <c r="CW252" s="161" t="str">
        <f t="shared" si="1200"/>
        <v/>
      </c>
      <c r="CX252" s="161" t="str">
        <f t="shared" si="1200"/>
        <v/>
      </c>
      <c r="CY252" s="161" t="str">
        <f t="shared" si="1200"/>
        <v/>
      </c>
      <c r="CZ252" s="161" t="str">
        <f t="shared" si="1200"/>
        <v/>
      </c>
      <c r="DA252" s="161" t="str">
        <f t="shared" si="1200"/>
        <v/>
      </c>
      <c r="DB252" s="161" t="str">
        <f t="shared" si="1200"/>
        <v/>
      </c>
      <c r="DC252" s="161" t="str">
        <f t="shared" si="1200"/>
        <v/>
      </c>
      <c r="DD252" s="161" t="str">
        <f t="shared" si="1200"/>
        <v/>
      </c>
      <c r="DE252" s="161" t="str">
        <f t="shared" si="1200"/>
        <v/>
      </c>
      <c r="DF252" s="161" t="str">
        <f t="shared" si="1200"/>
        <v/>
      </c>
      <c r="DG252" s="161" t="str">
        <f t="shared" si="1200"/>
        <v/>
      </c>
      <c r="DH252" s="161" t="str">
        <f t="shared" si="1200"/>
        <v/>
      </c>
      <c r="DI252" s="161" t="str">
        <f t="shared" si="1200"/>
        <v/>
      </c>
      <c r="DJ252" s="161" t="str">
        <f t="shared" si="1200"/>
        <v/>
      </c>
      <c r="DK252" s="161" t="str">
        <f t="shared" si="1200"/>
        <v/>
      </c>
      <c r="DL252" s="161" t="str">
        <f t="shared" si="1200"/>
        <v/>
      </c>
      <c r="DM252" s="161" t="str">
        <f t="shared" si="1200"/>
        <v/>
      </c>
      <c r="DN252" s="161" t="str">
        <f t="shared" si="1200"/>
        <v/>
      </c>
      <c r="DO252" s="161" t="str">
        <f t="shared" si="1200"/>
        <v/>
      </c>
      <c r="DP252" s="161" t="str">
        <f t="shared" si="1200"/>
        <v/>
      </c>
      <c r="DQ252" s="161" t="str">
        <f t="shared" si="1200"/>
        <v/>
      </c>
      <c r="DR252" s="161" t="str">
        <f t="shared" si="1200"/>
        <v/>
      </c>
      <c r="DS252" s="161" t="str">
        <f t="shared" si="1200"/>
        <v/>
      </c>
      <c r="DT252" s="161" t="str">
        <f t="shared" si="1200"/>
        <v/>
      </c>
      <c r="DU252" s="161" t="str">
        <f t="shared" si="1200"/>
        <v/>
      </c>
      <c r="DV252" s="161" t="str">
        <f t="shared" si="1200"/>
        <v/>
      </c>
      <c r="DW252" s="161" t="str">
        <f t="shared" si="1200"/>
        <v/>
      </c>
      <c r="DX252" s="161" t="str">
        <f t="shared" si="1200"/>
        <v/>
      </c>
      <c r="DY252" s="161" t="str">
        <f t="shared" si="1200"/>
        <v/>
      </c>
      <c r="DZ252" s="161" t="str">
        <f t="shared" si="1200"/>
        <v/>
      </c>
      <c r="EA252" s="161" t="str">
        <f t="shared" si="1200"/>
        <v/>
      </c>
      <c r="EB252" s="161" t="str">
        <f t="shared" si="1200"/>
        <v/>
      </c>
      <c r="EC252" s="161" t="str">
        <f t="shared" si="1200"/>
        <v/>
      </c>
      <c r="ED252" s="161" t="str">
        <f t="shared" si="1200"/>
        <v/>
      </c>
      <c r="EE252" s="161" t="str">
        <f t="shared" si="1200"/>
        <v/>
      </c>
      <c r="EF252" s="161" t="str">
        <f t="shared" si="1200"/>
        <v/>
      </c>
      <c r="EG252" s="161" t="str">
        <f t="shared" si="1200"/>
        <v/>
      </c>
      <c r="EH252" s="161" t="str">
        <f t="shared" si="1200"/>
        <v/>
      </c>
      <c r="EI252" s="161" t="str">
        <f t="shared" si="1200"/>
        <v/>
      </c>
      <c r="EJ252" s="161" t="str">
        <f t="shared" si="1200"/>
        <v/>
      </c>
      <c r="EK252" s="161" t="str">
        <f t="shared" si="1200"/>
        <v/>
      </c>
      <c r="EL252" s="161" t="str">
        <f t="shared" si="1200"/>
        <v/>
      </c>
      <c r="EM252" s="161" t="str">
        <f t="shared" si="1200"/>
        <v/>
      </c>
      <c r="EN252" s="161" t="str">
        <f t="shared" si="1200"/>
        <v/>
      </c>
      <c r="EO252" s="161" t="str">
        <f t="shared" si="1200"/>
        <v/>
      </c>
      <c r="EP252" s="161" t="str">
        <f>EP231</f>
        <v/>
      </c>
      <c r="EQ252" s="161" t="str">
        <f>EQ231</f>
        <v/>
      </c>
      <c r="ER252" s="161" t="str">
        <f>ER231</f>
        <v/>
      </c>
      <c r="ES252" s="161" t="str">
        <f>ES231</f>
        <v/>
      </c>
      <c r="EU252" s="202"/>
      <c r="EV252" s="153"/>
      <c r="EW252" s="153"/>
      <c r="EX252" s="153"/>
      <c r="EY252" s="154" t="s">
        <v>376</v>
      </c>
      <c r="EZ252" s="154"/>
      <c r="FA252" s="388">
        <f t="shared" ref="FA252:GF252" si="1201">(FA$201&lt;=Timing_Reversion_Month)*(FA251*((1+$EU253)^(1/12)-1))</f>
        <v>0</v>
      </c>
      <c r="FB252" s="388">
        <f t="shared" ca="1" si="1201"/>
        <v>7024.1033695783608</v>
      </c>
      <c r="FC252" s="388">
        <f t="shared" ca="1" si="1201"/>
        <v>7234.5735342292055</v>
      </c>
      <c r="FD252" s="388">
        <f t="shared" ca="1" si="1201"/>
        <v>7751.6084150741226</v>
      </c>
      <c r="FE252" s="388">
        <f t="shared" ca="1" si="1201"/>
        <v>8991.0291377005215</v>
      </c>
      <c r="FF252" s="388">
        <f t="shared" ca="1" si="1201"/>
        <v>11488.333245162466</v>
      </c>
      <c r="FG252" s="388">
        <f t="shared" ca="1" si="1201"/>
        <v>14198.894689604975</v>
      </c>
      <c r="FH252" s="388">
        <f t="shared" ca="1" si="1201"/>
        <v>14333.625061214587</v>
      </c>
      <c r="FI252" s="388">
        <f t="shared" ca="1" si="1201"/>
        <v>14469.633861422402</v>
      </c>
      <c r="FJ252" s="388">
        <f t="shared" ca="1" si="1201"/>
        <v>14606.933220972671</v>
      </c>
      <c r="FK252" s="388">
        <f t="shared" ca="1" si="1201"/>
        <v>14745.535385715762</v>
      </c>
      <c r="FL252" s="388">
        <f t="shared" ca="1" si="1201"/>
        <v>14885.452717700387</v>
      </c>
      <c r="FM252" s="388">
        <f t="shared" ca="1" si="1201"/>
        <v>15026.697696276171</v>
      </c>
      <c r="FN252" s="388">
        <f t="shared" ca="1" si="1201"/>
        <v>15161.985691099077</v>
      </c>
      <c r="FO252" s="388">
        <f t="shared" ca="1" si="1201"/>
        <v>15212.52257945848</v>
      </c>
      <c r="FP252" s="388">
        <f t="shared" ca="1" si="1201"/>
        <v>15189.000616264017</v>
      </c>
      <c r="FQ252" s="388">
        <f t="shared" ca="1" si="1201"/>
        <v>15305.027086964155</v>
      </c>
      <c r="FR252" s="388">
        <f t="shared" ca="1" si="1201"/>
        <v>15422.154508819698</v>
      </c>
      <c r="FS252" s="388">
        <f t="shared" ca="1" si="1201"/>
        <v>15540.393328528191</v>
      </c>
      <c r="FT252" s="388">
        <f t="shared" ca="1" si="1201"/>
        <v>15659.754091913726</v>
      </c>
      <c r="FU252" s="388">
        <f t="shared" ca="1" si="1201"/>
        <v>15780.24744486754</v>
      </c>
      <c r="FV252" s="388">
        <f t="shared" ca="1" si="1201"/>
        <v>15901.884134297528</v>
      </c>
      <c r="FW252" s="388">
        <f t="shared" ca="1" si="1201"/>
        <v>16024.675009086764</v>
      </c>
      <c r="FX252" s="388">
        <f t="shared" ca="1" si="1201"/>
        <v>16148.63102106113</v>
      </c>
      <c r="FY252" s="388">
        <f t="shared" ca="1" si="1201"/>
        <v>16273.76322596612</v>
      </c>
      <c r="FZ252" s="388">
        <f t="shared" ca="1" si="1201"/>
        <v>16408.349670222986</v>
      </c>
      <c r="GA252" s="388">
        <f t="shared" ca="1" si="1201"/>
        <v>16541.577290336307</v>
      </c>
      <c r="GB252" s="388">
        <f t="shared" ca="1" si="1201"/>
        <v>16673.433192705146</v>
      </c>
      <c r="GC252" s="388">
        <f t="shared" ca="1" si="1201"/>
        <v>16806.54024842877</v>
      </c>
      <c r="GD252" s="388">
        <f t="shared" ca="1" si="1201"/>
        <v>16940.910329442282</v>
      </c>
      <c r="GE252" s="388">
        <f t="shared" ca="1" si="1201"/>
        <v>17076.55542033114</v>
      </c>
      <c r="GF252" s="388">
        <f t="shared" ca="1" si="1201"/>
        <v>17213.487619400032</v>
      </c>
      <c r="GG252" s="388">
        <f t="shared" ref="GG252:HL252" ca="1" si="1202">(GG$201&lt;=Timing_Reversion_Month)*(GG251*((1+$EU253)^(1/12)-1))</f>
        <v>17351.719139751967</v>
      </c>
      <c r="GH252" s="388">
        <f t="shared" ca="1" si="1202"/>
        <v>17491.262310377555</v>
      </c>
      <c r="GI252" s="388">
        <f t="shared" ca="1" si="1202"/>
        <v>17632.12957725464</v>
      </c>
      <c r="GJ252" s="388">
        <f t="shared" ca="1" si="1202"/>
        <v>17774.333504458387</v>
      </c>
      <c r="GK252" s="388">
        <f t="shared" ca="1" si="1202"/>
        <v>17917.886775281855</v>
      </c>
      <c r="GL252" s="388">
        <f t="shared" ca="1" si="1202"/>
        <v>0</v>
      </c>
      <c r="GM252" s="388">
        <f t="shared" ca="1" si="1202"/>
        <v>0</v>
      </c>
      <c r="GN252" s="388">
        <f t="shared" ca="1" si="1202"/>
        <v>0</v>
      </c>
      <c r="GO252" s="388">
        <f t="shared" ca="1" si="1202"/>
        <v>0</v>
      </c>
      <c r="GP252" s="388">
        <f t="shared" ca="1" si="1202"/>
        <v>0</v>
      </c>
      <c r="GQ252" s="388">
        <f t="shared" ca="1" si="1202"/>
        <v>0</v>
      </c>
      <c r="GR252" s="388">
        <f t="shared" ca="1" si="1202"/>
        <v>0</v>
      </c>
      <c r="GS252" s="388">
        <f t="shared" ca="1" si="1202"/>
        <v>0</v>
      </c>
      <c r="GT252" s="388">
        <f t="shared" ca="1" si="1202"/>
        <v>0</v>
      </c>
      <c r="GU252" s="388">
        <f t="shared" ca="1" si="1202"/>
        <v>0</v>
      </c>
      <c r="GV252" s="388">
        <f t="shared" ca="1" si="1202"/>
        <v>0</v>
      </c>
      <c r="GW252" s="388">
        <f t="shared" ca="1" si="1202"/>
        <v>0</v>
      </c>
      <c r="GX252" s="388">
        <f t="shared" ca="1" si="1202"/>
        <v>0</v>
      </c>
      <c r="GY252" s="388">
        <f t="shared" ca="1" si="1202"/>
        <v>0</v>
      </c>
      <c r="GZ252" s="388">
        <f t="shared" ca="1" si="1202"/>
        <v>0</v>
      </c>
      <c r="HA252" s="388">
        <f t="shared" ca="1" si="1202"/>
        <v>0</v>
      </c>
      <c r="HB252" s="388">
        <f t="shared" ca="1" si="1202"/>
        <v>0</v>
      </c>
      <c r="HC252" s="388">
        <f t="shared" ca="1" si="1202"/>
        <v>0</v>
      </c>
      <c r="HD252" s="388">
        <f t="shared" ca="1" si="1202"/>
        <v>0</v>
      </c>
      <c r="HE252" s="388">
        <f t="shared" ca="1" si="1202"/>
        <v>0</v>
      </c>
      <c r="HF252" s="388">
        <f t="shared" ca="1" si="1202"/>
        <v>0</v>
      </c>
      <c r="HG252" s="388">
        <f t="shared" ca="1" si="1202"/>
        <v>0</v>
      </c>
      <c r="HH252" s="388">
        <f t="shared" ca="1" si="1202"/>
        <v>0</v>
      </c>
      <c r="HI252" s="388">
        <f t="shared" ca="1" si="1202"/>
        <v>0</v>
      </c>
      <c r="HJ252" s="388">
        <f t="shared" ca="1" si="1202"/>
        <v>0</v>
      </c>
      <c r="HK252" s="388">
        <f t="shared" ca="1" si="1202"/>
        <v>0</v>
      </c>
      <c r="HL252" s="388">
        <f t="shared" ca="1" si="1202"/>
        <v>0</v>
      </c>
      <c r="HM252" s="388">
        <f t="shared" ref="HM252:IR252" ca="1" si="1203">(HM$201&lt;=Timing_Reversion_Month)*(HM251*((1+$EU253)^(1/12)-1))</f>
        <v>0</v>
      </c>
      <c r="HN252" s="388">
        <f t="shared" ca="1" si="1203"/>
        <v>0</v>
      </c>
      <c r="HO252" s="388">
        <f t="shared" ca="1" si="1203"/>
        <v>0</v>
      </c>
      <c r="HP252" s="388">
        <f t="shared" ca="1" si="1203"/>
        <v>0</v>
      </c>
      <c r="HQ252" s="388">
        <f t="shared" ca="1" si="1203"/>
        <v>0</v>
      </c>
      <c r="HR252" s="388">
        <f t="shared" ca="1" si="1203"/>
        <v>0</v>
      </c>
      <c r="HS252" s="388">
        <f t="shared" ca="1" si="1203"/>
        <v>0</v>
      </c>
      <c r="HT252" s="388">
        <f t="shared" ca="1" si="1203"/>
        <v>0</v>
      </c>
      <c r="HU252" s="388">
        <f t="shared" ca="1" si="1203"/>
        <v>0</v>
      </c>
      <c r="HV252" s="388">
        <f t="shared" ca="1" si="1203"/>
        <v>0</v>
      </c>
      <c r="HW252" s="388">
        <f t="shared" ca="1" si="1203"/>
        <v>0</v>
      </c>
      <c r="HX252" s="388">
        <f t="shared" ca="1" si="1203"/>
        <v>0</v>
      </c>
      <c r="HY252" s="388">
        <f t="shared" ca="1" si="1203"/>
        <v>0</v>
      </c>
      <c r="HZ252" s="388">
        <f t="shared" ca="1" si="1203"/>
        <v>0</v>
      </c>
      <c r="IA252" s="388">
        <f t="shared" ca="1" si="1203"/>
        <v>0</v>
      </c>
      <c r="IB252" s="388">
        <f t="shared" ca="1" si="1203"/>
        <v>0</v>
      </c>
      <c r="IC252" s="388">
        <f t="shared" ca="1" si="1203"/>
        <v>0</v>
      </c>
      <c r="ID252" s="388">
        <f t="shared" ca="1" si="1203"/>
        <v>0</v>
      </c>
      <c r="IE252" s="388">
        <f t="shared" ca="1" si="1203"/>
        <v>0</v>
      </c>
      <c r="IF252" s="388">
        <f t="shared" ca="1" si="1203"/>
        <v>0</v>
      </c>
      <c r="IG252" s="388">
        <f t="shared" ca="1" si="1203"/>
        <v>0</v>
      </c>
      <c r="IH252" s="388">
        <f t="shared" ca="1" si="1203"/>
        <v>0</v>
      </c>
      <c r="II252" s="388">
        <f t="shared" ca="1" si="1203"/>
        <v>0</v>
      </c>
      <c r="IJ252" s="388">
        <f t="shared" ca="1" si="1203"/>
        <v>0</v>
      </c>
      <c r="IK252" s="388">
        <f t="shared" ca="1" si="1203"/>
        <v>0</v>
      </c>
      <c r="IL252" s="388">
        <f t="shared" ca="1" si="1203"/>
        <v>0</v>
      </c>
      <c r="IM252" s="388">
        <f t="shared" ca="1" si="1203"/>
        <v>0</v>
      </c>
      <c r="IN252" s="388">
        <f t="shared" ca="1" si="1203"/>
        <v>0</v>
      </c>
      <c r="IO252" s="388">
        <f t="shared" ca="1" si="1203"/>
        <v>0</v>
      </c>
      <c r="IP252" s="388">
        <f t="shared" ca="1" si="1203"/>
        <v>0</v>
      </c>
      <c r="IQ252" s="388">
        <f t="shared" ca="1" si="1203"/>
        <v>0</v>
      </c>
      <c r="IR252" s="388">
        <f t="shared" ca="1" si="1203"/>
        <v>0</v>
      </c>
      <c r="IS252" s="388">
        <f t="shared" ref="IS252:JX252" ca="1" si="1204">(IS$201&lt;=Timing_Reversion_Month)*(IS251*((1+$EU253)^(1/12)-1))</f>
        <v>0</v>
      </c>
      <c r="IT252" s="388">
        <f t="shared" ca="1" si="1204"/>
        <v>0</v>
      </c>
      <c r="IU252" s="388">
        <f t="shared" ca="1" si="1204"/>
        <v>0</v>
      </c>
      <c r="IV252" s="388">
        <f t="shared" ca="1" si="1204"/>
        <v>0</v>
      </c>
      <c r="IW252" s="388">
        <f t="shared" ca="1" si="1204"/>
        <v>0</v>
      </c>
      <c r="IX252" s="388">
        <f t="shared" ca="1" si="1204"/>
        <v>0</v>
      </c>
      <c r="IY252" s="388">
        <f t="shared" ca="1" si="1204"/>
        <v>0</v>
      </c>
      <c r="IZ252" s="388">
        <f t="shared" ca="1" si="1204"/>
        <v>0</v>
      </c>
      <c r="JA252" s="388">
        <f t="shared" ca="1" si="1204"/>
        <v>0</v>
      </c>
      <c r="JB252" s="388">
        <f t="shared" ca="1" si="1204"/>
        <v>0</v>
      </c>
      <c r="JC252" s="388">
        <f t="shared" ca="1" si="1204"/>
        <v>0</v>
      </c>
      <c r="JD252" s="388">
        <f t="shared" ca="1" si="1204"/>
        <v>0</v>
      </c>
      <c r="JE252" s="388">
        <f t="shared" ca="1" si="1204"/>
        <v>0</v>
      </c>
      <c r="JF252" s="388">
        <f t="shared" ca="1" si="1204"/>
        <v>0</v>
      </c>
      <c r="JG252" s="388">
        <f t="shared" ca="1" si="1204"/>
        <v>0</v>
      </c>
      <c r="JH252" s="388">
        <f t="shared" ca="1" si="1204"/>
        <v>0</v>
      </c>
      <c r="JI252" s="388">
        <f t="shared" ca="1" si="1204"/>
        <v>0</v>
      </c>
      <c r="JJ252" s="388">
        <f t="shared" ca="1" si="1204"/>
        <v>0</v>
      </c>
      <c r="JK252" s="388">
        <f t="shared" ca="1" si="1204"/>
        <v>0</v>
      </c>
      <c r="JL252" s="388">
        <f t="shared" ca="1" si="1204"/>
        <v>0</v>
      </c>
      <c r="JM252" s="388">
        <f t="shared" ca="1" si="1204"/>
        <v>0</v>
      </c>
      <c r="JN252" s="388">
        <f t="shared" ca="1" si="1204"/>
        <v>0</v>
      </c>
      <c r="JO252" s="388">
        <f t="shared" ca="1" si="1204"/>
        <v>0</v>
      </c>
      <c r="JP252" s="388">
        <f t="shared" ca="1" si="1204"/>
        <v>0</v>
      </c>
      <c r="JQ252" s="388">
        <f t="shared" ca="1" si="1204"/>
        <v>0</v>
      </c>
      <c r="JR252" s="388">
        <f t="shared" ca="1" si="1204"/>
        <v>0</v>
      </c>
      <c r="JS252" s="388">
        <f t="shared" ca="1" si="1204"/>
        <v>0</v>
      </c>
      <c r="JT252" s="388">
        <f t="shared" ca="1" si="1204"/>
        <v>0</v>
      </c>
      <c r="JU252" s="388">
        <f t="shared" ca="1" si="1204"/>
        <v>0</v>
      </c>
      <c r="JV252" s="388">
        <f t="shared" ca="1" si="1204"/>
        <v>0</v>
      </c>
      <c r="JW252" s="388">
        <f t="shared" ca="1" si="1204"/>
        <v>0</v>
      </c>
      <c r="JX252" s="388">
        <f t="shared" ca="1" si="1204"/>
        <v>0</v>
      </c>
      <c r="JY252" s="388">
        <f t="shared" ref="JY252:KC252" ca="1" si="1205">(JY$201&lt;=Timing_Reversion_Month)*(JY251*((1+$EU253)^(1/12)-1))</f>
        <v>0</v>
      </c>
      <c r="JZ252" s="388">
        <f t="shared" ca="1" si="1205"/>
        <v>0</v>
      </c>
      <c r="KA252" s="388">
        <f t="shared" ca="1" si="1205"/>
        <v>0</v>
      </c>
      <c r="KB252" s="388">
        <f t="shared" ca="1" si="1205"/>
        <v>0</v>
      </c>
      <c r="KC252" s="388">
        <f t="shared" ca="1" si="1205"/>
        <v>0</v>
      </c>
    </row>
    <row r="253" spans="2:289" ht="0.6" customHeight="1" x14ac:dyDescent="0.25">
      <c r="B253" s="180" t="s">
        <v>367</v>
      </c>
      <c r="C253" s="414" t="s">
        <v>369</v>
      </c>
      <c r="D253" s="181"/>
      <c r="E253" s="365">
        <f>H253</f>
        <v>0.1</v>
      </c>
      <c r="F253" s="365"/>
      <c r="G253" s="181"/>
      <c r="H253" s="357">
        <v>0.1</v>
      </c>
      <c r="I253" s="218">
        <f ca="1">SUM(Q253:ES253)</f>
        <v>161544.01321185712</v>
      </c>
      <c r="Q253" s="220">
        <f t="shared" ref="Q253:Z254" ca="1" si="1206">IF(Q$231="","",Q$232*$H253)</f>
        <v>82250.285714285725</v>
      </c>
      <c r="R253" s="220">
        <f t="shared" ca="1" si="1206"/>
        <v>1684.0908265539308</v>
      </c>
      <c r="S253" s="220">
        <f t="shared" ca="1" si="1206"/>
        <v>5250.4923287438105</v>
      </c>
      <c r="T253" s="220">
        <f t="shared" ca="1" si="1206"/>
        <v>13651.980154125289</v>
      </c>
      <c r="U253" s="220">
        <f t="shared" ca="1" si="1206"/>
        <v>28243.729328717596</v>
      </c>
      <c r="V253" s="220">
        <f t="shared" ca="1" si="1206"/>
        <v>30463.434859430767</v>
      </c>
      <c r="W253" s="220">
        <f t="shared" ca="1" si="1206"/>
        <v>0</v>
      </c>
      <c r="X253" s="220">
        <f t="shared" ca="1" si="1206"/>
        <v>0</v>
      </c>
      <c r="Y253" s="220">
        <f t="shared" ca="1" si="1206"/>
        <v>0</v>
      </c>
      <c r="Z253" s="220">
        <f t="shared" ca="1" si="1206"/>
        <v>0</v>
      </c>
      <c r="AA253" s="220">
        <f t="shared" ref="AA253:AJ254" ca="1" si="1207">IF(AA$231="","",AA$232*$H253)</f>
        <v>0</v>
      </c>
      <c r="AB253" s="220">
        <f t="shared" ca="1" si="1207"/>
        <v>0</v>
      </c>
      <c r="AC253" s="220">
        <f t="shared" ca="1" si="1207"/>
        <v>0</v>
      </c>
      <c r="AD253" s="220">
        <f t="shared" ca="1" si="1207"/>
        <v>0</v>
      </c>
      <c r="AE253" s="220">
        <f t="shared" ca="1" si="1207"/>
        <v>0</v>
      </c>
      <c r="AF253" s="220">
        <f t="shared" ca="1" si="1207"/>
        <v>0</v>
      </c>
      <c r="AG253" s="220">
        <f t="shared" ca="1" si="1207"/>
        <v>0</v>
      </c>
      <c r="AH253" s="220">
        <f t="shared" ca="1" si="1207"/>
        <v>0</v>
      </c>
      <c r="AI253" s="220">
        <f t="shared" ca="1" si="1207"/>
        <v>0</v>
      </c>
      <c r="AJ253" s="220">
        <f t="shared" ca="1" si="1207"/>
        <v>0</v>
      </c>
      <c r="AK253" s="220">
        <f t="shared" ref="AK253:AT254" ca="1" si="1208">IF(AK$231="","",AK$232*$H253)</f>
        <v>0</v>
      </c>
      <c r="AL253" s="220">
        <f t="shared" ca="1" si="1208"/>
        <v>0</v>
      </c>
      <c r="AM253" s="220">
        <f t="shared" ca="1" si="1208"/>
        <v>0</v>
      </c>
      <c r="AN253" s="220">
        <f t="shared" ca="1" si="1208"/>
        <v>0</v>
      </c>
      <c r="AO253" s="220">
        <f t="shared" ca="1" si="1208"/>
        <v>0</v>
      </c>
      <c r="AP253" s="220">
        <f t="shared" ca="1" si="1208"/>
        <v>0</v>
      </c>
      <c r="AQ253" s="220">
        <f t="shared" ca="1" si="1208"/>
        <v>0</v>
      </c>
      <c r="AR253" s="220">
        <f t="shared" ca="1" si="1208"/>
        <v>0</v>
      </c>
      <c r="AS253" s="220">
        <f t="shared" ca="1" si="1208"/>
        <v>0</v>
      </c>
      <c r="AT253" s="220">
        <f t="shared" ca="1" si="1208"/>
        <v>0</v>
      </c>
      <c r="AU253" s="220">
        <f t="shared" ref="AU253:BD254" ca="1" si="1209">IF(AU$231="","",AU$232*$H253)</f>
        <v>0</v>
      </c>
      <c r="AV253" s="220">
        <f t="shared" ca="1" si="1209"/>
        <v>0</v>
      </c>
      <c r="AW253" s="220">
        <f t="shared" ca="1" si="1209"/>
        <v>0</v>
      </c>
      <c r="AX253" s="220">
        <f t="shared" ca="1" si="1209"/>
        <v>0</v>
      </c>
      <c r="AY253" s="220">
        <f t="shared" ca="1" si="1209"/>
        <v>0</v>
      </c>
      <c r="AZ253" s="220">
        <f t="shared" ca="1" si="1209"/>
        <v>0</v>
      </c>
      <c r="BA253" s="220">
        <f t="shared" ca="1" si="1209"/>
        <v>0</v>
      </c>
      <c r="BB253" s="220" t="str">
        <f t="shared" si="1209"/>
        <v/>
      </c>
      <c r="BC253" s="220" t="str">
        <f t="shared" si="1209"/>
        <v/>
      </c>
      <c r="BD253" s="220" t="str">
        <f t="shared" si="1209"/>
        <v/>
      </c>
      <c r="BE253" s="220" t="str">
        <f t="shared" ref="BE253:BN254" si="1210">IF(BE$231="","",BE$232*$H253)</f>
        <v/>
      </c>
      <c r="BF253" s="220" t="str">
        <f t="shared" si="1210"/>
        <v/>
      </c>
      <c r="BG253" s="220" t="str">
        <f t="shared" si="1210"/>
        <v/>
      </c>
      <c r="BH253" s="220" t="str">
        <f t="shared" si="1210"/>
        <v/>
      </c>
      <c r="BI253" s="220" t="str">
        <f t="shared" si="1210"/>
        <v/>
      </c>
      <c r="BJ253" s="220" t="str">
        <f t="shared" si="1210"/>
        <v/>
      </c>
      <c r="BK253" s="220" t="str">
        <f t="shared" si="1210"/>
        <v/>
      </c>
      <c r="BL253" s="220" t="str">
        <f t="shared" si="1210"/>
        <v/>
      </c>
      <c r="BM253" s="220" t="str">
        <f t="shared" si="1210"/>
        <v/>
      </c>
      <c r="BN253" s="220" t="str">
        <f t="shared" si="1210"/>
        <v/>
      </c>
      <c r="BO253" s="220" t="str">
        <f t="shared" ref="BO253:BX254" si="1211">IF(BO$231="","",BO$232*$H253)</f>
        <v/>
      </c>
      <c r="BP253" s="220" t="str">
        <f t="shared" si="1211"/>
        <v/>
      </c>
      <c r="BQ253" s="220" t="str">
        <f t="shared" si="1211"/>
        <v/>
      </c>
      <c r="BR253" s="220" t="str">
        <f t="shared" si="1211"/>
        <v/>
      </c>
      <c r="BS253" s="220" t="str">
        <f t="shared" si="1211"/>
        <v/>
      </c>
      <c r="BT253" s="220" t="str">
        <f t="shared" si="1211"/>
        <v/>
      </c>
      <c r="BU253" s="220" t="str">
        <f t="shared" si="1211"/>
        <v/>
      </c>
      <c r="BV253" s="220" t="str">
        <f t="shared" si="1211"/>
        <v/>
      </c>
      <c r="BW253" s="220" t="str">
        <f t="shared" si="1211"/>
        <v/>
      </c>
      <c r="BX253" s="220" t="str">
        <f t="shared" si="1211"/>
        <v/>
      </c>
      <c r="BY253" s="220" t="str">
        <f t="shared" ref="BY253:CH254" si="1212">IF(BY$231="","",BY$232*$H253)</f>
        <v/>
      </c>
      <c r="BZ253" s="220" t="str">
        <f t="shared" si="1212"/>
        <v/>
      </c>
      <c r="CA253" s="220" t="str">
        <f t="shared" si="1212"/>
        <v/>
      </c>
      <c r="CB253" s="220" t="str">
        <f t="shared" si="1212"/>
        <v/>
      </c>
      <c r="CC253" s="220" t="str">
        <f t="shared" si="1212"/>
        <v/>
      </c>
      <c r="CD253" s="220" t="str">
        <f t="shared" si="1212"/>
        <v/>
      </c>
      <c r="CE253" s="220" t="str">
        <f t="shared" si="1212"/>
        <v/>
      </c>
      <c r="CF253" s="220" t="str">
        <f t="shared" si="1212"/>
        <v/>
      </c>
      <c r="CG253" s="220" t="str">
        <f t="shared" si="1212"/>
        <v/>
      </c>
      <c r="CH253" s="220" t="str">
        <f t="shared" si="1212"/>
        <v/>
      </c>
      <c r="CI253" s="220" t="str">
        <f t="shared" ref="CI253:CR254" si="1213">IF(CI$231="","",CI$232*$H253)</f>
        <v/>
      </c>
      <c r="CJ253" s="220" t="str">
        <f t="shared" si="1213"/>
        <v/>
      </c>
      <c r="CK253" s="220" t="str">
        <f t="shared" si="1213"/>
        <v/>
      </c>
      <c r="CL253" s="220" t="str">
        <f t="shared" si="1213"/>
        <v/>
      </c>
      <c r="CM253" s="220" t="str">
        <f t="shared" si="1213"/>
        <v/>
      </c>
      <c r="CN253" s="220" t="str">
        <f t="shared" si="1213"/>
        <v/>
      </c>
      <c r="CO253" s="220" t="str">
        <f t="shared" si="1213"/>
        <v/>
      </c>
      <c r="CP253" s="220" t="str">
        <f t="shared" si="1213"/>
        <v/>
      </c>
      <c r="CQ253" s="220" t="str">
        <f t="shared" si="1213"/>
        <v/>
      </c>
      <c r="CR253" s="220" t="str">
        <f t="shared" si="1213"/>
        <v/>
      </c>
      <c r="CS253" s="220" t="str">
        <f t="shared" ref="CS253:DB254" si="1214">IF(CS$231="","",CS$232*$H253)</f>
        <v/>
      </c>
      <c r="CT253" s="220" t="str">
        <f t="shared" si="1214"/>
        <v/>
      </c>
      <c r="CU253" s="220" t="str">
        <f t="shared" si="1214"/>
        <v/>
      </c>
      <c r="CV253" s="220" t="str">
        <f t="shared" si="1214"/>
        <v/>
      </c>
      <c r="CW253" s="220" t="str">
        <f t="shared" si="1214"/>
        <v/>
      </c>
      <c r="CX253" s="220" t="str">
        <f t="shared" si="1214"/>
        <v/>
      </c>
      <c r="CY253" s="220" t="str">
        <f t="shared" si="1214"/>
        <v/>
      </c>
      <c r="CZ253" s="220" t="str">
        <f t="shared" si="1214"/>
        <v/>
      </c>
      <c r="DA253" s="220" t="str">
        <f t="shared" si="1214"/>
        <v/>
      </c>
      <c r="DB253" s="220" t="str">
        <f t="shared" si="1214"/>
        <v/>
      </c>
      <c r="DC253" s="220" t="str">
        <f t="shared" ref="DC253:DL254" si="1215">IF(DC$231="","",DC$232*$H253)</f>
        <v/>
      </c>
      <c r="DD253" s="220" t="str">
        <f t="shared" si="1215"/>
        <v/>
      </c>
      <c r="DE253" s="220" t="str">
        <f t="shared" si="1215"/>
        <v/>
      </c>
      <c r="DF253" s="220" t="str">
        <f t="shared" si="1215"/>
        <v/>
      </c>
      <c r="DG253" s="220" t="str">
        <f t="shared" si="1215"/>
        <v/>
      </c>
      <c r="DH253" s="220" t="str">
        <f t="shared" si="1215"/>
        <v/>
      </c>
      <c r="DI253" s="220" t="str">
        <f t="shared" si="1215"/>
        <v/>
      </c>
      <c r="DJ253" s="220" t="str">
        <f t="shared" si="1215"/>
        <v/>
      </c>
      <c r="DK253" s="220" t="str">
        <f t="shared" si="1215"/>
        <v/>
      </c>
      <c r="DL253" s="220" t="str">
        <f t="shared" si="1215"/>
        <v/>
      </c>
      <c r="DM253" s="220" t="str">
        <f t="shared" ref="DM253:DV254" si="1216">IF(DM$231="","",DM$232*$H253)</f>
        <v/>
      </c>
      <c r="DN253" s="220" t="str">
        <f t="shared" si="1216"/>
        <v/>
      </c>
      <c r="DO253" s="220" t="str">
        <f t="shared" si="1216"/>
        <v/>
      </c>
      <c r="DP253" s="220" t="str">
        <f t="shared" si="1216"/>
        <v/>
      </c>
      <c r="DQ253" s="220" t="str">
        <f t="shared" si="1216"/>
        <v/>
      </c>
      <c r="DR253" s="220" t="str">
        <f t="shared" si="1216"/>
        <v/>
      </c>
      <c r="DS253" s="220" t="str">
        <f t="shared" si="1216"/>
        <v/>
      </c>
      <c r="DT253" s="220" t="str">
        <f t="shared" si="1216"/>
        <v/>
      </c>
      <c r="DU253" s="220" t="str">
        <f t="shared" si="1216"/>
        <v/>
      </c>
      <c r="DV253" s="220" t="str">
        <f t="shared" si="1216"/>
        <v/>
      </c>
      <c r="DW253" s="220" t="str">
        <f t="shared" ref="DW253:EF254" si="1217">IF(DW$231="","",DW$232*$H253)</f>
        <v/>
      </c>
      <c r="DX253" s="220" t="str">
        <f t="shared" si="1217"/>
        <v/>
      </c>
      <c r="DY253" s="220" t="str">
        <f t="shared" si="1217"/>
        <v/>
      </c>
      <c r="DZ253" s="220" t="str">
        <f t="shared" si="1217"/>
        <v/>
      </c>
      <c r="EA253" s="220" t="str">
        <f t="shared" si="1217"/>
        <v/>
      </c>
      <c r="EB253" s="220" t="str">
        <f t="shared" si="1217"/>
        <v/>
      </c>
      <c r="EC253" s="220" t="str">
        <f t="shared" si="1217"/>
        <v/>
      </c>
      <c r="ED253" s="220" t="str">
        <f t="shared" si="1217"/>
        <v/>
      </c>
      <c r="EE253" s="220" t="str">
        <f t="shared" si="1217"/>
        <v/>
      </c>
      <c r="EF253" s="220" t="str">
        <f t="shared" si="1217"/>
        <v/>
      </c>
      <c r="EG253" s="220" t="str">
        <f t="shared" ref="EG253:ES254" si="1218">IF(EG$231="","",EG$232*$H253)</f>
        <v/>
      </c>
      <c r="EH253" s="220" t="str">
        <f t="shared" si="1218"/>
        <v/>
      </c>
      <c r="EI253" s="220" t="str">
        <f t="shared" si="1218"/>
        <v/>
      </c>
      <c r="EJ253" s="220" t="str">
        <f t="shared" si="1218"/>
        <v/>
      </c>
      <c r="EK253" s="220" t="str">
        <f t="shared" si="1218"/>
        <v/>
      </c>
      <c r="EL253" s="220" t="str">
        <f t="shared" si="1218"/>
        <v/>
      </c>
      <c r="EM253" s="220" t="str">
        <f t="shared" si="1218"/>
        <v/>
      </c>
      <c r="EN253" s="220" t="str">
        <f t="shared" si="1218"/>
        <v/>
      </c>
      <c r="EO253" s="220" t="str">
        <f t="shared" si="1218"/>
        <v/>
      </c>
      <c r="EP253" s="220" t="str">
        <f t="shared" si="1218"/>
        <v/>
      </c>
      <c r="EQ253" s="220" t="str">
        <f t="shared" si="1218"/>
        <v/>
      </c>
      <c r="ER253" s="220" t="str">
        <f t="shared" si="1218"/>
        <v/>
      </c>
      <c r="ES253" s="220" t="str">
        <f t="shared" si="1218"/>
        <v/>
      </c>
      <c r="EU253" s="362">
        <f>F259</f>
        <v>0.12</v>
      </c>
      <c r="EV253" s="153" t="s">
        <v>351</v>
      </c>
      <c r="EW253" s="153"/>
      <c r="EX253" s="153"/>
      <c r="EY253" s="154" t="s">
        <v>357</v>
      </c>
      <c r="EZ253" s="154"/>
      <c r="FA253" s="388">
        <f ca="1">FA245</f>
        <v>0</v>
      </c>
      <c r="FB253" s="388">
        <f t="shared" ref="FB253:HM253" ca="1" si="1219">FB245</f>
        <v>0</v>
      </c>
      <c r="FC253" s="388">
        <f t="shared" ca="1" si="1219"/>
        <v>0</v>
      </c>
      <c r="FD253" s="388">
        <f t="shared" ca="1" si="1219"/>
        <v>0</v>
      </c>
      <c r="FE253" s="388">
        <f t="shared" ca="1" si="1219"/>
        <v>0</v>
      </c>
      <c r="FF253" s="388">
        <f t="shared" ca="1" si="1219"/>
        <v>0</v>
      </c>
      <c r="FG253" s="388">
        <f t="shared" ca="1" si="1219"/>
        <v>0</v>
      </c>
      <c r="FH253" s="388">
        <f t="shared" ca="1" si="1219"/>
        <v>0</v>
      </c>
      <c r="FI253" s="388">
        <f t="shared" ca="1" si="1219"/>
        <v>0</v>
      </c>
      <c r="FJ253" s="388">
        <f t="shared" ca="1" si="1219"/>
        <v>0</v>
      </c>
      <c r="FK253" s="388">
        <f t="shared" ca="1" si="1219"/>
        <v>0</v>
      </c>
      <c r="FL253" s="388">
        <f t="shared" ca="1" si="1219"/>
        <v>0</v>
      </c>
      <c r="FM253" s="388">
        <f t="shared" ca="1" si="1219"/>
        <v>769.03649999999936</v>
      </c>
      <c r="FN253" s="388">
        <f t="shared" ca="1" si="1219"/>
        <v>9836.0302499999998</v>
      </c>
      <c r="FO253" s="388">
        <f t="shared" ca="1" si="1219"/>
        <v>17691.443065618256</v>
      </c>
      <c r="FP253" s="388">
        <f t="shared" ca="1" si="1219"/>
        <v>2961.2629577399553</v>
      </c>
      <c r="FQ253" s="388">
        <f t="shared" ca="1" si="1219"/>
        <v>2961.2629577399553</v>
      </c>
      <c r="FR253" s="388">
        <f t="shared" ca="1" si="1219"/>
        <v>2961.2629577399553</v>
      </c>
      <c r="FS253" s="388">
        <f t="shared" ca="1" si="1219"/>
        <v>2961.2629577399553</v>
      </c>
      <c r="FT253" s="388">
        <f t="shared" ca="1" si="1219"/>
        <v>2961.2629577399553</v>
      </c>
      <c r="FU253" s="388">
        <f t="shared" ca="1" si="1219"/>
        <v>2961.2629577399553</v>
      </c>
      <c r="FV253" s="388">
        <f t="shared" ca="1" si="1219"/>
        <v>2961.2629577399553</v>
      </c>
      <c r="FW253" s="388">
        <f t="shared" ca="1" si="1219"/>
        <v>2961.2629577399553</v>
      </c>
      <c r="FX253" s="388">
        <f t="shared" ca="1" si="1219"/>
        <v>2961.2629577399553</v>
      </c>
      <c r="FY253" s="388">
        <f t="shared" ca="1" si="1219"/>
        <v>2090.0366777399513</v>
      </c>
      <c r="FZ253" s="388">
        <f t="shared" ca="1" si="1219"/>
        <v>2367.8261777399571</v>
      </c>
      <c r="GA253" s="388">
        <f t="shared" ca="1" si="1219"/>
        <v>2645.615677739956</v>
      </c>
      <c r="GB253" s="388">
        <f t="shared" ca="1" si="1219"/>
        <v>2645.615677739956</v>
      </c>
      <c r="GC253" s="388">
        <f t="shared" ca="1" si="1219"/>
        <v>2645.615677739956</v>
      </c>
      <c r="GD253" s="388">
        <f t="shared" ca="1" si="1219"/>
        <v>2645.615677739956</v>
      </c>
      <c r="GE253" s="388">
        <f t="shared" ca="1" si="1219"/>
        <v>2645.615677739956</v>
      </c>
      <c r="GF253" s="388">
        <f t="shared" ca="1" si="1219"/>
        <v>2645.615677739956</v>
      </c>
      <c r="GG253" s="388">
        <f t="shared" ca="1" si="1219"/>
        <v>2645.615677739956</v>
      </c>
      <c r="GH253" s="388">
        <f t="shared" ca="1" si="1219"/>
        <v>2645.615677739956</v>
      </c>
      <c r="GI253" s="388">
        <f t="shared" ca="1" si="1219"/>
        <v>2645.615677739956</v>
      </c>
      <c r="GJ253" s="388">
        <f t="shared" ca="1" si="1219"/>
        <v>2645.615677739956</v>
      </c>
      <c r="GK253" s="388">
        <f t="shared" ca="1" si="1219"/>
        <v>1644733.928300313</v>
      </c>
      <c r="GL253" s="388">
        <f t="shared" ca="1" si="1219"/>
        <v>0</v>
      </c>
      <c r="GM253" s="388">
        <f t="shared" ca="1" si="1219"/>
        <v>0</v>
      </c>
      <c r="GN253" s="388">
        <f t="shared" ca="1" si="1219"/>
        <v>0</v>
      </c>
      <c r="GO253" s="388">
        <f t="shared" ca="1" si="1219"/>
        <v>0</v>
      </c>
      <c r="GP253" s="388">
        <f t="shared" ca="1" si="1219"/>
        <v>0</v>
      </c>
      <c r="GQ253" s="388">
        <f t="shared" ca="1" si="1219"/>
        <v>0</v>
      </c>
      <c r="GR253" s="388">
        <f t="shared" ca="1" si="1219"/>
        <v>0</v>
      </c>
      <c r="GS253" s="388">
        <f t="shared" ca="1" si="1219"/>
        <v>0</v>
      </c>
      <c r="GT253" s="388">
        <f t="shared" ca="1" si="1219"/>
        <v>0</v>
      </c>
      <c r="GU253" s="388">
        <f t="shared" ca="1" si="1219"/>
        <v>0</v>
      </c>
      <c r="GV253" s="388">
        <f t="shared" ca="1" si="1219"/>
        <v>0</v>
      </c>
      <c r="GW253" s="388">
        <f t="shared" ca="1" si="1219"/>
        <v>0</v>
      </c>
      <c r="GX253" s="388">
        <f t="shared" ca="1" si="1219"/>
        <v>0</v>
      </c>
      <c r="GY253" s="388">
        <f t="shared" ca="1" si="1219"/>
        <v>0</v>
      </c>
      <c r="GZ253" s="388">
        <f t="shared" ca="1" si="1219"/>
        <v>0</v>
      </c>
      <c r="HA253" s="388">
        <f t="shared" ca="1" si="1219"/>
        <v>0</v>
      </c>
      <c r="HB253" s="388">
        <f t="shared" ca="1" si="1219"/>
        <v>0</v>
      </c>
      <c r="HC253" s="388">
        <f t="shared" ca="1" si="1219"/>
        <v>0</v>
      </c>
      <c r="HD253" s="388">
        <f t="shared" ca="1" si="1219"/>
        <v>0</v>
      </c>
      <c r="HE253" s="388">
        <f t="shared" ca="1" si="1219"/>
        <v>0</v>
      </c>
      <c r="HF253" s="388">
        <f t="shared" ca="1" si="1219"/>
        <v>0</v>
      </c>
      <c r="HG253" s="388">
        <f t="shared" ca="1" si="1219"/>
        <v>0</v>
      </c>
      <c r="HH253" s="388">
        <f t="shared" ca="1" si="1219"/>
        <v>0</v>
      </c>
      <c r="HI253" s="388">
        <f t="shared" ca="1" si="1219"/>
        <v>0</v>
      </c>
      <c r="HJ253" s="388">
        <f t="shared" ca="1" si="1219"/>
        <v>0</v>
      </c>
      <c r="HK253" s="388">
        <f t="shared" ca="1" si="1219"/>
        <v>0</v>
      </c>
      <c r="HL253" s="388">
        <f t="shared" ca="1" si="1219"/>
        <v>0</v>
      </c>
      <c r="HM253" s="388">
        <f t="shared" ca="1" si="1219"/>
        <v>0</v>
      </c>
      <c r="HN253" s="388">
        <f t="shared" ref="HN253:JY253" ca="1" si="1220">HN245</f>
        <v>0</v>
      </c>
      <c r="HO253" s="388">
        <f t="shared" ca="1" si="1220"/>
        <v>0</v>
      </c>
      <c r="HP253" s="388">
        <f t="shared" ca="1" si="1220"/>
        <v>0</v>
      </c>
      <c r="HQ253" s="388">
        <f t="shared" ca="1" si="1220"/>
        <v>0</v>
      </c>
      <c r="HR253" s="388">
        <f t="shared" ca="1" si="1220"/>
        <v>0</v>
      </c>
      <c r="HS253" s="388">
        <f t="shared" ca="1" si="1220"/>
        <v>0</v>
      </c>
      <c r="HT253" s="388">
        <f t="shared" ca="1" si="1220"/>
        <v>0</v>
      </c>
      <c r="HU253" s="388">
        <f t="shared" ca="1" si="1220"/>
        <v>0</v>
      </c>
      <c r="HV253" s="388">
        <f t="shared" ca="1" si="1220"/>
        <v>0</v>
      </c>
      <c r="HW253" s="388">
        <f t="shared" ca="1" si="1220"/>
        <v>0</v>
      </c>
      <c r="HX253" s="388">
        <f t="shared" ca="1" si="1220"/>
        <v>0</v>
      </c>
      <c r="HY253" s="388">
        <f t="shared" ca="1" si="1220"/>
        <v>0</v>
      </c>
      <c r="HZ253" s="388">
        <f t="shared" ca="1" si="1220"/>
        <v>0</v>
      </c>
      <c r="IA253" s="388">
        <f t="shared" ca="1" si="1220"/>
        <v>0</v>
      </c>
      <c r="IB253" s="388">
        <f t="shared" ca="1" si="1220"/>
        <v>0</v>
      </c>
      <c r="IC253" s="388">
        <f t="shared" ca="1" si="1220"/>
        <v>0</v>
      </c>
      <c r="ID253" s="388">
        <f t="shared" ca="1" si="1220"/>
        <v>0</v>
      </c>
      <c r="IE253" s="388">
        <f t="shared" ca="1" si="1220"/>
        <v>0</v>
      </c>
      <c r="IF253" s="388">
        <f t="shared" ca="1" si="1220"/>
        <v>0</v>
      </c>
      <c r="IG253" s="388">
        <f t="shared" ca="1" si="1220"/>
        <v>0</v>
      </c>
      <c r="IH253" s="388">
        <f t="shared" ca="1" si="1220"/>
        <v>0</v>
      </c>
      <c r="II253" s="388">
        <f t="shared" ca="1" si="1220"/>
        <v>0</v>
      </c>
      <c r="IJ253" s="388">
        <f t="shared" ca="1" si="1220"/>
        <v>0</v>
      </c>
      <c r="IK253" s="388">
        <f t="shared" ca="1" si="1220"/>
        <v>0</v>
      </c>
      <c r="IL253" s="388">
        <f t="shared" ca="1" si="1220"/>
        <v>0</v>
      </c>
      <c r="IM253" s="388">
        <f t="shared" ca="1" si="1220"/>
        <v>0</v>
      </c>
      <c r="IN253" s="388">
        <f t="shared" ca="1" si="1220"/>
        <v>0</v>
      </c>
      <c r="IO253" s="388">
        <f t="shared" ca="1" si="1220"/>
        <v>0</v>
      </c>
      <c r="IP253" s="388">
        <f t="shared" ca="1" si="1220"/>
        <v>0</v>
      </c>
      <c r="IQ253" s="388">
        <f t="shared" ca="1" si="1220"/>
        <v>0</v>
      </c>
      <c r="IR253" s="388">
        <f t="shared" ca="1" si="1220"/>
        <v>0</v>
      </c>
      <c r="IS253" s="388">
        <f t="shared" ca="1" si="1220"/>
        <v>0</v>
      </c>
      <c r="IT253" s="388">
        <f t="shared" ca="1" si="1220"/>
        <v>0</v>
      </c>
      <c r="IU253" s="388">
        <f t="shared" ca="1" si="1220"/>
        <v>0</v>
      </c>
      <c r="IV253" s="388">
        <f t="shared" ca="1" si="1220"/>
        <v>0</v>
      </c>
      <c r="IW253" s="388">
        <f t="shared" ca="1" si="1220"/>
        <v>0</v>
      </c>
      <c r="IX253" s="388">
        <f t="shared" ca="1" si="1220"/>
        <v>0</v>
      </c>
      <c r="IY253" s="388">
        <f t="shared" ca="1" si="1220"/>
        <v>0</v>
      </c>
      <c r="IZ253" s="388">
        <f t="shared" ca="1" si="1220"/>
        <v>0</v>
      </c>
      <c r="JA253" s="388">
        <f t="shared" ca="1" si="1220"/>
        <v>0</v>
      </c>
      <c r="JB253" s="388">
        <f t="shared" ca="1" si="1220"/>
        <v>0</v>
      </c>
      <c r="JC253" s="388">
        <f t="shared" ca="1" si="1220"/>
        <v>0</v>
      </c>
      <c r="JD253" s="388">
        <f t="shared" ca="1" si="1220"/>
        <v>0</v>
      </c>
      <c r="JE253" s="388">
        <f t="shared" ca="1" si="1220"/>
        <v>0</v>
      </c>
      <c r="JF253" s="388">
        <f t="shared" ca="1" si="1220"/>
        <v>0</v>
      </c>
      <c r="JG253" s="388">
        <f t="shared" ca="1" si="1220"/>
        <v>0</v>
      </c>
      <c r="JH253" s="388">
        <f t="shared" ca="1" si="1220"/>
        <v>0</v>
      </c>
      <c r="JI253" s="388">
        <f t="shared" ca="1" si="1220"/>
        <v>0</v>
      </c>
      <c r="JJ253" s="388">
        <f t="shared" ca="1" si="1220"/>
        <v>0</v>
      </c>
      <c r="JK253" s="388">
        <f t="shared" ca="1" si="1220"/>
        <v>0</v>
      </c>
      <c r="JL253" s="388">
        <f t="shared" ca="1" si="1220"/>
        <v>0</v>
      </c>
      <c r="JM253" s="388">
        <f t="shared" ca="1" si="1220"/>
        <v>0</v>
      </c>
      <c r="JN253" s="388">
        <f t="shared" ca="1" si="1220"/>
        <v>0</v>
      </c>
      <c r="JO253" s="388">
        <f t="shared" ca="1" si="1220"/>
        <v>0</v>
      </c>
      <c r="JP253" s="388">
        <f t="shared" ca="1" si="1220"/>
        <v>0</v>
      </c>
      <c r="JQ253" s="388">
        <f t="shared" ca="1" si="1220"/>
        <v>0</v>
      </c>
      <c r="JR253" s="388">
        <f t="shared" ca="1" si="1220"/>
        <v>0</v>
      </c>
      <c r="JS253" s="388">
        <f t="shared" ca="1" si="1220"/>
        <v>0</v>
      </c>
      <c r="JT253" s="388">
        <f t="shared" ca="1" si="1220"/>
        <v>0</v>
      </c>
      <c r="JU253" s="388">
        <f t="shared" ca="1" si="1220"/>
        <v>0</v>
      </c>
      <c r="JV253" s="388">
        <f t="shared" ca="1" si="1220"/>
        <v>0</v>
      </c>
      <c r="JW253" s="388">
        <f t="shared" ca="1" si="1220"/>
        <v>0</v>
      </c>
      <c r="JX253" s="388">
        <f t="shared" ca="1" si="1220"/>
        <v>0</v>
      </c>
      <c r="JY253" s="388">
        <f t="shared" ca="1" si="1220"/>
        <v>0</v>
      </c>
      <c r="JZ253" s="388">
        <f ca="1">JZ245</f>
        <v>0</v>
      </c>
      <c r="KA253" s="388">
        <f ca="1">KA245</f>
        <v>0</v>
      </c>
      <c r="KB253" s="388">
        <f ca="1">KB245</f>
        <v>0</v>
      </c>
      <c r="KC253" s="388">
        <f ca="1">KC245</f>
        <v>0</v>
      </c>
    </row>
    <row r="254" spans="2:289" ht="0.6" customHeight="1" x14ac:dyDescent="0.35">
      <c r="B254" s="209" t="s">
        <v>368</v>
      </c>
      <c r="C254" s="414" t="s">
        <v>370</v>
      </c>
      <c r="D254" s="181"/>
      <c r="E254" s="416">
        <f>1-E253</f>
        <v>0.9</v>
      </c>
      <c r="F254" s="416"/>
      <c r="G254" s="181"/>
      <c r="H254" s="416">
        <f>1-H253</f>
        <v>0.9</v>
      </c>
      <c r="I254" s="224">
        <f ca="1">SUM(Q254:ES254)</f>
        <v>1453896.118906714</v>
      </c>
      <c r="Q254" s="226">
        <f t="shared" ca="1" si="1206"/>
        <v>740252.57142857148</v>
      </c>
      <c r="R254" s="226">
        <f t="shared" ca="1" si="1206"/>
        <v>15156.817438985376</v>
      </c>
      <c r="S254" s="226">
        <f t="shared" ca="1" si="1206"/>
        <v>47254.430958694291</v>
      </c>
      <c r="T254" s="226">
        <f t="shared" ca="1" si="1206"/>
        <v>122867.82138712759</v>
      </c>
      <c r="U254" s="226">
        <f t="shared" ca="1" si="1206"/>
        <v>254193.56395845834</v>
      </c>
      <c r="V254" s="226">
        <f t="shared" ca="1" si="1206"/>
        <v>274170.9137348769</v>
      </c>
      <c r="W254" s="226">
        <f t="shared" ca="1" si="1206"/>
        <v>0</v>
      </c>
      <c r="X254" s="226">
        <f t="shared" ca="1" si="1206"/>
        <v>0</v>
      </c>
      <c r="Y254" s="226">
        <f t="shared" ca="1" si="1206"/>
        <v>0</v>
      </c>
      <c r="Z254" s="226">
        <f t="shared" ca="1" si="1206"/>
        <v>0</v>
      </c>
      <c r="AA254" s="226">
        <f t="shared" ca="1" si="1207"/>
        <v>0</v>
      </c>
      <c r="AB254" s="226">
        <f t="shared" ca="1" si="1207"/>
        <v>0</v>
      </c>
      <c r="AC254" s="226">
        <f t="shared" ca="1" si="1207"/>
        <v>0</v>
      </c>
      <c r="AD254" s="226">
        <f t="shared" ca="1" si="1207"/>
        <v>0</v>
      </c>
      <c r="AE254" s="226">
        <f t="shared" ca="1" si="1207"/>
        <v>0</v>
      </c>
      <c r="AF254" s="226">
        <f t="shared" ca="1" si="1207"/>
        <v>0</v>
      </c>
      <c r="AG254" s="226">
        <f t="shared" ca="1" si="1207"/>
        <v>0</v>
      </c>
      <c r="AH254" s="226">
        <f t="shared" ca="1" si="1207"/>
        <v>0</v>
      </c>
      <c r="AI254" s="226">
        <f t="shared" ca="1" si="1207"/>
        <v>0</v>
      </c>
      <c r="AJ254" s="226">
        <f t="shared" ca="1" si="1207"/>
        <v>0</v>
      </c>
      <c r="AK254" s="226">
        <f t="shared" ca="1" si="1208"/>
        <v>0</v>
      </c>
      <c r="AL254" s="226">
        <f t="shared" ca="1" si="1208"/>
        <v>0</v>
      </c>
      <c r="AM254" s="226">
        <f t="shared" ca="1" si="1208"/>
        <v>0</v>
      </c>
      <c r="AN254" s="226">
        <f t="shared" ca="1" si="1208"/>
        <v>0</v>
      </c>
      <c r="AO254" s="226">
        <f t="shared" ca="1" si="1208"/>
        <v>0</v>
      </c>
      <c r="AP254" s="226">
        <f t="shared" ca="1" si="1208"/>
        <v>0</v>
      </c>
      <c r="AQ254" s="226">
        <f t="shared" ca="1" si="1208"/>
        <v>0</v>
      </c>
      <c r="AR254" s="226">
        <f t="shared" ca="1" si="1208"/>
        <v>0</v>
      </c>
      <c r="AS254" s="226">
        <f t="shared" ca="1" si="1208"/>
        <v>0</v>
      </c>
      <c r="AT254" s="226">
        <f t="shared" ca="1" si="1208"/>
        <v>0</v>
      </c>
      <c r="AU254" s="226">
        <f t="shared" ca="1" si="1209"/>
        <v>0</v>
      </c>
      <c r="AV254" s="226">
        <f t="shared" ca="1" si="1209"/>
        <v>0</v>
      </c>
      <c r="AW254" s="226">
        <f t="shared" ca="1" si="1209"/>
        <v>0</v>
      </c>
      <c r="AX254" s="226">
        <f t="shared" ca="1" si="1209"/>
        <v>0</v>
      </c>
      <c r="AY254" s="226">
        <f t="shared" ca="1" si="1209"/>
        <v>0</v>
      </c>
      <c r="AZ254" s="226">
        <f t="shared" ca="1" si="1209"/>
        <v>0</v>
      </c>
      <c r="BA254" s="226">
        <f t="shared" ca="1" si="1209"/>
        <v>0</v>
      </c>
      <c r="BB254" s="226" t="str">
        <f t="shared" si="1209"/>
        <v/>
      </c>
      <c r="BC254" s="226" t="str">
        <f t="shared" si="1209"/>
        <v/>
      </c>
      <c r="BD254" s="226" t="str">
        <f t="shared" si="1209"/>
        <v/>
      </c>
      <c r="BE254" s="226" t="str">
        <f t="shared" si="1210"/>
        <v/>
      </c>
      <c r="BF254" s="226" t="str">
        <f t="shared" si="1210"/>
        <v/>
      </c>
      <c r="BG254" s="226" t="str">
        <f t="shared" si="1210"/>
        <v/>
      </c>
      <c r="BH254" s="226" t="str">
        <f t="shared" si="1210"/>
        <v/>
      </c>
      <c r="BI254" s="226" t="str">
        <f t="shared" si="1210"/>
        <v/>
      </c>
      <c r="BJ254" s="226" t="str">
        <f t="shared" si="1210"/>
        <v/>
      </c>
      <c r="BK254" s="226" t="str">
        <f t="shared" si="1210"/>
        <v/>
      </c>
      <c r="BL254" s="226" t="str">
        <f t="shared" si="1210"/>
        <v/>
      </c>
      <c r="BM254" s="226" t="str">
        <f t="shared" si="1210"/>
        <v/>
      </c>
      <c r="BN254" s="226" t="str">
        <f t="shared" si="1210"/>
        <v/>
      </c>
      <c r="BO254" s="226" t="str">
        <f t="shared" si="1211"/>
        <v/>
      </c>
      <c r="BP254" s="226" t="str">
        <f t="shared" si="1211"/>
        <v/>
      </c>
      <c r="BQ254" s="226" t="str">
        <f t="shared" si="1211"/>
        <v/>
      </c>
      <c r="BR254" s="226" t="str">
        <f t="shared" si="1211"/>
        <v/>
      </c>
      <c r="BS254" s="226" t="str">
        <f t="shared" si="1211"/>
        <v/>
      </c>
      <c r="BT254" s="226" t="str">
        <f t="shared" si="1211"/>
        <v/>
      </c>
      <c r="BU254" s="226" t="str">
        <f t="shared" si="1211"/>
        <v/>
      </c>
      <c r="BV254" s="226" t="str">
        <f t="shared" si="1211"/>
        <v/>
      </c>
      <c r="BW254" s="226" t="str">
        <f t="shared" si="1211"/>
        <v/>
      </c>
      <c r="BX254" s="226" t="str">
        <f t="shared" si="1211"/>
        <v/>
      </c>
      <c r="BY254" s="226" t="str">
        <f t="shared" si="1212"/>
        <v/>
      </c>
      <c r="BZ254" s="226" t="str">
        <f t="shared" si="1212"/>
        <v/>
      </c>
      <c r="CA254" s="226" t="str">
        <f t="shared" si="1212"/>
        <v/>
      </c>
      <c r="CB254" s="226" t="str">
        <f t="shared" si="1212"/>
        <v/>
      </c>
      <c r="CC254" s="226" t="str">
        <f t="shared" si="1212"/>
        <v/>
      </c>
      <c r="CD254" s="226" t="str">
        <f t="shared" si="1212"/>
        <v/>
      </c>
      <c r="CE254" s="226" t="str">
        <f t="shared" si="1212"/>
        <v/>
      </c>
      <c r="CF254" s="226" t="str">
        <f t="shared" si="1212"/>
        <v/>
      </c>
      <c r="CG254" s="226" t="str">
        <f t="shared" si="1212"/>
        <v/>
      </c>
      <c r="CH254" s="226" t="str">
        <f t="shared" si="1212"/>
        <v/>
      </c>
      <c r="CI254" s="226" t="str">
        <f t="shared" si="1213"/>
        <v/>
      </c>
      <c r="CJ254" s="226" t="str">
        <f t="shared" si="1213"/>
        <v/>
      </c>
      <c r="CK254" s="226" t="str">
        <f t="shared" si="1213"/>
        <v/>
      </c>
      <c r="CL254" s="226" t="str">
        <f t="shared" si="1213"/>
        <v/>
      </c>
      <c r="CM254" s="226" t="str">
        <f t="shared" si="1213"/>
        <v/>
      </c>
      <c r="CN254" s="226" t="str">
        <f t="shared" si="1213"/>
        <v/>
      </c>
      <c r="CO254" s="226" t="str">
        <f t="shared" si="1213"/>
        <v/>
      </c>
      <c r="CP254" s="226" t="str">
        <f t="shared" si="1213"/>
        <v/>
      </c>
      <c r="CQ254" s="226" t="str">
        <f t="shared" si="1213"/>
        <v/>
      </c>
      <c r="CR254" s="226" t="str">
        <f t="shared" si="1213"/>
        <v/>
      </c>
      <c r="CS254" s="226" t="str">
        <f t="shared" si="1214"/>
        <v/>
      </c>
      <c r="CT254" s="226" t="str">
        <f t="shared" si="1214"/>
        <v/>
      </c>
      <c r="CU254" s="226" t="str">
        <f t="shared" si="1214"/>
        <v/>
      </c>
      <c r="CV254" s="226" t="str">
        <f t="shared" si="1214"/>
        <v/>
      </c>
      <c r="CW254" s="226" t="str">
        <f t="shared" si="1214"/>
        <v/>
      </c>
      <c r="CX254" s="226" t="str">
        <f t="shared" si="1214"/>
        <v/>
      </c>
      <c r="CY254" s="226" t="str">
        <f t="shared" si="1214"/>
        <v/>
      </c>
      <c r="CZ254" s="226" t="str">
        <f t="shared" si="1214"/>
        <v/>
      </c>
      <c r="DA254" s="226" t="str">
        <f t="shared" si="1214"/>
        <v/>
      </c>
      <c r="DB254" s="226" t="str">
        <f t="shared" si="1214"/>
        <v/>
      </c>
      <c r="DC254" s="226" t="str">
        <f t="shared" si="1215"/>
        <v/>
      </c>
      <c r="DD254" s="226" t="str">
        <f t="shared" si="1215"/>
        <v/>
      </c>
      <c r="DE254" s="226" t="str">
        <f t="shared" si="1215"/>
        <v/>
      </c>
      <c r="DF254" s="226" t="str">
        <f t="shared" si="1215"/>
        <v/>
      </c>
      <c r="DG254" s="226" t="str">
        <f t="shared" si="1215"/>
        <v/>
      </c>
      <c r="DH254" s="226" t="str">
        <f t="shared" si="1215"/>
        <v/>
      </c>
      <c r="DI254" s="226" t="str">
        <f t="shared" si="1215"/>
        <v/>
      </c>
      <c r="DJ254" s="226" t="str">
        <f t="shared" si="1215"/>
        <v/>
      </c>
      <c r="DK254" s="226" t="str">
        <f t="shared" si="1215"/>
        <v/>
      </c>
      <c r="DL254" s="226" t="str">
        <f t="shared" si="1215"/>
        <v/>
      </c>
      <c r="DM254" s="226" t="str">
        <f t="shared" si="1216"/>
        <v/>
      </c>
      <c r="DN254" s="226" t="str">
        <f t="shared" si="1216"/>
        <v/>
      </c>
      <c r="DO254" s="226" t="str">
        <f t="shared" si="1216"/>
        <v/>
      </c>
      <c r="DP254" s="226" t="str">
        <f t="shared" si="1216"/>
        <v/>
      </c>
      <c r="DQ254" s="226" t="str">
        <f t="shared" si="1216"/>
        <v/>
      </c>
      <c r="DR254" s="226" t="str">
        <f t="shared" si="1216"/>
        <v/>
      </c>
      <c r="DS254" s="226" t="str">
        <f t="shared" si="1216"/>
        <v/>
      </c>
      <c r="DT254" s="226" t="str">
        <f t="shared" si="1216"/>
        <v/>
      </c>
      <c r="DU254" s="226" t="str">
        <f t="shared" si="1216"/>
        <v/>
      </c>
      <c r="DV254" s="226" t="str">
        <f t="shared" si="1216"/>
        <v/>
      </c>
      <c r="DW254" s="226" t="str">
        <f t="shared" si="1217"/>
        <v/>
      </c>
      <c r="DX254" s="226" t="str">
        <f t="shared" si="1217"/>
        <v/>
      </c>
      <c r="DY254" s="226" t="str">
        <f t="shared" si="1217"/>
        <v/>
      </c>
      <c r="DZ254" s="226" t="str">
        <f t="shared" si="1217"/>
        <v/>
      </c>
      <c r="EA254" s="226" t="str">
        <f t="shared" si="1217"/>
        <v/>
      </c>
      <c r="EB254" s="226" t="str">
        <f t="shared" si="1217"/>
        <v/>
      </c>
      <c r="EC254" s="226" t="str">
        <f t="shared" si="1217"/>
        <v/>
      </c>
      <c r="ED254" s="226" t="str">
        <f t="shared" si="1217"/>
        <v/>
      </c>
      <c r="EE254" s="226" t="str">
        <f t="shared" si="1217"/>
        <v/>
      </c>
      <c r="EF254" s="226" t="str">
        <f t="shared" si="1217"/>
        <v/>
      </c>
      <c r="EG254" s="226" t="str">
        <f t="shared" si="1218"/>
        <v/>
      </c>
      <c r="EH254" s="226" t="str">
        <f t="shared" si="1218"/>
        <v/>
      </c>
      <c r="EI254" s="226" t="str">
        <f t="shared" si="1218"/>
        <v/>
      </c>
      <c r="EJ254" s="226" t="str">
        <f t="shared" si="1218"/>
        <v/>
      </c>
      <c r="EK254" s="226" t="str">
        <f t="shared" si="1218"/>
        <v/>
      </c>
      <c r="EL254" s="226" t="str">
        <f t="shared" si="1218"/>
        <v/>
      </c>
      <c r="EM254" s="226" t="str">
        <f t="shared" si="1218"/>
        <v/>
      </c>
      <c r="EN254" s="226" t="str">
        <f t="shared" si="1218"/>
        <v/>
      </c>
      <c r="EO254" s="226" t="str">
        <f t="shared" si="1218"/>
        <v/>
      </c>
      <c r="EP254" s="226" t="str">
        <f t="shared" si="1218"/>
        <v/>
      </c>
      <c r="EQ254" s="226" t="str">
        <f t="shared" si="1218"/>
        <v/>
      </c>
      <c r="ER254" s="226" t="str">
        <f t="shared" si="1218"/>
        <v/>
      </c>
      <c r="ES254" s="226" t="str">
        <f t="shared" si="1218"/>
        <v/>
      </c>
      <c r="EU254" s="202"/>
      <c r="EV254" s="153"/>
      <c r="EW254" s="153"/>
      <c r="EX254" s="153"/>
      <c r="EY254" s="154" t="s">
        <v>380</v>
      </c>
      <c r="EZ254" s="154"/>
      <c r="FA254" s="388">
        <f t="shared" ref="FA254:GF254" ca="1" si="1221">(FA$201&lt;=Timing_Reversion_Month)*(MIN(FA251+FA252-FA253,MAX(FA250,0)*$I$259))</f>
        <v>0</v>
      </c>
      <c r="FB254" s="388">
        <f t="shared" ca="1" si="1221"/>
        <v>0</v>
      </c>
      <c r="FC254" s="388">
        <f t="shared" ca="1" si="1221"/>
        <v>0</v>
      </c>
      <c r="FD254" s="388">
        <f t="shared" ca="1" si="1221"/>
        <v>0</v>
      </c>
      <c r="FE254" s="388">
        <f t="shared" ca="1" si="1221"/>
        <v>0</v>
      </c>
      <c r="FF254" s="388">
        <f t="shared" ca="1" si="1221"/>
        <v>0</v>
      </c>
      <c r="FG254" s="388">
        <f t="shared" ca="1" si="1221"/>
        <v>0</v>
      </c>
      <c r="FH254" s="388">
        <f t="shared" ca="1" si="1221"/>
        <v>0</v>
      </c>
      <c r="FI254" s="388">
        <f t="shared" ca="1" si="1221"/>
        <v>0</v>
      </c>
      <c r="FJ254" s="388">
        <f t="shared" ca="1" si="1221"/>
        <v>0</v>
      </c>
      <c r="FK254" s="388">
        <f t="shared" ca="1" si="1221"/>
        <v>0</v>
      </c>
      <c r="FL254" s="388">
        <f t="shared" ca="1" si="1221"/>
        <v>0</v>
      </c>
      <c r="FM254" s="388">
        <f t="shared" ca="1" si="1221"/>
        <v>0</v>
      </c>
      <c r="FN254" s="388">
        <f t="shared" ca="1" si="1221"/>
        <v>0</v>
      </c>
      <c r="FO254" s="388">
        <f t="shared" ca="1" si="1221"/>
        <v>0</v>
      </c>
      <c r="FP254" s="388">
        <f t="shared" ca="1" si="1221"/>
        <v>0</v>
      </c>
      <c r="FQ254" s="388">
        <f t="shared" ca="1" si="1221"/>
        <v>0</v>
      </c>
      <c r="FR254" s="388">
        <f t="shared" ca="1" si="1221"/>
        <v>0</v>
      </c>
      <c r="FS254" s="388">
        <f t="shared" ca="1" si="1221"/>
        <v>0</v>
      </c>
      <c r="FT254" s="388">
        <f t="shared" ca="1" si="1221"/>
        <v>0</v>
      </c>
      <c r="FU254" s="388">
        <f t="shared" ca="1" si="1221"/>
        <v>0</v>
      </c>
      <c r="FV254" s="388">
        <f t="shared" ca="1" si="1221"/>
        <v>0</v>
      </c>
      <c r="FW254" s="388">
        <f t="shared" ca="1" si="1221"/>
        <v>0</v>
      </c>
      <c r="FX254" s="388">
        <f t="shared" ca="1" si="1221"/>
        <v>0</v>
      </c>
      <c r="FY254" s="388">
        <f t="shared" ca="1" si="1221"/>
        <v>0</v>
      </c>
      <c r="FZ254" s="388">
        <f t="shared" ca="1" si="1221"/>
        <v>0</v>
      </c>
      <c r="GA254" s="388">
        <f t="shared" ca="1" si="1221"/>
        <v>0</v>
      </c>
      <c r="GB254" s="388">
        <f t="shared" ca="1" si="1221"/>
        <v>0</v>
      </c>
      <c r="GC254" s="388">
        <f t="shared" ca="1" si="1221"/>
        <v>0</v>
      </c>
      <c r="GD254" s="388">
        <f t="shared" ca="1" si="1221"/>
        <v>0</v>
      </c>
      <c r="GE254" s="388">
        <f t="shared" ca="1" si="1221"/>
        <v>0</v>
      </c>
      <c r="GF254" s="388">
        <f t="shared" ca="1" si="1221"/>
        <v>0</v>
      </c>
      <c r="GG254" s="388">
        <f t="shared" ref="GG254:HL254" ca="1" si="1222">(GG$201&lt;=Timing_Reversion_Month)*(MIN(GG251+GG252-GG253,MAX(GG250,0)*$I$259))</f>
        <v>0</v>
      </c>
      <c r="GH254" s="388">
        <f t="shared" ca="1" si="1222"/>
        <v>0</v>
      </c>
      <c r="GI254" s="388">
        <f t="shared" ca="1" si="1222"/>
        <v>0</v>
      </c>
      <c r="GJ254" s="388">
        <f t="shared" ca="1" si="1222"/>
        <v>0</v>
      </c>
      <c r="GK254" s="388">
        <f t="shared" ca="1" si="1222"/>
        <v>0</v>
      </c>
      <c r="GL254" s="388">
        <f t="shared" ca="1" si="1222"/>
        <v>0</v>
      </c>
      <c r="GM254" s="388">
        <f t="shared" ca="1" si="1222"/>
        <v>0</v>
      </c>
      <c r="GN254" s="388">
        <f t="shared" ca="1" si="1222"/>
        <v>0</v>
      </c>
      <c r="GO254" s="388">
        <f t="shared" ca="1" si="1222"/>
        <v>0</v>
      </c>
      <c r="GP254" s="388">
        <f t="shared" ca="1" si="1222"/>
        <v>0</v>
      </c>
      <c r="GQ254" s="388">
        <f t="shared" ca="1" si="1222"/>
        <v>0</v>
      </c>
      <c r="GR254" s="388">
        <f t="shared" ca="1" si="1222"/>
        <v>0</v>
      </c>
      <c r="GS254" s="388">
        <f t="shared" ca="1" si="1222"/>
        <v>0</v>
      </c>
      <c r="GT254" s="388">
        <f t="shared" ca="1" si="1222"/>
        <v>0</v>
      </c>
      <c r="GU254" s="388">
        <f t="shared" ca="1" si="1222"/>
        <v>0</v>
      </c>
      <c r="GV254" s="388">
        <f t="shared" ca="1" si="1222"/>
        <v>0</v>
      </c>
      <c r="GW254" s="388">
        <f t="shared" ca="1" si="1222"/>
        <v>0</v>
      </c>
      <c r="GX254" s="388">
        <f t="shared" ca="1" si="1222"/>
        <v>0</v>
      </c>
      <c r="GY254" s="388">
        <f t="shared" ca="1" si="1222"/>
        <v>0</v>
      </c>
      <c r="GZ254" s="388">
        <f t="shared" ca="1" si="1222"/>
        <v>0</v>
      </c>
      <c r="HA254" s="388">
        <f t="shared" ca="1" si="1222"/>
        <v>0</v>
      </c>
      <c r="HB254" s="388">
        <f t="shared" ca="1" si="1222"/>
        <v>0</v>
      </c>
      <c r="HC254" s="388">
        <f t="shared" ca="1" si="1222"/>
        <v>0</v>
      </c>
      <c r="HD254" s="388">
        <f t="shared" ca="1" si="1222"/>
        <v>0</v>
      </c>
      <c r="HE254" s="388">
        <f t="shared" ca="1" si="1222"/>
        <v>0</v>
      </c>
      <c r="HF254" s="388">
        <f t="shared" ca="1" si="1222"/>
        <v>0</v>
      </c>
      <c r="HG254" s="388">
        <f t="shared" ca="1" si="1222"/>
        <v>0</v>
      </c>
      <c r="HH254" s="388">
        <f t="shared" ca="1" si="1222"/>
        <v>0</v>
      </c>
      <c r="HI254" s="388">
        <f t="shared" ca="1" si="1222"/>
        <v>0</v>
      </c>
      <c r="HJ254" s="388">
        <f t="shared" ca="1" si="1222"/>
        <v>0</v>
      </c>
      <c r="HK254" s="388">
        <f t="shared" ca="1" si="1222"/>
        <v>0</v>
      </c>
      <c r="HL254" s="388">
        <f t="shared" ca="1" si="1222"/>
        <v>0</v>
      </c>
      <c r="HM254" s="388">
        <f t="shared" ref="HM254:IR254" ca="1" si="1223">(HM$201&lt;=Timing_Reversion_Month)*(MIN(HM251+HM252-HM253,MAX(HM250,0)*$I$259))</f>
        <v>0</v>
      </c>
      <c r="HN254" s="388">
        <f t="shared" ca="1" si="1223"/>
        <v>0</v>
      </c>
      <c r="HO254" s="388">
        <f t="shared" ca="1" si="1223"/>
        <v>0</v>
      </c>
      <c r="HP254" s="388">
        <f t="shared" ca="1" si="1223"/>
        <v>0</v>
      </c>
      <c r="HQ254" s="388">
        <f t="shared" ca="1" si="1223"/>
        <v>0</v>
      </c>
      <c r="HR254" s="388">
        <f t="shared" ca="1" si="1223"/>
        <v>0</v>
      </c>
      <c r="HS254" s="388">
        <f t="shared" ca="1" si="1223"/>
        <v>0</v>
      </c>
      <c r="HT254" s="388">
        <f t="shared" ca="1" si="1223"/>
        <v>0</v>
      </c>
      <c r="HU254" s="388">
        <f t="shared" ca="1" si="1223"/>
        <v>0</v>
      </c>
      <c r="HV254" s="388">
        <f t="shared" ca="1" si="1223"/>
        <v>0</v>
      </c>
      <c r="HW254" s="388">
        <f t="shared" ca="1" si="1223"/>
        <v>0</v>
      </c>
      <c r="HX254" s="388">
        <f t="shared" ca="1" si="1223"/>
        <v>0</v>
      </c>
      <c r="HY254" s="388">
        <f t="shared" ca="1" si="1223"/>
        <v>0</v>
      </c>
      <c r="HZ254" s="388">
        <f t="shared" ca="1" si="1223"/>
        <v>0</v>
      </c>
      <c r="IA254" s="388">
        <f t="shared" ca="1" si="1223"/>
        <v>0</v>
      </c>
      <c r="IB254" s="388">
        <f t="shared" ca="1" si="1223"/>
        <v>0</v>
      </c>
      <c r="IC254" s="388">
        <f t="shared" ca="1" si="1223"/>
        <v>0</v>
      </c>
      <c r="ID254" s="388">
        <f t="shared" ca="1" si="1223"/>
        <v>0</v>
      </c>
      <c r="IE254" s="388">
        <f t="shared" ca="1" si="1223"/>
        <v>0</v>
      </c>
      <c r="IF254" s="388">
        <f t="shared" ca="1" si="1223"/>
        <v>0</v>
      </c>
      <c r="IG254" s="388">
        <f t="shared" ca="1" si="1223"/>
        <v>0</v>
      </c>
      <c r="IH254" s="388">
        <f t="shared" ca="1" si="1223"/>
        <v>0</v>
      </c>
      <c r="II254" s="388">
        <f t="shared" ca="1" si="1223"/>
        <v>0</v>
      </c>
      <c r="IJ254" s="388">
        <f t="shared" ca="1" si="1223"/>
        <v>0</v>
      </c>
      <c r="IK254" s="388">
        <f t="shared" ca="1" si="1223"/>
        <v>0</v>
      </c>
      <c r="IL254" s="388">
        <f t="shared" ca="1" si="1223"/>
        <v>0</v>
      </c>
      <c r="IM254" s="388">
        <f t="shared" ca="1" si="1223"/>
        <v>0</v>
      </c>
      <c r="IN254" s="388">
        <f t="shared" ca="1" si="1223"/>
        <v>0</v>
      </c>
      <c r="IO254" s="388">
        <f t="shared" ca="1" si="1223"/>
        <v>0</v>
      </c>
      <c r="IP254" s="388">
        <f t="shared" ca="1" si="1223"/>
        <v>0</v>
      </c>
      <c r="IQ254" s="388">
        <f t="shared" ca="1" si="1223"/>
        <v>0</v>
      </c>
      <c r="IR254" s="388">
        <f t="shared" ca="1" si="1223"/>
        <v>0</v>
      </c>
      <c r="IS254" s="388">
        <f t="shared" ref="IS254:JX254" ca="1" si="1224">(IS$201&lt;=Timing_Reversion_Month)*(MIN(IS251+IS252-IS253,MAX(IS250,0)*$I$259))</f>
        <v>0</v>
      </c>
      <c r="IT254" s="388">
        <f t="shared" ca="1" si="1224"/>
        <v>0</v>
      </c>
      <c r="IU254" s="388">
        <f t="shared" ca="1" si="1224"/>
        <v>0</v>
      </c>
      <c r="IV254" s="388">
        <f t="shared" ca="1" si="1224"/>
        <v>0</v>
      </c>
      <c r="IW254" s="388">
        <f t="shared" ca="1" si="1224"/>
        <v>0</v>
      </c>
      <c r="IX254" s="388">
        <f t="shared" ca="1" si="1224"/>
        <v>0</v>
      </c>
      <c r="IY254" s="388">
        <f t="shared" ca="1" si="1224"/>
        <v>0</v>
      </c>
      <c r="IZ254" s="388">
        <f t="shared" ca="1" si="1224"/>
        <v>0</v>
      </c>
      <c r="JA254" s="388">
        <f t="shared" ca="1" si="1224"/>
        <v>0</v>
      </c>
      <c r="JB254" s="388">
        <f t="shared" ca="1" si="1224"/>
        <v>0</v>
      </c>
      <c r="JC254" s="388">
        <f t="shared" ca="1" si="1224"/>
        <v>0</v>
      </c>
      <c r="JD254" s="388">
        <f t="shared" ca="1" si="1224"/>
        <v>0</v>
      </c>
      <c r="JE254" s="388">
        <f t="shared" ca="1" si="1224"/>
        <v>0</v>
      </c>
      <c r="JF254" s="388">
        <f t="shared" ca="1" si="1224"/>
        <v>0</v>
      </c>
      <c r="JG254" s="388">
        <f t="shared" ca="1" si="1224"/>
        <v>0</v>
      </c>
      <c r="JH254" s="388">
        <f t="shared" ca="1" si="1224"/>
        <v>0</v>
      </c>
      <c r="JI254" s="388">
        <f t="shared" ca="1" si="1224"/>
        <v>0</v>
      </c>
      <c r="JJ254" s="388">
        <f t="shared" ca="1" si="1224"/>
        <v>0</v>
      </c>
      <c r="JK254" s="388">
        <f t="shared" ca="1" si="1224"/>
        <v>0</v>
      </c>
      <c r="JL254" s="388">
        <f t="shared" ca="1" si="1224"/>
        <v>0</v>
      </c>
      <c r="JM254" s="388">
        <f t="shared" ca="1" si="1224"/>
        <v>0</v>
      </c>
      <c r="JN254" s="388">
        <f t="shared" ca="1" si="1224"/>
        <v>0</v>
      </c>
      <c r="JO254" s="388">
        <f t="shared" ca="1" si="1224"/>
        <v>0</v>
      </c>
      <c r="JP254" s="388">
        <f t="shared" ca="1" si="1224"/>
        <v>0</v>
      </c>
      <c r="JQ254" s="388">
        <f t="shared" ca="1" si="1224"/>
        <v>0</v>
      </c>
      <c r="JR254" s="388">
        <f t="shared" ca="1" si="1224"/>
        <v>0</v>
      </c>
      <c r="JS254" s="388">
        <f t="shared" ca="1" si="1224"/>
        <v>0</v>
      </c>
      <c r="JT254" s="388">
        <f t="shared" ca="1" si="1224"/>
        <v>0</v>
      </c>
      <c r="JU254" s="388">
        <f t="shared" ca="1" si="1224"/>
        <v>0</v>
      </c>
      <c r="JV254" s="388">
        <f t="shared" ca="1" si="1224"/>
        <v>0</v>
      </c>
      <c r="JW254" s="388">
        <f t="shared" ca="1" si="1224"/>
        <v>0</v>
      </c>
      <c r="JX254" s="388">
        <f t="shared" ca="1" si="1224"/>
        <v>0</v>
      </c>
      <c r="JY254" s="388">
        <f t="shared" ref="JY254:KC254" ca="1" si="1225">(JY$201&lt;=Timing_Reversion_Month)*(MIN(JY251+JY252-JY253,MAX(JY250,0)*$I$259))</f>
        <v>0</v>
      </c>
      <c r="JZ254" s="388">
        <f t="shared" ca="1" si="1225"/>
        <v>0</v>
      </c>
      <c r="KA254" s="388">
        <f t="shared" ca="1" si="1225"/>
        <v>0</v>
      </c>
      <c r="KB254" s="388">
        <f t="shared" ca="1" si="1225"/>
        <v>0</v>
      </c>
      <c r="KC254" s="388">
        <f t="shared" ca="1" si="1225"/>
        <v>0</v>
      </c>
    </row>
    <row r="255" spans="2:289" ht="0.6" customHeight="1" x14ac:dyDescent="0.25">
      <c r="B255" s="180" t="s">
        <v>68</v>
      </c>
      <c r="C255" s="181"/>
      <c r="D255" s="181"/>
      <c r="E255" s="417">
        <f>SUM(E253:E254)</f>
        <v>1</v>
      </c>
      <c r="F255" s="417"/>
      <c r="G255" s="181"/>
      <c r="H255" s="417">
        <f>SUM(H253:H254)</f>
        <v>1</v>
      </c>
      <c r="I255" s="335">
        <f ca="1">SUM(I253:I254)</f>
        <v>1615440.1321185711</v>
      </c>
      <c r="Q255" s="220">
        <f t="shared" ref="Q255:AV255" ca="1" si="1226">IF(Q231="","",SUM(Q253:Q254))</f>
        <v>822502.85714285716</v>
      </c>
      <c r="R255" s="220">
        <f t="shared" ca="1" si="1226"/>
        <v>16840.908265539307</v>
      </c>
      <c r="S255" s="220">
        <f t="shared" ca="1" si="1226"/>
        <v>52504.923287438098</v>
      </c>
      <c r="T255" s="220">
        <f t="shared" ca="1" si="1226"/>
        <v>136519.80154125288</v>
      </c>
      <c r="U255" s="220">
        <f t="shared" ca="1" si="1226"/>
        <v>282437.29328717594</v>
      </c>
      <c r="V255" s="220">
        <f t="shared" ca="1" si="1226"/>
        <v>304634.34859430767</v>
      </c>
      <c r="W255" s="220">
        <f t="shared" ca="1" si="1226"/>
        <v>0</v>
      </c>
      <c r="X255" s="220">
        <f t="shared" ca="1" si="1226"/>
        <v>0</v>
      </c>
      <c r="Y255" s="220">
        <f t="shared" ca="1" si="1226"/>
        <v>0</v>
      </c>
      <c r="Z255" s="220">
        <f t="shared" ca="1" si="1226"/>
        <v>0</v>
      </c>
      <c r="AA255" s="220">
        <f t="shared" ca="1" si="1226"/>
        <v>0</v>
      </c>
      <c r="AB255" s="220">
        <f t="shared" ca="1" si="1226"/>
        <v>0</v>
      </c>
      <c r="AC255" s="220">
        <f t="shared" ca="1" si="1226"/>
        <v>0</v>
      </c>
      <c r="AD255" s="220">
        <f t="shared" ca="1" si="1226"/>
        <v>0</v>
      </c>
      <c r="AE255" s="220">
        <f t="shared" ca="1" si="1226"/>
        <v>0</v>
      </c>
      <c r="AF255" s="220">
        <f t="shared" ca="1" si="1226"/>
        <v>0</v>
      </c>
      <c r="AG255" s="220">
        <f t="shared" ca="1" si="1226"/>
        <v>0</v>
      </c>
      <c r="AH255" s="220">
        <f t="shared" ca="1" si="1226"/>
        <v>0</v>
      </c>
      <c r="AI255" s="220">
        <f t="shared" ca="1" si="1226"/>
        <v>0</v>
      </c>
      <c r="AJ255" s="220">
        <f t="shared" ca="1" si="1226"/>
        <v>0</v>
      </c>
      <c r="AK255" s="220">
        <f t="shared" ca="1" si="1226"/>
        <v>0</v>
      </c>
      <c r="AL255" s="220">
        <f t="shared" ca="1" si="1226"/>
        <v>0</v>
      </c>
      <c r="AM255" s="220">
        <f t="shared" ca="1" si="1226"/>
        <v>0</v>
      </c>
      <c r="AN255" s="220">
        <f t="shared" ca="1" si="1226"/>
        <v>0</v>
      </c>
      <c r="AO255" s="220">
        <f t="shared" ca="1" si="1226"/>
        <v>0</v>
      </c>
      <c r="AP255" s="220">
        <f t="shared" ca="1" si="1226"/>
        <v>0</v>
      </c>
      <c r="AQ255" s="220">
        <f t="shared" ca="1" si="1226"/>
        <v>0</v>
      </c>
      <c r="AR255" s="220">
        <f t="shared" ca="1" si="1226"/>
        <v>0</v>
      </c>
      <c r="AS255" s="220">
        <f t="shared" ca="1" si="1226"/>
        <v>0</v>
      </c>
      <c r="AT255" s="220">
        <f t="shared" ca="1" si="1226"/>
        <v>0</v>
      </c>
      <c r="AU255" s="220">
        <f t="shared" ca="1" si="1226"/>
        <v>0</v>
      </c>
      <c r="AV255" s="220">
        <f t="shared" ca="1" si="1226"/>
        <v>0</v>
      </c>
      <c r="AW255" s="220">
        <f t="shared" ref="AW255:CB255" ca="1" si="1227">IF(AW231="","",SUM(AW253:AW254))</f>
        <v>0</v>
      </c>
      <c r="AX255" s="220">
        <f t="shared" ca="1" si="1227"/>
        <v>0</v>
      </c>
      <c r="AY255" s="220">
        <f t="shared" ca="1" si="1227"/>
        <v>0</v>
      </c>
      <c r="AZ255" s="220">
        <f t="shared" ca="1" si="1227"/>
        <v>0</v>
      </c>
      <c r="BA255" s="220">
        <f t="shared" ca="1" si="1227"/>
        <v>0</v>
      </c>
      <c r="BB255" s="220" t="str">
        <f t="shared" si="1227"/>
        <v/>
      </c>
      <c r="BC255" s="220" t="str">
        <f t="shared" si="1227"/>
        <v/>
      </c>
      <c r="BD255" s="220" t="str">
        <f t="shared" si="1227"/>
        <v/>
      </c>
      <c r="BE255" s="220" t="str">
        <f t="shared" si="1227"/>
        <v/>
      </c>
      <c r="BF255" s="220" t="str">
        <f t="shared" si="1227"/>
        <v/>
      </c>
      <c r="BG255" s="220" t="str">
        <f t="shared" si="1227"/>
        <v/>
      </c>
      <c r="BH255" s="220" t="str">
        <f t="shared" si="1227"/>
        <v/>
      </c>
      <c r="BI255" s="220" t="str">
        <f t="shared" si="1227"/>
        <v/>
      </c>
      <c r="BJ255" s="220" t="str">
        <f t="shared" si="1227"/>
        <v/>
      </c>
      <c r="BK255" s="220" t="str">
        <f t="shared" si="1227"/>
        <v/>
      </c>
      <c r="BL255" s="220" t="str">
        <f t="shared" si="1227"/>
        <v/>
      </c>
      <c r="BM255" s="220" t="str">
        <f t="shared" si="1227"/>
        <v/>
      </c>
      <c r="BN255" s="220" t="str">
        <f t="shared" si="1227"/>
        <v/>
      </c>
      <c r="BO255" s="220" t="str">
        <f t="shared" si="1227"/>
        <v/>
      </c>
      <c r="BP255" s="220" t="str">
        <f t="shared" si="1227"/>
        <v/>
      </c>
      <c r="BQ255" s="220" t="str">
        <f t="shared" si="1227"/>
        <v/>
      </c>
      <c r="BR255" s="220" t="str">
        <f t="shared" si="1227"/>
        <v/>
      </c>
      <c r="BS255" s="220" t="str">
        <f t="shared" si="1227"/>
        <v/>
      </c>
      <c r="BT255" s="220" t="str">
        <f t="shared" si="1227"/>
        <v/>
      </c>
      <c r="BU255" s="220" t="str">
        <f t="shared" si="1227"/>
        <v/>
      </c>
      <c r="BV255" s="220" t="str">
        <f t="shared" si="1227"/>
        <v/>
      </c>
      <c r="BW255" s="220" t="str">
        <f t="shared" si="1227"/>
        <v/>
      </c>
      <c r="BX255" s="220" t="str">
        <f t="shared" si="1227"/>
        <v/>
      </c>
      <c r="BY255" s="220" t="str">
        <f t="shared" si="1227"/>
        <v/>
      </c>
      <c r="BZ255" s="220" t="str">
        <f t="shared" si="1227"/>
        <v/>
      </c>
      <c r="CA255" s="220" t="str">
        <f t="shared" si="1227"/>
        <v/>
      </c>
      <c r="CB255" s="220" t="str">
        <f t="shared" si="1227"/>
        <v/>
      </c>
      <c r="CC255" s="220" t="str">
        <f t="shared" ref="CC255:DH255" si="1228">IF(CC231="","",SUM(CC253:CC254))</f>
        <v/>
      </c>
      <c r="CD255" s="220" t="str">
        <f t="shared" si="1228"/>
        <v/>
      </c>
      <c r="CE255" s="220" t="str">
        <f t="shared" si="1228"/>
        <v/>
      </c>
      <c r="CF255" s="220" t="str">
        <f t="shared" si="1228"/>
        <v/>
      </c>
      <c r="CG255" s="220" t="str">
        <f t="shared" si="1228"/>
        <v/>
      </c>
      <c r="CH255" s="220" t="str">
        <f t="shared" si="1228"/>
        <v/>
      </c>
      <c r="CI255" s="220" t="str">
        <f t="shared" si="1228"/>
        <v/>
      </c>
      <c r="CJ255" s="220" t="str">
        <f t="shared" si="1228"/>
        <v/>
      </c>
      <c r="CK255" s="220" t="str">
        <f t="shared" si="1228"/>
        <v/>
      </c>
      <c r="CL255" s="220" t="str">
        <f t="shared" si="1228"/>
        <v/>
      </c>
      <c r="CM255" s="220" t="str">
        <f t="shared" si="1228"/>
        <v/>
      </c>
      <c r="CN255" s="220" t="str">
        <f t="shared" si="1228"/>
        <v/>
      </c>
      <c r="CO255" s="220" t="str">
        <f t="shared" si="1228"/>
        <v/>
      </c>
      <c r="CP255" s="220" t="str">
        <f t="shared" si="1228"/>
        <v/>
      </c>
      <c r="CQ255" s="220" t="str">
        <f t="shared" si="1228"/>
        <v/>
      </c>
      <c r="CR255" s="220" t="str">
        <f t="shared" si="1228"/>
        <v/>
      </c>
      <c r="CS255" s="220" t="str">
        <f t="shared" si="1228"/>
        <v/>
      </c>
      <c r="CT255" s="220" t="str">
        <f t="shared" si="1228"/>
        <v/>
      </c>
      <c r="CU255" s="220" t="str">
        <f t="shared" si="1228"/>
        <v/>
      </c>
      <c r="CV255" s="220" t="str">
        <f t="shared" si="1228"/>
        <v/>
      </c>
      <c r="CW255" s="220" t="str">
        <f t="shared" si="1228"/>
        <v/>
      </c>
      <c r="CX255" s="220" t="str">
        <f t="shared" si="1228"/>
        <v/>
      </c>
      <c r="CY255" s="220" t="str">
        <f t="shared" si="1228"/>
        <v/>
      </c>
      <c r="CZ255" s="220" t="str">
        <f t="shared" si="1228"/>
        <v/>
      </c>
      <c r="DA255" s="220" t="str">
        <f t="shared" si="1228"/>
        <v/>
      </c>
      <c r="DB255" s="220" t="str">
        <f t="shared" si="1228"/>
        <v/>
      </c>
      <c r="DC255" s="220" t="str">
        <f t="shared" si="1228"/>
        <v/>
      </c>
      <c r="DD255" s="220" t="str">
        <f t="shared" si="1228"/>
        <v/>
      </c>
      <c r="DE255" s="220" t="str">
        <f t="shared" si="1228"/>
        <v/>
      </c>
      <c r="DF255" s="220" t="str">
        <f t="shared" si="1228"/>
        <v/>
      </c>
      <c r="DG255" s="220" t="str">
        <f t="shared" si="1228"/>
        <v/>
      </c>
      <c r="DH255" s="220" t="str">
        <f t="shared" si="1228"/>
        <v/>
      </c>
      <c r="DI255" s="220" t="str">
        <f t="shared" ref="DI255:EN255" si="1229">IF(DI231="","",SUM(DI253:DI254))</f>
        <v/>
      </c>
      <c r="DJ255" s="220" t="str">
        <f t="shared" si="1229"/>
        <v/>
      </c>
      <c r="DK255" s="220" t="str">
        <f t="shared" si="1229"/>
        <v/>
      </c>
      <c r="DL255" s="220" t="str">
        <f t="shared" si="1229"/>
        <v/>
      </c>
      <c r="DM255" s="220" t="str">
        <f t="shared" si="1229"/>
        <v/>
      </c>
      <c r="DN255" s="220" t="str">
        <f t="shared" si="1229"/>
        <v/>
      </c>
      <c r="DO255" s="220" t="str">
        <f t="shared" si="1229"/>
        <v/>
      </c>
      <c r="DP255" s="220" t="str">
        <f t="shared" si="1229"/>
        <v/>
      </c>
      <c r="DQ255" s="220" t="str">
        <f t="shared" si="1229"/>
        <v/>
      </c>
      <c r="DR255" s="220" t="str">
        <f t="shared" si="1229"/>
        <v/>
      </c>
      <c r="DS255" s="220" t="str">
        <f t="shared" si="1229"/>
        <v/>
      </c>
      <c r="DT255" s="220" t="str">
        <f t="shared" si="1229"/>
        <v/>
      </c>
      <c r="DU255" s="220" t="str">
        <f t="shared" si="1229"/>
        <v/>
      </c>
      <c r="DV255" s="220" t="str">
        <f t="shared" si="1229"/>
        <v/>
      </c>
      <c r="DW255" s="220" t="str">
        <f t="shared" si="1229"/>
        <v/>
      </c>
      <c r="DX255" s="220" t="str">
        <f t="shared" si="1229"/>
        <v/>
      </c>
      <c r="DY255" s="220" t="str">
        <f t="shared" si="1229"/>
        <v/>
      </c>
      <c r="DZ255" s="220" t="str">
        <f t="shared" si="1229"/>
        <v/>
      </c>
      <c r="EA255" s="220" t="str">
        <f t="shared" si="1229"/>
        <v/>
      </c>
      <c r="EB255" s="220" t="str">
        <f t="shared" si="1229"/>
        <v/>
      </c>
      <c r="EC255" s="220" t="str">
        <f t="shared" si="1229"/>
        <v/>
      </c>
      <c r="ED255" s="220" t="str">
        <f t="shared" si="1229"/>
        <v/>
      </c>
      <c r="EE255" s="220" t="str">
        <f t="shared" si="1229"/>
        <v/>
      </c>
      <c r="EF255" s="220" t="str">
        <f t="shared" si="1229"/>
        <v/>
      </c>
      <c r="EG255" s="220" t="str">
        <f t="shared" si="1229"/>
        <v/>
      </c>
      <c r="EH255" s="220" t="str">
        <f t="shared" si="1229"/>
        <v/>
      </c>
      <c r="EI255" s="220" t="str">
        <f t="shared" si="1229"/>
        <v/>
      </c>
      <c r="EJ255" s="220" t="str">
        <f t="shared" si="1229"/>
        <v/>
      </c>
      <c r="EK255" s="220" t="str">
        <f t="shared" si="1229"/>
        <v/>
      </c>
      <c r="EL255" s="220" t="str">
        <f t="shared" si="1229"/>
        <v/>
      </c>
      <c r="EM255" s="220" t="str">
        <f t="shared" si="1229"/>
        <v/>
      </c>
      <c r="EN255" s="220" t="str">
        <f t="shared" si="1229"/>
        <v/>
      </c>
      <c r="EO255" s="220" t="str">
        <f>IF(EO231="","",SUM(EO253:EO254))</f>
        <v/>
      </c>
      <c r="EP255" s="220" t="str">
        <f>IF(EP231="","",SUM(EP253:EP254))</f>
        <v/>
      </c>
      <c r="EQ255" s="220" t="str">
        <f>IF(EQ231="","",SUM(EQ253:EQ254))</f>
        <v/>
      </c>
      <c r="ER255" s="220" t="str">
        <f>IF(ER231="","",SUM(ER253:ER254))</f>
        <v/>
      </c>
      <c r="ES255" s="220" t="str">
        <f>IF(ES231="","",SUM(ES253:ES254))</f>
        <v/>
      </c>
      <c r="EU255" s="202"/>
      <c r="EV255" s="153"/>
      <c r="EW255" s="153"/>
      <c r="EX255" s="153"/>
      <c r="EY255" s="154" t="s">
        <v>379</v>
      </c>
      <c r="EZ255" s="154"/>
      <c r="FA255" s="388">
        <f t="shared" ref="FA255:GF255" ca="1" si="1230">(FA$201&lt;=Timing_Reversion_Month)*(FA251+FA252+FA244-FA253-FA254)</f>
        <v>740252.57142857148</v>
      </c>
      <c r="FB255" s="388">
        <f t="shared" ca="1" si="1230"/>
        <v>762433.49223713519</v>
      </c>
      <c r="FC255" s="388">
        <f t="shared" ca="1" si="1230"/>
        <v>816922.49673005869</v>
      </c>
      <c r="FD255" s="388">
        <f t="shared" ca="1" si="1230"/>
        <v>947541.92653226049</v>
      </c>
      <c r="FE255" s="388">
        <f t="shared" ca="1" si="1230"/>
        <v>1210726.5196284193</v>
      </c>
      <c r="FF255" s="388">
        <f t="shared" ca="1" si="1230"/>
        <v>1496385.7666084585</v>
      </c>
      <c r="FG255" s="388">
        <f t="shared" ca="1" si="1230"/>
        <v>1510584.6612980634</v>
      </c>
      <c r="FH255" s="388">
        <f t="shared" ca="1" si="1230"/>
        <v>1524918.286359278</v>
      </c>
      <c r="FI255" s="388">
        <f t="shared" ca="1" si="1230"/>
        <v>1539387.9202207003</v>
      </c>
      <c r="FJ255" s="388">
        <f t="shared" ca="1" si="1230"/>
        <v>1553994.8534416731</v>
      </c>
      <c r="FK255" s="388">
        <f t="shared" ca="1" si="1230"/>
        <v>1568740.3888273889</v>
      </c>
      <c r="FL255" s="388">
        <f t="shared" ca="1" si="1230"/>
        <v>1583625.8415450891</v>
      </c>
      <c r="FM255" s="388">
        <f t="shared" ca="1" si="1230"/>
        <v>1597883.5027413655</v>
      </c>
      <c r="FN255" s="388">
        <f t="shared" ca="1" si="1230"/>
        <v>1603209.4581824644</v>
      </c>
      <c r="FO255" s="388">
        <f t="shared" ca="1" si="1230"/>
        <v>1600730.5376963047</v>
      </c>
      <c r="FP255" s="388">
        <f t="shared" ca="1" si="1230"/>
        <v>1612958.2753548289</v>
      </c>
      <c r="FQ255" s="388">
        <f t="shared" ca="1" si="1230"/>
        <v>1625302.0394840532</v>
      </c>
      <c r="FR255" s="388">
        <f t="shared" ca="1" si="1230"/>
        <v>1637762.9310351331</v>
      </c>
      <c r="FS255" s="388">
        <f t="shared" ca="1" si="1230"/>
        <v>1650342.0614059214</v>
      </c>
      <c r="FT255" s="388">
        <f t="shared" ca="1" si="1230"/>
        <v>1663040.5525400953</v>
      </c>
      <c r="FU255" s="388">
        <f t="shared" ca="1" si="1230"/>
        <v>1675859.537027223</v>
      </c>
      <c r="FV255" s="388">
        <f t="shared" ca="1" si="1230"/>
        <v>1688800.1582037807</v>
      </c>
      <c r="FW255" s="388">
        <f t="shared" ca="1" si="1230"/>
        <v>1701863.5702551275</v>
      </c>
      <c r="FX255" s="388">
        <f t="shared" ca="1" si="1230"/>
        <v>1715050.9383184488</v>
      </c>
      <c r="FY255" s="388">
        <f t="shared" ca="1" si="1230"/>
        <v>1729234.6648666749</v>
      </c>
      <c r="FZ255" s="388">
        <f t="shared" ca="1" si="1230"/>
        <v>1743275.1883591579</v>
      </c>
      <c r="GA255" s="388">
        <f t="shared" ca="1" si="1230"/>
        <v>1757171.1499717543</v>
      </c>
      <c r="GB255" s="388">
        <f t="shared" ca="1" si="1230"/>
        <v>1771198.9674867194</v>
      </c>
      <c r="GC255" s="388">
        <f t="shared" ca="1" si="1230"/>
        <v>1785359.8920574081</v>
      </c>
      <c r="GD255" s="388">
        <f t="shared" ca="1" si="1230"/>
        <v>1799655.1867091104</v>
      </c>
      <c r="GE255" s="388">
        <f t="shared" ca="1" si="1230"/>
        <v>1814086.1264517016</v>
      </c>
      <c r="GF255" s="388">
        <f t="shared" ca="1" si="1230"/>
        <v>1828653.9983933617</v>
      </c>
      <c r="GG255" s="388">
        <f t="shared" ref="GG255:HL255" ca="1" si="1231">(GG$201&lt;=Timing_Reversion_Month)*(GG251+GG252+GG244-GG253-GG254)</f>
        <v>1843360.1018553737</v>
      </c>
      <c r="GH255" s="388">
        <f t="shared" ca="1" si="1231"/>
        <v>1858205.7484880113</v>
      </c>
      <c r="GI255" s="388">
        <f t="shared" ca="1" si="1231"/>
        <v>1873192.262387526</v>
      </c>
      <c r="GJ255" s="388">
        <f t="shared" ca="1" si="1231"/>
        <v>1888320.9802142445</v>
      </c>
      <c r="GK255" s="388">
        <f t="shared" ca="1" si="1231"/>
        <v>261504.93868921325</v>
      </c>
      <c r="GL255" s="388">
        <f t="shared" ca="1" si="1231"/>
        <v>0</v>
      </c>
      <c r="GM255" s="388">
        <f t="shared" ca="1" si="1231"/>
        <v>0</v>
      </c>
      <c r="GN255" s="388">
        <f t="shared" ca="1" si="1231"/>
        <v>0</v>
      </c>
      <c r="GO255" s="388">
        <f t="shared" ca="1" si="1231"/>
        <v>0</v>
      </c>
      <c r="GP255" s="388">
        <f t="shared" ca="1" si="1231"/>
        <v>0</v>
      </c>
      <c r="GQ255" s="388">
        <f t="shared" ca="1" si="1231"/>
        <v>0</v>
      </c>
      <c r="GR255" s="388">
        <f t="shared" ca="1" si="1231"/>
        <v>0</v>
      </c>
      <c r="GS255" s="388">
        <f t="shared" ca="1" si="1231"/>
        <v>0</v>
      </c>
      <c r="GT255" s="388">
        <f t="shared" ca="1" si="1231"/>
        <v>0</v>
      </c>
      <c r="GU255" s="388">
        <f t="shared" ca="1" si="1231"/>
        <v>0</v>
      </c>
      <c r="GV255" s="388">
        <f t="shared" ca="1" si="1231"/>
        <v>0</v>
      </c>
      <c r="GW255" s="388">
        <f t="shared" ca="1" si="1231"/>
        <v>0</v>
      </c>
      <c r="GX255" s="388">
        <f t="shared" ca="1" si="1231"/>
        <v>0</v>
      </c>
      <c r="GY255" s="388">
        <f t="shared" ca="1" si="1231"/>
        <v>0</v>
      </c>
      <c r="GZ255" s="388">
        <f t="shared" ca="1" si="1231"/>
        <v>0</v>
      </c>
      <c r="HA255" s="388">
        <f t="shared" ca="1" si="1231"/>
        <v>0</v>
      </c>
      <c r="HB255" s="388">
        <f t="shared" ca="1" si="1231"/>
        <v>0</v>
      </c>
      <c r="HC255" s="388">
        <f t="shared" ca="1" si="1231"/>
        <v>0</v>
      </c>
      <c r="HD255" s="388">
        <f t="shared" ca="1" si="1231"/>
        <v>0</v>
      </c>
      <c r="HE255" s="388">
        <f t="shared" ca="1" si="1231"/>
        <v>0</v>
      </c>
      <c r="HF255" s="388">
        <f t="shared" ca="1" si="1231"/>
        <v>0</v>
      </c>
      <c r="HG255" s="388">
        <f t="shared" ca="1" si="1231"/>
        <v>0</v>
      </c>
      <c r="HH255" s="388">
        <f t="shared" ca="1" si="1231"/>
        <v>0</v>
      </c>
      <c r="HI255" s="388">
        <f t="shared" ca="1" si="1231"/>
        <v>0</v>
      </c>
      <c r="HJ255" s="388">
        <f t="shared" ca="1" si="1231"/>
        <v>0</v>
      </c>
      <c r="HK255" s="388">
        <f t="shared" ca="1" si="1231"/>
        <v>0</v>
      </c>
      <c r="HL255" s="388">
        <f t="shared" ca="1" si="1231"/>
        <v>0</v>
      </c>
      <c r="HM255" s="388">
        <f t="shared" ref="HM255:IR255" ca="1" si="1232">(HM$201&lt;=Timing_Reversion_Month)*(HM251+HM252+HM244-HM253-HM254)</f>
        <v>0</v>
      </c>
      <c r="HN255" s="388">
        <f t="shared" ca="1" si="1232"/>
        <v>0</v>
      </c>
      <c r="HO255" s="388">
        <f t="shared" ca="1" si="1232"/>
        <v>0</v>
      </c>
      <c r="HP255" s="388">
        <f t="shared" ca="1" si="1232"/>
        <v>0</v>
      </c>
      <c r="HQ255" s="388">
        <f t="shared" ca="1" si="1232"/>
        <v>0</v>
      </c>
      <c r="HR255" s="388">
        <f t="shared" ca="1" si="1232"/>
        <v>0</v>
      </c>
      <c r="HS255" s="388">
        <f t="shared" ca="1" si="1232"/>
        <v>0</v>
      </c>
      <c r="HT255" s="388">
        <f t="shared" ca="1" si="1232"/>
        <v>0</v>
      </c>
      <c r="HU255" s="388">
        <f t="shared" ca="1" si="1232"/>
        <v>0</v>
      </c>
      <c r="HV255" s="388">
        <f t="shared" ca="1" si="1232"/>
        <v>0</v>
      </c>
      <c r="HW255" s="388">
        <f t="shared" ca="1" si="1232"/>
        <v>0</v>
      </c>
      <c r="HX255" s="388">
        <f t="shared" ca="1" si="1232"/>
        <v>0</v>
      </c>
      <c r="HY255" s="388">
        <f t="shared" ca="1" si="1232"/>
        <v>0</v>
      </c>
      <c r="HZ255" s="388">
        <f t="shared" ca="1" si="1232"/>
        <v>0</v>
      </c>
      <c r="IA255" s="388">
        <f t="shared" ca="1" si="1232"/>
        <v>0</v>
      </c>
      <c r="IB255" s="388">
        <f t="shared" ca="1" si="1232"/>
        <v>0</v>
      </c>
      <c r="IC255" s="388">
        <f t="shared" ca="1" si="1232"/>
        <v>0</v>
      </c>
      <c r="ID255" s="388">
        <f t="shared" ca="1" si="1232"/>
        <v>0</v>
      </c>
      <c r="IE255" s="388">
        <f t="shared" ca="1" si="1232"/>
        <v>0</v>
      </c>
      <c r="IF255" s="388">
        <f t="shared" ca="1" si="1232"/>
        <v>0</v>
      </c>
      <c r="IG255" s="388">
        <f t="shared" ca="1" si="1232"/>
        <v>0</v>
      </c>
      <c r="IH255" s="388">
        <f t="shared" ca="1" si="1232"/>
        <v>0</v>
      </c>
      <c r="II255" s="388">
        <f t="shared" ca="1" si="1232"/>
        <v>0</v>
      </c>
      <c r="IJ255" s="388">
        <f t="shared" ca="1" si="1232"/>
        <v>0</v>
      </c>
      <c r="IK255" s="388">
        <f t="shared" ca="1" si="1232"/>
        <v>0</v>
      </c>
      <c r="IL255" s="388">
        <f t="shared" ca="1" si="1232"/>
        <v>0</v>
      </c>
      <c r="IM255" s="388">
        <f t="shared" ca="1" si="1232"/>
        <v>0</v>
      </c>
      <c r="IN255" s="388">
        <f t="shared" ca="1" si="1232"/>
        <v>0</v>
      </c>
      <c r="IO255" s="388">
        <f t="shared" ca="1" si="1232"/>
        <v>0</v>
      </c>
      <c r="IP255" s="388">
        <f t="shared" ca="1" si="1232"/>
        <v>0</v>
      </c>
      <c r="IQ255" s="388">
        <f t="shared" ca="1" si="1232"/>
        <v>0</v>
      </c>
      <c r="IR255" s="388">
        <f t="shared" ca="1" si="1232"/>
        <v>0</v>
      </c>
      <c r="IS255" s="388">
        <f t="shared" ref="IS255:JX255" ca="1" si="1233">(IS$201&lt;=Timing_Reversion_Month)*(IS251+IS252+IS244-IS253-IS254)</f>
        <v>0</v>
      </c>
      <c r="IT255" s="388">
        <f t="shared" ca="1" si="1233"/>
        <v>0</v>
      </c>
      <c r="IU255" s="388">
        <f t="shared" ca="1" si="1233"/>
        <v>0</v>
      </c>
      <c r="IV255" s="388">
        <f t="shared" ca="1" si="1233"/>
        <v>0</v>
      </c>
      <c r="IW255" s="388">
        <f t="shared" ca="1" si="1233"/>
        <v>0</v>
      </c>
      <c r="IX255" s="388">
        <f t="shared" ca="1" si="1233"/>
        <v>0</v>
      </c>
      <c r="IY255" s="388">
        <f t="shared" ca="1" si="1233"/>
        <v>0</v>
      </c>
      <c r="IZ255" s="388">
        <f t="shared" ca="1" si="1233"/>
        <v>0</v>
      </c>
      <c r="JA255" s="388">
        <f t="shared" ca="1" si="1233"/>
        <v>0</v>
      </c>
      <c r="JB255" s="388">
        <f t="shared" ca="1" si="1233"/>
        <v>0</v>
      </c>
      <c r="JC255" s="388">
        <f t="shared" ca="1" si="1233"/>
        <v>0</v>
      </c>
      <c r="JD255" s="388">
        <f t="shared" ca="1" si="1233"/>
        <v>0</v>
      </c>
      <c r="JE255" s="388">
        <f t="shared" ca="1" si="1233"/>
        <v>0</v>
      </c>
      <c r="JF255" s="388">
        <f t="shared" ca="1" si="1233"/>
        <v>0</v>
      </c>
      <c r="JG255" s="388">
        <f t="shared" ca="1" si="1233"/>
        <v>0</v>
      </c>
      <c r="JH255" s="388">
        <f t="shared" ca="1" si="1233"/>
        <v>0</v>
      </c>
      <c r="JI255" s="388">
        <f t="shared" ca="1" si="1233"/>
        <v>0</v>
      </c>
      <c r="JJ255" s="388">
        <f t="shared" ca="1" si="1233"/>
        <v>0</v>
      </c>
      <c r="JK255" s="388">
        <f t="shared" ca="1" si="1233"/>
        <v>0</v>
      </c>
      <c r="JL255" s="388">
        <f t="shared" ca="1" si="1233"/>
        <v>0</v>
      </c>
      <c r="JM255" s="388">
        <f t="shared" ca="1" si="1233"/>
        <v>0</v>
      </c>
      <c r="JN255" s="388">
        <f t="shared" ca="1" si="1233"/>
        <v>0</v>
      </c>
      <c r="JO255" s="388">
        <f t="shared" ca="1" si="1233"/>
        <v>0</v>
      </c>
      <c r="JP255" s="388">
        <f t="shared" ca="1" si="1233"/>
        <v>0</v>
      </c>
      <c r="JQ255" s="388">
        <f t="shared" ca="1" si="1233"/>
        <v>0</v>
      </c>
      <c r="JR255" s="388">
        <f t="shared" ca="1" si="1233"/>
        <v>0</v>
      </c>
      <c r="JS255" s="388">
        <f t="shared" ca="1" si="1233"/>
        <v>0</v>
      </c>
      <c r="JT255" s="388">
        <f t="shared" ca="1" si="1233"/>
        <v>0</v>
      </c>
      <c r="JU255" s="388">
        <f t="shared" ca="1" si="1233"/>
        <v>0</v>
      </c>
      <c r="JV255" s="388">
        <f t="shared" ca="1" si="1233"/>
        <v>0</v>
      </c>
      <c r="JW255" s="388">
        <f t="shared" ca="1" si="1233"/>
        <v>0</v>
      </c>
      <c r="JX255" s="388">
        <f t="shared" ca="1" si="1233"/>
        <v>0</v>
      </c>
      <c r="JY255" s="388">
        <f t="shared" ref="JY255:KC255" ca="1" si="1234">(JY$201&lt;=Timing_Reversion_Month)*(JY251+JY252+JY244-JY253-JY254)</f>
        <v>0</v>
      </c>
      <c r="JZ255" s="388">
        <f t="shared" ca="1" si="1234"/>
        <v>0</v>
      </c>
      <c r="KA255" s="388">
        <f t="shared" ca="1" si="1234"/>
        <v>0</v>
      </c>
      <c r="KB255" s="388">
        <f t="shared" ca="1" si="1234"/>
        <v>0</v>
      </c>
      <c r="KC255" s="388">
        <f t="shared" ca="1" si="1234"/>
        <v>0</v>
      </c>
    </row>
    <row r="256" spans="2:289" ht="0.6" customHeight="1" x14ac:dyDescent="0.25">
      <c r="B256" s="180"/>
      <c r="C256" s="181"/>
      <c r="D256" s="181"/>
      <c r="E256" s="413"/>
      <c r="F256" s="413"/>
      <c r="G256" s="413"/>
      <c r="H256" s="417"/>
      <c r="I256" s="335"/>
      <c r="EU256" s="202"/>
      <c r="EV256" s="153"/>
      <c r="EW256" s="153"/>
      <c r="EX256" s="154" t="s">
        <v>354</v>
      </c>
      <c r="EY256" s="393">
        <f ca="1">XIRR(OFFSET(FA256,,,1,Timing_Reversion_Month+1),OFFSET($FA$23,,,1,Timing_Reversion_Month+1))</f>
        <v>6.4810648560524015E-2</v>
      </c>
      <c r="EZ256" s="154"/>
      <c r="FA256" s="386">
        <f ca="1">+-FA244+FA253+FA254</f>
        <v>-740252.57142857148</v>
      </c>
      <c r="FB256" s="386">
        <f t="shared" ref="FB256:HM256" ca="1" si="1235">+-FB244+FB253+FB254</f>
        <v>-15156.817438985376</v>
      </c>
      <c r="FC256" s="386">
        <f t="shared" ca="1" si="1235"/>
        <v>-47254.430958694291</v>
      </c>
      <c r="FD256" s="386">
        <f t="shared" ca="1" si="1235"/>
        <v>-122867.82138712759</v>
      </c>
      <c r="FE256" s="386">
        <f t="shared" ca="1" si="1235"/>
        <v>-254193.56395845834</v>
      </c>
      <c r="FF256" s="386">
        <f t="shared" ca="1" si="1235"/>
        <v>-274170.9137348769</v>
      </c>
      <c r="FG256" s="386">
        <f t="shared" ca="1" si="1235"/>
        <v>0</v>
      </c>
      <c r="FH256" s="386">
        <f t="shared" ca="1" si="1235"/>
        <v>0</v>
      </c>
      <c r="FI256" s="386">
        <f t="shared" ca="1" si="1235"/>
        <v>0</v>
      </c>
      <c r="FJ256" s="386">
        <f t="shared" ca="1" si="1235"/>
        <v>0</v>
      </c>
      <c r="FK256" s="386">
        <f t="shared" ca="1" si="1235"/>
        <v>0</v>
      </c>
      <c r="FL256" s="386">
        <f t="shared" ca="1" si="1235"/>
        <v>0</v>
      </c>
      <c r="FM256" s="386">
        <f t="shared" ca="1" si="1235"/>
        <v>769.03649999999936</v>
      </c>
      <c r="FN256" s="386">
        <f t="shared" ca="1" si="1235"/>
        <v>9836.0302499999998</v>
      </c>
      <c r="FO256" s="386">
        <f t="shared" ca="1" si="1235"/>
        <v>17691.443065618256</v>
      </c>
      <c r="FP256" s="386">
        <f t="shared" ca="1" si="1235"/>
        <v>2961.2629577399553</v>
      </c>
      <c r="FQ256" s="386">
        <f t="shared" ca="1" si="1235"/>
        <v>2961.2629577399553</v>
      </c>
      <c r="FR256" s="386">
        <f t="shared" ca="1" si="1235"/>
        <v>2961.2629577399553</v>
      </c>
      <c r="FS256" s="386">
        <f t="shared" ca="1" si="1235"/>
        <v>2961.2629577399553</v>
      </c>
      <c r="FT256" s="386">
        <f t="shared" ca="1" si="1235"/>
        <v>2961.2629577399553</v>
      </c>
      <c r="FU256" s="386">
        <f t="shared" ca="1" si="1235"/>
        <v>2961.2629577399553</v>
      </c>
      <c r="FV256" s="386">
        <f t="shared" ca="1" si="1235"/>
        <v>2961.2629577399553</v>
      </c>
      <c r="FW256" s="386">
        <f t="shared" ca="1" si="1235"/>
        <v>2961.2629577399553</v>
      </c>
      <c r="FX256" s="386">
        <f t="shared" ca="1" si="1235"/>
        <v>2961.2629577399553</v>
      </c>
      <c r="FY256" s="386">
        <f t="shared" ca="1" si="1235"/>
        <v>2090.0366777399513</v>
      </c>
      <c r="FZ256" s="386">
        <f t="shared" ca="1" si="1235"/>
        <v>2367.8261777399571</v>
      </c>
      <c r="GA256" s="386">
        <f t="shared" ca="1" si="1235"/>
        <v>2645.615677739956</v>
      </c>
      <c r="GB256" s="386">
        <f t="shared" ca="1" si="1235"/>
        <v>2645.615677739956</v>
      </c>
      <c r="GC256" s="386">
        <f t="shared" ca="1" si="1235"/>
        <v>2645.615677739956</v>
      </c>
      <c r="GD256" s="386">
        <f t="shared" ca="1" si="1235"/>
        <v>2645.615677739956</v>
      </c>
      <c r="GE256" s="386">
        <f t="shared" ca="1" si="1235"/>
        <v>2645.615677739956</v>
      </c>
      <c r="GF256" s="386">
        <f t="shared" ca="1" si="1235"/>
        <v>2645.615677739956</v>
      </c>
      <c r="GG256" s="386">
        <f t="shared" ca="1" si="1235"/>
        <v>2645.615677739956</v>
      </c>
      <c r="GH256" s="386">
        <f t="shared" ca="1" si="1235"/>
        <v>2645.615677739956</v>
      </c>
      <c r="GI256" s="386">
        <f t="shared" ca="1" si="1235"/>
        <v>2645.615677739956</v>
      </c>
      <c r="GJ256" s="386">
        <f t="shared" ca="1" si="1235"/>
        <v>2645.615677739956</v>
      </c>
      <c r="GK256" s="386">
        <f t="shared" ca="1" si="1235"/>
        <v>1644733.928300313</v>
      </c>
      <c r="GL256" s="386">
        <f t="shared" ca="1" si="1235"/>
        <v>0</v>
      </c>
      <c r="GM256" s="386">
        <f t="shared" ca="1" si="1235"/>
        <v>0</v>
      </c>
      <c r="GN256" s="386">
        <f t="shared" ca="1" si="1235"/>
        <v>0</v>
      </c>
      <c r="GO256" s="386">
        <f t="shared" ca="1" si="1235"/>
        <v>0</v>
      </c>
      <c r="GP256" s="386">
        <f t="shared" ca="1" si="1235"/>
        <v>0</v>
      </c>
      <c r="GQ256" s="386">
        <f t="shared" ca="1" si="1235"/>
        <v>0</v>
      </c>
      <c r="GR256" s="386">
        <f t="shared" ca="1" si="1235"/>
        <v>0</v>
      </c>
      <c r="GS256" s="386">
        <f t="shared" ca="1" si="1235"/>
        <v>0</v>
      </c>
      <c r="GT256" s="386">
        <f t="shared" ca="1" si="1235"/>
        <v>0</v>
      </c>
      <c r="GU256" s="386">
        <f t="shared" ca="1" si="1235"/>
        <v>0</v>
      </c>
      <c r="GV256" s="386">
        <f t="shared" ca="1" si="1235"/>
        <v>0</v>
      </c>
      <c r="GW256" s="386">
        <f t="shared" ca="1" si="1235"/>
        <v>0</v>
      </c>
      <c r="GX256" s="386">
        <f t="shared" ca="1" si="1235"/>
        <v>0</v>
      </c>
      <c r="GY256" s="386">
        <f t="shared" ca="1" si="1235"/>
        <v>0</v>
      </c>
      <c r="GZ256" s="386">
        <f t="shared" ca="1" si="1235"/>
        <v>0</v>
      </c>
      <c r="HA256" s="386">
        <f t="shared" ca="1" si="1235"/>
        <v>0</v>
      </c>
      <c r="HB256" s="386">
        <f t="shared" ca="1" si="1235"/>
        <v>0</v>
      </c>
      <c r="HC256" s="386">
        <f t="shared" ca="1" si="1235"/>
        <v>0</v>
      </c>
      <c r="HD256" s="386">
        <f t="shared" ca="1" si="1235"/>
        <v>0</v>
      </c>
      <c r="HE256" s="386">
        <f t="shared" ca="1" si="1235"/>
        <v>0</v>
      </c>
      <c r="HF256" s="386">
        <f t="shared" ca="1" si="1235"/>
        <v>0</v>
      </c>
      <c r="HG256" s="386">
        <f t="shared" ca="1" si="1235"/>
        <v>0</v>
      </c>
      <c r="HH256" s="386">
        <f t="shared" ca="1" si="1235"/>
        <v>0</v>
      </c>
      <c r="HI256" s="386">
        <f t="shared" ca="1" si="1235"/>
        <v>0</v>
      </c>
      <c r="HJ256" s="386">
        <f t="shared" ca="1" si="1235"/>
        <v>0</v>
      </c>
      <c r="HK256" s="386">
        <f t="shared" ca="1" si="1235"/>
        <v>0</v>
      </c>
      <c r="HL256" s="386">
        <f t="shared" ca="1" si="1235"/>
        <v>0</v>
      </c>
      <c r="HM256" s="386">
        <f t="shared" ca="1" si="1235"/>
        <v>0</v>
      </c>
      <c r="HN256" s="386">
        <f t="shared" ref="HN256:JY256" ca="1" si="1236">+-HN244+HN253+HN254</f>
        <v>0</v>
      </c>
      <c r="HO256" s="386">
        <f t="shared" ca="1" si="1236"/>
        <v>0</v>
      </c>
      <c r="HP256" s="386">
        <f t="shared" ca="1" si="1236"/>
        <v>0</v>
      </c>
      <c r="HQ256" s="386">
        <f t="shared" ca="1" si="1236"/>
        <v>0</v>
      </c>
      <c r="HR256" s="386">
        <f t="shared" ca="1" si="1236"/>
        <v>0</v>
      </c>
      <c r="HS256" s="386">
        <f t="shared" ca="1" si="1236"/>
        <v>0</v>
      </c>
      <c r="HT256" s="386">
        <f t="shared" ca="1" si="1236"/>
        <v>0</v>
      </c>
      <c r="HU256" s="386">
        <f t="shared" ca="1" si="1236"/>
        <v>0</v>
      </c>
      <c r="HV256" s="386">
        <f t="shared" ca="1" si="1236"/>
        <v>0</v>
      </c>
      <c r="HW256" s="386">
        <f t="shared" ca="1" si="1236"/>
        <v>0</v>
      </c>
      <c r="HX256" s="386">
        <f t="shared" ca="1" si="1236"/>
        <v>0</v>
      </c>
      <c r="HY256" s="386">
        <f t="shared" ca="1" si="1236"/>
        <v>0</v>
      </c>
      <c r="HZ256" s="386">
        <f t="shared" ca="1" si="1236"/>
        <v>0</v>
      </c>
      <c r="IA256" s="386">
        <f t="shared" ca="1" si="1236"/>
        <v>0</v>
      </c>
      <c r="IB256" s="386">
        <f t="shared" ca="1" si="1236"/>
        <v>0</v>
      </c>
      <c r="IC256" s="386">
        <f t="shared" ca="1" si="1236"/>
        <v>0</v>
      </c>
      <c r="ID256" s="386">
        <f t="shared" ca="1" si="1236"/>
        <v>0</v>
      </c>
      <c r="IE256" s="386">
        <f t="shared" ca="1" si="1236"/>
        <v>0</v>
      </c>
      <c r="IF256" s="386">
        <f t="shared" ca="1" si="1236"/>
        <v>0</v>
      </c>
      <c r="IG256" s="386">
        <f t="shared" ca="1" si="1236"/>
        <v>0</v>
      </c>
      <c r="IH256" s="386">
        <f t="shared" ca="1" si="1236"/>
        <v>0</v>
      </c>
      <c r="II256" s="386">
        <f t="shared" ca="1" si="1236"/>
        <v>0</v>
      </c>
      <c r="IJ256" s="386">
        <f t="shared" ca="1" si="1236"/>
        <v>0</v>
      </c>
      <c r="IK256" s="386">
        <f t="shared" ca="1" si="1236"/>
        <v>0</v>
      </c>
      <c r="IL256" s="386">
        <f t="shared" ca="1" si="1236"/>
        <v>0</v>
      </c>
      <c r="IM256" s="386">
        <f t="shared" ca="1" si="1236"/>
        <v>0</v>
      </c>
      <c r="IN256" s="386">
        <f t="shared" ca="1" si="1236"/>
        <v>0</v>
      </c>
      <c r="IO256" s="386">
        <f t="shared" ca="1" si="1236"/>
        <v>0</v>
      </c>
      <c r="IP256" s="386">
        <f t="shared" ca="1" si="1236"/>
        <v>0</v>
      </c>
      <c r="IQ256" s="386">
        <f t="shared" ca="1" si="1236"/>
        <v>0</v>
      </c>
      <c r="IR256" s="386">
        <f t="shared" ca="1" si="1236"/>
        <v>0</v>
      </c>
      <c r="IS256" s="386">
        <f t="shared" ca="1" si="1236"/>
        <v>0</v>
      </c>
      <c r="IT256" s="386">
        <f t="shared" ca="1" si="1236"/>
        <v>0</v>
      </c>
      <c r="IU256" s="386">
        <f t="shared" ca="1" si="1236"/>
        <v>0</v>
      </c>
      <c r="IV256" s="386">
        <f t="shared" ca="1" si="1236"/>
        <v>0</v>
      </c>
      <c r="IW256" s="386">
        <f t="shared" ca="1" si="1236"/>
        <v>0</v>
      </c>
      <c r="IX256" s="386">
        <f t="shared" ca="1" si="1236"/>
        <v>0</v>
      </c>
      <c r="IY256" s="386">
        <f t="shared" ca="1" si="1236"/>
        <v>0</v>
      </c>
      <c r="IZ256" s="386">
        <f t="shared" ca="1" si="1236"/>
        <v>0</v>
      </c>
      <c r="JA256" s="386">
        <f t="shared" ca="1" si="1236"/>
        <v>0</v>
      </c>
      <c r="JB256" s="386">
        <f t="shared" ca="1" si="1236"/>
        <v>0</v>
      </c>
      <c r="JC256" s="386">
        <f t="shared" ca="1" si="1236"/>
        <v>0</v>
      </c>
      <c r="JD256" s="386">
        <f t="shared" ca="1" si="1236"/>
        <v>0</v>
      </c>
      <c r="JE256" s="386">
        <f t="shared" ca="1" si="1236"/>
        <v>0</v>
      </c>
      <c r="JF256" s="386">
        <f t="shared" ca="1" si="1236"/>
        <v>0</v>
      </c>
      <c r="JG256" s="386">
        <f t="shared" ca="1" si="1236"/>
        <v>0</v>
      </c>
      <c r="JH256" s="386">
        <f t="shared" ca="1" si="1236"/>
        <v>0</v>
      </c>
      <c r="JI256" s="386">
        <f t="shared" ca="1" si="1236"/>
        <v>0</v>
      </c>
      <c r="JJ256" s="386">
        <f t="shared" ca="1" si="1236"/>
        <v>0</v>
      </c>
      <c r="JK256" s="386">
        <f t="shared" ca="1" si="1236"/>
        <v>0</v>
      </c>
      <c r="JL256" s="386">
        <f t="shared" ca="1" si="1236"/>
        <v>0</v>
      </c>
      <c r="JM256" s="386">
        <f t="shared" ca="1" si="1236"/>
        <v>0</v>
      </c>
      <c r="JN256" s="386">
        <f t="shared" ca="1" si="1236"/>
        <v>0</v>
      </c>
      <c r="JO256" s="386">
        <f t="shared" ca="1" si="1236"/>
        <v>0</v>
      </c>
      <c r="JP256" s="386">
        <f t="shared" ca="1" si="1236"/>
        <v>0</v>
      </c>
      <c r="JQ256" s="386">
        <f t="shared" ca="1" si="1236"/>
        <v>0</v>
      </c>
      <c r="JR256" s="386">
        <f t="shared" ca="1" si="1236"/>
        <v>0</v>
      </c>
      <c r="JS256" s="386">
        <f t="shared" ca="1" si="1236"/>
        <v>0</v>
      </c>
      <c r="JT256" s="386">
        <f t="shared" ca="1" si="1236"/>
        <v>0</v>
      </c>
      <c r="JU256" s="386">
        <f t="shared" ca="1" si="1236"/>
        <v>0</v>
      </c>
      <c r="JV256" s="386">
        <f t="shared" ca="1" si="1236"/>
        <v>0</v>
      </c>
      <c r="JW256" s="386">
        <f t="shared" ca="1" si="1236"/>
        <v>0</v>
      </c>
      <c r="JX256" s="386">
        <f t="shared" ca="1" si="1236"/>
        <v>0</v>
      </c>
      <c r="JY256" s="386">
        <f t="shared" ca="1" si="1236"/>
        <v>0</v>
      </c>
      <c r="JZ256" s="386">
        <f ca="1">+-JZ244+JZ253+JZ254</f>
        <v>0</v>
      </c>
      <c r="KA256" s="386">
        <f ca="1">+-KA244+KA253+KA254</f>
        <v>0</v>
      </c>
      <c r="KB256" s="386">
        <f ca="1">+-KB244+KB253+KB254</f>
        <v>0</v>
      </c>
      <c r="KC256" s="386">
        <f ca="1">+-KC244+KC253+KC254</f>
        <v>0</v>
      </c>
    </row>
    <row r="257" spans="2:289" ht="0.6" customHeight="1" x14ac:dyDescent="0.25">
      <c r="B257" s="209" t="s">
        <v>341</v>
      </c>
      <c r="C257" s="181"/>
      <c r="D257" s="181"/>
      <c r="E257" s="181"/>
      <c r="F257" s="418" t="s">
        <v>337</v>
      </c>
      <c r="G257" s="210" t="str">
        <f>B253&amp;" Promote"</f>
        <v>GP 1 Promote</v>
      </c>
      <c r="H257" s="210" t="str">
        <f>"Dist. % to "&amp;$B$253</f>
        <v>Dist. % to GP 1</v>
      </c>
      <c r="I257" s="210" t="str">
        <f>"Dist. % to "&amp;$B$254</f>
        <v>Dist. % to GP 2</v>
      </c>
      <c r="EU257" s="202"/>
      <c r="EV257" s="153"/>
      <c r="EW257" s="153"/>
      <c r="EX257" s="153"/>
      <c r="EY257" s="154" t="s">
        <v>374</v>
      </c>
      <c r="EZ257" s="154"/>
      <c r="FA257" s="388">
        <f t="shared" ref="FA257:GF257" ca="1" si="1237">(FA$201&lt;=Timing_Reversion_Month)*(FA254/$I$259*$H$259)</f>
        <v>0</v>
      </c>
      <c r="FB257" s="388">
        <f t="shared" ca="1" si="1237"/>
        <v>0</v>
      </c>
      <c r="FC257" s="388">
        <f t="shared" ca="1" si="1237"/>
        <v>0</v>
      </c>
      <c r="FD257" s="388">
        <f t="shared" ca="1" si="1237"/>
        <v>0</v>
      </c>
      <c r="FE257" s="388">
        <f t="shared" ca="1" si="1237"/>
        <v>0</v>
      </c>
      <c r="FF257" s="388">
        <f t="shared" ca="1" si="1237"/>
        <v>0</v>
      </c>
      <c r="FG257" s="388">
        <f t="shared" ca="1" si="1237"/>
        <v>0</v>
      </c>
      <c r="FH257" s="388">
        <f t="shared" ca="1" si="1237"/>
        <v>0</v>
      </c>
      <c r="FI257" s="388">
        <f t="shared" ca="1" si="1237"/>
        <v>0</v>
      </c>
      <c r="FJ257" s="388">
        <f t="shared" ca="1" si="1237"/>
        <v>0</v>
      </c>
      <c r="FK257" s="388">
        <f t="shared" ca="1" si="1237"/>
        <v>0</v>
      </c>
      <c r="FL257" s="388">
        <f t="shared" ca="1" si="1237"/>
        <v>0</v>
      </c>
      <c r="FM257" s="388">
        <f t="shared" ca="1" si="1237"/>
        <v>0</v>
      </c>
      <c r="FN257" s="388">
        <f t="shared" ca="1" si="1237"/>
        <v>0</v>
      </c>
      <c r="FO257" s="388">
        <f t="shared" ca="1" si="1237"/>
        <v>0</v>
      </c>
      <c r="FP257" s="388">
        <f t="shared" ca="1" si="1237"/>
        <v>0</v>
      </c>
      <c r="FQ257" s="388">
        <f t="shared" ca="1" si="1237"/>
        <v>0</v>
      </c>
      <c r="FR257" s="388">
        <f t="shared" ca="1" si="1237"/>
        <v>0</v>
      </c>
      <c r="FS257" s="388">
        <f t="shared" ca="1" si="1237"/>
        <v>0</v>
      </c>
      <c r="FT257" s="388">
        <f t="shared" ca="1" si="1237"/>
        <v>0</v>
      </c>
      <c r="FU257" s="388">
        <f t="shared" ca="1" si="1237"/>
        <v>0</v>
      </c>
      <c r="FV257" s="388">
        <f t="shared" ca="1" si="1237"/>
        <v>0</v>
      </c>
      <c r="FW257" s="388">
        <f t="shared" ca="1" si="1237"/>
        <v>0</v>
      </c>
      <c r="FX257" s="388">
        <f t="shared" ca="1" si="1237"/>
        <v>0</v>
      </c>
      <c r="FY257" s="388">
        <f t="shared" ca="1" si="1237"/>
        <v>0</v>
      </c>
      <c r="FZ257" s="388">
        <f t="shared" ca="1" si="1237"/>
        <v>0</v>
      </c>
      <c r="GA257" s="388">
        <f t="shared" ca="1" si="1237"/>
        <v>0</v>
      </c>
      <c r="GB257" s="388">
        <f t="shared" ca="1" si="1237"/>
        <v>0</v>
      </c>
      <c r="GC257" s="388">
        <f t="shared" ca="1" si="1237"/>
        <v>0</v>
      </c>
      <c r="GD257" s="388">
        <f t="shared" ca="1" si="1237"/>
        <v>0</v>
      </c>
      <c r="GE257" s="388">
        <f t="shared" ca="1" si="1237"/>
        <v>0</v>
      </c>
      <c r="GF257" s="388">
        <f t="shared" ca="1" si="1237"/>
        <v>0</v>
      </c>
      <c r="GG257" s="388">
        <f t="shared" ref="GG257:HL257" ca="1" si="1238">(GG$201&lt;=Timing_Reversion_Month)*(GG254/$I$259*$H$259)</f>
        <v>0</v>
      </c>
      <c r="GH257" s="388">
        <f t="shared" ca="1" si="1238"/>
        <v>0</v>
      </c>
      <c r="GI257" s="388">
        <f t="shared" ca="1" si="1238"/>
        <v>0</v>
      </c>
      <c r="GJ257" s="388">
        <f t="shared" ca="1" si="1238"/>
        <v>0</v>
      </c>
      <c r="GK257" s="388">
        <f t="shared" ca="1" si="1238"/>
        <v>0</v>
      </c>
      <c r="GL257" s="388">
        <f t="shared" ca="1" si="1238"/>
        <v>0</v>
      </c>
      <c r="GM257" s="388">
        <f t="shared" ca="1" si="1238"/>
        <v>0</v>
      </c>
      <c r="GN257" s="388">
        <f t="shared" ca="1" si="1238"/>
        <v>0</v>
      </c>
      <c r="GO257" s="388">
        <f t="shared" ca="1" si="1238"/>
        <v>0</v>
      </c>
      <c r="GP257" s="388">
        <f t="shared" ca="1" si="1238"/>
        <v>0</v>
      </c>
      <c r="GQ257" s="388">
        <f t="shared" ca="1" si="1238"/>
        <v>0</v>
      </c>
      <c r="GR257" s="388">
        <f t="shared" ca="1" si="1238"/>
        <v>0</v>
      </c>
      <c r="GS257" s="388">
        <f t="shared" ca="1" si="1238"/>
        <v>0</v>
      </c>
      <c r="GT257" s="388">
        <f t="shared" ca="1" si="1238"/>
        <v>0</v>
      </c>
      <c r="GU257" s="388">
        <f t="shared" ca="1" si="1238"/>
        <v>0</v>
      </c>
      <c r="GV257" s="388">
        <f t="shared" ca="1" si="1238"/>
        <v>0</v>
      </c>
      <c r="GW257" s="388">
        <f t="shared" ca="1" si="1238"/>
        <v>0</v>
      </c>
      <c r="GX257" s="388">
        <f t="shared" ca="1" si="1238"/>
        <v>0</v>
      </c>
      <c r="GY257" s="388">
        <f t="shared" ca="1" si="1238"/>
        <v>0</v>
      </c>
      <c r="GZ257" s="388">
        <f t="shared" ca="1" si="1238"/>
        <v>0</v>
      </c>
      <c r="HA257" s="388">
        <f t="shared" ca="1" si="1238"/>
        <v>0</v>
      </c>
      <c r="HB257" s="388">
        <f t="shared" ca="1" si="1238"/>
        <v>0</v>
      </c>
      <c r="HC257" s="388">
        <f t="shared" ca="1" si="1238"/>
        <v>0</v>
      </c>
      <c r="HD257" s="388">
        <f t="shared" ca="1" si="1238"/>
        <v>0</v>
      </c>
      <c r="HE257" s="388">
        <f t="shared" ca="1" si="1238"/>
        <v>0</v>
      </c>
      <c r="HF257" s="388">
        <f t="shared" ca="1" si="1238"/>
        <v>0</v>
      </c>
      <c r="HG257" s="388">
        <f t="shared" ca="1" si="1238"/>
        <v>0</v>
      </c>
      <c r="HH257" s="388">
        <f t="shared" ca="1" si="1238"/>
        <v>0</v>
      </c>
      <c r="HI257" s="388">
        <f t="shared" ca="1" si="1238"/>
        <v>0</v>
      </c>
      <c r="HJ257" s="388">
        <f t="shared" ca="1" si="1238"/>
        <v>0</v>
      </c>
      <c r="HK257" s="388">
        <f t="shared" ca="1" si="1238"/>
        <v>0</v>
      </c>
      <c r="HL257" s="388">
        <f t="shared" ca="1" si="1238"/>
        <v>0</v>
      </c>
      <c r="HM257" s="388">
        <f t="shared" ref="HM257:IR257" ca="1" si="1239">(HM$201&lt;=Timing_Reversion_Month)*(HM254/$I$259*$H$259)</f>
        <v>0</v>
      </c>
      <c r="HN257" s="388">
        <f t="shared" ca="1" si="1239"/>
        <v>0</v>
      </c>
      <c r="HO257" s="388">
        <f t="shared" ca="1" si="1239"/>
        <v>0</v>
      </c>
      <c r="HP257" s="388">
        <f t="shared" ca="1" si="1239"/>
        <v>0</v>
      </c>
      <c r="HQ257" s="388">
        <f t="shared" ca="1" si="1239"/>
        <v>0</v>
      </c>
      <c r="HR257" s="388">
        <f t="shared" ca="1" si="1239"/>
        <v>0</v>
      </c>
      <c r="HS257" s="388">
        <f t="shared" ca="1" si="1239"/>
        <v>0</v>
      </c>
      <c r="HT257" s="388">
        <f t="shared" ca="1" si="1239"/>
        <v>0</v>
      </c>
      <c r="HU257" s="388">
        <f t="shared" ca="1" si="1239"/>
        <v>0</v>
      </c>
      <c r="HV257" s="388">
        <f t="shared" ca="1" si="1239"/>
        <v>0</v>
      </c>
      <c r="HW257" s="388">
        <f t="shared" ca="1" si="1239"/>
        <v>0</v>
      </c>
      <c r="HX257" s="388">
        <f t="shared" ca="1" si="1239"/>
        <v>0</v>
      </c>
      <c r="HY257" s="388">
        <f t="shared" ca="1" si="1239"/>
        <v>0</v>
      </c>
      <c r="HZ257" s="388">
        <f t="shared" ca="1" si="1239"/>
        <v>0</v>
      </c>
      <c r="IA257" s="388">
        <f t="shared" ca="1" si="1239"/>
        <v>0</v>
      </c>
      <c r="IB257" s="388">
        <f t="shared" ca="1" si="1239"/>
        <v>0</v>
      </c>
      <c r="IC257" s="388">
        <f t="shared" ca="1" si="1239"/>
        <v>0</v>
      </c>
      <c r="ID257" s="388">
        <f t="shared" ca="1" si="1239"/>
        <v>0</v>
      </c>
      <c r="IE257" s="388">
        <f t="shared" ca="1" si="1239"/>
        <v>0</v>
      </c>
      <c r="IF257" s="388">
        <f t="shared" ca="1" si="1239"/>
        <v>0</v>
      </c>
      <c r="IG257" s="388">
        <f t="shared" ca="1" si="1239"/>
        <v>0</v>
      </c>
      <c r="IH257" s="388">
        <f t="shared" ca="1" si="1239"/>
        <v>0</v>
      </c>
      <c r="II257" s="388">
        <f t="shared" ca="1" si="1239"/>
        <v>0</v>
      </c>
      <c r="IJ257" s="388">
        <f t="shared" ca="1" si="1239"/>
        <v>0</v>
      </c>
      <c r="IK257" s="388">
        <f t="shared" ca="1" si="1239"/>
        <v>0</v>
      </c>
      <c r="IL257" s="388">
        <f t="shared" ca="1" si="1239"/>
        <v>0</v>
      </c>
      <c r="IM257" s="388">
        <f t="shared" ca="1" si="1239"/>
        <v>0</v>
      </c>
      <c r="IN257" s="388">
        <f t="shared" ca="1" si="1239"/>
        <v>0</v>
      </c>
      <c r="IO257" s="388">
        <f t="shared" ca="1" si="1239"/>
        <v>0</v>
      </c>
      <c r="IP257" s="388">
        <f t="shared" ca="1" si="1239"/>
        <v>0</v>
      </c>
      <c r="IQ257" s="388">
        <f t="shared" ca="1" si="1239"/>
        <v>0</v>
      </c>
      <c r="IR257" s="388">
        <f t="shared" ca="1" si="1239"/>
        <v>0</v>
      </c>
      <c r="IS257" s="388">
        <f t="shared" ref="IS257:KC257" ca="1" si="1240">(IS$201&lt;=Timing_Reversion_Month)*(IS254/$I$259*$H$259)</f>
        <v>0</v>
      </c>
      <c r="IT257" s="388">
        <f t="shared" ca="1" si="1240"/>
        <v>0</v>
      </c>
      <c r="IU257" s="388">
        <f t="shared" ca="1" si="1240"/>
        <v>0</v>
      </c>
      <c r="IV257" s="388">
        <f t="shared" ca="1" si="1240"/>
        <v>0</v>
      </c>
      <c r="IW257" s="388">
        <f t="shared" ca="1" si="1240"/>
        <v>0</v>
      </c>
      <c r="IX257" s="388">
        <f t="shared" ca="1" si="1240"/>
        <v>0</v>
      </c>
      <c r="IY257" s="388">
        <f t="shared" ca="1" si="1240"/>
        <v>0</v>
      </c>
      <c r="IZ257" s="388">
        <f t="shared" ca="1" si="1240"/>
        <v>0</v>
      </c>
      <c r="JA257" s="388">
        <f t="shared" ca="1" si="1240"/>
        <v>0</v>
      </c>
      <c r="JB257" s="388">
        <f t="shared" ca="1" si="1240"/>
        <v>0</v>
      </c>
      <c r="JC257" s="388">
        <f t="shared" ca="1" si="1240"/>
        <v>0</v>
      </c>
      <c r="JD257" s="388">
        <f t="shared" ca="1" si="1240"/>
        <v>0</v>
      </c>
      <c r="JE257" s="388">
        <f t="shared" ca="1" si="1240"/>
        <v>0</v>
      </c>
      <c r="JF257" s="388">
        <f t="shared" ca="1" si="1240"/>
        <v>0</v>
      </c>
      <c r="JG257" s="388">
        <f t="shared" ca="1" si="1240"/>
        <v>0</v>
      </c>
      <c r="JH257" s="388">
        <f t="shared" ca="1" si="1240"/>
        <v>0</v>
      </c>
      <c r="JI257" s="388">
        <f t="shared" ca="1" si="1240"/>
        <v>0</v>
      </c>
      <c r="JJ257" s="388">
        <f t="shared" ca="1" si="1240"/>
        <v>0</v>
      </c>
      <c r="JK257" s="388">
        <f t="shared" ca="1" si="1240"/>
        <v>0</v>
      </c>
      <c r="JL257" s="388">
        <f t="shared" ca="1" si="1240"/>
        <v>0</v>
      </c>
      <c r="JM257" s="388">
        <f t="shared" ca="1" si="1240"/>
        <v>0</v>
      </c>
      <c r="JN257" s="388">
        <f t="shared" ca="1" si="1240"/>
        <v>0</v>
      </c>
      <c r="JO257" s="388">
        <f t="shared" ca="1" si="1240"/>
        <v>0</v>
      </c>
      <c r="JP257" s="388">
        <f t="shared" ca="1" si="1240"/>
        <v>0</v>
      </c>
      <c r="JQ257" s="388">
        <f t="shared" ca="1" si="1240"/>
        <v>0</v>
      </c>
      <c r="JR257" s="388">
        <f t="shared" ca="1" si="1240"/>
        <v>0</v>
      </c>
      <c r="JS257" s="388">
        <f t="shared" ca="1" si="1240"/>
        <v>0</v>
      </c>
      <c r="JT257" s="388">
        <f t="shared" ca="1" si="1240"/>
        <v>0</v>
      </c>
      <c r="JU257" s="388">
        <f t="shared" ca="1" si="1240"/>
        <v>0</v>
      </c>
      <c r="JV257" s="388">
        <f t="shared" ca="1" si="1240"/>
        <v>0</v>
      </c>
      <c r="JW257" s="388">
        <f t="shared" ca="1" si="1240"/>
        <v>0</v>
      </c>
      <c r="JX257" s="388">
        <f t="shared" ca="1" si="1240"/>
        <v>0</v>
      </c>
      <c r="JY257" s="388">
        <f t="shared" ca="1" si="1240"/>
        <v>0</v>
      </c>
      <c r="JZ257" s="388">
        <f t="shared" ca="1" si="1240"/>
        <v>0</v>
      </c>
      <c r="KA257" s="388">
        <f t="shared" ca="1" si="1240"/>
        <v>0</v>
      </c>
      <c r="KB257" s="388">
        <f t="shared" ca="1" si="1240"/>
        <v>0</v>
      </c>
      <c r="KC257" s="388">
        <f t="shared" ca="1" si="1240"/>
        <v>0</v>
      </c>
    </row>
    <row r="258" spans="2:289" ht="0.6" customHeight="1" x14ac:dyDescent="0.25">
      <c r="B258" s="180" t="s">
        <v>340</v>
      </c>
      <c r="C258" s="181"/>
      <c r="D258" s="196"/>
      <c r="E258" s="196" t="s">
        <v>338</v>
      </c>
      <c r="F258" s="419">
        <v>0.09</v>
      </c>
      <c r="G258" s="365">
        <v>0</v>
      </c>
      <c r="H258" s="365">
        <f>G258+(1-G258)*$H$253</f>
        <v>0.1</v>
      </c>
      <c r="I258" s="346">
        <f>1-H258</f>
        <v>0.9</v>
      </c>
      <c r="Q258" s="220">
        <f t="shared" ref="Q258:AV258" ca="1" si="1241">IF(Q$231="","",FA249)</f>
        <v>0</v>
      </c>
      <c r="R258" s="220">
        <f t="shared" ca="1" si="1241"/>
        <v>0</v>
      </c>
      <c r="S258" s="220">
        <f t="shared" ca="1" si="1241"/>
        <v>0</v>
      </c>
      <c r="T258" s="220">
        <f t="shared" ca="1" si="1241"/>
        <v>0</v>
      </c>
      <c r="U258" s="220">
        <f t="shared" ca="1" si="1241"/>
        <v>0</v>
      </c>
      <c r="V258" s="220">
        <f t="shared" ca="1" si="1241"/>
        <v>0</v>
      </c>
      <c r="W258" s="220">
        <f t="shared" ca="1" si="1241"/>
        <v>0</v>
      </c>
      <c r="X258" s="220">
        <f t="shared" ca="1" si="1241"/>
        <v>0</v>
      </c>
      <c r="Y258" s="220">
        <f t="shared" ca="1" si="1241"/>
        <v>0</v>
      </c>
      <c r="Z258" s="220">
        <f t="shared" ca="1" si="1241"/>
        <v>0</v>
      </c>
      <c r="AA258" s="220">
        <f t="shared" ca="1" si="1241"/>
        <v>0</v>
      </c>
      <c r="AB258" s="220">
        <f t="shared" ca="1" si="1241"/>
        <v>0</v>
      </c>
      <c r="AC258" s="220">
        <f t="shared" ca="1" si="1241"/>
        <v>854.48499999999933</v>
      </c>
      <c r="AD258" s="220">
        <f t="shared" ca="1" si="1241"/>
        <v>10928.922500000001</v>
      </c>
      <c r="AE258" s="220">
        <f t="shared" ca="1" si="1241"/>
        <v>19657.158961798061</v>
      </c>
      <c r="AF258" s="220">
        <f t="shared" ca="1" si="1241"/>
        <v>3290.2921752666171</v>
      </c>
      <c r="AG258" s="220">
        <f t="shared" ca="1" si="1241"/>
        <v>3290.2921752666171</v>
      </c>
      <c r="AH258" s="220">
        <f t="shared" ca="1" si="1241"/>
        <v>3290.2921752666171</v>
      </c>
      <c r="AI258" s="220">
        <f t="shared" ca="1" si="1241"/>
        <v>3290.2921752666171</v>
      </c>
      <c r="AJ258" s="220">
        <f t="shared" ca="1" si="1241"/>
        <v>3290.2921752666171</v>
      </c>
      <c r="AK258" s="220">
        <f t="shared" ca="1" si="1241"/>
        <v>3290.2921752666171</v>
      </c>
      <c r="AL258" s="220">
        <f t="shared" ca="1" si="1241"/>
        <v>3290.2921752666171</v>
      </c>
      <c r="AM258" s="220">
        <f t="shared" ca="1" si="1241"/>
        <v>3290.2921752666171</v>
      </c>
      <c r="AN258" s="220">
        <f t="shared" ca="1" si="1241"/>
        <v>3290.2921752666171</v>
      </c>
      <c r="AO258" s="220">
        <f t="shared" ca="1" si="1241"/>
        <v>2322.2629752666126</v>
      </c>
      <c r="AP258" s="220">
        <f t="shared" ca="1" si="1241"/>
        <v>2630.9179752666191</v>
      </c>
      <c r="AQ258" s="220">
        <f t="shared" ca="1" si="1241"/>
        <v>2939.572975266618</v>
      </c>
      <c r="AR258" s="220">
        <f t="shared" ca="1" si="1241"/>
        <v>2939.572975266618</v>
      </c>
      <c r="AS258" s="220">
        <f t="shared" ca="1" si="1241"/>
        <v>2939.572975266618</v>
      </c>
      <c r="AT258" s="220">
        <f t="shared" ca="1" si="1241"/>
        <v>2939.572975266618</v>
      </c>
      <c r="AU258" s="220">
        <f t="shared" ca="1" si="1241"/>
        <v>2939.572975266618</v>
      </c>
      <c r="AV258" s="220">
        <f t="shared" ca="1" si="1241"/>
        <v>2939.572975266618</v>
      </c>
      <c r="AW258" s="220">
        <f t="shared" ref="AW258:CB258" ca="1" si="1242">IF(AW$231="","",GG249)</f>
        <v>2939.572975266618</v>
      </c>
      <c r="AX258" s="220">
        <f t="shared" ca="1" si="1242"/>
        <v>2939.572975266618</v>
      </c>
      <c r="AY258" s="220">
        <f t="shared" ca="1" si="1242"/>
        <v>2939.572975266618</v>
      </c>
      <c r="AZ258" s="220">
        <f t="shared" ca="1" si="1242"/>
        <v>2939.572975266618</v>
      </c>
      <c r="BA258" s="220">
        <f t="shared" ca="1" si="1242"/>
        <v>1827482.1425559032</v>
      </c>
      <c r="BB258" s="220" t="str">
        <f t="shared" si="1242"/>
        <v/>
      </c>
      <c r="BC258" s="220" t="str">
        <f t="shared" si="1242"/>
        <v/>
      </c>
      <c r="BD258" s="220" t="str">
        <f t="shared" si="1242"/>
        <v/>
      </c>
      <c r="BE258" s="220" t="str">
        <f t="shared" si="1242"/>
        <v/>
      </c>
      <c r="BF258" s="220" t="str">
        <f t="shared" si="1242"/>
        <v/>
      </c>
      <c r="BG258" s="220" t="str">
        <f t="shared" si="1242"/>
        <v/>
      </c>
      <c r="BH258" s="220" t="str">
        <f t="shared" si="1242"/>
        <v/>
      </c>
      <c r="BI258" s="220" t="str">
        <f t="shared" si="1242"/>
        <v/>
      </c>
      <c r="BJ258" s="220" t="str">
        <f t="shared" si="1242"/>
        <v/>
      </c>
      <c r="BK258" s="220" t="str">
        <f t="shared" si="1242"/>
        <v/>
      </c>
      <c r="BL258" s="220" t="str">
        <f t="shared" si="1242"/>
        <v/>
      </c>
      <c r="BM258" s="220" t="str">
        <f t="shared" si="1242"/>
        <v/>
      </c>
      <c r="BN258" s="220" t="str">
        <f t="shared" si="1242"/>
        <v/>
      </c>
      <c r="BO258" s="220" t="str">
        <f t="shared" si="1242"/>
        <v/>
      </c>
      <c r="BP258" s="220" t="str">
        <f t="shared" si="1242"/>
        <v/>
      </c>
      <c r="BQ258" s="220" t="str">
        <f t="shared" si="1242"/>
        <v/>
      </c>
      <c r="BR258" s="220" t="str">
        <f t="shared" si="1242"/>
        <v/>
      </c>
      <c r="BS258" s="220" t="str">
        <f t="shared" si="1242"/>
        <v/>
      </c>
      <c r="BT258" s="220" t="str">
        <f t="shared" si="1242"/>
        <v/>
      </c>
      <c r="BU258" s="220" t="str">
        <f t="shared" si="1242"/>
        <v/>
      </c>
      <c r="BV258" s="220" t="str">
        <f t="shared" si="1242"/>
        <v/>
      </c>
      <c r="BW258" s="220" t="str">
        <f t="shared" si="1242"/>
        <v/>
      </c>
      <c r="BX258" s="220" t="str">
        <f t="shared" si="1242"/>
        <v/>
      </c>
      <c r="BY258" s="220" t="str">
        <f t="shared" si="1242"/>
        <v/>
      </c>
      <c r="BZ258" s="220" t="str">
        <f t="shared" si="1242"/>
        <v/>
      </c>
      <c r="CA258" s="220" t="str">
        <f t="shared" si="1242"/>
        <v/>
      </c>
      <c r="CB258" s="220" t="str">
        <f t="shared" si="1242"/>
        <v/>
      </c>
      <c r="CC258" s="220" t="str">
        <f t="shared" ref="CC258:DH258" si="1243">IF(CC$231="","",HM249)</f>
        <v/>
      </c>
      <c r="CD258" s="220" t="str">
        <f t="shared" si="1243"/>
        <v/>
      </c>
      <c r="CE258" s="220" t="str">
        <f t="shared" si="1243"/>
        <v/>
      </c>
      <c r="CF258" s="220" t="str">
        <f t="shared" si="1243"/>
        <v/>
      </c>
      <c r="CG258" s="220" t="str">
        <f t="shared" si="1243"/>
        <v/>
      </c>
      <c r="CH258" s="220" t="str">
        <f t="shared" si="1243"/>
        <v/>
      </c>
      <c r="CI258" s="220" t="str">
        <f t="shared" si="1243"/>
        <v/>
      </c>
      <c r="CJ258" s="220" t="str">
        <f t="shared" si="1243"/>
        <v/>
      </c>
      <c r="CK258" s="220" t="str">
        <f t="shared" si="1243"/>
        <v/>
      </c>
      <c r="CL258" s="220" t="str">
        <f t="shared" si="1243"/>
        <v/>
      </c>
      <c r="CM258" s="220" t="str">
        <f t="shared" si="1243"/>
        <v/>
      </c>
      <c r="CN258" s="220" t="str">
        <f t="shared" si="1243"/>
        <v/>
      </c>
      <c r="CO258" s="220" t="str">
        <f t="shared" si="1243"/>
        <v/>
      </c>
      <c r="CP258" s="220" t="str">
        <f t="shared" si="1243"/>
        <v/>
      </c>
      <c r="CQ258" s="220" t="str">
        <f t="shared" si="1243"/>
        <v/>
      </c>
      <c r="CR258" s="220" t="str">
        <f t="shared" si="1243"/>
        <v/>
      </c>
      <c r="CS258" s="220" t="str">
        <f t="shared" si="1243"/>
        <v/>
      </c>
      <c r="CT258" s="220" t="str">
        <f t="shared" si="1243"/>
        <v/>
      </c>
      <c r="CU258" s="220" t="str">
        <f t="shared" si="1243"/>
        <v/>
      </c>
      <c r="CV258" s="220" t="str">
        <f t="shared" si="1243"/>
        <v/>
      </c>
      <c r="CW258" s="220" t="str">
        <f t="shared" si="1243"/>
        <v/>
      </c>
      <c r="CX258" s="220" t="str">
        <f t="shared" si="1243"/>
        <v/>
      </c>
      <c r="CY258" s="220" t="str">
        <f t="shared" si="1243"/>
        <v/>
      </c>
      <c r="CZ258" s="220" t="str">
        <f t="shared" si="1243"/>
        <v/>
      </c>
      <c r="DA258" s="220" t="str">
        <f t="shared" si="1243"/>
        <v/>
      </c>
      <c r="DB258" s="220" t="str">
        <f t="shared" si="1243"/>
        <v/>
      </c>
      <c r="DC258" s="220" t="str">
        <f t="shared" si="1243"/>
        <v/>
      </c>
      <c r="DD258" s="220" t="str">
        <f t="shared" si="1243"/>
        <v/>
      </c>
      <c r="DE258" s="220" t="str">
        <f t="shared" si="1243"/>
        <v/>
      </c>
      <c r="DF258" s="220" t="str">
        <f t="shared" si="1243"/>
        <v/>
      </c>
      <c r="DG258" s="220" t="str">
        <f t="shared" si="1243"/>
        <v/>
      </c>
      <c r="DH258" s="220" t="str">
        <f t="shared" si="1243"/>
        <v/>
      </c>
      <c r="DI258" s="220" t="str">
        <f t="shared" ref="DI258:EN258" si="1244">IF(DI$231="","",IS249)</f>
        <v/>
      </c>
      <c r="DJ258" s="220" t="str">
        <f t="shared" si="1244"/>
        <v/>
      </c>
      <c r="DK258" s="220" t="str">
        <f t="shared" si="1244"/>
        <v/>
      </c>
      <c r="DL258" s="220" t="str">
        <f t="shared" si="1244"/>
        <v/>
      </c>
      <c r="DM258" s="220" t="str">
        <f t="shared" si="1244"/>
        <v/>
      </c>
      <c r="DN258" s="220" t="str">
        <f t="shared" si="1244"/>
        <v/>
      </c>
      <c r="DO258" s="220" t="str">
        <f t="shared" si="1244"/>
        <v/>
      </c>
      <c r="DP258" s="220" t="str">
        <f t="shared" si="1244"/>
        <v/>
      </c>
      <c r="DQ258" s="220" t="str">
        <f t="shared" si="1244"/>
        <v/>
      </c>
      <c r="DR258" s="220" t="str">
        <f t="shared" si="1244"/>
        <v/>
      </c>
      <c r="DS258" s="220" t="str">
        <f t="shared" si="1244"/>
        <v/>
      </c>
      <c r="DT258" s="220" t="str">
        <f t="shared" si="1244"/>
        <v/>
      </c>
      <c r="DU258" s="220" t="str">
        <f t="shared" si="1244"/>
        <v/>
      </c>
      <c r="DV258" s="220" t="str">
        <f t="shared" si="1244"/>
        <v/>
      </c>
      <c r="DW258" s="220" t="str">
        <f t="shared" si="1244"/>
        <v/>
      </c>
      <c r="DX258" s="220" t="str">
        <f t="shared" si="1244"/>
        <v/>
      </c>
      <c r="DY258" s="220" t="str">
        <f t="shared" si="1244"/>
        <v/>
      </c>
      <c r="DZ258" s="220" t="str">
        <f t="shared" si="1244"/>
        <v/>
      </c>
      <c r="EA258" s="220" t="str">
        <f t="shared" si="1244"/>
        <v/>
      </c>
      <c r="EB258" s="220" t="str">
        <f t="shared" si="1244"/>
        <v/>
      </c>
      <c r="EC258" s="220" t="str">
        <f t="shared" si="1244"/>
        <v/>
      </c>
      <c r="ED258" s="220" t="str">
        <f t="shared" si="1244"/>
        <v/>
      </c>
      <c r="EE258" s="220" t="str">
        <f t="shared" si="1244"/>
        <v/>
      </c>
      <c r="EF258" s="220" t="str">
        <f t="shared" si="1244"/>
        <v/>
      </c>
      <c r="EG258" s="220" t="str">
        <f t="shared" si="1244"/>
        <v/>
      </c>
      <c r="EH258" s="220" t="str">
        <f t="shared" si="1244"/>
        <v/>
      </c>
      <c r="EI258" s="220" t="str">
        <f t="shared" si="1244"/>
        <v/>
      </c>
      <c r="EJ258" s="220" t="str">
        <f t="shared" si="1244"/>
        <v/>
      </c>
      <c r="EK258" s="220" t="str">
        <f t="shared" si="1244"/>
        <v/>
      </c>
      <c r="EL258" s="220" t="str">
        <f t="shared" si="1244"/>
        <v/>
      </c>
      <c r="EM258" s="220" t="str">
        <f t="shared" si="1244"/>
        <v/>
      </c>
      <c r="EN258" s="220" t="str">
        <f t="shared" si="1244"/>
        <v/>
      </c>
      <c r="EO258" s="220" t="str">
        <f>IF(EO$231="","",JY249)</f>
        <v/>
      </c>
      <c r="EP258" s="220" t="str">
        <f>IF(EP$231="","",JZ249)</f>
        <v/>
      </c>
      <c r="EQ258" s="220" t="str">
        <f>IF(EQ$231="","",KA249)</f>
        <v/>
      </c>
      <c r="ER258" s="220" t="str">
        <f>IF(ER$231="","",KB249)</f>
        <v/>
      </c>
      <c r="ES258" s="220" t="str">
        <f>IF(ES$231="","",KC249)</f>
        <v/>
      </c>
      <c r="EU258" s="202"/>
      <c r="EV258" s="153"/>
      <c r="EW258" s="153"/>
      <c r="EX258" s="153"/>
      <c r="EY258" s="154" t="s">
        <v>358</v>
      </c>
      <c r="EZ258" s="154"/>
      <c r="FA258" s="386">
        <f ca="1">+FA257+FA254</f>
        <v>0</v>
      </c>
      <c r="FB258" s="386">
        <f t="shared" ref="FB258:HM258" ca="1" si="1245">+FB257+FB254</f>
        <v>0</v>
      </c>
      <c r="FC258" s="386">
        <f t="shared" ca="1" si="1245"/>
        <v>0</v>
      </c>
      <c r="FD258" s="386">
        <f t="shared" ca="1" si="1245"/>
        <v>0</v>
      </c>
      <c r="FE258" s="386">
        <f t="shared" ca="1" si="1245"/>
        <v>0</v>
      </c>
      <c r="FF258" s="386">
        <f t="shared" ca="1" si="1245"/>
        <v>0</v>
      </c>
      <c r="FG258" s="386">
        <f t="shared" ca="1" si="1245"/>
        <v>0</v>
      </c>
      <c r="FH258" s="386">
        <f t="shared" ca="1" si="1245"/>
        <v>0</v>
      </c>
      <c r="FI258" s="386">
        <f t="shared" ca="1" si="1245"/>
        <v>0</v>
      </c>
      <c r="FJ258" s="386">
        <f t="shared" ca="1" si="1245"/>
        <v>0</v>
      </c>
      <c r="FK258" s="386">
        <f t="shared" ca="1" si="1245"/>
        <v>0</v>
      </c>
      <c r="FL258" s="386">
        <f t="shared" ca="1" si="1245"/>
        <v>0</v>
      </c>
      <c r="FM258" s="386">
        <f t="shared" ca="1" si="1245"/>
        <v>0</v>
      </c>
      <c r="FN258" s="386">
        <f t="shared" ca="1" si="1245"/>
        <v>0</v>
      </c>
      <c r="FO258" s="386">
        <f t="shared" ca="1" si="1245"/>
        <v>0</v>
      </c>
      <c r="FP258" s="386">
        <f t="shared" ca="1" si="1245"/>
        <v>0</v>
      </c>
      <c r="FQ258" s="386">
        <f t="shared" ca="1" si="1245"/>
        <v>0</v>
      </c>
      <c r="FR258" s="386">
        <f t="shared" ca="1" si="1245"/>
        <v>0</v>
      </c>
      <c r="FS258" s="386">
        <f t="shared" ca="1" si="1245"/>
        <v>0</v>
      </c>
      <c r="FT258" s="386">
        <f t="shared" ca="1" si="1245"/>
        <v>0</v>
      </c>
      <c r="FU258" s="386">
        <f t="shared" ca="1" si="1245"/>
        <v>0</v>
      </c>
      <c r="FV258" s="386">
        <f t="shared" ca="1" si="1245"/>
        <v>0</v>
      </c>
      <c r="FW258" s="386">
        <f t="shared" ca="1" si="1245"/>
        <v>0</v>
      </c>
      <c r="FX258" s="386">
        <f t="shared" ca="1" si="1245"/>
        <v>0</v>
      </c>
      <c r="FY258" s="386">
        <f t="shared" ca="1" si="1245"/>
        <v>0</v>
      </c>
      <c r="FZ258" s="386">
        <f t="shared" ca="1" si="1245"/>
        <v>0</v>
      </c>
      <c r="GA258" s="386">
        <f t="shared" ca="1" si="1245"/>
        <v>0</v>
      </c>
      <c r="GB258" s="386">
        <f t="shared" ca="1" si="1245"/>
        <v>0</v>
      </c>
      <c r="GC258" s="386">
        <f t="shared" ca="1" si="1245"/>
        <v>0</v>
      </c>
      <c r="GD258" s="386">
        <f t="shared" ca="1" si="1245"/>
        <v>0</v>
      </c>
      <c r="GE258" s="386">
        <f t="shared" ca="1" si="1245"/>
        <v>0</v>
      </c>
      <c r="GF258" s="386">
        <f t="shared" ca="1" si="1245"/>
        <v>0</v>
      </c>
      <c r="GG258" s="386">
        <f t="shared" ca="1" si="1245"/>
        <v>0</v>
      </c>
      <c r="GH258" s="386">
        <f t="shared" ca="1" si="1245"/>
        <v>0</v>
      </c>
      <c r="GI258" s="386">
        <f t="shared" ca="1" si="1245"/>
        <v>0</v>
      </c>
      <c r="GJ258" s="386">
        <f t="shared" ca="1" si="1245"/>
        <v>0</v>
      </c>
      <c r="GK258" s="386">
        <f t="shared" ca="1" si="1245"/>
        <v>0</v>
      </c>
      <c r="GL258" s="386">
        <f t="shared" ca="1" si="1245"/>
        <v>0</v>
      </c>
      <c r="GM258" s="386">
        <f t="shared" ca="1" si="1245"/>
        <v>0</v>
      </c>
      <c r="GN258" s="386">
        <f t="shared" ca="1" si="1245"/>
        <v>0</v>
      </c>
      <c r="GO258" s="386">
        <f t="shared" ca="1" si="1245"/>
        <v>0</v>
      </c>
      <c r="GP258" s="386">
        <f t="shared" ca="1" si="1245"/>
        <v>0</v>
      </c>
      <c r="GQ258" s="386">
        <f t="shared" ca="1" si="1245"/>
        <v>0</v>
      </c>
      <c r="GR258" s="386">
        <f t="shared" ca="1" si="1245"/>
        <v>0</v>
      </c>
      <c r="GS258" s="386">
        <f t="shared" ca="1" si="1245"/>
        <v>0</v>
      </c>
      <c r="GT258" s="386">
        <f t="shared" ca="1" si="1245"/>
        <v>0</v>
      </c>
      <c r="GU258" s="386">
        <f t="shared" ca="1" si="1245"/>
        <v>0</v>
      </c>
      <c r="GV258" s="386">
        <f t="shared" ca="1" si="1245"/>
        <v>0</v>
      </c>
      <c r="GW258" s="386">
        <f t="shared" ca="1" si="1245"/>
        <v>0</v>
      </c>
      <c r="GX258" s="386">
        <f t="shared" ca="1" si="1245"/>
        <v>0</v>
      </c>
      <c r="GY258" s="386">
        <f t="shared" ca="1" si="1245"/>
        <v>0</v>
      </c>
      <c r="GZ258" s="386">
        <f t="shared" ca="1" si="1245"/>
        <v>0</v>
      </c>
      <c r="HA258" s="386">
        <f t="shared" ca="1" si="1245"/>
        <v>0</v>
      </c>
      <c r="HB258" s="386">
        <f t="shared" ca="1" si="1245"/>
        <v>0</v>
      </c>
      <c r="HC258" s="386">
        <f t="shared" ca="1" si="1245"/>
        <v>0</v>
      </c>
      <c r="HD258" s="386">
        <f t="shared" ca="1" si="1245"/>
        <v>0</v>
      </c>
      <c r="HE258" s="386">
        <f t="shared" ca="1" si="1245"/>
        <v>0</v>
      </c>
      <c r="HF258" s="386">
        <f t="shared" ca="1" si="1245"/>
        <v>0</v>
      </c>
      <c r="HG258" s="386">
        <f t="shared" ca="1" si="1245"/>
        <v>0</v>
      </c>
      <c r="HH258" s="386">
        <f t="shared" ca="1" si="1245"/>
        <v>0</v>
      </c>
      <c r="HI258" s="386">
        <f t="shared" ca="1" si="1245"/>
        <v>0</v>
      </c>
      <c r="HJ258" s="386">
        <f t="shared" ca="1" si="1245"/>
        <v>0</v>
      </c>
      <c r="HK258" s="386">
        <f t="shared" ca="1" si="1245"/>
        <v>0</v>
      </c>
      <c r="HL258" s="386">
        <f t="shared" ca="1" si="1245"/>
        <v>0</v>
      </c>
      <c r="HM258" s="386">
        <f t="shared" ca="1" si="1245"/>
        <v>0</v>
      </c>
      <c r="HN258" s="386">
        <f t="shared" ref="HN258:JY258" ca="1" si="1246">+HN257+HN254</f>
        <v>0</v>
      </c>
      <c r="HO258" s="386">
        <f t="shared" ca="1" si="1246"/>
        <v>0</v>
      </c>
      <c r="HP258" s="386">
        <f t="shared" ca="1" si="1246"/>
        <v>0</v>
      </c>
      <c r="HQ258" s="386">
        <f t="shared" ca="1" si="1246"/>
        <v>0</v>
      </c>
      <c r="HR258" s="386">
        <f t="shared" ca="1" si="1246"/>
        <v>0</v>
      </c>
      <c r="HS258" s="386">
        <f t="shared" ca="1" si="1246"/>
        <v>0</v>
      </c>
      <c r="HT258" s="386">
        <f t="shared" ca="1" si="1246"/>
        <v>0</v>
      </c>
      <c r="HU258" s="386">
        <f t="shared" ca="1" si="1246"/>
        <v>0</v>
      </c>
      <c r="HV258" s="386">
        <f t="shared" ca="1" si="1246"/>
        <v>0</v>
      </c>
      <c r="HW258" s="386">
        <f t="shared" ca="1" si="1246"/>
        <v>0</v>
      </c>
      <c r="HX258" s="386">
        <f t="shared" ca="1" si="1246"/>
        <v>0</v>
      </c>
      <c r="HY258" s="386">
        <f t="shared" ca="1" si="1246"/>
        <v>0</v>
      </c>
      <c r="HZ258" s="386">
        <f t="shared" ca="1" si="1246"/>
        <v>0</v>
      </c>
      <c r="IA258" s="386">
        <f t="shared" ca="1" si="1246"/>
        <v>0</v>
      </c>
      <c r="IB258" s="386">
        <f t="shared" ca="1" si="1246"/>
        <v>0</v>
      </c>
      <c r="IC258" s="386">
        <f t="shared" ca="1" si="1246"/>
        <v>0</v>
      </c>
      <c r="ID258" s="386">
        <f t="shared" ca="1" si="1246"/>
        <v>0</v>
      </c>
      <c r="IE258" s="386">
        <f t="shared" ca="1" si="1246"/>
        <v>0</v>
      </c>
      <c r="IF258" s="386">
        <f t="shared" ca="1" si="1246"/>
        <v>0</v>
      </c>
      <c r="IG258" s="386">
        <f t="shared" ca="1" si="1246"/>
        <v>0</v>
      </c>
      <c r="IH258" s="386">
        <f t="shared" ca="1" si="1246"/>
        <v>0</v>
      </c>
      <c r="II258" s="386">
        <f t="shared" ca="1" si="1246"/>
        <v>0</v>
      </c>
      <c r="IJ258" s="386">
        <f t="shared" ca="1" si="1246"/>
        <v>0</v>
      </c>
      <c r="IK258" s="386">
        <f t="shared" ca="1" si="1246"/>
        <v>0</v>
      </c>
      <c r="IL258" s="386">
        <f t="shared" ca="1" si="1246"/>
        <v>0</v>
      </c>
      <c r="IM258" s="386">
        <f t="shared" ca="1" si="1246"/>
        <v>0</v>
      </c>
      <c r="IN258" s="386">
        <f t="shared" ca="1" si="1246"/>
        <v>0</v>
      </c>
      <c r="IO258" s="386">
        <f t="shared" ca="1" si="1246"/>
        <v>0</v>
      </c>
      <c r="IP258" s="386">
        <f t="shared" ca="1" si="1246"/>
        <v>0</v>
      </c>
      <c r="IQ258" s="386">
        <f t="shared" ca="1" si="1246"/>
        <v>0</v>
      </c>
      <c r="IR258" s="386">
        <f t="shared" ca="1" si="1246"/>
        <v>0</v>
      </c>
      <c r="IS258" s="386">
        <f t="shared" ca="1" si="1246"/>
        <v>0</v>
      </c>
      <c r="IT258" s="386">
        <f t="shared" ca="1" si="1246"/>
        <v>0</v>
      </c>
      <c r="IU258" s="386">
        <f t="shared" ca="1" si="1246"/>
        <v>0</v>
      </c>
      <c r="IV258" s="386">
        <f t="shared" ca="1" si="1246"/>
        <v>0</v>
      </c>
      <c r="IW258" s="386">
        <f t="shared" ca="1" si="1246"/>
        <v>0</v>
      </c>
      <c r="IX258" s="386">
        <f t="shared" ca="1" si="1246"/>
        <v>0</v>
      </c>
      <c r="IY258" s="386">
        <f t="shared" ca="1" si="1246"/>
        <v>0</v>
      </c>
      <c r="IZ258" s="386">
        <f t="shared" ca="1" si="1246"/>
        <v>0</v>
      </c>
      <c r="JA258" s="386">
        <f t="shared" ca="1" si="1246"/>
        <v>0</v>
      </c>
      <c r="JB258" s="386">
        <f t="shared" ca="1" si="1246"/>
        <v>0</v>
      </c>
      <c r="JC258" s="386">
        <f t="shared" ca="1" si="1246"/>
        <v>0</v>
      </c>
      <c r="JD258" s="386">
        <f t="shared" ca="1" si="1246"/>
        <v>0</v>
      </c>
      <c r="JE258" s="386">
        <f t="shared" ca="1" si="1246"/>
        <v>0</v>
      </c>
      <c r="JF258" s="386">
        <f t="shared" ca="1" si="1246"/>
        <v>0</v>
      </c>
      <c r="JG258" s="386">
        <f t="shared" ca="1" si="1246"/>
        <v>0</v>
      </c>
      <c r="JH258" s="386">
        <f t="shared" ca="1" si="1246"/>
        <v>0</v>
      </c>
      <c r="JI258" s="386">
        <f t="shared" ca="1" si="1246"/>
        <v>0</v>
      </c>
      <c r="JJ258" s="386">
        <f t="shared" ca="1" si="1246"/>
        <v>0</v>
      </c>
      <c r="JK258" s="386">
        <f t="shared" ca="1" si="1246"/>
        <v>0</v>
      </c>
      <c r="JL258" s="386">
        <f t="shared" ca="1" si="1246"/>
        <v>0</v>
      </c>
      <c r="JM258" s="386">
        <f t="shared" ca="1" si="1246"/>
        <v>0</v>
      </c>
      <c r="JN258" s="386">
        <f t="shared" ca="1" si="1246"/>
        <v>0</v>
      </c>
      <c r="JO258" s="386">
        <f t="shared" ca="1" si="1246"/>
        <v>0</v>
      </c>
      <c r="JP258" s="386">
        <f t="shared" ca="1" si="1246"/>
        <v>0</v>
      </c>
      <c r="JQ258" s="386">
        <f t="shared" ca="1" si="1246"/>
        <v>0</v>
      </c>
      <c r="JR258" s="386">
        <f t="shared" ca="1" si="1246"/>
        <v>0</v>
      </c>
      <c r="JS258" s="386">
        <f t="shared" ca="1" si="1246"/>
        <v>0</v>
      </c>
      <c r="JT258" s="386">
        <f t="shared" ca="1" si="1246"/>
        <v>0</v>
      </c>
      <c r="JU258" s="386">
        <f t="shared" ca="1" si="1246"/>
        <v>0</v>
      </c>
      <c r="JV258" s="386">
        <f t="shared" ca="1" si="1246"/>
        <v>0</v>
      </c>
      <c r="JW258" s="386">
        <f t="shared" ca="1" si="1246"/>
        <v>0</v>
      </c>
      <c r="JX258" s="386">
        <f t="shared" ca="1" si="1246"/>
        <v>0</v>
      </c>
      <c r="JY258" s="386">
        <f t="shared" ca="1" si="1246"/>
        <v>0</v>
      </c>
      <c r="JZ258" s="386">
        <f ca="1">+JZ257+JZ254</f>
        <v>0</v>
      </c>
      <c r="KA258" s="386">
        <f ca="1">+KA257+KA254</f>
        <v>0</v>
      </c>
      <c r="KB258" s="386">
        <f ca="1">+KB257+KB254</f>
        <v>0</v>
      </c>
      <c r="KC258" s="386">
        <f ca="1">+KC257+KC254</f>
        <v>0</v>
      </c>
    </row>
    <row r="259" spans="2:289" ht="0.6" customHeight="1" x14ac:dyDescent="0.25">
      <c r="B259" s="180" t="s">
        <v>334</v>
      </c>
      <c r="C259" s="181"/>
      <c r="D259" s="196"/>
      <c r="E259" s="196" t="s">
        <v>338</v>
      </c>
      <c r="F259" s="419">
        <v>0.12</v>
      </c>
      <c r="G259" s="357">
        <v>0.15</v>
      </c>
      <c r="H259" s="365">
        <f t="shared" ref="H259:H261" si="1247">G259+(1-G259)*$H$253</f>
        <v>0.23499999999999999</v>
      </c>
      <c r="I259" s="346">
        <f>1-H259</f>
        <v>0.76500000000000001</v>
      </c>
      <c r="Q259" s="220">
        <f t="shared" ref="Q259:AV259" ca="1" si="1248">IF(Q$231="","",FA258)</f>
        <v>0</v>
      </c>
      <c r="R259" s="220">
        <f t="shared" ca="1" si="1248"/>
        <v>0</v>
      </c>
      <c r="S259" s="220">
        <f t="shared" ca="1" si="1248"/>
        <v>0</v>
      </c>
      <c r="T259" s="220">
        <f t="shared" ca="1" si="1248"/>
        <v>0</v>
      </c>
      <c r="U259" s="220">
        <f t="shared" ca="1" si="1248"/>
        <v>0</v>
      </c>
      <c r="V259" s="220">
        <f t="shared" ca="1" si="1248"/>
        <v>0</v>
      </c>
      <c r="W259" s="220">
        <f t="shared" ca="1" si="1248"/>
        <v>0</v>
      </c>
      <c r="X259" s="220">
        <f t="shared" ca="1" si="1248"/>
        <v>0</v>
      </c>
      <c r="Y259" s="220">
        <f t="shared" ca="1" si="1248"/>
        <v>0</v>
      </c>
      <c r="Z259" s="220">
        <f t="shared" ca="1" si="1248"/>
        <v>0</v>
      </c>
      <c r="AA259" s="220">
        <f t="shared" ca="1" si="1248"/>
        <v>0</v>
      </c>
      <c r="AB259" s="220">
        <f t="shared" ca="1" si="1248"/>
        <v>0</v>
      </c>
      <c r="AC259" s="220">
        <f t="shared" ca="1" si="1248"/>
        <v>0</v>
      </c>
      <c r="AD259" s="220">
        <f t="shared" ca="1" si="1248"/>
        <v>0</v>
      </c>
      <c r="AE259" s="220">
        <f t="shared" ca="1" si="1248"/>
        <v>0</v>
      </c>
      <c r="AF259" s="220">
        <f t="shared" ca="1" si="1248"/>
        <v>0</v>
      </c>
      <c r="AG259" s="220">
        <f t="shared" ca="1" si="1248"/>
        <v>0</v>
      </c>
      <c r="AH259" s="220">
        <f t="shared" ca="1" si="1248"/>
        <v>0</v>
      </c>
      <c r="AI259" s="220">
        <f t="shared" ca="1" si="1248"/>
        <v>0</v>
      </c>
      <c r="AJ259" s="220">
        <f t="shared" ca="1" si="1248"/>
        <v>0</v>
      </c>
      <c r="AK259" s="220">
        <f t="shared" ca="1" si="1248"/>
        <v>0</v>
      </c>
      <c r="AL259" s="220">
        <f t="shared" ca="1" si="1248"/>
        <v>0</v>
      </c>
      <c r="AM259" s="220">
        <f t="shared" ca="1" si="1248"/>
        <v>0</v>
      </c>
      <c r="AN259" s="220">
        <f t="shared" ca="1" si="1248"/>
        <v>0</v>
      </c>
      <c r="AO259" s="220">
        <f t="shared" ca="1" si="1248"/>
        <v>0</v>
      </c>
      <c r="AP259" s="220">
        <f t="shared" ca="1" si="1248"/>
        <v>0</v>
      </c>
      <c r="AQ259" s="220">
        <f t="shared" ca="1" si="1248"/>
        <v>0</v>
      </c>
      <c r="AR259" s="220">
        <f t="shared" ca="1" si="1248"/>
        <v>0</v>
      </c>
      <c r="AS259" s="220">
        <f t="shared" ca="1" si="1248"/>
        <v>0</v>
      </c>
      <c r="AT259" s="220">
        <f t="shared" ca="1" si="1248"/>
        <v>0</v>
      </c>
      <c r="AU259" s="220">
        <f t="shared" ca="1" si="1248"/>
        <v>0</v>
      </c>
      <c r="AV259" s="220">
        <f t="shared" ca="1" si="1248"/>
        <v>0</v>
      </c>
      <c r="AW259" s="220">
        <f t="shared" ref="AW259:CB259" ca="1" si="1249">IF(AW$231="","",GG258)</f>
        <v>0</v>
      </c>
      <c r="AX259" s="220">
        <f t="shared" ca="1" si="1249"/>
        <v>0</v>
      </c>
      <c r="AY259" s="220">
        <f t="shared" ca="1" si="1249"/>
        <v>0</v>
      </c>
      <c r="AZ259" s="220">
        <f t="shared" ca="1" si="1249"/>
        <v>0</v>
      </c>
      <c r="BA259" s="220">
        <f t="shared" ca="1" si="1249"/>
        <v>0</v>
      </c>
      <c r="BB259" s="220" t="str">
        <f t="shared" si="1249"/>
        <v/>
      </c>
      <c r="BC259" s="220" t="str">
        <f t="shared" si="1249"/>
        <v/>
      </c>
      <c r="BD259" s="220" t="str">
        <f t="shared" si="1249"/>
        <v/>
      </c>
      <c r="BE259" s="220" t="str">
        <f t="shared" si="1249"/>
        <v/>
      </c>
      <c r="BF259" s="220" t="str">
        <f t="shared" si="1249"/>
        <v/>
      </c>
      <c r="BG259" s="220" t="str">
        <f t="shared" si="1249"/>
        <v/>
      </c>
      <c r="BH259" s="220" t="str">
        <f t="shared" si="1249"/>
        <v/>
      </c>
      <c r="BI259" s="220" t="str">
        <f t="shared" si="1249"/>
        <v/>
      </c>
      <c r="BJ259" s="220" t="str">
        <f t="shared" si="1249"/>
        <v/>
      </c>
      <c r="BK259" s="220" t="str">
        <f t="shared" si="1249"/>
        <v/>
      </c>
      <c r="BL259" s="220" t="str">
        <f t="shared" si="1249"/>
        <v/>
      </c>
      <c r="BM259" s="220" t="str">
        <f t="shared" si="1249"/>
        <v/>
      </c>
      <c r="BN259" s="220" t="str">
        <f t="shared" si="1249"/>
        <v/>
      </c>
      <c r="BO259" s="220" t="str">
        <f t="shared" si="1249"/>
        <v/>
      </c>
      <c r="BP259" s="220" t="str">
        <f t="shared" si="1249"/>
        <v/>
      </c>
      <c r="BQ259" s="220" t="str">
        <f t="shared" si="1249"/>
        <v/>
      </c>
      <c r="BR259" s="220" t="str">
        <f t="shared" si="1249"/>
        <v/>
      </c>
      <c r="BS259" s="220" t="str">
        <f t="shared" si="1249"/>
        <v/>
      </c>
      <c r="BT259" s="220" t="str">
        <f t="shared" si="1249"/>
        <v/>
      </c>
      <c r="BU259" s="220" t="str">
        <f t="shared" si="1249"/>
        <v/>
      </c>
      <c r="BV259" s="220" t="str">
        <f t="shared" si="1249"/>
        <v/>
      </c>
      <c r="BW259" s="220" t="str">
        <f t="shared" si="1249"/>
        <v/>
      </c>
      <c r="BX259" s="220" t="str">
        <f t="shared" si="1249"/>
        <v/>
      </c>
      <c r="BY259" s="220" t="str">
        <f t="shared" si="1249"/>
        <v/>
      </c>
      <c r="BZ259" s="220" t="str">
        <f t="shared" si="1249"/>
        <v/>
      </c>
      <c r="CA259" s="220" t="str">
        <f t="shared" si="1249"/>
        <v/>
      </c>
      <c r="CB259" s="220" t="str">
        <f t="shared" si="1249"/>
        <v/>
      </c>
      <c r="CC259" s="220" t="str">
        <f t="shared" ref="CC259:DH259" si="1250">IF(CC$231="","",HM258)</f>
        <v/>
      </c>
      <c r="CD259" s="220" t="str">
        <f t="shared" si="1250"/>
        <v/>
      </c>
      <c r="CE259" s="220" t="str">
        <f t="shared" si="1250"/>
        <v/>
      </c>
      <c r="CF259" s="220" t="str">
        <f t="shared" si="1250"/>
        <v/>
      </c>
      <c r="CG259" s="220" t="str">
        <f t="shared" si="1250"/>
        <v/>
      </c>
      <c r="CH259" s="220" t="str">
        <f t="shared" si="1250"/>
        <v/>
      </c>
      <c r="CI259" s="220" t="str">
        <f t="shared" si="1250"/>
        <v/>
      </c>
      <c r="CJ259" s="220" t="str">
        <f t="shared" si="1250"/>
        <v/>
      </c>
      <c r="CK259" s="220" t="str">
        <f t="shared" si="1250"/>
        <v/>
      </c>
      <c r="CL259" s="220" t="str">
        <f t="shared" si="1250"/>
        <v/>
      </c>
      <c r="CM259" s="220" t="str">
        <f t="shared" si="1250"/>
        <v/>
      </c>
      <c r="CN259" s="220" t="str">
        <f t="shared" si="1250"/>
        <v/>
      </c>
      <c r="CO259" s="220" t="str">
        <f t="shared" si="1250"/>
        <v/>
      </c>
      <c r="CP259" s="220" t="str">
        <f t="shared" si="1250"/>
        <v/>
      </c>
      <c r="CQ259" s="220" t="str">
        <f t="shared" si="1250"/>
        <v/>
      </c>
      <c r="CR259" s="220" t="str">
        <f t="shared" si="1250"/>
        <v/>
      </c>
      <c r="CS259" s="220" t="str">
        <f t="shared" si="1250"/>
        <v/>
      </c>
      <c r="CT259" s="220" t="str">
        <f t="shared" si="1250"/>
        <v/>
      </c>
      <c r="CU259" s="220" t="str">
        <f t="shared" si="1250"/>
        <v/>
      </c>
      <c r="CV259" s="220" t="str">
        <f t="shared" si="1250"/>
        <v/>
      </c>
      <c r="CW259" s="220" t="str">
        <f t="shared" si="1250"/>
        <v/>
      </c>
      <c r="CX259" s="220" t="str">
        <f t="shared" si="1250"/>
        <v/>
      </c>
      <c r="CY259" s="220" t="str">
        <f t="shared" si="1250"/>
        <v/>
      </c>
      <c r="CZ259" s="220" t="str">
        <f t="shared" si="1250"/>
        <v/>
      </c>
      <c r="DA259" s="220" t="str">
        <f t="shared" si="1250"/>
        <v/>
      </c>
      <c r="DB259" s="220" t="str">
        <f t="shared" si="1250"/>
        <v/>
      </c>
      <c r="DC259" s="220" t="str">
        <f t="shared" si="1250"/>
        <v/>
      </c>
      <c r="DD259" s="220" t="str">
        <f t="shared" si="1250"/>
        <v/>
      </c>
      <c r="DE259" s="220" t="str">
        <f t="shared" si="1250"/>
        <v/>
      </c>
      <c r="DF259" s="220" t="str">
        <f t="shared" si="1250"/>
        <v/>
      </c>
      <c r="DG259" s="220" t="str">
        <f t="shared" si="1250"/>
        <v/>
      </c>
      <c r="DH259" s="220" t="str">
        <f t="shared" si="1250"/>
        <v/>
      </c>
      <c r="DI259" s="220" t="str">
        <f t="shared" ref="DI259:EN259" si="1251">IF(DI$231="","",IS258)</f>
        <v/>
      </c>
      <c r="DJ259" s="220" t="str">
        <f t="shared" si="1251"/>
        <v/>
      </c>
      <c r="DK259" s="220" t="str">
        <f t="shared" si="1251"/>
        <v/>
      </c>
      <c r="DL259" s="220" t="str">
        <f t="shared" si="1251"/>
        <v/>
      </c>
      <c r="DM259" s="220" t="str">
        <f t="shared" si="1251"/>
        <v/>
      </c>
      <c r="DN259" s="220" t="str">
        <f t="shared" si="1251"/>
        <v/>
      </c>
      <c r="DO259" s="220" t="str">
        <f t="shared" si="1251"/>
        <v/>
      </c>
      <c r="DP259" s="220" t="str">
        <f t="shared" si="1251"/>
        <v/>
      </c>
      <c r="DQ259" s="220" t="str">
        <f t="shared" si="1251"/>
        <v/>
      </c>
      <c r="DR259" s="220" t="str">
        <f t="shared" si="1251"/>
        <v/>
      </c>
      <c r="DS259" s="220" t="str">
        <f t="shared" si="1251"/>
        <v/>
      </c>
      <c r="DT259" s="220" t="str">
        <f t="shared" si="1251"/>
        <v/>
      </c>
      <c r="DU259" s="220" t="str">
        <f t="shared" si="1251"/>
        <v/>
      </c>
      <c r="DV259" s="220" t="str">
        <f t="shared" si="1251"/>
        <v/>
      </c>
      <c r="DW259" s="220" t="str">
        <f t="shared" si="1251"/>
        <v/>
      </c>
      <c r="DX259" s="220" t="str">
        <f t="shared" si="1251"/>
        <v/>
      </c>
      <c r="DY259" s="220" t="str">
        <f t="shared" si="1251"/>
        <v/>
      </c>
      <c r="DZ259" s="220" t="str">
        <f t="shared" si="1251"/>
        <v/>
      </c>
      <c r="EA259" s="220" t="str">
        <f t="shared" si="1251"/>
        <v/>
      </c>
      <c r="EB259" s="220" t="str">
        <f t="shared" si="1251"/>
        <v/>
      </c>
      <c r="EC259" s="220" t="str">
        <f t="shared" si="1251"/>
        <v/>
      </c>
      <c r="ED259" s="220" t="str">
        <f t="shared" si="1251"/>
        <v/>
      </c>
      <c r="EE259" s="220" t="str">
        <f t="shared" si="1251"/>
        <v/>
      </c>
      <c r="EF259" s="220" t="str">
        <f t="shared" si="1251"/>
        <v/>
      </c>
      <c r="EG259" s="220" t="str">
        <f t="shared" si="1251"/>
        <v/>
      </c>
      <c r="EH259" s="220" t="str">
        <f t="shared" si="1251"/>
        <v/>
      </c>
      <c r="EI259" s="220" t="str">
        <f t="shared" si="1251"/>
        <v/>
      </c>
      <c r="EJ259" s="220" t="str">
        <f t="shared" si="1251"/>
        <v/>
      </c>
      <c r="EK259" s="220" t="str">
        <f t="shared" si="1251"/>
        <v/>
      </c>
      <c r="EL259" s="220" t="str">
        <f t="shared" si="1251"/>
        <v/>
      </c>
      <c r="EM259" s="220" t="str">
        <f t="shared" si="1251"/>
        <v/>
      </c>
      <c r="EN259" s="220" t="str">
        <f t="shared" si="1251"/>
        <v/>
      </c>
      <c r="EO259" s="220" t="str">
        <f>IF(EO$231="","",JY258)</f>
        <v/>
      </c>
      <c r="EP259" s="220" t="str">
        <f>IF(EP$231="","",JZ258)</f>
        <v/>
      </c>
      <c r="EQ259" s="220" t="str">
        <f>IF(EQ$231="","",KA258)</f>
        <v/>
      </c>
      <c r="ER259" s="220" t="str">
        <f>IF(ER$231="","",KB258)</f>
        <v/>
      </c>
      <c r="ES259" s="220" t="str">
        <f>IF(ES$231="","",KC258)</f>
        <v/>
      </c>
      <c r="EU259" s="398"/>
      <c r="EV259" s="398"/>
      <c r="EW259" s="398"/>
      <c r="EX259" s="398"/>
      <c r="EY259" s="399" t="s">
        <v>348</v>
      </c>
      <c r="EZ259" s="399"/>
      <c r="FA259" s="400">
        <f ca="1">MAX(FA240-FA249-FA258,0)</f>
        <v>0</v>
      </c>
      <c r="FB259" s="400">
        <f t="shared" ref="FB259:HM259" ca="1" si="1252">MAX(FB240-FB249-FB258,0)</f>
        <v>0</v>
      </c>
      <c r="FC259" s="400">
        <f t="shared" ca="1" si="1252"/>
        <v>0</v>
      </c>
      <c r="FD259" s="400">
        <f t="shared" ca="1" si="1252"/>
        <v>0</v>
      </c>
      <c r="FE259" s="400">
        <f t="shared" ca="1" si="1252"/>
        <v>0</v>
      </c>
      <c r="FF259" s="400">
        <f t="shared" ca="1" si="1252"/>
        <v>0</v>
      </c>
      <c r="FG259" s="400">
        <f t="shared" ca="1" si="1252"/>
        <v>0</v>
      </c>
      <c r="FH259" s="400">
        <f t="shared" ca="1" si="1252"/>
        <v>0</v>
      </c>
      <c r="FI259" s="400">
        <f t="shared" ca="1" si="1252"/>
        <v>0</v>
      </c>
      <c r="FJ259" s="400">
        <f t="shared" ca="1" si="1252"/>
        <v>0</v>
      </c>
      <c r="FK259" s="400">
        <f t="shared" ca="1" si="1252"/>
        <v>0</v>
      </c>
      <c r="FL259" s="400">
        <f t="shared" ca="1" si="1252"/>
        <v>0</v>
      </c>
      <c r="FM259" s="400">
        <f t="shared" ca="1" si="1252"/>
        <v>0</v>
      </c>
      <c r="FN259" s="400">
        <f t="shared" ca="1" si="1252"/>
        <v>0</v>
      </c>
      <c r="FO259" s="400">
        <f t="shared" ca="1" si="1252"/>
        <v>0</v>
      </c>
      <c r="FP259" s="400">
        <f t="shared" ca="1" si="1252"/>
        <v>0</v>
      </c>
      <c r="FQ259" s="400">
        <f t="shared" ca="1" si="1252"/>
        <v>0</v>
      </c>
      <c r="FR259" s="400">
        <f t="shared" ca="1" si="1252"/>
        <v>0</v>
      </c>
      <c r="FS259" s="400">
        <f t="shared" ca="1" si="1252"/>
        <v>0</v>
      </c>
      <c r="FT259" s="400">
        <f t="shared" ca="1" si="1252"/>
        <v>0</v>
      </c>
      <c r="FU259" s="400">
        <f t="shared" ca="1" si="1252"/>
        <v>0</v>
      </c>
      <c r="FV259" s="400">
        <f t="shared" ca="1" si="1252"/>
        <v>0</v>
      </c>
      <c r="FW259" s="400">
        <f t="shared" ca="1" si="1252"/>
        <v>0</v>
      </c>
      <c r="FX259" s="400">
        <f t="shared" ca="1" si="1252"/>
        <v>0</v>
      </c>
      <c r="FY259" s="400">
        <f t="shared" ca="1" si="1252"/>
        <v>0</v>
      </c>
      <c r="FZ259" s="400">
        <f t="shared" ca="1" si="1252"/>
        <v>0</v>
      </c>
      <c r="GA259" s="400">
        <f t="shared" ca="1" si="1252"/>
        <v>0</v>
      </c>
      <c r="GB259" s="400">
        <f t="shared" ca="1" si="1252"/>
        <v>0</v>
      </c>
      <c r="GC259" s="400">
        <f t="shared" ca="1" si="1252"/>
        <v>0</v>
      </c>
      <c r="GD259" s="400">
        <f t="shared" ca="1" si="1252"/>
        <v>0</v>
      </c>
      <c r="GE259" s="400">
        <f t="shared" ca="1" si="1252"/>
        <v>0</v>
      </c>
      <c r="GF259" s="400">
        <f t="shared" ca="1" si="1252"/>
        <v>0</v>
      </c>
      <c r="GG259" s="400">
        <f t="shared" ca="1" si="1252"/>
        <v>0</v>
      </c>
      <c r="GH259" s="400">
        <f t="shared" ca="1" si="1252"/>
        <v>0</v>
      </c>
      <c r="GI259" s="400">
        <f t="shared" ca="1" si="1252"/>
        <v>0</v>
      </c>
      <c r="GJ259" s="400">
        <f t="shared" ca="1" si="1252"/>
        <v>0</v>
      </c>
      <c r="GK259" s="400">
        <f t="shared" ca="1" si="1252"/>
        <v>0</v>
      </c>
      <c r="GL259" s="400">
        <f t="shared" ca="1" si="1252"/>
        <v>0</v>
      </c>
      <c r="GM259" s="400">
        <f t="shared" ca="1" si="1252"/>
        <v>0</v>
      </c>
      <c r="GN259" s="400">
        <f t="shared" ca="1" si="1252"/>
        <v>0</v>
      </c>
      <c r="GO259" s="400">
        <f t="shared" ca="1" si="1252"/>
        <v>0</v>
      </c>
      <c r="GP259" s="400">
        <f t="shared" ca="1" si="1252"/>
        <v>0</v>
      </c>
      <c r="GQ259" s="400">
        <f t="shared" ca="1" si="1252"/>
        <v>0</v>
      </c>
      <c r="GR259" s="400">
        <f t="shared" ca="1" si="1252"/>
        <v>0</v>
      </c>
      <c r="GS259" s="400">
        <f t="shared" ca="1" si="1252"/>
        <v>0</v>
      </c>
      <c r="GT259" s="400">
        <f t="shared" ca="1" si="1252"/>
        <v>0</v>
      </c>
      <c r="GU259" s="400">
        <f t="shared" ca="1" si="1252"/>
        <v>0</v>
      </c>
      <c r="GV259" s="400">
        <f t="shared" ca="1" si="1252"/>
        <v>0</v>
      </c>
      <c r="GW259" s="400">
        <f t="shared" ca="1" si="1252"/>
        <v>0</v>
      </c>
      <c r="GX259" s="400">
        <f t="shared" ca="1" si="1252"/>
        <v>0</v>
      </c>
      <c r="GY259" s="400">
        <f t="shared" ca="1" si="1252"/>
        <v>0</v>
      </c>
      <c r="GZ259" s="400">
        <f t="shared" ca="1" si="1252"/>
        <v>0</v>
      </c>
      <c r="HA259" s="400">
        <f t="shared" ca="1" si="1252"/>
        <v>0</v>
      </c>
      <c r="HB259" s="400">
        <f t="shared" ca="1" si="1252"/>
        <v>0</v>
      </c>
      <c r="HC259" s="400">
        <f t="shared" ca="1" si="1252"/>
        <v>0</v>
      </c>
      <c r="HD259" s="400">
        <f t="shared" ca="1" si="1252"/>
        <v>0</v>
      </c>
      <c r="HE259" s="400">
        <f t="shared" ca="1" si="1252"/>
        <v>0</v>
      </c>
      <c r="HF259" s="400">
        <f t="shared" ca="1" si="1252"/>
        <v>0</v>
      </c>
      <c r="HG259" s="400">
        <f t="shared" ca="1" si="1252"/>
        <v>0</v>
      </c>
      <c r="HH259" s="400">
        <f t="shared" ca="1" si="1252"/>
        <v>0</v>
      </c>
      <c r="HI259" s="400">
        <f t="shared" ca="1" si="1252"/>
        <v>0</v>
      </c>
      <c r="HJ259" s="400">
        <f t="shared" ca="1" si="1252"/>
        <v>0</v>
      </c>
      <c r="HK259" s="400">
        <f t="shared" ca="1" si="1252"/>
        <v>0</v>
      </c>
      <c r="HL259" s="400">
        <f t="shared" ca="1" si="1252"/>
        <v>0</v>
      </c>
      <c r="HM259" s="400">
        <f t="shared" ca="1" si="1252"/>
        <v>0</v>
      </c>
      <c r="HN259" s="400">
        <f t="shared" ref="HN259:JY259" ca="1" si="1253">MAX(HN240-HN249-HN258,0)</f>
        <v>0</v>
      </c>
      <c r="HO259" s="400">
        <f t="shared" ca="1" si="1253"/>
        <v>0</v>
      </c>
      <c r="HP259" s="400">
        <f t="shared" ca="1" si="1253"/>
        <v>0</v>
      </c>
      <c r="HQ259" s="400">
        <f t="shared" ca="1" si="1253"/>
        <v>0</v>
      </c>
      <c r="HR259" s="400">
        <f t="shared" ca="1" si="1253"/>
        <v>0</v>
      </c>
      <c r="HS259" s="400">
        <f t="shared" ca="1" si="1253"/>
        <v>0</v>
      </c>
      <c r="HT259" s="400">
        <f t="shared" ca="1" si="1253"/>
        <v>0</v>
      </c>
      <c r="HU259" s="400">
        <f t="shared" ca="1" si="1253"/>
        <v>0</v>
      </c>
      <c r="HV259" s="400">
        <f t="shared" ca="1" si="1253"/>
        <v>0</v>
      </c>
      <c r="HW259" s="400">
        <f t="shared" ca="1" si="1253"/>
        <v>0</v>
      </c>
      <c r="HX259" s="400">
        <f t="shared" ca="1" si="1253"/>
        <v>0</v>
      </c>
      <c r="HY259" s="400">
        <f t="shared" ca="1" si="1253"/>
        <v>0</v>
      </c>
      <c r="HZ259" s="400">
        <f t="shared" ca="1" si="1253"/>
        <v>0</v>
      </c>
      <c r="IA259" s="400">
        <f t="shared" ca="1" si="1253"/>
        <v>0</v>
      </c>
      <c r="IB259" s="400">
        <f t="shared" ca="1" si="1253"/>
        <v>0</v>
      </c>
      <c r="IC259" s="400">
        <f t="shared" ca="1" si="1253"/>
        <v>0</v>
      </c>
      <c r="ID259" s="400">
        <f t="shared" ca="1" si="1253"/>
        <v>0</v>
      </c>
      <c r="IE259" s="400">
        <f t="shared" ca="1" si="1253"/>
        <v>0</v>
      </c>
      <c r="IF259" s="400">
        <f t="shared" ca="1" si="1253"/>
        <v>0</v>
      </c>
      <c r="IG259" s="400">
        <f t="shared" ca="1" si="1253"/>
        <v>0</v>
      </c>
      <c r="IH259" s="400">
        <f t="shared" ca="1" si="1253"/>
        <v>0</v>
      </c>
      <c r="II259" s="400">
        <f t="shared" ca="1" si="1253"/>
        <v>0</v>
      </c>
      <c r="IJ259" s="400">
        <f t="shared" ca="1" si="1253"/>
        <v>0</v>
      </c>
      <c r="IK259" s="400">
        <f t="shared" ca="1" si="1253"/>
        <v>0</v>
      </c>
      <c r="IL259" s="400">
        <f t="shared" ca="1" si="1253"/>
        <v>0</v>
      </c>
      <c r="IM259" s="400">
        <f t="shared" ca="1" si="1253"/>
        <v>0</v>
      </c>
      <c r="IN259" s="400">
        <f t="shared" ca="1" si="1253"/>
        <v>0</v>
      </c>
      <c r="IO259" s="400">
        <f t="shared" ca="1" si="1253"/>
        <v>0</v>
      </c>
      <c r="IP259" s="400">
        <f t="shared" ca="1" si="1253"/>
        <v>0</v>
      </c>
      <c r="IQ259" s="400">
        <f t="shared" ca="1" si="1253"/>
        <v>0</v>
      </c>
      <c r="IR259" s="400">
        <f t="shared" ca="1" si="1253"/>
        <v>0</v>
      </c>
      <c r="IS259" s="400">
        <f t="shared" ca="1" si="1253"/>
        <v>0</v>
      </c>
      <c r="IT259" s="400">
        <f t="shared" ca="1" si="1253"/>
        <v>0</v>
      </c>
      <c r="IU259" s="400">
        <f t="shared" ca="1" si="1253"/>
        <v>0</v>
      </c>
      <c r="IV259" s="400">
        <f t="shared" ca="1" si="1253"/>
        <v>0</v>
      </c>
      <c r="IW259" s="400">
        <f t="shared" ca="1" si="1253"/>
        <v>0</v>
      </c>
      <c r="IX259" s="400">
        <f t="shared" ca="1" si="1253"/>
        <v>0</v>
      </c>
      <c r="IY259" s="400">
        <f t="shared" ca="1" si="1253"/>
        <v>0</v>
      </c>
      <c r="IZ259" s="400">
        <f t="shared" ca="1" si="1253"/>
        <v>0</v>
      </c>
      <c r="JA259" s="400">
        <f t="shared" ca="1" si="1253"/>
        <v>0</v>
      </c>
      <c r="JB259" s="400">
        <f t="shared" ca="1" si="1253"/>
        <v>0</v>
      </c>
      <c r="JC259" s="400">
        <f t="shared" ca="1" si="1253"/>
        <v>0</v>
      </c>
      <c r="JD259" s="400">
        <f t="shared" ca="1" si="1253"/>
        <v>0</v>
      </c>
      <c r="JE259" s="400">
        <f t="shared" ca="1" si="1253"/>
        <v>0</v>
      </c>
      <c r="JF259" s="400">
        <f t="shared" ca="1" si="1253"/>
        <v>0</v>
      </c>
      <c r="JG259" s="400">
        <f t="shared" ca="1" si="1253"/>
        <v>0</v>
      </c>
      <c r="JH259" s="400">
        <f t="shared" ca="1" si="1253"/>
        <v>0</v>
      </c>
      <c r="JI259" s="400">
        <f t="shared" ca="1" si="1253"/>
        <v>0</v>
      </c>
      <c r="JJ259" s="400">
        <f t="shared" ca="1" si="1253"/>
        <v>0</v>
      </c>
      <c r="JK259" s="400">
        <f t="shared" ca="1" si="1253"/>
        <v>0</v>
      </c>
      <c r="JL259" s="400">
        <f t="shared" ca="1" si="1253"/>
        <v>0</v>
      </c>
      <c r="JM259" s="400">
        <f t="shared" ca="1" si="1253"/>
        <v>0</v>
      </c>
      <c r="JN259" s="400">
        <f t="shared" ca="1" si="1253"/>
        <v>0</v>
      </c>
      <c r="JO259" s="400">
        <f t="shared" ca="1" si="1253"/>
        <v>0</v>
      </c>
      <c r="JP259" s="400">
        <f t="shared" ca="1" si="1253"/>
        <v>0</v>
      </c>
      <c r="JQ259" s="400">
        <f t="shared" ca="1" si="1253"/>
        <v>0</v>
      </c>
      <c r="JR259" s="400">
        <f t="shared" ca="1" si="1253"/>
        <v>0</v>
      </c>
      <c r="JS259" s="400">
        <f t="shared" ca="1" si="1253"/>
        <v>0</v>
      </c>
      <c r="JT259" s="400">
        <f t="shared" ca="1" si="1253"/>
        <v>0</v>
      </c>
      <c r="JU259" s="400">
        <f t="shared" ca="1" si="1253"/>
        <v>0</v>
      </c>
      <c r="JV259" s="400">
        <f t="shared" ca="1" si="1253"/>
        <v>0</v>
      </c>
      <c r="JW259" s="400">
        <f t="shared" ca="1" si="1253"/>
        <v>0</v>
      </c>
      <c r="JX259" s="400">
        <f t="shared" ca="1" si="1253"/>
        <v>0</v>
      </c>
      <c r="JY259" s="400">
        <f t="shared" ca="1" si="1253"/>
        <v>0</v>
      </c>
      <c r="JZ259" s="400">
        <f ca="1">MAX(JZ240-JZ249-JZ258,0)</f>
        <v>0</v>
      </c>
      <c r="KA259" s="400">
        <f ca="1">MAX(KA240-KA249-KA258,0)</f>
        <v>0</v>
      </c>
      <c r="KB259" s="400">
        <f ca="1">MAX(KB240-KB249-KB258,0)</f>
        <v>0</v>
      </c>
      <c r="KC259" s="400">
        <f ca="1">MAX(KC240-KC249-KC258,0)</f>
        <v>0</v>
      </c>
    </row>
    <row r="260" spans="2:289" ht="0.6" customHeight="1" x14ac:dyDescent="0.25">
      <c r="B260" s="180" t="s">
        <v>335</v>
      </c>
      <c r="C260" s="181"/>
      <c r="D260" s="196"/>
      <c r="E260" s="196" t="s">
        <v>338</v>
      </c>
      <c r="F260" s="419">
        <v>0.15</v>
      </c>
      <c r="G260" s="357">
        <v>0.3</v>
      </c>
      <c r="H260" s="365">
        <f t="shared" si="1247"/>
        <v>0.37</v>
      </c>
      <c r="I260" s="346">
        <f>1-H260</f>
        <v>0.63</v>
      </c>
      <c r="Q260" s="220">
        <f t="shared" ref="Q260:AV260" ca="1" si="1254">IF(Q$231="","",FA267)</f>
        <v>0</v>
      </c>
      <c r="R260" s="220">
        <f t="shared" ca="1" si="1254"/>
        <v>0</v>
      </c>
      <c r="S260" s="220">
        <f t="shared" ca="1" si="1254"/>
        <v>0</v>
      </c>
      <c r="T260" s="220">
        <f t="shared" ca="1" si="1254"/>
        <v>0</v>
      </c>
      <c r="U260" s="220">
        <f t="shared" ca="1" si="1254"/>
        <v>0</v>
      </c>
      <c r="V260" s="220">
        <f t="shared" ca="1" si="1254"/>
        <v>0</v>
      </c>
      <c r="W260" s="220">
        <f t="shared" ca="1" si="1254"/>
        <v>0</v>
      </c>
      <c r="X260" s="220">
        <f t="shared" ca="1" si="1254"/>
        <v>0</v>
      </c>
      <c r="Y260" s="220">
        <f t="shared" ca="1" si="1254"/>
        <v>0</v>
      </c>
      <c r="Z260" s="220">
        <f t="shared" ca="1" si="1254"/>
        <v>0</v>
      </c>
      <c r="AA260" s="220">
        <f t="shared" ca="1" si="1254"/>
        <v>0</v>
      </c>
      <c r="AB260" s="220">
        <f t="shared" ca="1" si="1254"/>
        <v>0</v>
      </c>
      <c r="AC260" s="220">
        <f t="shared" ca="1" si="1254"/>
        <v>0</v>
      </c>
      <c r="AD260" s="220">
        <f t="shared" ca="1" si="1254"/>
        <v>0</v>
      </c>
      <c r="AE260" s="220">
        <f t="shared" ca="1" si="1254"/>
        <v>0</v>
      </c>
      <c r="AF260" s="220">
        <f t="shared" ca="1" si="1254"/>
        <v>0</v>
      </c>
      <c r="AG260" s="220">
        <f t="shared" ca="1" si="1254"/>
        <v>0</v>
      </c>
      <c r="AH260" s="220">
        <f t="shared" ca="1" si="1254"/>
        <v>0</v>
      </c>
      <c r="AI260" s="220">
        <f t="shared" ca="1" si="1254"/>
        <v>0</v>
      </c>
      <c r="AJ260" s="220">
        <f t="shared" ca="1" si="1254"/>
        <v>0</v>
      </c>
      <c r="AK260" s="220">
        <f t="shared" ca="1" si="1254"/>
        <v>0</v>
      </c>
      <c r="AL260" s="220">
        <f t="shared" ca="1" si="1254"/>
        <v>0</v>
      </c>
      <c r="AM260" s="220">
        <f t="shared" ca="1" si="1254"/>
        <v>0</v>
      </c>
      <c r="AN260" s="220">
        <f t="shared" ca="1" si="1254"/>
        <v>0</v>
      </c>
      <c r="AO260" s="220">
        <f t="shared" ca="1" si="1254"/>
        <v>0</v>
      </c>
      <c r="AP260" s="220">
        <f t="shared" ca="1" si="1254"/>
        <v>0</v>
      </c>
      <c r="AQ260" s="220">
        <f t="shared" ca="1" si="1254"/>
        <v>0</v>
      </c>
      <c r="AR260" s="220">
        <f t="shared" ca="1" si="1254"/>
        <v>0</v>
      </c>
      <c r="AS260" s="220">
        <f t="shared" ca="1" si="1254"/>
        <v>0</v>
      </c>
      <c r="AT260" s="220">
        <f t="shared" ca="1" si="1254"/>
        <v>0</v>
      </c>
      <c r="AU260" s="220">
        <f t="shared" ca="1" si="1254"/>
        <v>0</v>
      </c>
      <c r="AV260" s="220">
        <f t="shared" ca="1" si="1254"/>
        <v>0</v>
      </c>
      <c r="AW260" s="220">
        <f t="shared" ref="AW260:CB260" ca="1" si="1255">IF(AW$231="","",GG267)</f>
        <v>0</v>
      </c>
      <c r="AX260" s="220">
        <f t="shared" ca="1" si="1255"/>
        <v>0</v>
      </c>
      <c r="AY260" s="220">
        <f t="shared" ca="1" si="1255"/>
        <v>0</v>
      </c>
      <c r="AZ260" s="220">
        <f t="shared" ca="1" si="1255"/>
        <v>0</v>
      </c>
      <c r="BA260" s="220">
        <f t="shared" ca="1" si="1255"/>
        <v>0</v>
      </c>
      <c r="BB260" s="220" t="str">
        <f t="shared" si="1255"/>
        <v/>
      </c>
      <c r="BC260" s="220" t="str">
        <f t="shared" si="1255"/>
        <v/>
      </c>
      <c r="BD260" s="220" t="str">
        <f t="shared" si="1255"/>
        <v/>
      </c>
      <c r="BE260" s="220" t="str">
        <f t="shared" si="1255"/>
        <v/>
      </c>
      <c r="BF260" s="220" t="str">
        <f t="shared" si="1255"/>
        <v/>
      </c>
      <c r="BG260" s="220" t="str">
        <f t="shared" si="1255"/>
        <v/>
      </c>
      <c r="BH260" s="220" t="str">
        <f t="shared" si="1255"/>
        <v/>
      </c>
      <c r="BI260" s="220" t="str">
        <f t="shared" si="1255"/>
        <v/>
      </c>
      <c r="BJ260" s="220" t="str">
        <f t="shared" si="1255"/>
        <v/>
      </c>
      <c r="BK260" s="220" t="str">
        <f t="shared" si="1255"/>
        <v/>
      </c>
      <c r="BL260" s="220" t="str">
        <f t="shared" si="1255"/>
        <v/>
      </c>
      <c r="BM260" s="220" t="str">
        <f t="shared" si="1255"/>
        <v/>
      </c>
      <c r="BN260" s="220" t="str">
        <f t="shared" si="1255"/>
        <v/>
      </c>
      <c r="BO260" s="220" t="str">
        <f t="shared" si="1255"/>
        <v/>
      </c>
      <c r="BP260" s="220" t="str">
        <f t="shared" si="1255"/>
        <v/>
      </c>
      <c r="BQ260" s="220" t="str">
        <f t="shared" si="1255"/>
        <v/>
      </c>
      <c r="BR260" s="220" t="str">
        <f t="shared" si="1255"/>
        <v/>
      </c>
      <c r="BS260" s="220" t="str">
        <f t="shared" si="1255"/>
        <v/>
      </c>
      <c r="BT260" s="220" t="str">
        <f t="shared" si="1255"/>
        <v/>
      </c>
      <c r="BU260" s="220" t="str">
        <f t="shared" si="1255"/>
        <v/>
      </c>
      <c r="BV260" s="220" t="str">
        <f t="shared" si="1255"/>
        <v/>
      </c>
      <c r="BW260" s="220" t="str">
        <f t="shared" si="1255"/>
        <v/>
      </c>
      <c r="BX260" s="220" t="str">
        <f t="shared" si="1255"/>
        <v/>
      </c>
      <c r="BY260" s="220" t="str">
        <f t="shared" si="1255"/>
        <v/>
      </c>
      <c r="BZ260" s="220" t="str">
        <f t="shared" si="1255"/>
        <v/>
      </c>
      <c r="CA260" s="220" t="str">
        <f t="shared" si="1255"/>
        <v/>
      </c>
      <c r="CB260" s="220" t="str">
        <f t="shared" si="1255"/>
        <v/>
      </c>
      <c r="CC260" s="220" t="str">
        <f t="shared" ref="CC260:DH260" si="1256">IF(CC$231="","",HM267)</f>
        <v/>
      </c>
      <c r="CD260" s="220" t="str">
        <f t="shared" si="1256"/>
        <v/>
      </c>
      <c r="CE260" s="220" t="str">
        <f t="shared" si="1256"/>
        <v/>
      </c>
      <c r="CF260" s="220" t="str">
        <f t="shared" si="1256"/>
        <v/>
      </c>
      <c r="CG260" s="220" t="str">
        <f t="shared" si="1256"/>
        <v/>
      </c>
      <c r="CH260" s="220" t="str">
        <f t="shared" si="1256"/>
        <v/>
      </c>
      <c r="CI260" s="220" t="str">
        <f t="shared" si="1256"/>
        <v/>
      </c>
      <c r="CJ260" s="220" t="str">
        <f t="shared" si="1256"/>
        <v/>
      </c>
      <c r="CK260" s="220" t="str">
        <f t="shared" si="1256"/>
        <v/>
      </c>
      <c r="CL260" s="220" t="str">
        <f t="shared" si="1256"/>
        <v/>
      </c>
      <c r="CM260" s="220" t="str">
        <f t="shared" si="1256"/>
        <v/>
      </c>
      <c r="CN260" s="220" t="str">
        <f t="shared" si="1256"/>
        <v/>
      </c>
      <c r="CO260" s="220" t="str">
        <f t="shared" si="1256"/>
        <v/>
      </c>
      <c r="CP260" s="220" t="str">
        <f t="shared" si="1256"/>
        <v/>
      </c>
      <c r="CQ260" s="220" t="str">
        <f t="shared" si="1256"/>
        <v/>
      </c>
      <c r="CR260" s="220" t="str">
        <f t="shared" si="1256"/>
        <v/>
      </c>
      <c r="CS260" s="220" t="str">
        <f t="shared" si="1256"/>
        <v/>
      </c>
      <c r="CT260" s="220" t="str">
        <f t="shared" si="1256"/>
        <v/>
      </c>
      <c r="CU260" s="220" t="str">
        <f t="shared" si="1256"/>
        <v/>
      </c>
      <c r="CV260" s="220" t="str">
        <f t="shared" si="1256"/>
        <v/>
      </c>
      <c r="CW260" s="220" t="str">
        <f t="shared" si="1256"/>
        <v/>
      </c>
      <c r="CX260" s="220" t="str">
        <f t="shared" si="1256"/>
        <v/>
      </c>
      <c r="CY260" s="220" t="str">
        <f t="shared" si="1256"/>
        <v/>
      </c>
      <c r="CZ260" s="220" t="str">
        <f t="shared" si="1256"/>
        <v/>
      </c>
      <c r="DA260" s="220" t="str">
        <f t="shared" si="1256"/>
        <v/>
      </c>
      <c r="DB260" s="220" t="str">
        <f t="shared" si="1256"/>
        <v/>
      </c>
      <c r="DC260" s="220" t="str">
        <f t="shared" si="1256"/>
        <v/>
      </c>
      <c r="DD260" s="220" t="str">
        <f t="shared" si="1256"/>
        <v/>
      </c>
      <c r="DE260" s="220" t="str">
        <f t="shared" si="1256"/>
        <v/>
      </c>
      <c r="DF260" s="220" t="str">
        <f t="shared" si="1256"/>
        <v/>
      </c>
      <c r="DG260" s="220" t="str">
        <f t="shared" si="1256"/>
        <v/>
      </c>
      <c r="DH260" s="220" t="str">
        <f t="shared" si="1256"/>
        <v/>
      </c>
      <c r="DI260" s="220" t="str">
        <f t="shared" ref="DI260:EN260" si="1257">IF(DI$231="","",IS267)</f>
        <v/>
      </c>
      <c r="DJ260" s="220" t="str">
        <f t="shared" si="1257"/>
        <v/>
      </c>
      <c r="DK260" s="220" t="str">
        <f t="shared" si="1257"/>
        <v/>
      </c>
      <c r="DL260" s="220" t="str">
        <f t="shared" si="1257"/>
        <v/>
      </c>
      <c r="DM260" s="220" t="str">
        <f t="shared" si="1257"/>
        <v/>
      </c>
      <c r="DN260" s="220" t="str">
        <f t="shared" si="1257"/>
        <v/>
      </c>
      <c r="DO260" s="220" t="str">
        <f t="shared" si="1257"/>
        <v/>
      </c>
      <c r="DP260" s="220" t="str">
        <f t="shared" si="1257"/>
        <v/>
      </c>
      <c r="DQ260" s="220" t="str">
        <f t="shared" si="1257"/>
        <v/>
      </c>
      <c r="DR260" s="220" t="str">
        <f t="shared" si="1257"/>
        <v/>
      </c>
      <c r="DS260" s="220" t="str">
        <f t="shared" si="1257"/>
        <v/>
      </c>
      <c r="DT260" s="220" t="str">
        <f t="shared" si="1257"/>
        <v/>
      </c>
      <c r="DU260" s="220" t="str">
        <f t="shared" si="1257"/>
        <v/>
      </c>
      <c r="DV260" s="220" t="str">
        <f t="shared" si="1257"/>
        <v/>
      </c>
      <c r="DW260" s="220" t="str">
        <f t="shared" si="1257"/>
        <v/>
      </c>
      <c r="DX260" s="220" t="str">
        <f t="shared" si="1257"/>
        <v/>
      </c>
      <c r="DY260" s="220" t="str">
        <f t="shared" si="1257"/>
        <v/>
      </c>
      <c r="DZ260" s="220" t="str">
        <f t="shared" si="1257"/>
        <v/>
      </c>
      <c r="EA260" s="220" t="str">
        <f t="shared" si="1257"/>
        <v/>
      </c>
      <c r="EB260" s="220" t="str">
        <f t="shared" si="1257"/>
        <v/>
      </c>
      <c r="EC260" s="220" t="str">
        <f t="shared" si="1257"/>
        <v/>
      </c>
      <c r="ED260" s="220" t="str">
        <f t="shared" si="1257"/>
        <v/>
      </c>
      <c r="EE260" s="220" t="str">
        <f t="shared" si="1257"/>
        <v/>
      </c>
      <c r="EF260" s="220" t="str">
        <f t="shared" si="1257"/>
        <v/>
      </c>
      <c r="EG260" s="220" t="str">
        <f t="shared" si="1257"/>
        <v/>
      </c>
      <c r="EH260" s="220" t="str">
        <f t="shared" si="1257"/>
        <v/>
      </c>
      <c r="EI260" s="220" t="str">
        <f t="shared" si="1257"/>
        <v/>
      </c>
      <c r="EJ260" s="220" t="str">
        <f t="shared" si="1257"/>
        <v/>
      </c>
      <c r="EK260" s="220" t="str">
        <f t="shared" si="1257"/>
        <v/>
      </c>
      <c r="EL260" s="220" t="str">
        <f t="shared" si="1257"/>
        <v/>
      </c>
      <c r="EM260" s="220" t="str">
        <f t="shared" si="1257"/>
        <v/>
      </c>
      <c r="EN260" s="220" t="str">
        <f t="shared" si="1257"/>
        <v/>
      </c>
      <c r="EO260" s="220" t="str">
        <f>IF(EO$231="","",JY267)</f>
        <v/>
      </c>
      <c r="EP260" s="220" t="str">
        <f>IF(EP$231="","",JZ267)</f>
        <v/>
      </c>
      <c r="EQ260" s="220" t="str">
        <f>IF(EQ$231="","",KA267)</f>
        <v/>
      </c>
      <c r="ER260" s="220" t="str">
        <f>IF(ER$231="","",KB267)</f>
        <v/>
      </c>
      <c r="ES260" s="220" t="str">
        <f>IF(ES$231="","",KC267)</f>
        <v/>
      </c>
      <c r="EU260" s="202" t="s">
        <v>360</v>
      </c>
      <c r="EV260" s="153"/>
      <c r="EW260" s="153"/>
      <c r="EX260" s="153"/>
      <c r="EY260" s="154" t="s">
        <v>375</v>
      </c>
      <c r="EZ260" s="154"/>
      <c r="FA260" s="388">
        <f t="shared" ref="FA260:GF260" si="1258">(FA$201&lt;=Timing_Reversion_Month)*EZ264</f>
        <v>0</v>
      </c>
      <c r="FB260" s="388">
        <f t="shared" ca="1" si="1258"/>
        <v>740252.57142857148</v>
      </c>
      <c r="FC260" s="388">
        <f t="shared" ca="1" si="1258"/>
        <v>764081.38624155032</v>
      </c>
      <c r="FD260" s="388">
        <f t="shared" ca="1" si="1258"/>
        <v>820286.96716007078</v>
      </c>
      <c r="FE260" s="388">
        <f t="shared" ca="1" si="1258"/>
        <v>952764.38221791713</v>
      </c>
      <c r="FF260" s="388">
        <f t="shared" ca="1" si="1258"/>
        <v>1218119.5017582537</v>
      </c>
      <c r="FG260" s="388">
        <f t="shared" ca="1" si="1258"/>
        <v>1506560.5842546816</v>
      </c>
      <c r="FH260" s="388">
        <f t="shared" ca="1" si="1258"/>
        <v>1524209.816333951</v>
      </c>
      <c r="FI260" s="388">
        <f t="shared" ca="1" si="1258"/>
        <v>1542065.8077007281</v>
      </c>
      <c r="FJ260" s="388">
        <f t="shared" ca="1" si="1258"/>
        <v>1560130.9805228887</v>
      </c>
      <c r="FK260" s="388">
        <f t="shared" ca="1" si="1258"/>
        <v>1578407.7853438037</v>
      </c>
      <c r="FL260" s="388">
        <f t="shared" ca="1" si="1258"/>
        <v>1596898.701414756</v>
      </c>
      <c r="FM260" s="388">
        <f t="shared" ca="1" si="1258"/>
        <v>1615606.2370312517</v>
      </c>
      <c r="FN260" s="388">
        <f t="shared" ca="1" si="1258"/>
        <v>1633763.8933732698</v>
      </c>
      <c r="FO260" s="388">
        <f t="shared" ca="1" si="1258"/>
        <v>1643067.2714007937</v>
      </c>
      <c r="FP260" s="388">
        <f t="shared" ca="1" si="1258"/>
        <v>1644624.2249133659</v>
      </c>
      <c r="FQ260" s="388">
        <f t="shared" ca="1" si="1258"/>
        <v>1660929.5981148644</v>
      </c>
      <c r="FR260" s="388">
        <f t="shared" ca="1" si="1258"/>
        <v>1677425.9874087656</v>
      </c>
      <c r="FS260" s="388">
        <f t="shared" ca="1" si="1258"/>
        <v>1694115.6305327225</v>
      </c>
      <c r="FT260" s="388">
        <f t="shared" ca="1" si="1258"/>
        <v>1711000.7914392985</v>
      </c>
      <c r="FU260" s="388">
        <f t="shared" ca="1" si="1258"/>
        <v>1728083.7606030735</v>
      </c>
      <c r="FV260" s="388">
        <f t="shared" ca="1" si="1258"/>
        <v>1745366.8553313464</v>
      </c>
      <c r="FW260" s="388">
        <f t="shared" ca="1" si="1258"/>
        <v>1762852.420078479</v>
      </c>
      <c r="FX260" s="388">
        <f t="shared" ca="1" si="1258"/>
        <v>1780542.826763921</v>
      </c>
      <c r="FY260" s="388">
        <f t="shared" ca="1" si="1258"/>
        <v>1798440.4750939612</v>
      </c>
      <c r="FZ260" s="388">
        <f t="shared" ca="1" si="1258"/>
        <v>1817419.0191672486</v>
      </c>
      <c r="GA260" s="388">
        <f t="shared" ca="1" si="1258"/>
        <v>1836342.1058076143</v>
      </c>
      <c r="GB260" s="388">
        <f t="shared" ca="1" si="1258"/>
        <v>1855209.0853358391</v>
      </c>
      <c r="GC260" s="388">
        <f t="shared" ca="1" si="1258"/>
        <v>1874297.0899617656</v>
      </c>
      <c r="GD260" s="388">
        <f t="shared" ca="1" si="1258"/>
        <v>1893608.7089760506</v>
      </c>
      <c r="GE260" s="388">
        <f t="shared" ca="1" si="1258"/>
        <v>1913146.5620026758</v>
      </c>
      <c r="GF260" s="388">
        <f t="shared" ca="1" si="1258"/>
        <v>1932913.2993543004</v>
      </c>
      <c r="GG260" s="388">
        <f t="shared" ref="GG260:HL260" ca="1" si="1259">(GG$201&lt;=Timing_Reversion_Month)*GF264</f>
        <v>1952911.6023917757</v>
      </c>
      <c r="GH260" s="388">
        <f t="shared" ca="1" si="1259"/>
        <v>1973144.1838878731</v>
      </c>
      <c r="GI260" s="388">
        <f t="shared" ca="1" si="1259"/>
        <v>1993613.7883952714</v>
      </c>
      <c r="GJ260" s="388">
        <f t="shared" ca="1" si="1259"/>
        <v>2014323.1926188562</v>
      </c>
      <c r="GK260" s="388">
        <f t="shared" ca="1" si="1259"/>
        <v>2035275.20579238</v>
      </c>
      <c r="GL260" s="388">
        <f t="shared" ca="1" si="1259"/>
        <v>0</v>
      </c>
      <c r="GM260" s="388">
        <f t="shared" ca="1" si="1259"/>
        <v>0</v>
      </c>
      <c r="GN260" s="388">
        <f t="shared" ca="1" si="1259"/>
        <v>0</v>
      </c>
      <c r="GO260" s="388">
        <f t="shared" ca="1" si="1259"/>
        <v>0</v>
      </c>
      <c r="GP260" s="388">
        <f t="shared" ca="1" si="1259"/>
        <v>0</v>
      </c>
      <c r="GQ260" s="388">
        <f t="shared" ca="1" si="1259"/>
        <v>0</v>
      </c>
      <c r="GR260" s="388">
        <f t="shared" ca="1" si="1259"/>
        <v>0</v>
      </c>
      <c r="GS260" s="388">
        <f t="shared" ca="1" si="1259"/>
        <v>0</v>
      </c>
      <c r="GT260" s="388">
        <f t="shared" ca="1" si="1259"/>
        <v>0</v>
      </c>
      <c r="GU260" s="388">
        <f t="shared" ca="1" si="1259"/>
        <v>0</v>
      </c>
      <c r="GV260" s="388">
        <f t="shared" ca="1" si="1259"/>
        <v>0</v>
      </c>
      <c r="GW260" s="388">
        <f t="shared" ca="1" si="1259"/>
        <v>0</v>
      </c>
      <c r="GX260" s="388">
        <f t="shared" ca="1" si="1259"/>
        <v>0</v>
      </c>
      <c r="GY260" s="388">
        <f t="shared" ca="1" si="1259"/>
        <v>0</v>
      </c>
      <c r="GZ260" s="388">
        <f t="shared" ca="1" si="1259"/>
        <v>0</v>
      </c>
      <c r="HA260" s="388">
        <f t="shared" ca="1" si="1259"/>
        <v>0</v>
      </c>
      <c r="HB260" s="388">
        <f t="shared" ca="1" si="1259"/>
        <v>0</v>
      </c>
      <c r="HC260" s="388">
        <f t="shared" ca="1" si="1259"/>
        <v>0</v>
      </c>
      <c r="HD260" s="388">
        <f t="shared" ca="1" si="1259"/>
        <v>0</v>
      </c>
      <c r="HE260" s="388">
        <f t="shared" ca="1" si="1259"/>
        <v>0</v>
      </c>
      <c r="HF260" s="388">
        <f t="shared" ca="1" si="1259"/>
        <v>0</v>
      </c>
      <c r="HG260" s="388">
        <f t="shared" ca="1" si="1259"/>
        <v>0</v>
      </c>
      <c r="HH260" s="388">
        <f t="shared" ca="1" si="1259"/>
        <v>0</v>
      </c>
      <c r="HI260" s="388">
        <f t="shared" ca="1" si="1259"/>
        <v>0</v>
      </c>
      <c r="HJ260" s="388">
        <f t="shared" ca="1" si="1259"/>
        <v>0</v>
      </c>
      <c r="HK260" s="388">
        <f t="shared" ca="1" si="1259"/>
        <v>0</v>
      </c>
      <c r="HL260" s="388">
        <f t="shared" ca="1" si="1259"/>
        <v>0</v>
      </c>
      <c r="HM260" s="388">
        <f t="shared" ref="HM260:IR260" ca="1" si="1260">(HM$201&lt;=Timing_Reversion_Month)*HL264</f>
        <v>0</v>
      </c>
      <c r="HN260" s="388">
        <f t="shared" ca="1" si="1260"/>
        <v>0</v>
      </c>
      <c r="HO260" s="388">
        <f t="shared" ca="1" si="1260"/>
        <v>0</v>
      </c>
      <c r="HP260" s="388">
        <f t="shared" ca="1" si="1260"/>
        <v>0</v>
      </c>
      <c r="HQ260" s="388">
        <f t="shared" ca="1" si="1260"/>
        <v>0</v>
      </c>
      <c r="HR260" s="388">
        <f t="shared" ca="1" si="1260"/>
        <v>0</v>
      </c>
      <c r="HS260" s="388">
        <f t="shared" ca="1" si="1260"/>
        <v>0</v>
      </c>
      <c r="HT260" s="388">
        <f t="shared" ca="1" si="1260"/>
        <v>0</v>
      </c>
      <c r="HU260" s="388">
        <f t="shared" ca="1" si="1260"/>
        <v>0</v>
      </c>
      <c r="HV260" s="388">
        <f t="shared" ca="1" si="1260"/>
        <v>0</v>
      </c>
      <c r="HW260" s="388">
        <f t="shared" ca="1" si="1260"/>
        <v>0</v>
      </c>
      <c r="HX260" s="388">
        <f t="shared" ca="1" si="1260"/>
        <v>0</v>
      </c>
      <c r="HY260" s="388">
        <f t="shared" ca="1" si="1260"/>
        <v>0</v>
      </c>
      <c r="HZ260" s="388">
        <f t="shared" ca="1" si="1260"/>
        <v>0</v>
      </c>
      <c r="IA260" s="388">
        <f t="shared" ca="1" si="1260"/>
        <v>0</v>
      </c>
      <c r="IB260" s="388">
        <f t="shared" ca="1" si="1260"/>
        <v>0</v>
      </c>
      <c r="IC260" s="388">
        <f t="shared" ca="1" si="1260"/>
        <v>0</v>
      </c>
      <c r="ID260" s="388">
        <f t="shared" ca="1" si="1260"/>
        <v>0</v>
      </c>
      <c r="IE260" s="388">
        <f t="shared" ca="1" si="1260"/>
        <v>0</v>
      </c>
      <c r="IF260" s="388">
        <f t="shared" ca="1" si="1260"/>
        <v>0</v>
      </c>
      <c r="IG260" s="388">
        <f t="shared" ca="1" si="1260"/>
        <v>0</v>
      </c>
      <c r="IH260" s="388">
        <f t="shared" ca="1" si="1260"/>
        <v>0</v>
      </c>
      <c r="II260" s="388">
        <f t="shared" ca="1" si="1260"/>
        <v>0</v>
      </c>
      <c r="IJ260" s="388">
        <f t="shared" ca="1" si="1260"/>
        <v>0</v>
      </c>
      <c r="IK260" s="388">
        <f t="shared" ca="1" si="1260"/>
        <v>0</v>
      </c>
      <c r="IL260" s="388">
        <f t="shared" ca="1" si="1260"/>
        <v>0</v>
      </c>
      <c r="IM260" s="388">
        <f t="shared" ca="1" si="1260"/>
        <v>0</v>
      </c>
      <c r="IN260" s="388">
        <f t="shared" ca="1" si="1260"/>
        <v>0</v>
      </c>
      <c r="IO260" s="388">
        <f t="shared" ca="1" si="1260"/>
        <v>0</v>
      </c>
      <c r="IP260" s="388">
        <f t="shared" ca="1" si="1260"/>
        <v>0</v>
      </c>
      <c r="IQ260" s="388">
        <f t="shared" ca="1" si="1260"/>
        <v>0</v>
      </c>
      <c r="IR260" s="388">
        <f t="shared" ca="1" si="1260"/>
        <v>0</v>
      </c>
      <c r="IS260" s="388">
        <f t="shared" ref="IS260:KC260" ca="1" si="1261">(IS$201&lt;=Timing_Reversion_Month)*IR264</f>
        <v>0</v>
      </c>
      <c r="IT260" s="388">
        <f t="shared" ca="1" si="1261"/>
        <v>0</v>
      </c>
      <c r="IU260" s="388">
        <f t="shared" ca="1" si="1261"/>
        <v>0</v>
      </c>
      <c r="IV260" s="388">
        <f t="shared" ca="1" si="1261"/>
        <v>0</v>
      </c>
      <c r="IW260" s="388">
        <f t="shared" ca="1" si="1261"/>
        <v>0</v>
      </c>
      <c r="IX260" s="388">
        <f t="shared" ca="1" si="1261"/>
        <v>0</v>
      </c>
      <c r="IY260" s="388">
        <f t="shared" ca="1" si="1261"/>
        <v>0</v>
      </c>
      <c r="IZ260" s="388">
        <f t="shared" ca="1" si="1261"/>
        <v>0</v>
      </c>
      <c r="JA260" s="388">
        <f t="shared" ca="1" si="1261"/>
        <v>0</v>
      </c>
      <c r="JB260" s="388">
        <f t="shared" ca="1" si="1261"/>
        <v>0</v>
      </c>
      <c r="JC260" s="388">
        <f t="shared" ca="1" si="1261"/>
        <v>0</v>
      </c>
      <c r="JD260" s="388">
        <f t="shared" ca="1" si="1261"/>
        <v>0</v>
      </c>
      <c r="JE260" s="388">
        <f t="shared" ca="1" si="1261"/>
        <v>0</v>
      </c>
      <c r="JF260" s="388">
        <f t="shared" ca="1" si="1261"/>
        <v>0</v>
      </c>
      <c r="JG260" s="388">
        <f t="shared" ca="1" si="1261"/>
        <v>0</v>
      </c>
      <c r="JH260" s="388">
        <f t="shared" ca="1" si="1261"/>
        <v>0</v>
      </c>
      <c r="JI260" s="388">
        <f t="shared" ca="1" si="1261"/>
        <v>0</v>
      </c>
      <c r="JJ260" s="388">
        <f t="shared" ca="1" si="1261"/>
        <v>0</v>
      </c>
      <c r="JK260" s="388">
        <f t="shared" ca="1" si="1261"/>
        <v>0</v>
      </c>
      <c r="JL260" s="388">
        <f t="shared" ca="1" si="1261"/>
        <v>0</v>
      </c>
      <c r="JM260" s="388">
        <f t="shared" ca="1" si="1261"/>
        <v>0</v>
      </c>
      <c r="JN260" s="388">
        <f t="shared" ca="1" si="1261"/>
        <v>0</v>
      </c>
      <c r="JO260" s="388">
        <f t="shared" ca="1" si="1261"/>
        <v>0</v>
      </c>
      <c r="JP260" s="388">
        <f t="shared" ca="1" si="1261"/>
        <v>0</v>
      </c>
      <c r="JQ260" s="388">
        <f t="shared" ca="1" si="1261"/>
        <v>0</v>
      </c>
      <c r="JR260" s="388">
        <f t="shared" ca="1" si="1261"/>
        <v>0</v>
      </c>
      <c r="JS260" s="388">
        <f t="shared" ca="1" si="1261"/>
        <v>0</v>
      </c>
      <c r="JT260" s="388">
        <f t="shared" ca="1" si="1261"/>
        <v>0</v>
      </c>
      <c r="JU260" s="388">
        <f t="shared" ca="1" si="1261"/>
        <v>0</v>
      </c>
      <c r="JV260" s="388">
        <f t="shared" ca="1" si="1261"/>
        <v>0</v>
      </c>
      <c r="JW260" s="388">
        <f t="shared" ca="1" si="1261"/>
        <v>0</v>
      </c>
      <c r="JX260" s="388">
        <f t="shared" ca="1" si="1261"/>
        <v>0</v>
      </c>
      <c r="JY260" s="388">
        <f t="shared" ca="1" si="1261"/>
        <v>0</v>
      </c>
      <c r="JZ260" s="388">
        <f t="shared" ca="1" si="1261"/>
        <v>0</v>
      </c>
      <c r="KA260" s="388">
        <f t="shared" ca="1" si="1261"/>
        <v>0</v>
      </c>
      <c r="KB260" s="388">
        <f t="shared" ca="1" si="1261"/>
        <v>0</v>
      </c>
      <c r="KC260" s="388">
        <f t="shared" ca="1" si="1261"/>
        <v>0</v>
      </c>
    </row>
    <row r="261" spans="2:289" ht="0.6" customHeight="1" x14ac:dyDescent="0.25">
      <c r="B261" s="180" t="s">
        <v>336</v>
      </c>
      <c r="C261" s="181"/>
      <c r="D261" s="196"/>
      <c r="E261" s="196" t="s">
        <v>339</v>
      </c>
      <c r="F261" s="421">
        <f>F260</f>
        <v>0.15</v>
      </c>
      <c r="G261" s="357">
        <v>0.4</v>
      </c>
      <c r="H261" s="365">
        <f t="shared" si="1247"/>
        <v>0.46</v>
      </c>
      <c r="I261" s="346">
        <f>1-H261</f>
        <v>0.54</v>
      </c>
      <c r="Q261" s="220">
        <f t="shared" ref="Q261:AV261" ca="1" si="1262">IF(Q$231="","",FA271)</f>
        <v>0</v>
      </c>
      <c r="R261" s="220">
        <f t="shared" ca="1" si="1262"/>
        <v>0</v>
      </c>
      <c r="S261" s="220">
        <f t="shared" ca="1" si="1262"/>
        <v>0</v>
      </c>
      <c r="T261" s="220">
        <f t="shared" ca="1" si="1262"/>
        <v>0</v>
      </c>
      <c r="U261" s="220">
        <f t="shared" ca="1" si="1262"/>
        <v>0</v>
      </c>
      <c r="V261" s="220">
        <f t="shared" ca="1" si="1262"/>
        <v>0</v>
      </c>
      <c r="W261" s="220">
        <f t="shared" ca="1" si="1262"/>
        <v>0</v>
      </c>
      <c r="X261" s="220">
        <f t="shared" ca="1" si="1262"/>
        <v>0</v>
      </c>
      <c r="Y261" s="220">
        <f t="shared" ca="1" si="1262"/>
        <v>0</v>
      </c>
      <c r="Z261" s="220">
        <f t="shared" ca="1" si="1262"/>
        <v>0</v>
      </c>
      <c r="AA261" s="220">
        <f t="shared" ca="1" si="1262"/>
        <v>0</v>
      </c>
      <c r="AB261" s="220">
        <f t="shared" ca="1" si="1262"/>
        <v>0</v>
      </c>
      <c r="AC261" s="220">
        <f t="shared" ca="1" si="1262"/>
        <v>0</v>
      </c>
      <c r="AD261" s="220">
        <f t="shared" ca="1" si="1262"/>
        <v>0</v>
      </c>
      <c r="AE261" s="220">
        <f t="shared" ca="1" si="1262"/>
        <v>0</v>
      </c>
      <c r="AF261" s="220">
        <f t="shared" ca="1" si="1262"/>
        <v>0</v>
      </c>
      <c r="AG261" s="220">
        <f t="shared" ca="1" si="1262"/>
        <v>0</v>
      </c>
      <c r="AH261" s="220">
        <f t="shared" ca="1" si="1262"/>
        <v>0</v>
      </c>
      <c r="AI261" s="220">
        <f t="shared" ca="1" si="1262"/>
        <v>0</v>
      </c>
      <c r="AJ261" s="220">
        <f t="shared" ca="1" si="1262"/>
        <v>0</v>
      </c>
      <c r="AK261" s="220">
        <f t="shared" ca="1" si="1262"/>
        <v>0</v>
      </c>
      <c r="AL261" s="220">
        <f t="shared" ca="1" si="1262"/>
        <v>0</v>
      </c>
      <c r="AM261" s="220">
        <f t="shared" ca="1" si="1262"/>
        <v>0</v>
      </c>
      <c r="AN261" s="220">
        <f t="shared" ca="1" si="1262"/>
        <v>0</v>
      </c>
      <c r="AO261" s="220">
        <f t="shared" ca="1" si="1262"/>
        <v>0</v>
      </c>
      <c r="AP261" s="220">
        <f t="shared" ca="1" si="1262"/>
        <v>0</v>
      </c>
      <c r="AQ261" s="220">
        <f t="shared" ca="1" si="1262"/>
        <v>0</v>
      </c>
      <c r="AR261" s="220">
        <f t="shared" ca="1" si="1262"/>
        <v>0</v>
      </c>
      <c r="AS261" s="220">
        <f t="shared" ca="1" si="1262"/>
        <v>0</v>
      </c>
      <c r="AT261" s="220">
        <f t="shared" ca="1" si="1262"/>
        <v>0</v>
      </c>
      <c r="AU261" s="220">
        <f t="shared" ca="1" si="1262"/>
        <v>0</v>
      </c>
      <c r="AV261" s="220">
        <f t="shared" ca="1" si="1262"/>
        <v>0</v>
      </c>
      <c r="AW261" s="220">
        <f t="shared" ref="AW261:CB261" ca="1" si="1263">IF(AW$231="","",GG271)</f>
        <v>0</v>
      </c>
      <c r="AX261" s="220">
        <f t="shared" ca="1" si="1263"/>
        <v>0</v>
      </c>
      <c r="AY261" s="220">
        <f t="shared" ca="1" si="1263"/>
        <v>0</v>
      </c>
      <c r="AZ261" s="220">
        <f t="shared" ca="1" si="1263"/>
        <v>0</v>
      </c>
      <c r="BA261" s="220">
        <f t="shared" ca="1" si="1263"/>
        <v>0</v>
      </c>
      <c r="BB261" s="220" t="str">
        <f t="shared" si="1263"/>
        <v/>
      </c>
      <c r="BC261" s="220" t="str">
        <f t="shared" si="1263"/>
        <v/>
      </c>
      <c r="BD261" s="220" t="str">
        <f t="shared" si="1263"/>
        <v/>
      </c>
      <c r="BE261" s="220" t="str">
        <f t="shared" si="1263"/>
        <v/>
      </c>
      <c r="BF261" s="220" t="str">
        <f t="shared" si="1263"/>
        <v/>
      </c>
      <c r="BG261" s="220" t="str">
        <f t="shared" si="1263"/>
        <v/>
      </c>
      <c r="BH261" s="220" t="str">
        <f t="shared" si="1263"/>
        <v/>
      </c>
      <c r="BI261" s="220" t="str">
        <f t="shared" si="1263"/>
        <v/>
      </c>
      <c r="BJ261" s="220" t="str">
        <f t="shared" si="1263"/>
        <v/>
      </c>
      <c r="BK261" s="220" t="str">
        <f t="shared" si="1263"/>
        <v/>
      </c>
      <c r="BL261" s="220" t="str">
        <f t="shared" si="1263"/>
        <v/>
      </c>
      <c r="BM261" s="220" t="str">
        <f t="shared" si="1263"/>
        <v/>
      </c>
      <c r="BN261" s="220" t="str">
        <f t="shared" si="1263"/>
        <v/>
      </c>
      <c r="BO261" s="220" t="str">
        <f t="shared" si="1263"/>
        <v/>
      </c>
      <c r="BP261" s="220" t="str">
        <f t="shared" si="1263"/>
        <v/>
      </c>
      <c r="BQ261" s="220" t="str">
        <f t="shared" si="1263"/>
        <v/>
      </c>
      <c r="BR261" s="220" t="str">
        <f t="shared" si="1263"/>
        <v/>
      </c>
      <c r="BS261" s="220" t="str">
        <f t="shared" si="1263"/>
        <v/>
      </c>
      <c r="BT261" s="220" t="str">
        <f t="shared" si="1263"/>
        <v/>
      </c>
      <c r="BU261" s="220" t="str">
        <f t="shared" si="1263"/>
        <v/>
      </c>
      <c r="BV261" s="220" t="str">
        <f t="shared" si="1263"/>
        <v/>
      </c>
      <c r="BW261" s="220" t="str">
        <f t="shared" si="1263"/>
        <v/>
      </c>
      <c r="BX261" s="220" t="str">
        <f t="shared" si="1263"/>
        <v/>
      </c>
      <c r="BY261" s="220" t="str">
        <f t="shared" si="1263"/>
        <v/>
      </c>
      <c r="BZ261" s="220" t="str">
        <f t="shared" si="1263"/>
        <v/>
      </c>
      <c r="CA261" s="220" t="str">
        <f t="shared" si="1263"/>
        <v/>
      </c>
      <c r="CB261" s="220" t="str">
        <f t="shared" si="1263"/>
        <v/>
      </c>
      <c r="CC261" s="220" t="str">
        <f t="shared" ref="CC261:DH261" si="1264">IF(CC$231="","",HM271)</f>
        <v/>
      </c>
      <c r="CD261" s="220" t="str">
        <f t="shared" si="1264"/>
        <v/>
      </c>
      <c r="CE261" s="220" t="str">
        <f t="shared" si="1264"/>
        <v/>
      </c>
      <c r="CF261" s="220" t="str">
        <f t="shared" si="1264"/>
        <v/>
      </c>
      <c r="CG261" s="220" t="str">
        <f t="shared" si="1264"/>
        <v/>
      </c>
      <c r="CH261" s="220" t="str">
        <f t="shared" si="1264"/>
        <v/>
      </c>
      <c r="CI261" s="220" t="str">
        <f t="shared" si="1264"/>
        <v/>
      </c>
      <c r="CJ261" s="220" t="str">
        <f t="shared" si="1264"/>
        <v/>
      </c>
      <c r="CK261" s="220" t="str">
        <f t="shared" si="1264"/>
        <v/>
      </c>
      <c r="CL261" s="220" t="str">
        <f t="shared" si="1264"/>
        <v/>
      </c>
      <c r="CM261" s="220" t="str">
        <f t="shared" si="1264"/>
        <v/>
      </c>
      <c r="CN261" s="220" t="str">
        <f t="shared" si="1264"/>
        <v/>
      </c>
      <c r="CO261" s="220" t="str">
        <f t="shared" si="1264"/>
        <v/>
      </c>
      <c r="CP261" s="220" t="str">
        <f t="shared" si="1264"/>
        <v/>
      </c>
      <c r="CQ261" s="220" t="str">
        <f t="shared" si="1264"/>
        <v/>
      </c>
      <c r="CR261" s="220" t="str">
        <f t="shared" si="1264"/>
        <v/>
      </c>
      <c r="CS261" s="220" t="str">
        <f t="shared" si="1264"/>
        <v/>
      </c>
      <c r="CT261" s="220" t="str">
        <f t="shared" si="1264"/>
        <v/>
      </c>
      <c r="CU261" s="220" t="str">
        <f t="shared" si="1264"/>
        <v/>
      </c>
      <c r="CV261" s="220" t="str">
        <f t="shared" si="1264"/>
        <v/>
      </c>
      <c r="CW261" s="220" t="str">
        <f t="shared" si="1264"/>
        <v/>
      </c>
      <c r="CX261" s="220" t="str">
        <f t="shared" si="1264"/>
        <v/>
      </c>
      <c r="CY261" s="220" t="str">
        <f t="shared" si="1264"/>
        <v/>
      </c>
      <c r="CZ261" s="220" t="str">
        <f t="shared" si="1264"/>
        <v/>
      </c>
      <c r="DA261" s="220" t="str">
        <f t="shared" si="1264"/>
        <v/>
      </c>
      <c r="DB261" s="220" t="str">
        <f t="shared" si="1264"/>
        <v/>
      </c>
      <c r="DC261" s="220" t="str">
        <f t="shared" si="1264"/>
        <v/>
      </c>
      <c r="DD261" s="220" t="str">
        <f t="shared" si="1264"/>
        <v/>
      </c>
      <c r="DE261" s="220" t="str">
        <f t="shared" si="1264"/>
        <v/>
      </c>
      <c r="DF261" s="220" t="str">
        <f t="shared" si="1264"/>
        <v/>
      </c>
      <c r="DG261" s="220" t="str">
        <f t="shared" si="1264"/>
        <v/>
      </c>
      <c r="DH261" s="220" t="str">
        <f t="shared" si="1264"/>
        <v/>
      </c>
      <c r="DI261" s="220" t="str">
        <f t="shared" ref="DI261:EN261" si="1265">IF(DI$231="","",IS271)</f>
        <v/>
      </c>
      <c r="DJ261" s="220" t="str">
        <f t="shared" si="1265"/>
        <v/>
      </c>
      <c r="DK261" s="220" t="str">
        <f t="shared" si="1265"/>
        <v/>
      </c>
      <c r="DL261" s="220" t="str">
        <f t="shared" si="1265"/>
        <v/>
      </c>
      <c r="DM261" s="220" t="str">
        <f t="shared" si="1265"/>
        <v/>
      </c>
      <c r="DN261" s="220" t="str">
        <f t="shared" si="1265"/>
        <v/>
      </c>
      <c r="DO261" s="220" t="str">
        <f t="shared" si="1265"/>
        <v/>
      </c>
      <c r="DP261" s="220" t="str">
        <f t="shared" si="1265"/>
        <v/>
      </c>
      <c r="DQ261" s="220" t="str">
        <f t="shared" si="1265"/>
        <v/>
      </c>
      <c r="DR261" s="220" t="str">
        <f t="shared" si="1265"/>
        <v/>
      </c>
      <c r="DS261" s="220" t="str">
        <f t="shared" si="1265"/>
        <v/>
      </c>
      <c r="DT261" s="220" t="str">
        <f t="shared" si="1265"/>
        <v/>
      </c>
      <c r="DU261" s="220" t="str">
        <f t="shared" si="1265"/>
        <v/>
      </c>
      <c r="DV261" s="220" t="str">
        <f t="shared" si="1265"/>
        <v/>
      </c>
      <c r="DW261" s="220" t="str">
        <f t="shared" si="1265"/>
        <v/>
      </c>
      <c r="DX261" s="220" t="str">
        <f t="shared" si="1265"/>
        <v/>
      </c>
      <c r="DY261" s="220" t="str">
        <f t="shared" si="1265"/>
        <v/>
      </c>
      <c r="DZ261" s="220" t="str">
        <f t="shared" si="1265"/>
        <v/>
      </c>
      <c r="EA261" s="220" t="str">
        <f t="shared" si="1265"/>
        <v/>
      </c>
      <c r="EB261" s="220" t="str">
        <f t="shared" si="1265"/>
        <v/>
      </c>
      <c r="EC261" s="220" t="str">
        <f t="shared" si="1265"/>
        <v/>
      </c>
      <c r="ED261" s="220" t="str">
        <f t="shared" si="1265"/>
        <v/>
      </c>
      <c r="EE261" s="220" t="str">
        <f t="shared" si="1265"/>
        <v/>
      </c>
      <c r="EF261" s="220" t="str">
        <f t="shared" si="1265"/>
        <v/>
      </c>
      <c r="EG261" s="220" t="str">
        <f t="shared" si="1265"/>
        <v/>
      </c>
      <c r="EH261" s="220" t="str">
        <f t="shared" si="1265"/>
        <v/>
      </c>
      <c r="EI261" s="220" t="str">
        <f t="shared" si="1265"/>
        <v/>
      </c>
      <c r="EJ261" s="220" t="str">
        <f t="shared" si="1265"/>
        <v/>
      </c>
      <c r="EK261" s="220" t="str">
        <f t="shared" si="1265"/>
        <v/>
      </c>
      <c r="EL261" s="220" t="str">
        <f t="shared" si="1265"/>
        <v/>
      </c>
      <c r="EM261" s="220" t="str">
        <f t="shared" si="1265"/>
        <v/>
      </c>
      <c r="EN261" s="220" t="str">
        <f t="shared" si="1265"/>
        <v/>
      </c>
      <c r="EO261" s="220" t="str">
        <f>IF(EO$231="","",JY271)</f>
        <v/>
      </c>
      <c r="EP261" s="220" t="str">
        <f>IF(EP$231="","",JZ271)</f>
        <v/>
      </c>
      <c r="EQ261" s="220" t="str">
        <f>IF(EQ$231="","",KA271)</f>
        <v/>
      </c>
      <c r="ER261" s="220" t="str">
        <f>IF(ER$231="","",KB271)</f>
        <v/>
      </c>
      <c r="ES261" s="220" t="str">
        <f>IF(ES$231="","",KC271)</f>
        <v/>
      </c>
      <c r="EU261" s="202"/>
      <c r="EV261" s="153"/>
      <c r="EW261" s="153"/>
      <c r="EX261" s="153"/>
      <c r="EY261" s="154" t="s">
        <v>376</v>
      </c>
      <c r="EZ261" s="154"/>
      <c r="FA261" s="388">
        <f t="shared" ref="FA261:GF261" si="1266">(FA$201&lt;=Timing_Reversion_Month)*(FA260*((1+$EU262)^(1/12)-1))</f>
        <v>0</v>
      </c>
      <c r="FB261" s="388">
        <f t="shared" ca="1" si="1266"/>
        <v>8671.9973739935449</v>
      </c>
      <c r="FC261" s="388">
        <f t="shared" ca="1" si="1266"/>
        <v>8951.1499598261635</v>
      </c>
      <c r="FD261" s="388">
        <f t="shared" ca="1" si="1266"/>
        <v>9609.5936707187266</v>
      </c>
      <c r="FE261" s="388">
        <f t="shared" ca="1" si="1266"/>
        <v>11161.55558187833</v>
      </c>
      <c r="FF261" s="388">
        <f t="shared" ca="1" si="1266"/>
        <v>14270.168761551135</v>
      </c>
      <c r="FG261" s="388">
        <f t="shared" ca="1" si="1266"/>
        <v>17649.232079269364</v>
      </c>
      <c r="FH261" s="388">
        <f t="shared" ca="1" si="1266"/>
        <v>17855.991366777216</v>
      </c>
      <c r="FI261" s="388">
        <f t="shared" ca="1" si="1266"/>
        <v>18065.172822160628</v>
      </c>
      <c r="FJ261" s="388">
        <f t="shared" ca="1" si="1266"/>
        <v>18276.804820915033</v>
      </c>
      <c r="FK261" s="388">
        <f t="shared" ca="1" si="1266"/>
        <v>18490.916070952426</v>
      </c>
      <c r="FL261" s="388">
        <f t="shared" ca="1" si="1266"/>
        <v>18707.535616495614</v>
      </c>
      <c r="FM261" s="388">
        <f t="shared" ca="1" si="1266"/>
        <v>18926.692842018059</v>
      </c>
      <c r="FN261" s="388">
        <f t="shared" ca="1" si="1266"/>
        <v>19139.408277524053</v>
      </c>
      <c r="FO261" s="388">
        <f t="shared" ca="1" si="1266"/>
        <v>19248.396578190484</v>
      </c>
      <c r="FP261" s="388">
        <f t="shared" ca="1" si="1266"/>
        <v>19266.63615923834</v>
      </c>
      <c r="FQ261" s="388">
        <f t="shared" ca="1" si="1266"/>
        <v>19457.652251641099</v>
      </c>
      <c r="FR261" s="388">
        <f t="shared" ca="1" si="1266"/>
        <v>19650.90608169671</v>
      </c>
      <c r="FS261" s="388">
        <f t="shared" ca="1" si="1266"/>
        <v>19846.423864315868</v>
      </c>
      <c r="FT261" s="388">
        <f t="shared" ca="1" si="1266"/>
        <v>20044.232121514764</v>
      </c>
      <c r="FU261" s="388">
        <f t="shared" ca="1" si="1266"/>
        <v>20244.357686012805</v>
      </c>
      <c r="FV261" s="388">
        <f t="shared" ca="1" si="1266"/>
        <v>20446.827704872478</v>
      </c>
      <c r="FW261" s="388">
        <f t="shared" ca="1" si="1266"/>
        <v>20651.669643181853</v>
      </c>
      <c r="FX261" s="388">
        <f t="shared" ca="1" si="1266"/>
        <v>20858.911287780222</v>
      </c>
      <c r="FY261" s="388">
        <f t="shared" ca="1" si="1266"/>
        <v>21068.580751027399</v>
      </c>
      <c r="FZ261" s="388">
        <f t="shared" ca="1" si="1266"/>
        <v>21290.912818105735</v>
      </c>
      <c r="GA261" s="388">
        <f t="shared" ca="1" si="1266"/>
        <v>21512.595205964804</v>
      </c>
      <c r="GB261" s="388">
        <f t="shared" ca="1" si="1266"/>
        <v>21733.620303666536</v>
      </c>
      <c r="GC261" s="388">
        <f t="shared" ca="1" si="1266"/>
        <v>21957.234692025038</v>
      </c>
      <c r="GD261" s="388">
        <f t="shared" ca="1" si="1266"/>
        <v>22183.468704365248</v>
      </c>
      <c r="GE261" s="388">
        <f t="shared" ca="1" si="1266"/>
        <v>22412.353029364469</v>
      </c>
      <c r="GF261" s="388">
        <f t="shared" ca="1" si="1266"/>
        <v>22643.918715215314</v>
      </c>
      <c r="GG261" s="388">
        <f t="shared" ref="GG261:HL261" ca="1" si="1267">(GG$201&lt;=Timing_Reversion_Month)*(GG260*((1+$EU262)^(1/12)-1))</f>
        <v>22878.19717383739</v>
      </c>
      <c r="GH261" s="388">
        <f t="shared" ca="1" si="1267"/>
        <v>23115.220185138332</v>
      </c>
      <c r="GI261" s="388">
        <f t="shared" ca="1" si="1267"/>
        <v>23355.019901324762</v>
      </c>
      <c r="GJ261" s="388">
        <f t="shared" ca="1" si="1267"/>
        <v>23597.628851263718</v>
      </c>
      <c r="GK261" s="388">
        <f t="shared" ca="1" si="1267"/>
        <v>23843.079944895224</v>
      </c>
      <c r="GL261" s="388">
        <f t="shared" ca="1" si="1267"/>
        <v>0</v>
      </c>
      <c r="GM261" s="388">
        <f t="shared" ca="1" si="1267"/>
        <v>0</v>
      </c>
      <c r="GN261" s="388">
        <f t="shared" ca="1" si="1267"/>
        <v>0</v>
      </c>
      <c r="GO261" s="388">
        <f t="shared" ca="1" si="1267"/>
        <v>0</v>
      </c>
      <c r="GP261" s="388">
        <f t="shared" ca="1" si="1267"/>
        <v>0</v>
      </c>
      <c r="GQ261" s="388">
        <f t="shared" ca="1" si="1267"/>
        <v>0</v>
      </c>
      <c r="GR261" s="388">
        <f t="shared" ca="1" si="1267"/>
        <v>0</v>
      </c>
      <c r="GS261" s="388">
        <f t="shared" ca="1" si="1267"/>
        <v>0</v>
      </c>
      <c r="GT261" s="388">
        <f t="shared" ca="1" si="1267"/>
        <v>0</v>
      </c>
      <c r="GU261" s="388">
        <f t="shared" ca="1" si="1267"/>
        <v>0</v>
      </c>
      <c r="GV261" s="388">
        <f t="shared" ca="1" si="1267"/>
        <v>0</v>
      </c>
      <c r="GW261" s="388">
        <f t="shared" ca="1" si="1267"/>
        <v>0</v>
      </c>
      <c r="GX261" s="388">
        <f t="shared" ca="1" si="1267"/>
        <v>0</v>
      </c>
      <c r="GY261" s="388">
        <f t="shared" ca="1" si="1267"/>
        <v>0</v>
      </c>
      <c r="GZ261" s="388">
        <f t="shared" ca="1" si="1267"/>
        <v>0</v>
      </c>
      <c r="HA261" s="388">
        <f t="shared" ca="1" si="1267"/>
        <v>0</v>
      </c>
      <c r="HB261" s="388">
        <f t="shared" ca="1" si="1267"/>
        <v>0</v>
      </c>
      <c r="HC261" s="388">
        <f t="shared" ca="1" si="1267"/>
        <v>0</v>
      </c>
      <c r="HD261" s="388">
        <f t="shared" ca="1" si="1267"/>
        <v>0</v>
      </c>
      <c r="HE261" s="388">
        <f t="shared" ca="1" si="1267"/>
        <v>0</v>
      </c>
      <c r="HF261" s="388">
        <f t="shared" ca="1" si="1267"/>
        <v>0</v>
      </c>
      <c r="HG261" s="388">
        <f t="shared" ca="1" si="1267"/>
        <v>0</v>
      </c>
      <c r="HH261" s="388">
        <f t="shared" ca="1" si="1267"/>
        <v>0</v>
      </c>
      <c r="HI261" s="388">
        <f t="shared" ca="1" si="1267"/>
        <v>0</v>
      </c>
      <c r="HJ261" s="388">
        <f t="shared" ca="1" si="1267"/>
        <v>0</v>
      </c>
      <c r="HK261" s="388">
        <f t="shared" ca="1" si="1267"/>
        <v>0</v>
      </c>
      <c r="HL261" s="388">
        <f t="shared" ca="1" si="1267"/>
        <v>0</v>
      </c>
      <c r="HM261" s="388">
        <f t="shared" ref="HM261:IR261" ca="1" si="1268">(HM$201&lt;=Timing_Reversion_Month)*(HM260*((1+$EU262)^(1/12)-1))</f>
        <v>0</v>
      </c>
      <c r="HN261" s="388">
        <f t="shared" ca="1" si="1268"/>
        <v>0</v>
      </c>
      <c r="HO261" s="388">
        <f t="shared" ca="1" si="1268"/>
        <v>0</v>
      </c>
      <c r="HP261" s="388">
        <f t="shared" ca="1" si="1268"/>
        <v>0</v>
      </c>
      <c r="HQ261" s="388">
        <f t="shared" ca="1" si="1268"/>
        <v>0</v>
      </c>
      <c r="HR261" s="388">
        <f t="shared" ca="1" si="1268"/>
        <v>0</v>
      </c>
      <c r="HS261" s="388">
        <f t="shared" ca="1" si="1268"/>
        <v>0</v>
      </c>
      <c r="HT261" s="388">
        <f t="shared" ca="1" si="1268"/>
        <v>0</v>
      </c>
      <c r="HU261" s="388">
        <f t="shared" ca="1" si="1268"/>
        <v>0</v>
      </c>
      <c r="HV261" s="388">
        <f t="shared" ca="1" si="1268"/>
        <v>0</v>
      </c>
      <c r="HW261" s="388">
        <f t="shared" ca="1" si="1268"/>
        <v>0</v>
      </c>
      <c r="HX261" s="388">
        <f t="shared" ca="1" si="1268"/>
        <v>0</v>
      </c>
      <c r="HY261" s="388">
        <f t="shared" ca="1" si="1268"/>
        <v>0</v>
      </c>
      <c r="HZ261" s="388">
        <f t="shared" ca="1" si="1268"/>
        <v>0</v>
      </c>
      <c r="IA261" s="388">
        <f t="shared" ca="1" si="1268"/>
        <v>0</v>
      </c>
      <c r="IB261" s="388">
        <f t="shared" ca="1" si="1268"/>
        <v>0</v>
      </c>
      <c r="IC261" s="388">
        <f t="shared" ca="1" si="1268"/>
        <v>0</v>
      </c>
      <c r="ID261" s="388">
        <f t="shared" ca="1" si="1268"/>
        <v>0</v>
      </c>
      <c r="IE261" s="388">
        <f t="shared" ca="1" si="1268"/>
        <v>0</v>
      </c>
      <c r="IF261" s="388">
        <f t="shared" ca="1" si="1268"/>
        <v>0</v>
      </c>
      <c r="IG261" s="388">
        <f t="shared" ca="1" si="1268"/>
        <v>0</v>
      </c>
      <c r="IH261" s="388">
        <f t="shared" ca="1" si="1268"/>
        <v>0</v>
      </c>
      <c r="II261" s="388">
        <f t="shared" ca="1" si="1268"/>
        <v>0</v>
      </c>
      <c r="IJ261" s="388">
        <f t="shared" ca="1" si="1268"/>
        <v>0</v>
      </c>
      <c r="IK261" s="388">
        <f t="shared" ca="1" si="1268"/>
        <v>0</v>
      </c>
      <c r="IL261" s="388">
        <f t="shared" ca="1" si="1268"/>
        <v>0</v>
      </c>
      <c r="IM261" s="388">
        <f t="shared" ca="1" si="1268"/>
        <v>0</v>
      </c>
      <c r="IN261" s="388">
        <f t="shared" ca="1" si="1268"/>
        <v>0</v>
      </c>
      <c r="IO261" s="388">
        <f t="shared" ca="1" si="1268"/>
        <v>0</v>
      </c>
      <c r="IP261" s="388">
        <f t="shared" ca="1" si="1268"/>
        <v>0</v>
      </c>
      <c r="IQ261" s="388">
        <f t="shared" ca="1" si="1268"/>
        <v>0</v>
      </c>
      <c r="IR261" s="388">
        <f t="shared" ca="1" si="1268"/>
        <v>0</v>
      </c>
      <c r="IS261" s="388">
        <f t="shared" ref="IS261:JX261" ca="1" si="1269">(IS$201&lt;=Timing_Reversion_Month)*(IS260*((1+$EU262)^(1/12)-1))</f>
        <v>0</v>
      </c>
      <c r="IT261" s="388">
        <f t="shared" ca="1" si="1269"/>
        <v>0</v>
      </c>
      <c r="IU261" s="388">
        <f t="shared" ca="1" si="1269"/>
        <v>0</v>
      </c>
      <c r="IV261" s="388">
        <f t="shared" ca="1" si="1269"/>
        <v>0</v>
      </c>
      <c r="IW261" s="388">
        <f t="shared" ca="1" si="1269"/>
        <v>0</v>
      </c>
      <c r="IX261" s="388">
        <f t="shared" ca="1" si="1269"/>
        <v>0</v>
      </c>
      <c r="IY261" s="388">
        <f t="shared" ca="1" si="1269"/>
        <v>0</v>
      </c>
      <c r="IZ261" s="388">
        <f t="shared" ca="1" si="1269"/>
        <v>0</v>
      </c>
      <c r="JA261" s="388">
        <f t="shared" ca="1" si="1269"/>
        <v>0</v>
      </c>
      <c r="JB261" s="388">
        <f t="shared" ca="1" si="1269"/>
        <v>0</v>
      </c>
      <c r="JC261" s="388">
        <f t="shared" ca="1" si="1269"/>
        <v>0</v>
      </c>
      <c r="JD261" s="388">
        <f t="shared" ca="1" si="1269"/>
        <v>0</v>
      </c>
      <c r="JE261" s="388">
        <f t="shared" ca="1" si="1269"/>
        <v>0</v>
      </c>
      <c r="JF261" s="388">
        <f t="shared" ca="1" si="1269"/>
        <v>0</v>
      </c>
      <c r="JG261" s="388">
        <f t="shared" ca="1" si="1269"/>
        <v>0</v>
      </c>
      <c r="JH261" s="388">
        <f t="shared" ca="1" si="1269"/>
        <v>0</v>
      </c>
      <c r="JI261" s="388">
        <f t="shared" ca="1" si="1269"/>
        <v>0</v>
      </c>
      <c r="JJ261" s="388">
        <f t="shared" ca="1" si="1269"/>
        <v>0</v>
      </c>
      <c r="JK261" s="388">
        <f t="shared" ca="1" si="1269"/>
        <v>0</v>
      </c>
      <c r="JL261" s="388">
        <f t="shared" ca="1" si="1269"/>
        <v>0</v>
      </c>
      <c r="JM261" s="388">
        <f t="shared" ca="1" si="1269"/>
        <v>0</v>
      </c>
      <c r="JN261" s="388">
        <f t="shared" ca="1" si="1269"/>
        <v>0</v>
      </c>
      <c r="JO261" s="388">
        <f t="shared" ca="1" si="1269"/>
        <v>0</v>
      </c>
      <c r="JP261" s="388">
        <f t="shared" ca="1" si="1269"/>
        <v>0</v>
      </c>
      <c r="JQ261" s="388">
        <f t="shared" ca="1" si="1269"/>
        <v>0</v>
      </c>
      <c r="JR261" s="388">
        <f t="shared" ca="1" si="1269"/>
        <v>0</v>
      </c>
      <c r="JS261" s="388">
        <f t="shared" ca="1" si="1269"/>
        <v>0</v>
      </c>
      <c r="JT261" s="388">
        <f t="shared" ca="1" si="1269"/>
        <v>0</v>
      </c>
      <c r="JU261" s="388">
        <f t="shared" ca="1" si="1269"/>
        <v>0</v>
      </c>
      <c r="JV261" s="388">
        <f t="shared" ca="1" si="1269"/>
        <v>0</v>
      </c>
      <c r="JW261" s="388">
        <f t="shared" ca="1" si="1269"/>
        <v>0</v>
      </c>
      <c r="JX261" s="388">
        <f t="shared" ca="1" si="1269"/>
        <v>0</v>
      </c>
      <c r="JY261" s="388">
        <f t="shared" ref="JY261:KC261" ca="1" si="1270">(JY$201&lt;=Timing_Reversion_Month)*(JY260*((1+$EU262)^(1/12)-1))</f>
        <v>0</v>
      </c>
      <c r="JZ261" s="388">
        <f t="shared" ca="1" si="1270"/>
        <v>0</v>
      </c>
      <c r="KA261" s="388">
        <f t="shared" ca="1" si="1270"/>
        <v>0</v>
      </c>
      <c r="KB261" s="388">
        <f t="shared" ca="1" si="1270"/>
        <v>0</v>
      </c>
      <c r="KC261" s="388">
        <f t="shared" ca="1" si="1270"/>
        <v>0</v>
      </c>
    </row>
    <row r="262" spans="2:289" ht="0.6" customHeight="1" x14ac:dyDescent="0.25">
      <c r="B262" s="180"/>
      <c r="C262" s="181"/>
      <c r="D262" s="181"/>
      <c r="E262" s="181"/>
      <c r="F262" s="181"/>
      <c r="G262" s="181"/>
      <c r="H262" s="181"/>
      <c r="I262" s="181"/>
      <c r="EU262" s="362">
        <f>F260</f>
        <v>0.15</v>
      </c>
      <c r="EV262" s="153" t="s">
        <v>351</v>
      </c>
      <c r="EW262" s="153"/>
      <c r="EX262" s="153"/>
      <c r="EY262" s="154" t="s">
        <v>357</v>
      </c>
      <c r="EZ262" s="154"/>
      <c r="FA262" s="388">
        <f ca="1">FA245+FA254</f>
        <v>0</v>
      </c>
      <c r="FB262" s="388">
        <f t="shared" ref="FB262:HM262" ca="1" si="1271">FB245+FB254</f>
        <v>0</v>
      </c>
      <c r="FC262" s="388">
        <f t="shared" ca="1" si="1271"/>
        <v>0</v>
      </c>
      <c r="FD262" s="388">
        <f t="shared" ca="1" si="1271"/>
        <v>0</v>
      </c>
      <c r="FE262" s="388">
        <f t="shared" ca="1" si="1271"/>
        <v>0</v>
      </c>
      <c r="FF262" s="388">
        <f t="shared" ca="1" si="1271"/>
        <v>0</v>
      </c>
      <c r="FG262" s="388">
        <f t="shared" ca="1" si="1271"/>
        <v>0</v>
      </c>
      <c r="FH262" s="388">
        <f t="shared" ca="1" si="1271"/>
        <v>0</v>
      </c>
      <c r="FI262" s="388">
        <f t="shared" ca="1" si="1271"/>
        <v>0</v>
      </c>
      <c r="FJ262" s="388">
        <f t="shared" ca="1" si="1271"/>
        <v>0</v>
      </c>
      <c r="FK262" s="388">
        <f t="shared" ca="1" si="1271"/>
        <v>0</v>
      </c>
      <c r="FL262" s="388">
        <f t="shared" ca="1" si="1271"/>
        <v>0</v>
      </c>
      <c r="FM262" s="388">
        <f t="shared" ca="1" si="1271"/>
        <v>769.03649999999936</v>
      </c>
      <c r="FN262" s="388">
        <f t="shared" ca="1" si="1271"/>
        <v>9836.0302499999998</v>
      </c>
      <c r="FO262" s="388">
        <f t="shared" ca="1" si="1271"/>
        <v>17691.443065618256</v>
      </c>
      <c r="FP262" s="388">
        <f t="shared" ca="1" si="1271"/>
        <v>2961.2629577399553</v>
      </c>
      <c r="FQ262" s="388">
        <f t="shared" ca="1" si="1271"/>
        <v>2961.2629577399553</v>
      </c>
      <c r="FR262" s="388">
        <f t="shared" ca="1" si="1271"/>
        <v>2961.2629577399553</v>
      </c>
      <c r="FS262" s="388">
        <f t="shared" ca="1" si="1271"/>
        <v>2961.2629577399553</v>
      </c>
      <c r="FT262" s="388">
        <f t="shared" ca="1" si="1271"/>
        <v>2961.2629577399553</v>
      </c>
      <c r="FU262" s="388">
        <f t="shared" ca="1" si="1271"/>
        <v>2961.2629577399553</v>
      </c>
      <c r="FV262" s="388">
        <f t="shared" ca="1" si="1271"/>
        <v>2961.2629577399553</v>
      </c>
      <c r="FW262" s="388">
        <f t="shared" ca="1" si="1271"/>
        <v>2961.2629577399553</v>
      </c>
      <c r="FX262" s="388">
        <f t="shared" ca="1" si="1271"/>
        <v>2961.2629577399553</v>
      </c>
      <c r="FY262" s="388">
        <f t="shared" ca="1" si="1271"/>
        <v>2090.0366777399513</v>
      </c>
      <c r="FZ262" s="388">
        <f t="shared" ca="1" si="1271"/>
        <v>2367.8261777399571</v>
      </c>
      <c r="GA262" s="388">
        <f t="shared" ca="1" si="1271"/>
        <v>2645.615677739956</v>
      </c>
      <c r="GB262" s="388">
        <f t="shared" ca="1" si="1271"/>
        <v>2645.615677739956</v>
      </c>
      <c r="GC262" s="388">
        <f t="shared" ca="1" si="1271"/>
        <v>2645.615677739956</v>
      </c>
      <c r="GD262" s="388">
        <f t="shared" ca="1" si="1271"/>
        <v>2645.615677739956</v>
      </c>
      <c r="GE262" s="388">
        <f t="shared" ca="1" si="1271"/>
        <v>2645.615677739956</v>
      </c>
      <c r="GF262" s="388">
        <f t="shared" ca="1" si="1271"/>
        <v>2645.615677739956</v>
      </c>
      <c r="GG262" s="388">
        <f t="shared" ca="1" si="1271"/>
        <v>2645.615677739956</v>
      </c>
      <c r="GH262" s="388">
        <f t="shared" ca="1" si="1271"/>
        <v>2645.615677739956</v>
      </c>
      <c r="GI262" s="388">
        <f t="shared" ca="1" si="1271"/>
        <v>2645.615677739956</v>
      </c>
      <c r="GJ262" s="388">
        <f t="shared" ca="1" si="1271"/>
        <v>2645.615677739956</v>
      </c>
      <c r="GK262" s="388">
        <f t="shared" ca="1" si="1271"/>
        <v>1644733.928300313</v>
      </c>
      <c r="GL262" s="388">
        <f t="shared" ca="1" si="1271"/>
        <v>0</v>
      </c>
      <c r="GM262" s="388">
        <f t="shared" ca="1" si="1271"/>
        <v>0</v>
      </c>
      <c r="GN262" s="388">
        <f t="shared" ca="1" si="1271"/>
        <v>0</v>
      </c>
      <c r="GO262" s="388">
        <f t="shared" ca="1" si="1271"/>
        <v>0</v>
      </c>
      <c r="GP262" s="388">
        <f t="shared" ca="1" si="1271"/>
        <v>0</v>
      </c>
      <c r="GQ262" s="388">
        <f t="shared" ca="1" si="1271"/>
        <v>0</v>
      </c>
      <c r="GR262" s="388">
        <f t="shared" ca="1" si="1271"/>
        <v>0</v>
      </c>
      <c r="GS262" s="388">
        <f t="shared" ca="1" si="1271"/>
        <v>0</v>
      </c>
      <c r="GT262" s="388">
        <f t="shared" ca="1" si="1271"/>
        <v>0</v>
      </c>
      <c r="GU262" s="388">
        <f t="shared" ca="1" si="1271"/>
        <v>0</v>
      </c>
      <c r="GV262" s="388">
        <f t="shared" ca="1" si="1271"/>
        <v>0</v>
      </c>
      <c r="GW262" s="388">
        <f t="shared" ca="1" si="1271"/>
        <v>0</v>
      </c>
      <c r="GX262" s="388">
        <f t="shared" ca="1" si="1271"/>
        <v>0</v>
      </c>
      <c r="GY262" s="388">
        <f t="shared" ca="1" si="1271"/>
        <v>0</v>
      </c>
      <c r="GZ262" s="388">
        <f t="shared" ca="1" si="1271"/>
        <v>0</v>
      </c>
      <c r="HA262" s="388">
        <f t="shared" ca="1" si="1271"/>
        <v>0</v>
      </c>
      <c r="HB262" s="388">
        <f t="shared" ca="1" si="1271"/>
        <v>0</v>
      </c>
      <c r="HC262" s="388">
        <f t="shared" ca="1" si="1271"/>
        <v>0</v>
      </c>
      <c r="HD262" s="388">
        <f t="shared" ca="1" si="1271"/>
        <v>0</v>
      </c>
      <c r="HE262" s="388">
        <f t="shared" ca="1" si="1271"/>
        <v>0</v>
      </c>
      <c r="HF262" s="388">
        <f t="shared" ca="1" si="1271"/>
        <v>0</v>
      </c>
      <c r="HG262" s="388">
        <f t="shared" ca="1" si="1271"/>
        <v>0</v>
      </c>
      <c r="HH262" s="388">
        <f t="shared" ca="1" si="1271"/>
        <v>0</v>
      </c>
      <c r="HI262" s="388">
        <f t="shared" ca="1" si="1271"/>
        <v>0</v>
      </c>
      <c r="HJ262" s="388">
        <f t="shared" ca="1" si="1271"/>
        <v>0</v>
      </c>
      <c r="HK262" s="388">
        <f t="shared" ca="1" si="1271"/>
        <v>0</v>
      </c>
      <c r="HL262" s="388">
        <f t="shared" ca="1" si="1271"/>
        <v>0</v>
      </c>
      <c r="HM262" s="388">
        <f t="shared" ca="1" si="1271"/>
        <v>0</v>
      </c>
      <c r="HN262" s="388">
        <f t="shared" ref="HN262:JY262" ca="1" si="1272">HN245+HN254</f>
        <v>0</v>
      </c>
      <c r="HO262" s="388">
        <f t="shared" ca="1" si="1272"/>
        <v>0</v>
      </c>
      <c r="HP262" s="388">
        <f t="shared" ca="1" si="1272"/>
        <v>0</v>
      </c>
      <c r="HQ262" s="388">
        <f t="shared" ca="1" si="1272"/>
        <v>0</v>
      </c>
      <c r="HR262" s="388">
        <f t="shared" ca="1" si="1272"/>
        <v>0</v>
      </c>
      <c r="HS262" s="388">
        <f t="shared" ca="1" si="1272"/>
        <v>0</v>
      </c>
      <c r="HT262" s="388">
        <f t="shared" ca="1" si="1272"/>
        <v>0</v>
      </c>
      <c r="HU262" s="388">
        <f t="shared" ca="1" si="1272"/>
        <v>0</v>
      </c>
      <c r="HV262" s="388">
        <f t="shared" ca="1" si="1272"/>
        <v>0</v>
      </c>
      <c r="HW262" s="388">
        <f t="shared" ca="1" si="1272"/>
        <v>0</v>
      </c>
      <c r="HX262" s="388">
        <f t="shared" ca="1" si="1272"/>
        <v>0</v>
      </c>
      <c r="HY262" s="388">
        <f t="shared" ca="1" si="1272"/>
        <v>0</v>
      </c>
      <c r="HZ262" s="388">
        <f t="shared" ca="1" si="1272"/>
        <v>0</v>
      </c>
      <c r="IA262" s="388">
        <f t="shared" ca="1" si="1272"/>
        <v>0</v>
      </c>
      <c r="IB262" s="388">
        <f t="shared" ca="1" si="1272"/>
        <v>0</v>
      </c>
      <c r="IC262" s="388">
        <f t="shared" ca="1" si="1272"/>
        <v>0</v>
      </c>
      <c r="ID262" s="388">
        <f t="shared" ca="1" si="1272"/>
        <v>0</v>
      </c>
      <c r="IE262" s="388">
        <f t="shared" ca="1" si="1272"/>
        <v>0</v>
      </c>
      <c r="IF262" s="388">
        <f t="shared" ca="1" si="1272"/>
        <v>0</v>
      </c>
      <c r="IG262" s="388">
        <f t="shared" ca="1" si="1272"/>
        <v>0</v>
      </c>
      <c r="IH262" s="388">
        <f t="shared" ca="1" si="1272"/>
        <v>0</v>
      </c>
      <c r="II262" s="388">
        <f t="shared" ca="1" si="1272"/>
        <v>0</v>
      </c>
      <c r="IJ262" s="388">
        <f t="shared" ca="1" si="1272"/>
        <v>0</v>
      </c>
      <c r="IK262" s="388">
        <f t="shared" ca="1" si="1272"/>
        <v>0</v>
      </c>
      <c r="IL262" s="388">
        <f t="shared" ca="1" si="1272"/>
        <v>0</v>
      </c>
      <c r="IM262" s="388">
        <f t="shared" ca="1" si="1272"/>
        <v>0</v>
      </c>
      <c r="IN262" s="388">
        <f t="shared" ca="1" si="1272"/>
        <v>0</v>
      </c>
      <c r="IO262" s="388">
        <f t="shared" ca="1" si="1272"/>
        <v>0</v>
      </c>
      <c r="IP262" s="388">
        <f t="shared" ca="1" si="1272"/>
        <v>0</v>
      </c>
      <c r="IQ262" s="388">
        <f t="shared" ca="1" si="1272"/>
        <v>0</v>
      </c>
      <c r="IR262" s="388">
        <f t="shared" ca="1" si="1272"/>
        <v>0</v>
      </c>
      <c r="IS262" s="388">
        <f t="shared" ca="1" si="1272"/>
        <v>0</v>
      </c>
      <c r="IT262" s="388">
        <f t="shared" ca="1" si="1272"/>
        <v>0</v>
      </c>
      <c r="IU262" s="388">
        <f t="shared" ca="1" si="1272"/>
        <v>0</v>
      </c>
      <c r="IV262" s="388">
        <f t="shared" ca="1" si="1272"/>
        <v>0</v>
      </c>
      <c r="IW262" s="388">
        <f t="shared" ca="1" si="1272"/>
        <v>0</v>
      </c>
      <c r="IX262" s="388">
        <f t="shared" ca="1" si="1272"/>
        <v>0</v>
      </c>
      <c r="IY262" s="388">
        <f t="shared" ca="1" si="1272"/>
        <v>0</v>
      </c>
      <c r="IZ262" s="388">
        <f t="shared" ca="1" si="1272"/>
        <v>0</v>
      </c>
      <c r="JA262" s="388">
        <f t="shared" ca="1" si="1272"/>
        <v>0</v>
      </c>
      <c r="JB262" s="388">
        <f t="shared" ca="1" si="1272"/>
        <v>0</v>
      </c>
      <c r="JC262" s="388">
        <f t="shared" ca="1" si="1272"/>
        <v>0</v>
      </c>
      <c r="JD262" s="388">
        <f t="shared" ca="1" si="1272"/>
        <v>0</v>
      </c>
      <c r="JE262" s="388">
        <f t="shared" ca="1" si="1272"/>
        <v>0</v>
      </c>
      <c r="JF262" s="388">
        <f t="shared" ca="1" si="1272"/>
        <v>0</v>
      </c>
      <c r="JG262" s="388">
        <f t="shared" ca="1" si="1272"/>
        <v>0</v>
      </c>
      <c r="JH262" s="388">
        <f t="shared" ca="1" si="1272"/>
        <v>0</v>
      </c>
      <c r="JI262" s="388">
        <f t="shared" ca="1" si="1272"/>
        <v>0</v>
      </c>
      <c r="JJ262" s="388">
        <f t="shared" ca="1" si="1272"/>
        <v>0</v>
      </c>
      <c r="JK262" s="388">
        <f t="shared" ca="1" si="1272"/>
        <v>0</v>
      </c>
      <c r="JL262" s="388">
        <f t="shared" ca="1" si="1272"/>
        <v>0</v>
      </c>
      <c r="JM262" s="388">
        <f t="shared" ca="1" si="1272"/>
        <v>0</v>
      </c>
      <c r="JN262" s="388">
        <f t="shared" ca="1" si="1272"/>
        <v>0</v>
      </c>
      <c r="JO262" s="388">
        <f t="shared" ca="1" si="1272"/>
        <v>0</v>
      </c>
      <c r="JP262" s="388">
        <f t="shared" ca="1" si="1272"/>
        <v>0</v>
      </c>
      <c r="JQ262" s="388">
        <f t="shared" ca="1" si="1272"/>
        <v>0</v>
      </c>
      <c r="JR262" s="388">
        <f t="shared" ca="1" si="1272"/>
        <v>0</v>
      </c>
      <c r="JS262" s="388">
        <f t="shared" ca="1" si="1272"/>
        <v>0</v>
      </c>
      <c r="JT262" s="388">
        <f t="shared" ca="1" si="1272"/>
        <v>0</v>
      </c>
      <c r="JU262" s="388">
        <f t="shared" ca="1" si="1272"/>
        <v>0</v>
      </c>
      <c r="JV262" s="388">
        <f t="shared" ca="1" si="1272"/>
        <v>0</v>
      </c>
      <c r="JW262" s="388">
        <f t="shared" ca="1" si="1272"/>
        <v>0</v>
      </c>
      <c r="JX262" s="388">
        <f t="shared" ca="1" si="1272"/>
        <v>0</v>
      </c>
      <c r="JY262" s="388">
        <f t="shared" ca="1" si="1272"/>
        <v>0</v>
      </c>
      <c r="JZ262" s="388">
        <f ca="1">JZ245+JZ254</f>
        <v>0</v>
      </c>
      <c r="KA262" s="388">
        <f ca="1">KA245+KA254</f>
        <v>0</v>
      </c>
      <c r="KB262" s="388">
        <f ca="1">KB245+KB254</f>
        <v>0</v>
      </c>
      <c r="KC262" s="388">
        <f ca="1">KC245+KC254</f>
        <v>0</v>
      </c>
    </row>
    <row r="263" spans="2:289" ht="0.6" customHeight="1" x14ac:dyDescent="0.25">
      <c r="B263" s="209" t="s">
        <v>332</v>
      </c>
      <c r="C263" s="181"/>
      <c r="D263" s="181"/>
      <c r="E263" s="181"/>
      <c r="F263" s="181"/>
      <c r="G263" s="181"/>
      <c r="H263" s="210" t="s">
        <v>191</v>
      </c>
      <c r="I263" s="210" t="s">
        <v>44</v>
      </c>
      <c r="EU263" s="202"/>
      <c r="EV263" s="153"/>
      <c r="EW263" s="153"/>
      <c r="EX263" s="153"/>
      <c r="EY263" s="154" t="s">
        <v>381</v>
      </c>
      <c r="EZ263" s="154"/>
      <c r="FA263" s="388">
        <f t="shared" ref="FA263:GF263" ca="1" si="1273">(FA$201&lt;=Timing_Reversion_Month)*(MIN(FA260+FA261-FA262,MAX(FA259,0)*$I$260))</f>
        <v>0</v>
      </c>
      <c r="FB263" s="388">
        <f t="shared" ca="1" si="1273"/>
        <v>0</v>
      </c>
      <c r="FC263" s="388">
        <f t="shared" ca="1" si="1273"/>
        <v>0</v>
      </c>
      <c r="FD263" s="388">
        <f t="shared" ca="1" si="1273"/>
        <v>0</v>
      </c>
      <c r="FE263" s="388">
        <f t="shared" ca="1" si="1273"/>
        <v>0</v>
      </c>
      <c r="FF263" s="388">
        <f t="shared" ca="1" si="1273"/>
        <v>0</v>
      </c>
      <c r="FG263" s="388">
        <f t="shared" ca="1" si="1273"/>
        <v>0</v>
      </c>
      <c r="FH263" s="388">
        <f t="shared" ca="1" si="1273"/>
        <v>0</v>
      </c>
      <c r="FI263" s="388">
        <f t="shared" ca="1" si="1273"/>
        <v>0</v>
      </c>
      <c r="FJ263" s="388">
        <f t="shared" ca="1" si="1273"/>
        <v>0</v>
      </c>
      <c r="FK263" s="388">
        <f t="shared" ca="1" si="1273"/>
        <v>0</v>
      </c>
      <c r="FL263" s="388">
        <f t="shared" ca="1" si="1273"/>
        <v>0</v>
      </c>
      <c r="FM263" s="388">
        <f t="shared" ca="1" si="1273"/>
        <v>0</v>
      </c>
      <c r="FN263" s="388">
        <f t="shared" ca="1" si="1273"/>
        <v>0</v>
      </c>
      <c r="FO263" s="388">
        <f t="shared" ca="1" si="1273"/>
        <v>0</v>
      </c>
      <c r="FP263" s="388">
        <f t="shared" ca="1" si="1273"/>
        <v>0</v>
      </c>
      <c r="FQ263" s="388">
        <f t="shared" ca="1" si="1273"/>
        <v>0</v>
      </c>
      <c r="FR263" s="388">
        <f t="shared" ca="1" si="1273"/>
        <v>0</v>
      </c>
      <c r="FS263" s="388">
        <f t="shared" ca="1" si="1273"/>
        <v>0</v>
      </c>
      <c r="FT263" s="388">
        <f t="shared" ca="1" si="1273"/>
        <v>0</v>
      </c>
      <c r="FU263" s="388">
        <f t="shared" ca="1" si="1273"/>
        <v>0</v>
      </c>
      <c r="FV263" s="388">
        <f t="shared" ca="1" si="1273"/>
        <v>0</v>
      </c>
      <c r="FW263" s="388">
        <f t="shared" ca="1" si="1273"/>
        <v>0</v>
      </c>
      <c r="FX263" s="388">
        <f t="shared" ca="1" si="1273"/>
        <v>0</v>
      </c>
      <c r="FY263" s="388">
        <f t="shared" ca="1" si="1273"/>
        <v>0</v>
      </c>
      <c r="FZ263" s="388">
        <f t="shared" ca="1" si="1273"/>
        <v>0</v>
      </c>
      <c r="GA263" s="388">
        <f t="shared" ca="1" si="1273"/>
        <v>0</v>
      </c>
      <c r="GB263" s="388">
        <f t="shared" ca="1" si="1273"/>
        <v>0</v>
      </c>
      <c r="GC263" s="388">
        <f t="shared" ca="1" si="1273"/>
        <v>0</v>
      </c>
      <c r="GD263" s="388">
        <f t="shared" ca="1" si="1273"/>
        <v>0</v>
      </c>
      <c r="GE263" s="388">
        <f t="shared" ca="1" si="1273"/>
        <v>0</v>
      </c>
      <c r="GF263" s="388">
        <f t="shared" ca="1" si="1273"/>
        <v>0</v>
      </c>
      <c r="GG263" s="388">
        <f t="shared" ref="GG263:HL263" ca="1" si="1274">(GG$201&lt;=Timing_Reversion_Month)*(MIN(GG260+GG261-GG262,MAX(GG259,0)*$I$260))</f>
        <v>0</v>
      </c>
      <c r="GH263" s="388">
        <f t="shared" ca="1" si="1274"/>
        <v>0</v>
      </c>
      <c r="GI263" s="388">
        <f t="shared" ca="1" si="1274"/>
        <v>0</v>
      </c>
      <c r="GJ263" s="388">
        <f t="shared" ca="1" si="1274"/>
        <v>0</v>
      </c>
      <c r="GK263" s="388">
        <f t="shared" ca="1" si="1274"/>
        <v>0</v>
      </c>
      <c r="GL263" s="388">
        <f t="shared" ca="1" si="1274"/>
        <v>0</v>
      </c>
      <c r="GM263" s="388">
        <f t="shared" ca="1" si="1274"/>
        <v>0</v>
      </c>
      <c r="GN263" s="388">
        <f t="shared" ca="1" si="1274"/>
        <v>0</v>
      </c>
      <c r="GO263" s="388">
        <f t="shared" ca="1" si="1274"/>
        <v>0</v>
      </c>
      <c r="GP263" s="388">
        <f t="shared" ca="1" si="1274"/>
        <v>0</v>
      </c>
      <c r="GQ263" s="388">
        <f t="shared" ca="1" si="1274"/>
        <v>0</v>
      </c>
      <c r="GR263" s="388">
        <f t="shared" ca="1" si="1274"/>
        <v>0</v>
      </c>
      <c r="GS263" s="388">
        <f t="shared" ca="1" si="1274"/>
        <v>0</v>
      </c>
      <c r="GT263" s="388">
        <f t="shared" ca="1" si="1274"/>
        <v>0</v>
      </c>
      <c r="GU263" s="388">
        <f t="shared" ca="1" si="1274"/>
        <v>0</v>
      </c>
      <c r="GV263" s="388">
        <f t="shared" ca="1" si="1274"/>
        <v>0</v>
      </c>
      <c r="GW263" s="388">
        <f t="shared" ca="1" si="1274"/>
        <v>0</v>
      </c>
      <c r="GX263" s="388">
        <f t="shared" ca="1" si="1274"/>
        <v>0</v>
      </c>
      <c r="GY263" s="388">
        <f t="shared" ca="1" si="1274"/>
        <v>0</v>
      </c>
      <c r="GZ263" s="388">
        <f t="shared" ca="1" si="1274"/>
        <v>0</v>
      </c>
      <c r="HA263" s="388">
        <f t="shared" ca="1" si="1274"/>
        <v>0</v>
      </c>
      <c r="HB263" s="388">
        <f t="shared" ca="1" si="1274"/>
        <v>0</v>
      </c>
      <c r="HC263" s="388">
        <f t="shared" ca="1" si="1274"/>
        <v>0</v>
      </c>
      <c r="HD263" s="388">
        <f t="shared" ca="1" si="1274"/>
        <v>0</v>
      </c>
      <c r="HE263" s="388">
        <f t="shared" ca="1" si="1274"/>
        <v>0</v>
      </c>
      <c r="HF263" s="388">
        <f t="shared" ca="1" si="1274"/>
        <v>0</v>
      </c>
      <c r="HG263" s="388">
        <f t="shared" ca="1" si="1274"/>
        <v>0</v>
      </c>
      <c r="HH263" s="388">
        <f t="shared" ca="1" si="1274"/>
        <v>0</v>
      </c>
      <c r="HI263" s="388">
        <f t="shared" ca="1" si="1274"/>
        <v>0</v>
      </c>
      <c r="HJ263" s="388">
        <f t="shared" ca="1" si="1274"/>
        <v>0</v>
      </c>
      <c r="HK263" s="388">
        <f t="shared" ca="1" si="1274"/>
        <v>0</v>
      </c>
      <c r="HL263" s="388">
        <f t="shared" ca="1" si="1274"/>
        <v>0</v>
      </c>
      <c r="HM263" s="388">
        <f t="shared" ref="HM263:IR263" ca="1" si="1275">(HM$201&lt;=Timing_Reversion_Month)*(MIN(HM260+HM261-HM262,MAX(HM259,0)*$I$260))</f>
        <v>0</v>
      </c>
      <c r="HN263" s="388">
        <f t="shared" ca="1" si="1275"/>
        <v>0</v>
      </c>
      <c r="HO263" s="388">
        <f t="shared" ca="1" si="1275"/>
        <v>0</v>
      </c>
      <c r="HP263" s="388">
        <f t="shared" ca="1" si="1275"/>
        <v>0</v>
      </c>
      <c r="HQ263" s="388">
        <f t="shared" ca="1" si="1275"/>
        <v>0</v>
      </c>
      <c r="HR263" s="388">
        <f t="shared" ca="1" si="1275"/>
        <v>0</v>
      </c>
      <c r="HS263" s="388">
        <f t="shared" ca="1" si="1275"/>
        <v>0</v>
      </c>
      <c r="HT263" s="388">
        <f t="shared" ca="1" si="1275"/>
        <v>0</v>
      </c>
      <c r="HU263" s="388">
        <f t="shared" ca="1" si="1275"/>
        <v>0</v>
      </c>
      <c r="HV263" s="388">
        <f t="shared" ca="1" si="1275"/>
        <v>0</v>
      </c>
      <c r="HW263" s="388">
        <f t="shared" ca="1" si="1275"/>
        <v>0</v>
      </c>
      <c r="HX263" s="388">
        <f t="shared" ca="1" si="1275"/>
        <v>0</v>
      </c>
      <c r="HY263" s="388">
        <f t="shared" ca="1" si="1275"/>
        <v>0</v>
      </c>
      <c r="HZ263" s="388">
        <f t="shared" ca="1" si="1275"/>
        <v>0</v>
      </c>
      <c r="IA263" s="388">
        <f t="shared" ca="1" si="1275"/>
        <v>0</v>
      </c>
      <c r="IB263" s="388">
        <f t="shared" ca="1" si="1275"/>
        <v>0</v>
      </c>
      <c r="IC263" s="388">
        <f t="shared" ca="1" si="1275"/>
        <v>0</v>
      </c>
      <c r="ID263" s="388">
        <f t="shared" ca="1" si="1275"/>
        <v>0</v>
      </c>
      <c r="IE263" s="388">
        <f t="shared" ca="1" si="1275"/>
        <v>0</v>
      </c>
      <c r="IF263" s="388">
        <f t="shared" ca="1" si="1275"/>
        <v>0</v>
      </c>
      <c r="IG263" s="388">
        <f t="shared" ca="1" si="1275"/>
        <v>0</v>
      </c>
      <c r="IH263" s="388">
        <f t="shared" ca="1" si="1275"/>
        <v>0</v>
      </c>
      <c r="II263" s="388">
        <f t="shared" ca="1" si="1275"/>
        <v>0</v>
      </c>
      <c r="IJ263" s="388">
        <f t="shared" ca="1" si="1275"/>
        <v>0</v>
      </c>
      <c r="IK263" s="388">
        <f t="shared" ca="1" si="1275"/>
        <v>0</v>
      </c>
      <c r="IL263" s="388">
        <f t="shared" ca="1" si="1275"/>
        <v>0</v>
      </c>
      <c r="IM263" s="388">
        <f t="shared" ca="1" si="1275"/>
        <v>0</v>
      </c>
      <c r="IN263" s="388">
        <f t="shared" ca="1" si="1275"/>
        <v>0</v>
      </c>
      <c r="IO263" s="388">
        <f t="shared" ca="1" si="1275"/>
        <v>0</v>
      </c>
      <c r="IP263" s="388">
        <f t="shared" ca="1" si="1275"/>
        <v>0</v>
      </c>
      <c r="IQ263" s="388">
        <f t="shared" ca="1" si="1275"/>
        <v>0</v>
      </c>
      <c r="IR263" s="388">
        <f t="shared" ca="1" si="1275"/>
        <v>0</v>
      </c>
      <c r="IS263" s="388">
        <f t="shared" ref="IS263:JX263" ca="1" si="1276">(IS$201&lt;=Timing_Reversion_Month)*(MIN(IS260+IS261-IS262,MAX(IS259,0)*$I$260))</f>
        <v>0</v>
      </c>
      <c r="IT263" s="388">
        <f t="shared" ca="1" si="1276"/>
        <v>0</v>
      </c>
      <c r="IU263" s="388">
        <f t="shared" ca="1" si="1276"/>
        <v>0</v>
      </c>
      <c r="IV263" s="388">
        <f t="shared" ca="1" si="1276"/>
        <v>0</v>
      </c>
      <c r="IW263" s="388">
        <f t="shared" ca="1" si="1276"/>
        <v>0</v>
      </c>
      <c r="IX263" s="388">
        <f t="shared" ca="1" si="1276"/>
        <v>0</v>
      </c>
      <c r="IY263" s="388">
        <f t="shared" ca="1" si="1276"/>
        <v>0</v>
      </c>
      <c r="IZ263" s="388">
        <f t="shared" ca="1" si="1276"/>
        <v>0</v>
      </c>
      <c r="JA263" s="388">
        <f t="shared" ca="1" si="1276"/>
        <v>0</v>
      </c>
      <c r="JB263" s="388">
        <f t="shared" ca="1" si="1276"/>
        <v>0</v>
      </c>
      <c r="JC263" s="388">
        <f t="shared" ca="1" si="1276"/>
        <v>0</v>
      </c>
      <c r="JD263" s="388">
        <f t="shared" ca="1" si="1276"/>
        <v>0</v>
      </c>
      <c r="JE263" s="388">
        <f t="shared" ca="1" si="1276"/>
        <v>0</v>
      </c>
      <c r="JF263" s="388">
        <f t="shared" ca="1" si="1276"/>
        <v>0</v>
      </c>
      <c r="JG263" s="388">
        <f t="shared" ca="1" si="1276"/>
        <v>0</v>
      </c>
      <c r="JH263" s="388">
        <f t="shared" ca="1" si="1276"/>
        <v>0</v>
      </c>
      <c r="JI263" s="388">
        <f t="shared" ca="1" si="1276"/>
        <v>0</v>
      </c>
      <c r="JJ263" s="388">
        <f t="shared" ca="1" si="1276"/>
        <v>0</v>
      </c>
      <c r="JK263" s="388">
        <f t="shared" ca="1" si="1276"/>
        <v>0</v>
      </c>
      <c r="JL263" s="388">
        <f t="shared" ca="1" si="1276"/>
        <v>0</v>
      </c>
      <c r="JM263" s="388">
        <f t="shared" ca="1" si="1276"/>
        <v>0</v>
      </c>
      <c r="JN263" s="388">
        <f t="shared" ca="1" si="1276"/>
        <v>0</v>
      </c>
      <c r="JO263" s="388">
        <f t="shared" ca="1" si="1276"/>
        <v>0</v>
      </c>
      <c r="JP263" s="388">
        <f t="shared" ca="1" si="1276"/>
        <v>0</v>
      </c>
      <c r="JQ263" s="388">
        <f t="shared" ca="1" si="1276"/>
        <v>0</v>
      </c>
      <c r="JR263" s="388">
        <f t="shared" ca="1" si="1276"/>
        <v>0</v>
      </c>
      <c r="JS263" s="388">
        <f t="shared" ca="1" si="1276"/>
        <v>0</v>
      </c>
      <c r="JT263" s="388">
        <f t="shared" ca="1" si="1276"/>
        <v>0</v>
      </c>
      <c r="JU263" s="388">
        <f t="shared" ca="1" si="1276"/>
        <v>0</v>
      </c>
      <c r="JV263" s="388">
        <f t="shared" ca="1" si="1276"/>
        <v>0</v>
      </c>
      <c r="JW263" s="388">
        <f t="shared" ca="1" si="1276"/>
        <v>0</v>
      </c>
      <c r="JX263" s="388">
        <f t="shared" ca="1" si="1276"/>
        <v>0</v>
      </c>
      <c r="JY263" s="388">
        <f t="shared" ref="JY263:KC263" ca="1" si="1277">(JY$201&lt;=Timing_Reversion_Month)*(MIN(JY260+JY261-JY262,MAX(JY259,0)*$I$260))</f>
        <v>0</v>
      </c>
      <c r="JZ263" s="388">
        <f t="shared" ca="1" si="1277"/>
        <v>0</v>
      </c>
      <c r="KA263" s="388">
        <f t="shared" ca="1" si="1277"/>
        <v>0</v>
      </c>
      <c r="KB263" s="388">
        <f t="shared" ca="1" si="1277"/>
        <v>0</v>
      </c>
      <c r="KC263" s="388">
        <f t="shared" ca="1" si="1277"/>
        <v>0</v>
      </c>
    </row>
    <row r="264" spans="2:289" ht="0.6" customHeight="1" x14ac:dyDescent="0.25">
      <c r="B264" s="180" t="str">
        <f>B253</f>
        <v>GP 1</v>
      </c>
      <c r="C264" s="413" t="str">
        <f>C253</f>
        <v>[General Partner 1 Name]</v>
      </c>
      <c r="D264" s="181"/>
      <c r="E264" s="181"/>
      <c r="F264" s="181"/>
      <c r="G264" s="335"/>
      <c r="H264" s="365">
        <f ca="1">I264/$I$245</f>
        <v>0.1</v>
      </c>
      <c r="I264" s="218">
        <f ca="1">SUM(Q264:ES264)</f>
        <v>195384.68731769314</v>
      </c>
      <c r="Q264" s="220">
        <f t="shared" ref="Q264:AV264" ca="1" si="1278">IF(Q$231="","",FA248+FA257+FA266+FA270+(FA$214*$E253))</f>
        <v>0</v>
      </c>
      <c r="R264" s="220">
        <f t="shared" ca="1" si="1278"/>
        <v>0</v>
      </c>
      <c r="S264" s="220">
        <f t="shared" ca="1" si="1278"/>
        <v>0</v>
      </c>
      <c r="T264" s="220">
        <f t="shared" ca="1" si="1278"/>
        <v>0</v>
      </c>
      <c r="U264" s="220">
        <f t="shared" ca="1" si="1278"/>
        <v>0</v>
      </c>
      <c r="V264" s="220">
        <f t="shared" ca="1" si="1278"/>
        <v>0</v>
      </c>
      <c r="W264" s="220">
        <f t="shared" ca="1" si="1278"/>
        <v>0</v>
      </c>
      <c r="X264" s="220">
        <f t="shared" ca="1" si="1278"/>
        <v>0</v>
      </c>
      <c r="Y264" s="220">
        <f t="shared" ca="1" si="1278"/>
        <v>0</v>
      </c>
      <c r="Z264" s="220">
        <f t="shared" ca="1" si="1278"/>
        <v>0</v>
      </c>
      <c r="AA264" s="220">
        <f t="shared" ca="1" si="1278"/>
        <v>0</v>
      </c>
      <c r="AB264" s="220">
        <f t="shared" ca="1" si="1278"/>
        <v>0</v>
      </c>
      <c r="AC264" s="220">
        <f t="shared" ca="1" si="1278"/>
        <v>85.448499999999925</v>
      </c>
      <c r="AD264" s="220">
        <f t="shared" ca="1" si="1278"/>
        <v>1092.8922499999999</v>
      </c>
      <c r="AE264" s="220">
        <f t="shared" ca="1" si="1278"/>
        <v>2100.3359999999402</v>
      </c>
      <c r="AF264" s="220">
        <f t="shared" ca="1" si="1278"/>
        <v>463.649321346796</v>
      </c>
      <c r="AG264" s="220">
        <f t="shared" ca="1" si="1278"/>
        <v>463.649321346796</v>
      </c>
      <c r="AH264" s="220">
        <f t="shared" ca="1" si="1278"/>
        <v>463.649321346796</v>
      </c>
      <c r="AI264" s="220">
        <f t="shared" ca="1" si="1278"/>
        <v>463.649321346796</v>
      </c>
      <c r="AJ264" s="220">
        <f t="shared" ca="1" si="1278"/>
        <v>463.649321346796</v>
      </c>
      <c r="AK264" s="220">
        <f t="shared" ca="1" si="1278"/>
        <v>463.649321346796</v>
      </c>
      <c r="AL264" s="220">
        <f t="shared" ca="1" si="1278"/>
        <v>463.649321346796</v>
      </c>
      <c r="AM264" s="220">
        <f t="shared" ca="1" si="1278"/>
        <v>463.649321346796</v>
      </c>
      <c r="AN264" s="220">
        <f t="shared" ca="1" si="1278"/>
        <v>463.649321346796</v>
      </c>
      <c r="AO264" s="220">
        <f t="shared" ca="1" si="1278"/>
        <v>366.84640134679557</v>
      </c>
      <c r="AP264" s="220">
        <f t="shared" ca="1" si="1278"/>
        <v>397.71190134679625</v>
      </c>
      <c r="AQ264" s="220">
        <f t="shared" ca="1" si="1278"/>
        <v>428.57740134679614</v>
      </c>
      <c r="AR264" s="220">
        <f t="shared" ca="1" si="1278"/>
        <v>428.57740134679614</v>
      </c>
      <c r="AS264" s="220">
        <f t="shared" ca="1" si="1278"/>
        <v>428.57740134679614</v>
      </c>
      <c r="AT264" s="220">
        <f t="shared" ca="1" si="1278"/>
        <v>428.57740134679614</v>
      </c>
      <c r="AU264" s="220">
        <f t="shared" ca="1" si="1278"/>
        <v>428.57740134679614</v>
      </c>
      <c r="AV264" s="220">
        <f t="shared" ca="1" si="1278"/>
        <v>428.57740134679614</v>
      </c>
      <c r="AW264" s="220">
        <f t="shared" ref="AW264:CB264" ca="1" si="1279">IF(AW$231="","",GG248+GG257+GG266+GG270+(GG$214*$E253))</f>
        <v>428.57740134679614</v>
      </c>
      <c r="AX264" s="220">
        <f t="shared" ca="1" si="1279"/>
        <v>428.57740134679614</v>
      </c>
      <c r="AY264" s="220">
        <f t="shared" ca="1" si="1279"/>
        <v>428.57740134679614</v>
      </c>
      <c r="AZ264" s="220">
        <f t="shared" ca="1" si="1279"/>
        <v>428.57740134679614</v>
      </c>
      <c r="BA264" s="220">
        <f t="shared" ca="1" si="1279"/>
        <v>182882.83435941048</v>
      </c>
      <c r="BB264" s="220" t="str">
        <f t="shared" si="1279"/>
        <v/>
      </c>
      <c r="BC264" s="220" t="str">
        <f t="shared" si="1279"/>
        <v/>
      </c>
      <c r="BD264" s="220" t="str">
        <f t="shared" si="1279"/>
        <v/>
      </c>
      <c r="BE264" s="220" t="str">
        <f t="shared" si="1279"/>
        <v/>
      </c>
      <c r="BF264" s="220" t="str">
        <f t="shared" si="1279"/>
        <v/>
      </c>
      <c r="BG264" s="220" t="str">
        <f t="shared" si="1279"/>
        <v/>
      </c>
      <c r="BH264" s="220" t="str">
        <f t="shared" si="1279"/>
        <v/>
      </c>
      <c r="BI264" s="220" t="str">
        <f t="shared" si="1279"/>
        <v/>
      </c>
      <c r="BJ264" s="220" t="str">
        <f t="shared" si="1279"/>
        <v/>
      </c>
      <c r="BK264" s="220" t="str">
        <f t="shared" si="1279"/>
        <v/>
      </c>
      <c r="BL264" s="220" t="str">
        <f t="shared" si="1279"/>
        <v/>
      </c>
      <c r="BM264" s="220" t="str">
        <f t="shared" si="1279"/>
        <v/>
      </c>
      <c r="BN264" s="220" t="str">
        <f t="shared" si="1279"/>
        <v/>
      </c>
      <c r="BO264" s="220" t="str">
        <f t="shared" si="1279"/>
        <v/>
      </c>
      <c r="BP264" s="220" t="str">
        <f t="shared" si="1279"/>
        <v/>
      </c>
      <c r="BQ264" s="220" t="str">
        <f t="shared" si="1279"/>
        <v/>
      </c>
      <c r="BR264" s="220" t="str">
        <f t="shared" si="1279"/>
        <v/>
      </c>
      <c r="BS264" s="220" t="str">
        <f t="shared" si="1279"/>
        <v/>
      </c>
      <c r="BT264" s="220" t="str">
        <f t="shared" si="1279"/>
        <v/>
      </c>
      <c r="BU264" s="220" t="str">
        <f t="shared" si="1279"/>
        <v/>
      </c>
      <c r="BV264" s="220" t="str">
        <f t="shared" si="1279"/>
        <v/>
      </c>
      <c r="BW264" s="220" t="str">
        <f t="shared" si="1279"/>
        <v/>
      </c>
      <c r="BX264" s="220" t="str">
        <f t="shared" si="1279"/>
        <v/>
      </c>
      <c r="BY264" s="220" t="str">
        <f t="shared" si="1279"/>
        <v/>
      </c>
      <c r="BZ264" s="220" t="str">
        <f t="shared" si="1279"/>
        <v/>
      </c>
      <c r="CA264" s="220" t="str">
        <f t="shared" si="1279"/>
        <v/>
      </c>
      <c r="CB264" s="220" t="str">
        <f t="shared" si="1279"/>
        <v/>
      </c>
      <c r="CC264" s="220" t="str">
        <f t="shared" ref="CC264:DH264" si="1280">IF(CC$231="","",HM248+HM257+HM266+HM270+(HM$214*$E253))</f>
        <v/>
      </c>
      <c r="CD264" s="220" t="str">
        <f t="shared" si="1280"/>
        <v/>
      </c>
      <c r="CE264" s="220" t="str">
        <f t="shared" si="1280"/>
        <v/>
      </c>
      <c r="CF264" s="220" t="str">
        <f t="shared" si="1280"/>
        <v/>
      </c>
      <c r="CG264" s="220" t="str">
        <f t="shared" si="1280"/>
        <v/>
      </c>
      <c r="CH264" s="220" t="str">
        <f t="shared" si="1280"/>
        <v/>
      </c>
      <c r="CI264" s="220" t="str">
        <f t="shared" si="1280"/>
        <v/>
      </c>
      <c r="CJ264" s="220" t="str">
        <f t="shared" si="1280"/>
        <v/>
      </c>
      <c r="CK264" s="220" t="str">
        <f t="shared" si="1280"/>
        <v/>
      </c>
      <c r="CL264" s="220" t="str">
        <f t="shared" si="1280"/>
        <v/>
      </c>
      <c r="CM264" s="220" t="str">
        <f t="shared" si="1280"/>
        <v/>
      </c>
      <c r="CN264" s="220" t="str">
        <f t="shared" si="1280"/>
        <v/>
      </c>
      <c r="CO264" s="220" t="str">
        <f t="shared" si="1280"/>
        <v/>
      </c>
      <c r="CP264" s="220" t="str">
        <f t="shared" si="1280"/>
        <v/>
      </c>
      <c r="CQ264" s="220" t="str">
        <f t="shared" si="1280"/>
        <v/>
      </c>
      <c r="CR264" s="220" t="str">
        <f t="shared" si="1280"/>
        <v/>
      </c>
      <c r="CS264" s="220" t="str">
        <f t="shared" si="1280"/>
        <v/>
      </c>
      <c r="CT264" s="220" t="str">
        <f t="shared" si="1280"/>
        <v/>
      </c>
      <c r="CU264" s="220" t="str">
        <f t="shared" si="1280"/>
        <v/>
      </c>
      <c r="CV264" s="220" t="str">
        <f t="shared" si="1280"/>
        <v/>
      </c>
      <c r="CW264" s="220" t="str">
        <f t="shared" si="1280"/>
        <v/>
      </c>
      <c r="CX264" s="220" t="str">
        <f t="shared" si="1280"/>
        <v/>
      </c>
      <c r="CY264" s="220" t="str">
        <f t="shared" si="1280"/>
        <v/>
      </c>
      <c r="CZ264" s="220" t="str">
        <f t="shared" si="1280"/>
        <v/>
      </c>
      <c r="DA264" s="220" t="str">
        <f t="shared" si="1280"/>
        <v/>
      </c>
      <c r="DB264" s="220" t="str">
        <f t="shared" si="1280"/>
        <v/>
      </c>
      <c r="DC264" s="220" t="str">
        <f t="shared" si="1280"/>
        <v/>
      </c>
      <c r="DD264" s="220" t="str">
        <f t="shared" si="1280"/>
        <v/>
      </c>
      <c r="DE264" s="220" t="str">
        <f t="shared" si="1280"/>
        <v/>
      </c>
      <c r="DF264" s="220" t="str">
        <f t="shared" si="1280"/>
        <v/>
      </c>
      <c r="DG264" s="220" t="str">
        <f t="shared" si="1280"/>
        <v/>
      </c>
      <c r="DH264" s="220" t="str">
        <f t="shared" si="1280"/>
        <v/>
      </c>
      <c r="DI264" s="220" t="str">
        <f t="shared" ref="DI264:EN264" si="1281">IF(DI$231="","",IS248+IS257+IS266+IS270+(IS$214*$E253))</f>
        <v/>
      </c>
      <c r="DJ264" s="220" t="str">
        <f t="shared" si="1281"/>
        <v/>
      </c>
      <c r="DK264" s="220" t="str">
        <f t="shared" si="1281"/>
        <v/>
      </c>
      <c r="DL264" s="220" t="str">
        <f t="shared" si="1281"/>
        <v/>
      </c>
      <c r="DM264" s="220" t="str">
        <f t="shared" si="1281"/>
        <v/>
      </c>
      <c r="DN264" s="220" t="str">
        <f t="shared" si="1281"/>
        <v/>
      </c>
      <c r="DO264" s="220" t="str">
        <f t="shared" si="1281"/>
        <v/>
      </c>
      <c r="DP264" s="220" t="str">
        <f t="shared" si="1281"/>
        <v/>
      </c>
      <c r="DQ264" s="220" t="str">
        <f t="shared" si="1281"/>
        <v/>
      </c>
      <c r="DR264" s="220" t="str">
        <f t="shared" si="1281"/>
        <v/>
      </c>
      <c r="DS264" s="220" t="str">
        <f t="shared" si="1281"/>
        <v/>
      </c>
      <c r="DT264" s="220" t="str">
        <f t="shared" si="1281"/>
        <v/>
      </c>
      <c r="DU264" s="220" t="str">
        <f t="shared" si="1281"/>
        <v/>
      </c>
      <c r="DV264" s="220" t="str">
        <f t="shared" si="1281"/>
        <v/>
      </c>
      <c r="DW264" s="220" t="str">
        <f t="shared" si="1281"/>
        <v/>
      </c>
      <c r="DX264" s="220" t="str">
        <f t="shared" si="1281"/>
        <v/>
      </c>
      <c r="DY264" s="220" t="str">
        <f t="shared" si="1281"/>
        <v/>
      </c>
      <c r="DZ264" s="220" t="str">
        <f t="shared" si="1281"/>
        <v/>
      </c>
      <c r="EA264" s="220" t="str">
        <f t="shared" si="1281"/>
        <v/>
      </c>
      <c r="EB264" s="220" t="str">
        <f t="shared" si="1281"/>
        <v/>
      </c>
      <c r="EC264" s="220" t="str">
        <f t="shared" si="1281"/>
        <v/>
      </c>
      <c r="ED264" s="220" t="str">
        <f t="shared" si="1281"/>
        <v/>
      </c>
      <c r="EE264" s="220" t="str">
        <f t="shared" si="1281"/>
        <v/>
      </c>
      <c r="EF264" s="220" t="str">
        <f t="shared" si="1281"/>
        <v/>
      </c>
      <c r="EG264" s="220" t="str">
        <f t="shared" si="1281"/>
        <v/>
      </c>
      <c r="EH264" s="220" t="str">
        <f t="shared" si="1281"/>
        <v/>
      </c>
      <c r="EI264" s="220" t="str">
        <f t="shared" si="1281"/>
        <v/>
      </c>
      <c r="EJ264" s="220" t="str">
        <f t="shared" si="1281"/>
        <v/>
      </c>
      <c r="EK264" s="220" t="str">
        <f t="shared" si="1281"/>
        <v/>
      </c>
      <c r="EL264" s="220" t="str">
        <f t="shared" si="1281"/>
        <v/>
      </c>
      <c r="EM264" s="220" t="str">
        <f t="shared" si="1281"/>
        <v/>
      </c>
      <c r="EN264" s="220" t="str">
        <f t="shared" si="1281"/>
        <v/>
      </c>
      <c r="EO264" s="220" t="str">
        <f>IF(EO$231="","",JY248+JY257+JY266+JY270+(JY$214*$E253))</f>
        <v/>
      </c>
      <c r="EP264" s="220" t="str">
        <f>IF(EP$231="","",JZ248+JZ257+JZ266+JZ270+(JZ$214*$E253))</f>
        <v/>
      </c>
      <c r="EQ264" s="220" t="str">
        <f>IF(EQ$231="","",KA248+KA257+KA266+KA270+(KA$214*$E253))</f>
        <v/>
      </c>
      <c r="ER264" s="220" t="str">
        <f>IF(ER$231="","",KB248+KB257+KB266+KB270+(KB$214*$E253))</f>
        <v/>
      </c>
      <c r="ES264" s="220" t="str">
        <f>IF(ES$231="","",KC248+KC257+KC266+KC270+(KC$214*$E253))</f>
        <v/>
      </c>
      <c r="EU264" s="202"/>
      <c r="EV264" s="153"/>
      <c r="EW264" s="153"/>
      <c r="EX264" s="153"/>
      <c r="EY264" s="154" t="s">
        <v>379</v>
      </c>
      <c r="EZ264" s="154"/>
      <c r="FA264" s="388">
        <f t="shared" ref="FA264:GF264" ca="1" si="1282">(FA$201&lt;=Timing_Reversion_Month)*(FA260+FA261+FA244-FA262-FA263)</f>
        <v>740252.57142857148</v>
      </c>
      <c r="FB264" s="388">
        <f t="shared" ca="1" si="1282"/>
        <v>764081.38624155032</v>
      </c>
      <c r="FC264" s="388">
        <f t="shared" ca="1" si="1282"/>
        <v>820286.96716007078</v>
      </c>
      <c r="FD264" s="388">
        <f t="shared" ca="1" si="1282"/>
        <v>952764.38221791713</v>
      </c>
      <c r="FE264" s="388">
        <f t="shared" ca="1" si="1282"/>
        <v>1218119.5017582537</v>
      </c>
      <c r="FF264" s="388">
        <f t="shared" ca="1" si="1282"/>
        <v>1506560.5842546816</v>
      </c>
      <c r="FG264" s="388">
        <f t="shared" ca="1" si="1282"/>
        <v>1524209.816333951</v>
      </c>
      <c r="FH264" s="388">
        <f t="shared" ca="1" si="1282"/>
        <v>1542065.8077007281</v>
      </c>
      <c r="FI264" s="388">
        <f t="shared" ca="1" si="1282"/>
        <v>1560130.9805228887</v>
      </c>
      <c r="FJ264" s="388">
        <f t="shared" ca="1" si="1282"/>
        <v>1578407.7853438037</v>
      </c>
      <c r="FK264" s="388">
        <f t="shared" ca="1" si="1282"/>
        <v>1596898.701414756</v>
      </c>
      <c r="FL264" s="388">
        <f t="shared" ca="1" si="1282"/>
        <v>1615606.2370312517</v>
      </c>
      <c r="FM264" s="388">
        <f t="shared" ca="1" si="1282"/>
        <v>1633763.8933732698</v>
      </c>
      <c r="FN264" s="388">
        <f t="shared" ca="1" si="1282"/>
        <v>1643067.2714007937</v>
      </c>
      <c r="FO264" s="388">
        <f t="shared" ca="1" si="1282"/>
        <v>1644624.2249133659</v>
      </c>
      <c r="FP264" s="388">
        <f t="shared" ca="1" si="1282"/>
        <v>1660929.5981148644</v>
      </c>
      <c r="FQ264" s="388">
        <f t="shared" ca="1" si="1282"/>
        <v>1677425.9874087656</v>
      </c>
      <c r="FR264" s="388">
        <f t="shared" ca="1" si="1282"/>
        <v>1694115.6305327225</v>
      </c>
      <c r="FS264" s="388">
        <f t="shared" ca="1" si="1282"/>
        <v>1711000.7914392985</v>
      </c>
      <c r="FT264" s="388">
        <f t="shared" ca="1" si="1282"/>
        <v>1728083.7606030735</v>
      </c>
      <c r="FU264" s="388">
        <f t="shared" ca="1" si="1282"/>
        <v>1745366.8553313464</v>
      </c>
      <c r="FV264" s="388">
        <f t="shared" ca="1" si="1282"/>
        <v>1762852.420078479</v>
      </c>
      <c r="FW264" s="388">
        <f t="shared" ca="1" si="1282"/>
        <v>1780542.826763921</v>
      </c>
      <c r="FX264" s="388">
        <f t="shared" ca="1" si="1282"/>
        <v>1798440.4750939612</v>
      </c>
      <c r="FY264" s="388">
        <f t="shared" ca="1" si="1282"/>
        <v>1817419.0191672486</v>
      </c>
      <c r="FZ264" s="388">
        <f t="shared" ca="1" si="1282"/>
        <v>1836342.1058076143</v>
      </c>
      <c r="GA264" s="388">
        <f t="shared" ca="1" si="1282"/>
        <v>1855209.0853358391</v>
      </c>
      <c r="GB264" s="388">
        <f t="shared" ca="1" si="1282"/>
        <v>1874297.0899617656</v>
      </c>
      <c r="GC264" s="388">
        <f t="shared" ca="1" si="1282"/>
        <v>1893608.7089760506</v>
      </c>
      <c r="GD264" s="388">
        <f t="shared" ca="1" si="1282"/>
        <v>1913146.5620026758</v>
      </c>
      <c r="GE264" s="388">
        <f t="shared" ca="1" si="1282"/>
        <v>1932913.2993543004</v>
      </c>
      <c r="GF264" s="388">
        <f t="shared" ca="1" si="1282"/>
        <v>1952911.6023917757</v>
      </c>
      <c r="GG264" s="388">
        <f t="shared" ref="GG264:HL264" ca="1" si="1283">(GG$201&lt;=Timing_Reversion_Month)*(GG260+GG261+GG244-GG262-GG263)</f>
        <v>1973144.1838878731</v>
      </c>
      <c r="GH264" s="388">
        <f t="shared" ca="1" si="1283"/>
        <v>1993613.7883952714</v>
      </c>
      <c r="GI264" s="388">
        <f t="shared" ca="1" si="1283"/>
        <v>2014323.1926188562</v>
      </c>
      <c r="GJ264" s="388">
        <f t="shared" ca="1" si="1283"/>
        <v>2035275.20579238</v>
      </c>
      <c r="GK264" s="388">
        <f t="shared" ca="1" si="1283"/>
        <v>414384.35743696219</v>
      </c>
      <c r="GL264" s="388">
        <f t="shared" ca="1" si="1283"/>
        <v>0</v>
      </c>
      <c r="GM264" s="388">
        <f t="shared" ca="1" si="1283"/>
        <v>0</v>
      </c>
      <c r="GN264" s="388">
        <f t="shared" ca="1" si="1283"/>
        <v>0</v>
      </c>
      <c r="GO264" s="388">
        <f t="shared" ca="1" si="1283"/>
        <v>0</v>
      </c>
      <c r="GP264" s="388">
        <f t="shared" ca="1" si="1283"/>
        <v>0</v>
      </c>
      <c r="GQ264" s="388">
        <f t="shared" ca="1" si="1283"/>
        <v>0</v>
      </c>
      <c r="GR264" s="388">
        <f t="shared" ca="1" si="1283"/>
        <v>0</v>
      </c>
      <c r="GS264" s="388">
        <f t="shared" ca="1" si="1283"/>
        <v>0</v>
      </c>
      <c r="GT264" s="388">
        <f t="shared" ca="1" si="1283"/>
        <v>0</v>
      </c>
      <c r="GU264" s="388">
        <f t="shared" ca="1" si="1283"/>
        <v>0</v>
      </c>
      <c r="GV264" s="388">
        <f t="shared" ca="1" si="1283"/>
        <v>0</v>
      </c>
      <c r="GW264" s="388">
        <f t="shared" ca="1" si="1283"/>
        <v>0</v>
      </c>
      <c r="GX264" s="388">
        <f t="shared" ca="1" si="1283"/>
        <v>0</v>
      </c>
      <c r="GY264" s="388">
        <f t="shared" ca="1" si="1283"/>
        <v>0</v>
      </c>
      <c r="GZ264" s="388">
        <f t="shared" ca="1" si="1283"/>
        <v>0</v>
      </c>
      <c r="HA264" s="388">
        <f t="shared" ca="1" si="1283"/>
        <v>0</v>
      </c>
      <c r="HB264" s="388">
        <f t="shared" ca="1" si="1283"/>
        <v>0</v>
      </c>
      <c r="HC264" s="388">
        <f t="shared" ca="1" si="1283"/>
        <v>0</v>
      </c>
      <c r="HD264" s="388">
        <f t="shared" ca="1" si="1283"/>
        <v>0</v>
      </c>
      <c r="HE264" s="388">
        <f t="shared" ca="1" si="1283"/>
        <v>0</v>
      </c>
      <c r="HF264" s="388">
        <f t="shared" ca="1" si="1283"/>
        <v>0</v>
      </c>
      <c r="HG264" s="388">
        <f t="shared" ca="1" si="1283"/>
        <v>0</v>
      </c>
      <c r="HH264" s="388">
        <f t="shared" ca="1" si="1283"/>
        <v>0</v>
      </c>
      <c r="HI264" s="388">
        <f t="shared" ca="1" si="1283"/>
        <v>0</v>
      </c>
      <c r="HJ264" s="388">
        <f t="shared" ca="1" si="1283"/>
        <v>0</v>
      </c>
      <c r="HK264" s="388">
        <f t="shared" ca="1" si="1283"/>
        <v>0</v>
      </c>
      <c r="HL264" s="388">
        <f t="shared" ca="1" si="1283"/>
        <v>0</v>
      </c>
      <c r="HM264" s="388">
        <f t="shared" ref="HM264:IR264" ca="1" si="1284">(HM$201&lt;=Timing_Reversion_Month)*(HM260+HM261+HM244-HM262-HM263)</f>
        <v>0</v>
      </c>
      <c r="HN264" s="388">
        <f t="shared" ca="1" si="1284"/>
        <v>0</v>
      </c>
      <c r="HO264" s="388">
        <f t="shared" ca="1" si="1284"/>
        <v>0</v>
      </c>
      <c r="HP264" s="388">
        <f t="shared" ca="1" si="1284"/>
        <v>0</v>
      </c>
      <c r="HQ264" s="388">
        <f t="shared" ca="1" si="1284"/>
        <v>0</v>
      </c>
      <c r="HR264" s="388">
        <f t="shared" ca="1" si="1284"/>
        <v>0</v>
      </c>
      <c r="HS264" s="388">
        <f t="shared" ca="1" si="1284"/>
        <v>0</v>
      </c>
      <c r="HT264" s="388">
        <f t="shared" ca="1" si="1284"/>
        <v>0</v>
      </c>
      <c r="HU264" s="388">
        <f t="shared" ca="1" si="1284"/>
        <v>0</v>
      </c>
      <c r="HV264" s="388">
        <f t="shared" ca="1" si="1284"/>
        <v>0</v>
      </c>
      <c r="HW264" s="388">
        <f t="shared" ca="1" si="1284"/>
        <v>0</v>
      </c>
      <c r="HX264" s="388">
        <f t="shared" ca="1" si="1284"/>
        <v>0</v>
      </c>
      <c r="HY264" s="388">
        <f t="shared" ca="1" si="1284"/>
        <v>0</v>
      </c>
      <c r="HZ264" s="388">
        <f t="shared" ca="1" si="1284"/>
        <v>0</v>
      </c>
      <c r="IA264" s="388">
        <f t="shared" ca="1" si="1284"/>
        <v>0</v>
      </c>
      <c r="IB264" s="388">
        <f t="shared" ca="1" si="1284"/>
        <v>0</v>
      </c>
      <c r="IC264" s="388">
        <f t="shared" ca="1" si="1284"/>
        <v>0</v>
      </c>
      <c r="ID264" s="388">
        <f t="shared" ca="1" si="1284"/>
        <v>0</v>
      </c>
      <c r="IE264" s="388">
        <f t="shared" ca="1" si="1284"/>
        <v>0</v>
      </c>
      <c r="IF264" s="388">
        <f t="shared" ca="1" si="1284"/>
        <v>0</v>
      </c>
      <c r="IG264" s="388">
        <f t="shared" ca="1" si="1284"/>
        <v>0</v>
      </c>
      <c r="IH264" s="388">
        <f t="shared" ca="1" si="1284"/>
        <v>0</v>
      </c>
      <c r="II264" s="388">
        <f t="shared" ca="1" si="1284"/>
        <v>0</v>
      </c>
      <c r="IJ264" s="388">
        <f t="shared" ca="1" si="1284"/>
        <v>0</v>
      </c>
      <c r="IK264" s="388">
        <f t="shared" ca="1" si="1284"/>
        <v>0</v>
      </c>
      <c r="IL264" s="388">
        <f t="shared" ca="1" si="1284"/>
        <v>0</v>
      </c>
      <c r="IM264" s="388">
        <f t="shared" ca="1" si="1284"/>
        <v>0</v>
      </c>
      <c r="IN264" s="388">
        <f t="shared" ca="1" si="1284"/>
        <v>0</v>
      </c>
      <c r="IO264" s="388">
        <f t="shared" ca="1" si="1284"/>
        <v>0</v>
      </c>
      <c r="IP264" s="388">
        <f t="shared" ca="1" si="1284"/>
        <v>0</v>
      </c>
      <c r="IQ264" s="388">
        <f t="shared" ca="1" si="1284"/>
        <v>0</v>
      </c>
      <c r="IR264" s="388">
        <f t="shared" ca="1" si="1284"/>
        <v>0</v>
      </c>
      <c r="IS264" s="388">
        <f t="shared" ref="IS264:JX264" ca="1" si="1285">(IS$201&lt;=Timing_Reversion_Month)*(IS260+IS261+IS244-IS262-IS263)</f>
        <v>0</v>
      </c>
      <c r="IT264" s="388">
        <f t="shared" ca="1" si="1285"/>
        <v>0</v>
      </c>
      <c r="IU264" s="388">
        <f t="shared" ca="1" si="1285"/>
        <v>0</v>
      </c>
      <c r="IV264" s="388">
        <f t="shared" ca="1" si="1285"/>
        <v>0</v>
      </c>
      <c r="IW264" s="388">
        <f t="shared" ca="1" si="1285"/>
        <v>0</v>
      </c>
      <c r="IX264" s="388">
        <f t="shared" ca="1" si="1285"/>
        <v>0</v>
      </c>
      <c r="IY264" s="388">
        <f t="shared" ca="1" si="1285"/>
        <v>0</v>
      </c>
      <c r="IZ264" s="388">
        <f t="shared" ca="1" si="1285"/>
        <v>0</v>
      </c>
      <c r="JA264" s="388">
        <f t="shared" ca="1" si="1285"/>
        <v>0</v>
      </c>
      <c r="JB264" s="388">
        <f t="shared" ca="1" si="1285"/>
        <v>0</v>
      </c>
      <c r="JC264" s="388">
        <f t="shared" ca="1" si="1285"/>
        <v>0</v>
      </c>
      <c r="JD264" s="388">
        <f t="shared" ca="1" si="1285"/>
        <v>0</v>
      </c>
      <c r="JE264" s="388">
        <f t="shared" ca="1" si="1285"/>
        <v>0</v>
      </c>
      <c r="JF264" s="388">
        <f t="shared" ca="1" si="1285"/>
        <v>0</v>
      </c>
      <c r="JG264" s="388">
        <f t="shared" ca="1" si="1285"/>
        <v>0</v>
      </c>
      <c r="JH264" s="388">
        <f t="shared" ca="1" si="1285"/>
        <v>0</v>
      </c>
      <c r="JI264" s="388">
        <f t="shared" ca="1" si="1285"/>
        <v>0</v>
      </c>
      <c r="JJ264" s="388">
        <f t="shared" ca="1" si="1285"/>
        <v>0</v>
      </c>
      <c r="JK264" s="388">
        <f t="shared" ca="1" si="1285"/>
        <v>0</v>
      </c>
      <c r="JL264" s="388">
        <f t="shared" ca="1" si="1285"/>
        <v>0</v>
      </c>
      <c r="JM264" s="388">
        <f t="shared" ca="1" si="1285"/>
        <v>0</v>
      </c>
      <c r="JN264" s="388">
        <f t="shared" ca="1" si="1285"/>
        <v>0</v>
      </c>
      <c r="JO264" s="388">
        <f t="shared" ca="1" si="1285"/>
        <v>0</v>
      </c>
      <c r="JP264" s="388">
        <f t="shared" ca="1" si="1285"/>
        <v>0</v>
      </c>
      <c r="JQ264" s="388">
        <f t="shared" ca="1" si="1285"/>
        <v>0</v>
      </c>
      <c r="JR264" s="388">
        <f t="shared" ca="1" si="1285"/>
        <v>0</v>
      </c>
      <c r="JS264" s="388">
        <f t="shared" ca="1" si="1285"/>
        <v>0</v>
      </c>
      <c r="JT264" s="388">
        <f t="shared" ca="1" si="1285"/>
        <v>0</v>
      </c>
      <c r="JU264" s="388">
        <f t="shared" ca="1" si="1285"/>
        <v>0</v>
      </c>
      <c r="JV264" s="388">
        <f t="shared" ca="1" si="1285"/>
        <v>0</v>
      </c>
      <c r="JW264" s="388">
        <f t="shared" ca="1" si="1285"/>
        <v>0</v>
      </c>
      <c r="JX264" s="388">
        <f t="shared" ca="1" si="1285"/>
        <v>0</v>
      </c>
      <c r="JY264" s="388">
        <f t="shared" ref="JY264:KC264" ca="1" si="1286">(JY$201&lt;=Timing_Reversion_Month)*(JY260+JY261+JY244-JY262-JY263)</f>
        <v>0</v>
      </c>
      <c r="JZ264" s="388">
        <f t="shared" ca="1" si="1286"/>
        <v>0</v>
      </c>
      <c r="KA264" s="388">
        <f t="shared" ca="1" si="1286"/>
        <v>0</v>
      </c>
      <c r="KB264" s="388">
        <f t="shared" ca="1" si="1286"/>
        <v>0</v>
      </c>
      <c r="KC264" s="388">
        <f t="shared" ca="1" si="1286"/>
        <v>0</v>
      </c>
    </row>
    <row r="265" spans="2:289" ht="0.6" customHeight="1" x14ac:dyDescent="0.35">
      <c r="B265" s="209" t="str">
        <f>B254</f>
        <v>GP 2</v>
      </c>
      <c r="C265" s="413" t="str">
        <f>C254</f>
        <v>[General Partner 2 Name]</v>
      </c>
      <c r="D265" s="181"/>
      <c r="E265" s="181"/>
      <c r="F265" s="181"/>
      <c r="G265" s="181"/>
      <c r="H265" s="416">
        <f ca="1">I265/$I$245</f>
        <v>0.89999999999999991</v>
      </c>
      <c r="I265" s="224">
        <f ca="1">SUM(Q265:ES265)</f>
        <v>1758462.1858592378</v>
      </c>
      <c r="Q265" s="226">
        <f t="shared" ref="Q265:AV265" ca="1" si="1287">IF(Q$231="","",FA245+FA254+FA263+FA269+(FA$214*$E254))</f>
        <v>0</v>
      </c>
      <c r="R265" s="226">
        <f t="shared" ca="1" si="1287"/>
        <v>0</v>
      </c>
      <c r="S265" s="226">
        <f t="shared" ca="1" si="1287"/>
        <v>0</v>
      </c>
      <c r="T265" s="226">
        <f t="shared" ca="1" si="1287"/>
        <v>0</v>
      </c>
      <c r="U265" s="226">
        <f t="shared" ca="1" si="1287"/>
        <v>0</v>
      </c>
      <c r="V265" s="226">
        <f t="shared" ca="1" si="1287"/>
        <v>0</v>
      </c>
      <c r="W265" s="226">
        <f t="shared" ca="1" si="1287"/>
        <v>0</v>
      </c>
      <c r="X265" s="226">
        <f t="shared" ca="1" si="1287"/>
        <v>0</v>
      </c>
      <c r="Y265" s="226">
        <f t="shared" ca="1" si="1287"/>
        <v>0</v>
      </c>
      <c r="Z265" s="226">
        <f t="shared" ca="1" si="1287"/>
        <v>0</v>
      </c>
      <c r="AA265" s="226">
        <f t="shared" ca="1" si="1287"/>
        <v>0</v>
      </c>
      <c r="AB265" s="226">
        <f t="shared" ca="1" si="1287"/>
        <v>0</v>
      </c>
      <c r="AC265" s="226">
        <f t="shared" ca="1" si="1287"/>
        <v>769.03649999999936</v>
      </c>
      <c r="AD265" s="226">
        <f t="shared" ca="1" si="1287"/>
        <v>9836.0302499999998</v>
      </c>
      <c r="AE265" s="226">
        <f t="shared" ca="1" si="1287"/>
        <v>18903.023999999463</v>
      </c>
      <c r="AF265" s="226">
        <f t="shared" ca="1" si="1287"/>
        <v>4172.8438921211637</v>
      </c>
      <c r="AG265" s="226">
        <f t="shared" ca="1" si="1287"/>
        <v>4172.8438921211637</v>
      </c>
      <c r="AH265" s="226">
        <f t="shared" ca="1" si="1287"/>
        <v>4172.8438921211637</v>
      </c>
      <c r="AI265" s="226">
        <f t="shared" ca="1" si="1287"/>
        <v>4172.8438921211637</v>
      </c>
      <c r="AJ265" s="226">
        <f t="shared" ca="1" si="1287"/>
        <v>4172.8438921211637</v>
      </c>
      <c r="AK265" s="226">
        <f t="shared" ca="1" si="1287"/>
        <v>4172.8438921211637</v>
      </c>
      <c r="AL265" s="226">
        <f t="shared" ca="1" si="1287"/>
        <v>4172.8438921211637</v>
      </c>
      <c r="AM265" s="226">
        <f t="shared" ca="1" si="1287"/>
        <v>4172.8438921211637</v>
      </c>
      <c r="AN265" s="226">
        <f t="shared" ca="1" si="1287"/>
        <v>4172.8438921211637</v>
      </c>
      <c r="AO265" s="226">
        <f t="shared" ca="1" si="1287"/>
        <v>3301.6176121211602</v>
      </c>
      <c r="AP265" s="226">
        <f t="shared" ca="1" si="1287"/>
        <v>3579.4071121211655</v>
      </c>
      <c r="AQ265" s="226">
        <f t="shared" ca="1" si="1287"/>
        <v>3857.1966121211644</v>
      </c>
      <c r="AR265" s="226">
        <f t="shared" ca="1" si="1287"/>
        <v>3857.1966121211644</v>
      </c>
      <c r="AS265" s="226">
        <f t="shared" ca="1" si="1287"/>
        <v>3857.1966121211644</v>
      </c>
      <c r="AT265" s="226">
        <f t="shared" ca="1" si="1287"/>
        <v>3857.1966121211644</v>
      </c>
      <c r="AU265" s="226">
        <f t="shared" ca="1" si="1287"/>
        <v>3857.1966121211644</v>
      </c>
      <c r="AV265" s="226">
        <f t="shared" ca="1" si="1287"/>
        <v>3857.1966121211644</v>
      </c>
      <c r="AW265" s="226">
        <f t="shared" ref="AW265:CB265" ca="1" si="1288">IF(AW$231="","",GG245+GG254+GG263+GG269+(GG$214*$E254))</f>
        <v>3857.1966121211644</v>
      </c>
      <c r="AX265" s="226">
        <f t="shared" ca="1" si="1288"/>
        <v>3857.1966121211644</v>
      </c>
      <c r="AY265" s="226">
        <f t="shared" ca="1" si="1288"/>
        <v>3857.1966121211644</v>
      </c>
      <c r="AZ265" s="226">
        <f t="shared" ca="1" si="1288"/>
        <v>3857.1966121211644</v>
      </c>
      <c r="BA265" s="226">
        <f t="shared" ca="1" si="1288"/>
        <v>1645945.5092346941</v>
      </c>
      <c r="BB265" s="226" t="str">
        <f t="shared" si="1288"/>
        <v/>
      </c>
      <c r="BC265" s="226" t="str">
        <f t="shared" si="1288"/>
        <v/>
      </c>
      <c r="BD265" s="226" t="str">
        <f t="shared" si="1288"/>
        <v/>
      </c>
      <c r="BE265" s="226" t="str">
        <f t="shared" si="1288"/>
        <v/>
      </c>
      <c r="BF265" s="226" t="str">
        <f t="shared" si="1288"/>
        <v/>
      </c>
      <c r="BG265" s="226" t="str">
        <f t="shared" si="1288"/>
        <v/>
      </c>
      <c r="BH265" s="226" t="str">
        <f t="shared" si="1288"/>
        <v/>
      </c>
      <c r="BI265" s="226" t="str">
        <f t="shared" si="1288"/>
        <v/>
      </c>
      <c r="BJ265" s="226" t="str">
        <f t="shared" si="1288"/>
        <v/>
      </c>
      <c r="BK265" s="226" t="str">
        <f t="shared" si="1288"/>
        <v/>
      </c>
      <c r="BL265" s="226" t="str">
        <f t="shared" si="1288"/>
        <v/>
      </c>
      <c r="BM265" s="226" t="str">
        <f t="shared" si="1288"/>
        <v/>
      </c>
      <c r="BN265" s="226" t="str">
        <f t="shared" si="1288"/>
        <v/>
      </c>
      <c r="BO265" s="226" t="str">
        <f t="shared" si="1288"/>
        <v/>
      </c>
      <c r="BP265" s="226" t="str">
        <f t="shared" si="1288"/>
        <v/>
      </c>
      <c r="BQ265" s="226" t="str">
        <f t="shared" si="1288"/>
        <v/>
      </c>
      <c r="BR265" s="226" t="str">
        <f t="shared" si="1288"/>
        <v/>
      </c>
      <c r="BS265" s="226" t="str">
        <f t="shared" si="1288"/>
        <v/>
      </c>
      <c r="BT265" s="226" t="str">
        <f t="shared" si="1288"/>
        <v/>
      </c>
      <c r="BU265" s="226" t="str">
        <f t="shared" si="1288"/>
        <v/>
      </c>
      <c r="BV265" s="226" t="str">
        <f t="shared" si="1288"/>
        <v/>
      </c>
      <c r="BW265" s="226" t="str">
        <f t="shared" si="1288"/>
        <v/>
      </c>
      <c r="BX265" s="226" t="str">
        <f t="shared" si="1288"/>
        <v/>
      </c>
      <c r="BY265" s="226" t="str">
        <f t="shared" si="1288"/>
        <v/>
      </c>
      <c r="BZ265" s="226" t="str">
        <f t="shared" si="1288"/>
        <v/>
      </c>
      <c r="CA265" s="226" t="str">
        <f t="shared" si="1288"/>
        <v/>
      </c>
      <c r="CB265" s="226" t="str">
        <f t="shared" si="1288"/>
        <v/>
      </c>
      <c r="CC265" s="226" t="str">
        <f t="shared" ref="CC265:DH265" si="1289">IF(CC$231="","",HM245+HM254+HM263+HM269+(HM$214*$E254))</f>
        <v/>
      </c>
      <c r="CD265" s="226" t="str">
        <f t="shared" si="1289"/>
        <v/>
      </c>
      <c r="CE265" s="226" t="str">
        <f t="shared" si="1289"/>
        <v/>
      </c>
      <c r="CF265" s="226" t="str">
        <f t="shared" si="1289"/>
        <v/>
      </c>
      <c r="CG265" s="226" t="str">
        <f t="shared" si="1289"/>
        <v/>
      </c>
      <c r="CH265" s="226" t="str">
        <f t="shared" si="1289"/>
        <v/>
      </c>
      <c r="CI265" s="226" t="str">
        <f t="shared" si="1289"/>
        <v/>
      </c>
      <c r="CJ265" s="226" t="str">
        <f t="shared" si="1289"/>
        <v/>
      </c>
      <c r="CK265" s="226" t="str">
        <f t="shared" si="1289"/>
        <v/>
      </c>
      <c r="CL265" s="226" t="str">
        <f t="shared" si="1289"/>
        <v/>
      </c>
      <c r="CM265" s="226" t="str">
        <f t="shared" si="1289"/>
        <v/>
      </c>
      <c r="CN265" s="226" t="str">
        <f t="shared" si="1289"/>
        <v/>
      </c>
      <c r="CO265" s="226" t="str">
        <f t="shared" si="1289"/>
        <v/>
      </c>
      <c r="CP265" s="226" t="str">
        <f t="shared" si="1289"/>
        <v/>
      </c>
      <c r="CQ265" s="226" t="str">
        <f t="shared" si="1289"/>
        <v/>
      </c>
      <c r="CR265" s="226" t="str">
        <f t="shared" si="1289"/>
        <v/>
      </c>
      <c r="CS265" s="226" t="str">
        <f t="shared" si="1289"/>
        <v/>
      </c>
      <c r="CT265" s="226" t="str">
        <f t="shared" si="1289"/>
        <v/>
      </c>
      <c r="CU265" s="226" t="str">
        <f t="shared" si="1289"/>
        <v/>
      </c>
      <c r="CV265" s="226" t="str">
        <f t="shared" si="1289"/>
        <v/>
      </c>
      <c r="CW265" s="226" t="str">
        <f t="shared" si="1289"/>
        <v/>
      </c>
      <c r="CX265" s="226" t="str">
        <f t="shared" si="1289"/>
        <v/>
      </c>
      <c r="CY265" s="226" t="str">
        <f t="shared" si="1289"/>
        <v/>
      </c>
      <c r="CZ265" s="226" t="str">
        <f t="shared" si="1289"/>
        <v/>
      </c>
      <c r="DA265" s="226" t="str">
        <f t="shared" si="1289"/>
        <v/>
      </c>
      <c r="DB265" s="226" t="str">
        <f t="shared" si="1289"/>
        <v/>
      </c>
      <c r="DC265" s="226" t="str">
        <f t="shared" si="1289"/>
        <v/>
      </c>
      <c r="DD265" s="226" t="str">
        <f t="shared" si="1289"/>
        <v/>
      </c>
      <c r="DE265" s="226" t="str">
        <f t="shared" si="1289"/>
        <v/>
      </c>
      <c r="DF265" s="226" t="str">
        <f t="shared" si="1289"/>
        <v/>
      </c>
      <c r="DG265" s="226" t="str">
        <f t="shared" si="1289"/>
        <v/>
      </c>
      <c r="DH265" s="226" t="str">
        <f t="shared" si="1289"/>
        <v/>
      </c>
      <c r="DI265" s="226" t="str">
        <f t="shared" ref="DI265:EN265" si="1290">IF(DI$231="","",IS245+IS254+IS263+IS269+(IS$214*$E254))</f>
        <v/>
      </c>
      <c r="DJ265" s="226" t="str">
        <f t="shared" si="1290"/>
        <v/>
      </c>
      <c r="DK265" s="226" t="str">
        <f t="shared" si="1290"/>
        <v/>
      </c>
      <c r="DL265" s="226" t="str">
        <f t="shared" si="1290"/>
        <v/>
      </c>
      <c r="DM265" s="226" t="str">
        <f t="shared" si="1290"/>
        <v/>
      </c>
      <c r="DN265" s="226" t="str">
        <f t="shared" si="1290"/>
        <v/>
      </c>
      <c r="DO265" s="226" t="str">
        <f t="shared" si="1290"/>
        <v/>
      </c>
      <c r="DP265" s="226" t="str">
        <f t="shared" si="1290"/>
        <v/>
      </c>
      <c r="DQ265" s="226" t="str">
        <f t="shared" si="1290"/>
        <v/>
      </c>
      <c r="DR265" s="226" t="str">
        <f t="shared" si="1290"/>
        <v/>
      </c>
      <c r="DS265" s="226" t="str">
        <f t="shared" si="1290"/>
        <v/>
      </c>
      <c r="DT265" s="226" t="str">
        <f t="shared" si="1290"/>
        <v/>
      </c>
      <c r="DU265" s="226" t="str">
        <f t="shared" si="1290"/>
        <v/>
      </c>
      <c r="DV265" s="226" t="str">
        <f t="shared" si="1290"/>
        <v/>
      </c>
      <c r="DW265" s="226" t="str">
        <f t="shared" si="1290"/>
        <v/>
      </c>
      <c r="DX265" s="226" t="str">
        <f t="shared" si="1290"/>
        <v/>
      </c>
      <c r="DY265" s="226" t="str">
        <f t="shared" si="1290"/>
        <v/>
      </c>
      <c r="DZ265" s="226" t="str">
        <f t="shared" si="1290"/>
        <v/>
      </c>
      <c r="EA265" s="226" t="str">
        <f t="shared" si="1290"/>
        <v/>
      </c>
      <c r="EB265" s="226" t="str">
        <f t="shared" si="1290"/>
        <v/>
      </c>
      <c r="EC265" s="226" t="str">
        <f t="shared" si="1290"/>
        <v/>
      </c>
      <c r="ED265" s="226" t="str">
        <f t="shared" si="1290"/>
        <v/>
      </c>
      <c r="EE265" s="226" t="str">
        <f t="shared" si="1290"/>
        <v/>
      </c>
      <c r="EF265" s="226" t="str">
        <f t="shared" si="1290"/>
        <v/>
      </c>
      <c r="EG265" s="226" t="str">
        <f t="shared" si="1290"/>
        <v/>
      </c>
      <c r="EH265" s="226" t="str">
        <f t="shared" si="1290"/>
        <v/>
      </c>
      <c r="EI265" s="226" t="str">
        <f t="shared" si="1290"/>
        <v/>
      </c>
      <c r="EJ265" s="226" t="str">
        <f t="shared" si="1290"/>
        <v/>
      </c>
      <c r="EK265" s="226" t="str">
        <f t="shared" si="1290"/>
        <v/>
      </c>
      <c r="EL265" s="226" t="str">
        <f t="shared" si="1290"/>
        <v/>
      </c>
      <c r="EM265" s="226" t="str">
        <f t="shared" si="1290"/>
        <v/>
      </c>
      <c r="EN265" s="226" t="str">
        <f t="shared" si="1290"/>
        <v/>
      </c>
      <c r="EO265" s="226" t="str">
        <f>IF(EO$231="","",JY245+JY254+JY263+JY269+(JY$214*$E254))</f>
        <v/>
      </c>
      <c r="EP265" s="226" t="str">
        <f>IF(EP$231="","",JZ245+JZ254+JZ263+JZ269+(JZ$214*$E254))</f>
        <v/>
      </c>
      <c r="EQ265" s="226" t="str">
        <f>IF(EQ$231="","",KA245+KA254+KA263+KA269+(KA$214*$E254))</f>
        <v/>
      </c>
      <c r="ER265" s="226" t="str">
        <f>IF(ER$231="","",KB245+KB254+KB263+KB269+(KB$214*$E254))</f>
        <v/>
      </c>
      <c r="ES265" s="226" t="str">
        <f>IF(ES$231="","",KC245+KC254+KC263+KC269+(KC$214*$E254))</f>
        <v/>
      </c>
      <c r="EU265" s="202"/>
      <c r="EV265" s="153"/>
      <c r="EW265" s="153"/>
      <c r="EX265" s="154" t="s">
        <v>354</v>
      </c>
      <c r="EY265" s="393">
        <f ca="1">XIRR(OFFSET(FA265,,,1,Timing_Reversion_Month+1),OFFSET($FA$23,,,1,Timing_Reversion_Month+1))</f>
        <v>6.4810648560524015E-2</v>
      </c>
      <c r="EZ265" s="154"/>
      <c r="FA265" s="386">
        <f ca="1">+-FA244+FA262+FA263</f>
        <v>-740252.57142857148</v>
      </c>
      <c r="FB265" s="386">
        <f t="shared" ref="FB265:HM265" ca="1" si="1291">+-FB244+FB262+FB263</f>
        <v>-15156.817438985376</v>
      </c>
      <c r="FC265" s="386">
        <f t="shared" ca="1" si="1291"/>
        <v>-47254.430958694291</v>
      </c>
      <c r="FD265" s="386">
        <f t="shared" ca="1" si="1291"/>
        <v>-122867.82138712759</v>
      </c>
      <c r="FE265" s="386">
        <f t="shared" ca="1" si="1291"/>
        <v>-254193.56395845834</v>
      </c>
      <c r="FF265" s="386">
        <f t="shared" ca="1" si="1291"/>
        <v>-274170.9137348769</v>
      </c>
      <c r="FG265" s="386">
        <f t="shared" ca="1" si="1291"/>
        <v>0</v>
      </c>
      <c r="FH265" s="386">
        <f t="shared" ca="1" si="1291"/>
        <v>0</v>
      </c>
      <c r="FI265" s="386">
        <f t="shared" ca="1" si="1291"/>
        <v>0</v>
      </c>
      <c r="FJ265" s="386">
        <f t="shared" ca="1" si="1291"/>
        <v>0</v>
      </c>
      <c r="FK265" s="386">
        <f t="shared" ca="1" si="1291"/>
        <v>0</v>
      </c>
      <c r="FL265" s="386">
        <f t="shared" ca="1" si="1291"/>
        <v>0</v>
      </c>
      <c r="FM265" s="386">
        <f t="shared" ca="1" si="1291"/>
        <v>769.03649999999936</v>
      </c>
      <c r="FN265" s="386">
        <f t="shared" ca="1" si="1291"/>
        <v>9836.0302499999998</v>
      </c>
      <c r="FO265" s="386">
        <f t="shared" ca="1" si="1291"/>
        <v>17691.443065618256</v>
      </c>
      <c r="FP265" s="386">
        <f t="shared" ca="1" si="1291"/>
        <v>2961.2629577399553</v>
      </c>
      <c r="FQ265" s="386">
        <f t="shared" ca="1" si="1291"/>
        <v>2961.2629577399553</v>
      </c>
      <c r="FR265" s="386">
        <f t="shared" ca="1" si="1291"/>
        <v>2961.2629577399553</v>
      </c>
      <c r="FS265" s="386">
        <f t="shared" ca="1" si="1291"/>
        <v>2961.2629577399553</v>
      </c>
      <c r="FT265" s="386">
        <f t="shared" ca="1" si="1291"/>
        <v>2961.2629577399553</v>
      </c>
      <c r="FU265" s="386">
        <f t="shared" ca="1" si="1291"/>
        <v>2961.2629577399553</v>
      </c>
      <c r="FV265" s="386">
        <f t="shared" ca="1" si="1291"/>
        <v>2961.2629577399553</v>
      </c>
      <c r="FW265" s="386">
        <f t="shared" ca="1" si="1291"/>
        <v>2961.2629577399553</v>
      </c>
      <c r="FX265" s="386">
        <f t="shared" ca="1" si="1291"/>
        <v>2961.2629577399553</v>
      </c>
      <c r="FY265" s="386">
        <f t="shared" ca="1" si="1291"/>
        <v>2090.0366777399513</v>
      </c>
      <c r="FZ265" s="386">
        <f t="shared" ca="1" si="1291"/>
        <v>2367.8261777399571</v>
      </c>
      <c r="GA265" s="386">
        <f t="shared" ca="1" si="1291"/>
        <v>2645.615677739956</v>
      </c>
      <c r="GB265" s="386">
        <f t="shared" ca="1" si="1291"/>
        <v>2645.615677739956</v>
      </c>
      <c r="GC265" s="386">
        <f t="shared" ca="1" si="1291"/>
        <v>2645.615677739956</v>
      </c>
      <c r="GD265" s="386">
        <f t="shared" ca="1" si="1291"/>
        <v>2645.615677739956</v>
      </c>
      <c r="GE265" s="386">
        <f t="shared" ca="1" si="1291"/>
        <v>2645.615677739956</v>
      </c>
      <c r="GF265" s="386">
        <f t="shared" ca="1" si="1291"/>
        <v>2645.615677739956</v>
      </c>
      <c r="GG265" s="386">
        <f t="shared" ca="1" si="1291"/>
        <v>2645.615677739956</v>
      </c>
      <c r="GH265" s="386">
        <f t="shared" ca="1" si="1291"/>
        <v>2645.615677739956</v>
      </c>
      <c r="GI265" s="386">
        <f t="shared" ca="1" si="1291"/>
        <v>2645.615677739956</v>
      </c>
      <c r="GJ265" s="386">
        <f t="shared" ca="1" si="1291"/>
        <v>2645.615677739956</v>
      </c>
      <c r="GK265" s="386">
        <f t="shared" ca="1" si="1291"/>
        <v>1644733.928300313</v>
      </c>
      <c r="GL265" s="386">
        <f t="shared" ca="1" si="1291"/>
        <v>0</v>
      </c>
      <c r="GM265" s="386">
        <f t="shared" ca="1" si="1291"/>
        <v>0</v>
      </c>
      <c r="GN265" s="386">
        <f t="shared" ca="1" si="1291"/>
        <v>0</v>
      </c>
      <c r="GO265" s="386">
        <f t="shared" ca="1" si="1291"/>
        <v>0</v>
      </c>
      <c r="GP265" s="386">
        <f t="shared" ca="1" si="1291"/>
        <v>0</v>
      </c>
      <c r="GQ265" s="386">
        <f t="shared" ca="1" si="1291"/>
        <v>0</v>
      </c>
      <c r="GR265" s="386">
        <f t="shared" ca="1" si="1291"/>
        <v>0</v>
      </c>
      <c r="GS265" s="386">
        <f t="shared" ca="1" si="1291"/>
        <v>0</v>
      </c>
      <c r="GT265" s="386">
        <f t="shared" ca="1" si="1291"/>
        <v>0</v>
      </c>
      <c r="GU265" s="386">
        <f t="shared" ca="1" si="1291"/>
        <v>0</v>
      </c>
      <c r="GV265" s="386">
        <f t="shared" ca="1" si="1291"/>
        <v>0</v>
      </c>
      <c r="GW265" s="386">
        <f t="shared" ca="1" si="1291"/>
        <v>0</v>
      </c>
      <c r="GX265" s="386">
        <f t="shared" ca="1" si="1291"/>
        <v>0</v>
      </c>
      <c r="GY265" s="386">
        <f t="shared" ca="1" si="1291"/>
        <v>0</v>
      </c>
      <c r="GZ265" s="386">
        <f t="shared" ca="1" si="1291"/>
        <v>0</v>
      </c>
      <c r="HA265" s="386">
        <f t="shared" ca="1" si="1291"/>
        <v>0</v>
      </c>
      <c r="HB265" s="386">
        <f t="shared" ca="1" si="1291"/>
        <v>0</v>
      </c>
      <c r="HC265" s="386">
        <f t="shared" ca="1" si="1291"/>
        <v>0</v>
      </c>
      <c r="HD265" s="386">
        <f t="shared" ca="1" si="1291"/>
        <v>0</v>
      </c>
      <c r="HE265" s="386">
        <f t="shared" ca="1" si="1291"/>
        <v>0</v>
      </c>
      <c r="HF265" s="386">
        <f t="shared" ca="1" si="1291"/>
        <v>0</v>
      </c>
      <c r="HG265" s="386">
        <f t="shared" ca="1" si="1291"/>
        <v>0</v>
      </c>
      <c r="HH265" s="386">
        <f t="shared" ca="1" si="1291"/>
        <v>0</v>
      </c>
      <c r="HI265" s="386">
        <f t="shared" ca="1" si="1291"/>
        <v>0</v>
      </c>
      <c r="HJ265" s="386">
        <f t="shared" ca="1" si="1291"/>
        <v>0</v>
      </c>
      <c r="HK265" s="386">
        <f t="shared" ca="1" si="1291"/>
        <v>0</v>
      </c>
      <c r="HL265" s="386">
        <f t="shared" ca="1" si="1291"/>
        <v>0</v>
      </c>
      <c r="HM265" s="386">
        <f t="shared" ca="1" si="1291"/>
        <v>0</v>
      </c>
      <c r="HN265" s="386">
        <f t="shared" ref="HN265:JY265" ca="1" si="1292">+-HN244+HN262+HN263</f>
        <v>0</v>
      </c>
      <c r="HO265" s="386">
        <f t="shared" ca="1" si="1292"/>
        <v>0</v>
      </c>
      <c r="HP265" s="386">
        <f t="shared" ca="1" si="1292"/>
        <v>0</v>
      </c>
      <c r="HQ265" s="386">
        <f t="shared" ca="1" si="1292"/>
        <v>0</v>
      </c>
      <c r="HR265" s="386">
        <f t="shared" ca="1" si="1292"/>
        <v>0</v>
      </c>
      <c r="HS265" s="386">
        <f t="shared" ca="1" si="1292"/>
        <v>0</v>
      </c>
      <c r="HT265" s="386">
        <f t="shared" ca="1" si="1292"/>
        <v>0</v>
      </c>
      <c r="HU265" s="386">
        <f t="shared" ca="1" si="1292"/>
        <v>0</v>
      </c>
      <c r="HV265" s="386">
        <f t="shared" ca="1" si="1292"/>
        <v>0</v>
      </c>
      <c r="HW265" s="386">
        <f t="shared" ca="1" si="1292"/>
        <v>0</v>
      </c>
      <c r="HX265" s="386">
        <f t="shared" ca="1" si="1292"/>
        <v>0</v>
      </c>
      <c r="HY265" s="386">
        <f t="shared" ca="1" si="1292"/>
        <v>0</v>
      </c>
      <c r="HZ265" s="386">
        <f t="shared" ca="1" si="1292"/>
        <v>0</v>
      </c>
      <c r="IA265" s="386">
        <f t="shared" ca="1" si="1292"/>
        <v>0</v>
      </c>
      <c r="IB265" s="386">
        <f t="shared" ca="1" si="1292"/>
        <v>0</v>
      </c>
      <c r="IC265" s="386">
        <f t="shared" ca="1" si="1292"/>
        <v>0</v>
      </c>
      <c r="ID265" s="386">
        <f t="shared" ca="1" si="1292"/>
        <v>0</v>
      </c>
      <c r="IE265" s="386">
        <f t="shared" ca="1" si="1292"/>
        <v>0</v>
      </c>
      <c r="IF265" s="386">
        <f t="shared" ca="1" si="1292"/>
        <v>0</v>
      </c>
      <c r="IG265" s="386">
        <f t="shared" ca="1" si="1292"/>
        <v>0</v>
      </c>
      <c r="IH265" s="386">
        <f t="shared" ca="1" si="1292"/>
        <v>0</v>
      </c>
      <c r="II265" s="386">
        <f t="shared" ca="1" si="1292"/>
        <v>0</v>
      </c>
      <c r="IJ265" s="386">
        <f t="shared" ca="1" si="1292"/>
        <v>0</v>
      </c>
      <c r="IK265" s="386">
        <f t="shared" ca="1" si="1292"/>
        <v>0</v>
      </c>
      <c r="IL265" s="386">
        <f t="shared" ca="1" si="1292"/>
        <v>0</v>
      </c>
      <c r="IM265" s="386">
        <f t="shared" ca="1" si="1292"/>
        <v>0</v>
      </c>
      <c r="IN265" s="386">
        <f t="shared" ca="1" si="1292"/>
        <v>0</v>
      </c>
      <c r="IO265" s="386">
        <f t="shared" ca="1" si="1292"/>
        <v>0</v>
      </c>
      <c r="IP265" s="386">
        <f t="shared" ca="1" si="1292"/>
        <v>0</v>
      </c>
      <c r="IQ265" s="386">
        <f t="shared" ca="1" si="1292"/>
        <v>0</v>
      </c>
      <c r="IR265" s="386">
        <f t="shared" ca="1" si="1292"/>
        <v>0</v>
      </c>
      <c r="IS265" s="386">
        <f t="shared" ca="1" si="1292"/>
        <v>0</v>
      </c>
      <c r="IT265" s="386">
        <f t="shared" ca="1" si="1292"/>
        <v>0</v>
      </c>
      <c r="IU265" s="386">
        <f t="shared" ca="1" si="1292"/>
        <v>0</v>
      </c>
      <c r="IV265" s="386">
        <f t="shared" ca="1" si="1292"/>
        <v>0</v>
      </c>
      <c r="IW265" s="386">
        <f t="shared" ca="1" si="1292"/>
        <v>0</v>
      </c>
      <c r="IX265" s="386">
        <f t="shared" ca="1" si="1292"/>
        <v>0</v>
      </c>
      <c r="IY265" s="386">
        <f t="shared" ca="1" si="1292"/>
        <v>0</v>
      </c>
      <c r="IZ265" s="386">
        <f t="shared" ca="1" si="1292"/>
        <v>0</v>
      </c>
      <c r="JA265" s="386">
        <f t="shared" ca="1" si="1292"/>
        <v>0</v>
      </c>
      <c r="JB265" s="386">
        <f t="shared" ca="1" si="1292"/>
        <v>0</v>
      </c>
      <c r="JC265" s="386">
        <f t="shared" ca="1" si="1292"/>
        <v>0</v>
      </c>
      <c r="JD265" s="386">
        <f t="shared" ca="1" si="1292"/>
        <v>0</v>
      </c>
      <c r="JE265" s="386">
        <f t="shared" ca="1" si="1292"/>
        <v>0</v>
      </c>
      <c r="JF265" s="386">
        <f t="shared" ca="1" si="1292"/>
        <v>0</v>
      </c>
      <c r="JG265" s="386">
        <f t="shared" ca="1" si="1292"/>
        <v>0</v>
      </c>
      <c r="JH265" s="386">
        <f t="shared" ca="1" si="1292"/>
        <v>0</v>
      </c>
      <c r="JI265" s="386">
        <f t="shared" ca="1" si="1292"/>
        <v>0</v>
      </c>
      <c r="JJ265" s="386">
        <f t="shared" ca="1" si="1292"/>
        <v>0</v>
      </c>
      <c r="JK265" s="386">
        <f t="shared" ca="1" si="1292"/>
        <v>0</v>
      </c>
      <c r="JL265" s="386">
        <f t="shared" ca="1" si="1292"/>
        <v>0</v>
      </c>
      <c r="JM265" s="386">
        <f t="shared" ca="1" si="1292"/>
        <v>0</v>
      </c>
      <c r="JN265" s="386">
        <f t="shared" ca="1" si="1292"/>
        <v>0</v>
      </c>
      <c r="JO265" s="386">
        <f t="shared" ca="1" si="1292"/>
        <v>0</v>
      </c>
      <c r="JP265" s="386">
        <f t="shared" ca="1" si="1292"/>
        <v>0</v>
      </c>
      <c r="JQ265" s="386">
        <f t="shared" ca="1" si="1292"/>
        <v>0</v>
      </c>
      <c r="JR265" s="386">
        <f t="shared" ca="1" si="1292"/>
        <v>0</v>
      </c>
      <c r="JS265" s="386">
        <f t="shared" ca="1" si="1292"/>
        <v>0</v>
      </c>
      <c r="JT265" s="386">
        <f t="shared" ca="1" si="1292"/>
        <v>0</v>
      </c>
      <c r="JU265" s="386">
        <f t="shared" ca="1" si="1292"/>
        <v>0</v>
      </c>
      <c r="JV265" s="386">
        <f t="shared" ca="1" si="1292"/>
        <v>0</v>
      </c>
      <c r="JW265" s="386">
        <f t="shared" ca="1" si="1292"/>
        <v>0</v>
      </c>
      <c r="JX265" s="386">
        <f t="shared" ca="1" si="1292"/>
        <v>0</v>
      </c>
      <c r="JY265" s="386">
        <f t="shared" ca="1" si="1292"/>
        <v>0</v>
      </c>
      <c r="JZ265" s="386">
        <f ca="1">+-JZ244+JZ262+JZ263</f>
        <v>0</v>
      </c>
      <c r="KA265" s="386">
        <f ca="1">+-KA244+KA262+KA263</f>
        <v>0</v>
      </c>
      <c r="KB265" s="386">
        <f ca="1">+-KB244+KB262+KB263</f>
        <v>0</v>
      </c>
      <c r="KC265" s="386">
        <f ca="1">+-KC244+KC262+KC263</f>
        <v>0</v>
      </c>
    </row>
    <row r="266" spans="2:289" ht="0.6" customHeight="1" x14ac:dyDescent="0.25">
      <c r="B266" s="180" t="s">
        <v>68</v>
      </c>
      <c r="C266" s="181"/>
      <c r="D266" s="181"/>
      <c r="E266" s="181"/>
      <c r="F266" s="181"/>
      <c r="G266" s="181"/>
      <c r="H266" s="346">
        <f ca="1">I266/$I$245</f>
        <v>0.99999999999999989</v>
      </c>
      <c r="I266" s="335">
        <f ca="1">SUM(I264:I265)</f>
        <v>1953846.8731769309</v>
      </c>
      <c r="Q266" s="220">
        <f t="shared" ref="Q266:AV266" ca="1" si="1293">IF(Q$231="","",SUM(Q264:Q265))</f>
        <v>0</v>
      </c>
      <c r="R266" s="220">
        <f t="shared" ca="1" si="1293"/>
        <v>0</v>
      </c>
      <c r="S266" s="220">
        <f t="shared" ca="1" si="1293"/>
        <v>0</v>
      </c>
      <c r="T266" s="220">
        <f t="shared" ca="1" si="1293"/>
        <v>0</v>
      </c>
      <c r="U266" s="220">
        <f t="shared" ca="1" si="1293"/>
        <v>0</v>
      </c>
      <c r="V266" s="220">
        <f t="shared" ca="1" si="1293"/>
        <v>0</v>
      </c>
      <c r="W266" s="220">
        <f t="shared" ca="1" si="1293"/>
        <v>0</v>
      </c>
      <c r="X266" s="220">
        <f t="shared" ca="1" si="1293"/>
        <v>0</v>
      </c>
      <c r="Y266" s="220">
        <f t="shared" ca="1" si="1293"/>
        <v>0</v>
      </c>
      <c r="Z266" s="220">
        <f t="shared" ca="1" si="1293"/>
        <v>0</v>
      </c>
      <c r="AA266" s="220">
        <f t="shared" ca="1" si="1293"/>
        <v>0</v>
      </c>
      <c r="AB266" s="220">
        <f t="shared" ca="1" si="1293"/>
        <v>0</v>
      </c>
      <c r="AC266" s="220">
        <f t="shared" ca="1" si="1293"/>
        <v>854.48499999999933</v>
      </c>
      <c r="AD266" s="220">
        <f t="shared" ca="1" si="1293"/>
        <v>10928.922500000001</v>
      </c>
      <c r="AE266" s="220">
        <f t="shared" ca="1" si="1293"/>
        <v>21003.359999999404</v>
      </c>
      <c r="AF266" s="220">
        <f t="shared" ca="1" si="1293"/>
        <v>4636.4932134679593</v>
      </c>
      <c r="AG266" s="220">
        <f t="shared" ca="1" si="1293"/>
        <v>4636.4932134679593</v>
      </c>
      <c r="AH266" s="220">
        <f t="shared" ca="1" si="1293"/>
        <v>4636.4932134679593</v>
      </c>
      <c r="AI266" s="220">
        <f t="shared" ca="1" si="1293"/>
        <v>4636.4932134679593</v>
      </c>
      <c r="AJ266" s="220">
        <f t="shared" ca="1" si="1293"/>
        <v>4636.4932134679593</v>
      </c>
      <c r="AK266" s="220">
        <f t="shared" ca="1" si="1293"/>
        <v>4636.4932134679593</v>
      </c>
      <c r="AL266" s="220">
        <f t="shared" ca="1" si="1293"/>
        <v>4636.4932134679593</v>
      </c>
      <c r="AM266" s="220">
        <f t="shared" ca="1" si="1293"/>
        <v>4636.4932134679593</v>
      </c>
      <c r="AN266" s="220">
        <f t="shared" ca="1" si="1293"/>
        <v>4636.4932134679593</v>
      </c>
      <c r="AO266" s="220">
        <f t="shared" ca="1" si="1293"/>
        <v>3668.4640134679557</v>
      </c>
      <c r="AP266" s="220">
        <f t="shared" ca="1" si="1293"/>
        <v>3977.1190134679618</v>
      </c>
      <c r="AQ266" s="220">
        <f t="shared" ca="1" si="1293"/>
        <v>4285.7740134679607</v>
      </c>
      <c r="AR266" s="220">
        <f t="shared" ca="1" si="1293"/>
        <v>4285.7740134679607</v>
      </c>
      <c r="AS266" s="220">
        <f t="shared" ca="1" si="1293"/>
        <v>4285.7740134679607</v>
      </c>
      <c r="AT266" s="220">
        <f t="shared" ca="1" si="1293"/>
        <v>4285.7740134679607</v>
      </c>
      <c r="AU266" s="220">
        <f t="shared" ca="1" si="1293"/>
        <v>4285.7740134679607</v>
      </c>
      <c r="AV266" s="220">
        <f t="shared" ca="1" si="1293"/>
        <v>4285.7740134679607</v>
      </c>
      <c r="AW266" s="220">
        <f t="shared" ref="AW266:CB266" ca="1" si="1294">IF(AW$231="","",SUM(AW264:AW265))</f>
        <v>4285.7740134679607</v>
      </c>
      <c r="AX266" s="220">
        <f t="shared" ca="1" si="1294"/>
        <v>4285.7740134679607</v>
      </c>
      <c r="AY266" s="220">
        <f t="shared" ca="1" si="1294"/>
        <v>4285.7740134679607</v>
      </c>
      <c r="AZ266" s="220">
        <f t="shared" ca="1" si="1294"/>
        <v>4285.7740134679607</v>
      </c>
      <c r="BA266" s="220">
        <f t="shared" ca="1" si="1294"/>
        <v>1828828.3435941045</v>
      </c>
      <c r="BB266" s="220" t="str">
        <f t="shared" si="1294"/>
        <v/>
      </c>
      <c r="BC266" s="220" t="str">
        <f t="shared" si="1294"/>
        <v/>
      </c>
      <c r="BD266" s="220" t="str">
        <f t="shared" si="1294"/>
        <v/>
      </c>
      <c r="BE266" s="220" t="str">
        <f t="shared" si="1294"/>
        <v/>
      </c>
      <c r="BF266" s="220" t="str">
        <f t="shared" si="1294"/>
        <v/>
      </c>
      <c r="BG266" s="220" t="str">
        <f t="shared" si="1294"/>
        <v/>
      </c>
      <c r="BH266" s="220" t="str">
        <f t="shared" si="1294"/>
        <v/>
      </c>
      <c r="BI266" s="220" t="str">
        <f t="shared" si="1294"/>
        <v/>
      </c>
      <c r="BJ266" s="220" t="str">
        <f t="shared" si="1294"/>
        <v/>
      </c>
      <c r="BK266" s="220" t="str">
        <f t="shared" si="1294"/>
        <v/>
      </c>
      <c r="BL266" s="220" t="str">
        <f t="shared" si="1294"/>
        <v/>
      </c>
      <c r="BM266" s="220" t="str">
        <f t="shared" si="1294"/>
        <v/>
      </c>
      <c r="BN266" s="220" t="str">
        <f t="shared" si="1294"/>
        <v/>
      </c>
      <c r="BO266" s="220" t="str">
        <f t="shared" si="1294"/>
        <v/>
      </c>
      <c r="BP266" s="220" t="str">
        <f t="shared" si="1294"/>
        <v/>
      </c>
      <c r="BQ266" s="220" t="str">
        <f t="shared" si="1294"/>
        <v/>
      </c>
      <c r="BR266" s="220" t="str">
        <f t="shared" si="1294"/>
        <v/>
      </c>
      <c r="BS266" s="220" t="str">
        <f t="shared" si="1294"/>
        <v/>
      </c>
      <c r="BT266" s="220" t="str">
        <f t="shared" si="1294"/>
        <v/>
      </c>
      <c r="BU266" s="220" t="str">
        <f t="shared" si="1294"/>
        <v/>
      </c>
      <c r="BV266" s="220" t="str">
        <f t="shared" si="1294"/>
        <v/>
      </c>
      <c r="BW266" s="220" t="str">
        <f t="shared" si="1294"/>
        <v/>
      </c>
      <c r="BX266" s="220" t="str">
        <f t="shared" si="1294"/>
        <v/>
      </c>
      <c r="BY266" s="220" t="str">
        <f t="shared" si="1294"/>
        <v/>
      </c>
      <c r="BZ266" s="220" t="str">
        <f t="shared" si="1294"/>
        <v/>
      </c>
      <c r="CA266" s="220" t="str">
        <f t="shared" si="1294"/>
        <v/>
      </c>
      <c r="CB266" s="220" t="str">
        <f t="shared" si="1294"/>
        <v/>
      </c>
      <c r="CC266" s="220" t="str">
        <f t="shared" ref="CC266:DH266" si="1295">IF(CC$231="","",SUM(CC264:CC265))</f>
        <v/>
      </c>
      <c r="CD266" s="220" t="str">
        <f t="shared" si="1295"/>
        <v/>
      </c>
      <c r="CE266" s="220" t="str">
        <f t="shared" si="1295"/>
        <v/>
      </c>
      <c r="CF266" s="220" t="str">
        <f t="shared" si="1295"/>
        <v/>
      </c>
      <c r="CG266" s="220" t="str">
        <f t="shared" si="1295"/>
        <v/>
      </c>
      <c r="CH266" s="220" t="str">
        <f t="shared" si="1295"/>
        <v/>
      </c>
      <c r="CI266" s="220" t="str">
        <f t="shared" si="1295"/>
        <v/>
      </c>
      <c r="CJ266" s="220" t="str">
        <f t="shared" si="1295"/>
        <v/>
      </c>
      <c r="CK266" s="220" t="str">
        <f t="shared" si="1295"/>
        <v/>
      </c>
      <c r="CL266" s="220" t="str">
        <f t="shared" si="1295"/>
        <v/>
      </c>
      <c r="CM266" s="220" t="str">
        <f t="shared" si="1295"/>
        <v/>
      </c>
      <c r="CN266" s="220" t="str">
        <f t="shared" si="1295"/>
        <v/>
      </c>
      <c r="CO266" s="220" t="str">
        <f t="shared" si="1295"/>
        <v/>
      </c>
      <c r="CP266" s="220" t="str">
        <f t="shared" si="1295"/>
        <v/>
      </c>
      <c r="CQ266" s="220" t="str">
        <f t="shared" si="1295"/>
        <v/>
      </c>
      <c r="CR266" s="220" t="str">
        <f t="shared" si="1295"/>
        <v/>
      </c>
      <c r="CS266" s="220" t="str">
        <f t="shared" si="1295"/>
        <v/>
      </c>
      <c r="CT266" s="220" t="str">
        <f t="shared" si="1295"/>
        <v/>
      </c>
      <c r="CU266" s="220" t="str">
        <f t="shared" si="1295"/>
        <v/>
      </c>
      <c r="CV266" s="220" t="str">
        <f t="shared" si="1295"/>
        <v/>
      </c>
      <c r="CW266" s="220" t="str">
        <f t="shared" si="1295"/>
        <v/>
      </c>
      <c r="CX266" s="220" t="str">
        <f t="shared" si="1295"/>
        <v/>
      </c>
      <c r="CY266" s="220" t="str">
        <f t="shared" si="1295"/>
        <v/>
      </c>
      <c r="CZ266" s="220" t="str">
        <f t="shared" si="1295"/>
        <v/>
      </c>
      <c r="DA266" s="220" t="str">
        <f t="shared" si="1295"/>
        <v/>
      </c>
      <c r="DB266" s="220" t="str">
        <f t="shared" si="1295"/>
        <v/>
      </c>
      <c r="DC266" s="220" t="str">
        <f t="shared" si="1295"/>
        <v/>
      </c>
      <c r="DD266" s="220" t="str">
        <f t="shared" si="1295"/>
        <v/>
      </c>
      <c r="DE266" s="220" t="str">
        <f t="shared" si="1295"/>
        <v/>
      </c>
      <c r="DF266" s="220" t="str">
        <f t="shared" si="1295"/>
        <v/>
      </c>
      <c r="DG266" s="220" t="str">
        <f t="shared" si="1295"/>
        <v/>
      </c>
      <c r="DH266" s="220" t="str">
        <f t="shared" si="1295"/>
        <v/>
      </c>
      <c r="DI266" s="220" t="str">
        <f t="shared" ref="DI266:EN266" si="1296">IF(DI$231="","",SUM(DI264:DI265))</f>
        <v/>
      </c>
      <c r="DJ266" s="220" t="str">
        <f t="shared" si="1296"/>
        <v/>
      </c>
      <c r="DK266" s="220" t="str">
        <f t="shared" si="1296"/>
        <v/>
      </c>
      <c r="DL266" s="220" t="str">
        <f t="shared" si="1296"/>
        <v/>
      </c>
      <c r="DM266" s="220" t="str">
        <f t="shared" si="1296"/>
        <v/>
      </c>
      <c r="DN266" s="220" t="str">
        <f t="shared" si="1296"/>
        <v/>
      </c>
      <c r="DO266" s="220" t="str">
        <f t="shared" si="1296"/>
        <v/>
      </c>
      <c r="DP266" s="220" t="str">
        <f t="shared" si="1296"/>
        <v/>
      </c>
      <c r="DQ266" s="220" t="str">
        <f t="shared" si="1296"/>
        <v/>
      </c>
      <c r="DR266" s="220" t="str">
        <f t="shared" si="1296"/>
        <v/>
      </c>
      <c r="DS266" s="220" t="str">
        <f t="shared" si="1296"/>
        <v/>
      </c>
      <c r="DT266" s="220" t="str">
        <f t="shared" si="1296"/>
        <v/>
      </c>
      <c r="DU266" s="220" t="str">
        <f t="shared" si="1296"/>
        <v/>
      </c>
      <c r="DV266" s="220" t="str">
        <f t="shared" si="1296"/>
        <v/>
      </c>
      <c r="DW266" s="220" t="str">
        <f t="shared" si="1296"/>
        <v/>
      </c>
      <c r="DX266" s="220" t="str">
        <f t="shared" si="1296"/>
        <v/>
      </c>
      <c r="DY266" s="220" t="str">
        <f t="shared" si="1296"/>
        <v/>
      </c>
      <c r="DZ266" s="220" t="str">
        <f t="shared" si="1296"/>
        <v/>
      </c>
      <c r="EA266" s="220" t="str">
        <f t="shared" si="1296"/>
        <v/>
      </c>
      <c r="EB266" s="220" t="str">
        <f t="shared" si="1296"/>
        <v/>
      </c>
      <c r="EC266" s="220" t="str">
        <f t="shared" si="1296"/>
        <v/>
      </c>
      <c r="ED266" s="220" t="str">
        <f t="shared" si="1296"/>
        <v/>
      </c>
      <c r="EE266" s="220" t="str">
        <f t="shared" si="1296"/>
        <v/>
      </c>
      <c r="EF266" s="220" t="str">
        <f t="shared" si="1296"/>
        <v/>
      </c>
      <c r="EG266" s="220" t="str">
        <f t="shared" si="1296"/>
        <v/>
      </c>
      <c r="EH266" s="220" t="str">
        <f t="shared" si="1296"/>
        <v/>
      </c>
      <c r="EI266" s="220" t="str">
        <f t="shared" si="1296"/>
        <v/>
      </c>
      <c r="EJ266" s="220" t="str">
        <f t="shared" si="1296"/>
        <v/>
      </c>
      <c r="EK266" s="220" t="str">
        <f t="shared" si="1296"/>
        <v/>
      </c>
      <c r="EL266" s="220" t="str">
        <f t="shared" si="1296"/>
        <v/>
      </c>
      <c r="EM266" s="220" t="str">
        <f t="shared" si="1296"/>
        <v/>
      </c>
      <c r="EN266" s="220" t="str">
        <f t="shared" si="1296"/>
        <v/>
      </c>
      <c r="EO266" s="220" t="str">
        <f>IF(EO$231="","",SUM(EO264:EO265))</f>
        <v/>
      </c>
      <c r="EP266" s="220" t="str">
        <f>IF(EP$231="","",SUM(EP264:EP265))</f>
        <v/>
      </c>
      <c r="EQ266" s="220" t="str">
        <f>IF(EQ$231="","",SUM(EQ264:EQ265))</f>
        <v/>
      </c>
      <c r="ER266" s="220" t="str">
        <f>IF(ER$231="","",SUM(ER264:ER265))</f>
        <v/>
      </c>
      <c r="ES266" s="220" t="str">
        <f>IF(ES$231="","",SUM(ES264:ES265))</f>
        <v/>
      </c>
      <c r="EU266" s="202"/>
      <c r="EV266" s="153"/>
      <c r="EW266" s="153"/>
      <c r="EX266" s="153"/>
      <c r="EY266" s="154" t="s">
        <v>374</v>
      </c>
      <c r="EZ266" s="154"/>
      <c r="FA266" s="388">
        <f t="shared" ref="FA266:GF266" ca="1" si="1297">(FA$201&lt;=Timing_Reversion_Month)*(FA263/$I$260*$H$260)</f>
        <v>0</v>
      </c>
      <c r="FB266" s="388">
        <f t="shared" ca="1" si="1297"/>
        <v>0</v>
      </c>
      <c r="FC266" s="388">
        <f t="shared" ca="1" si="1297"/>
        <v>0</v>
      </c>
      <c r="FD266" s="388">
        <f t="shared" ca="1" si="1297"/>
        <v>0</v>
      </c>
      <c r="FE266" s="388">
        <f t="shared" ca="1" si="1297"/>
        <v>0</v>
      </c>
      <c r="FF266" s="388">
        <f t="shared" ca="1" si="1297"/>
        <v>0</v>
      </c>
      <c r="FG266" s="388">
        <f t="shared" ca="1" si="1297"/>
        <v>0</v>
      </c>
      <c r="FH266" s="388">
        <f t="shared" ca="1" si="1297"/>
        <v>0</v>
      </c>
      <c r="FI266" s="388">
        <f t="shared" ca="1" si="1297"/>
        <v>0</v>
      </c>
      <c r="FJ266" s="388">
        <f t="shared" ca="1" si="1297"/>
        <v>0</v>
      </c>
      <c r="FK266" s="388">
        <f t="shared" ca="1" si="1297"/>
        <v>0</v>
      </c>
      <c r="FL266" s="388">
        <f t="shared" ca="1" si="1297"/>
        <v>0</v>
      </c>
      <c r="FM266" s="388">
        <f t="shared" ca="1" si="1297"/>
        <v>0</v>
      </c>
      <c r="FN266" s="388">
        <f t="shared" ca="1" si="1297"/>
        <v>0</v>
      </c>
      <c r="FO266" s="388">
        <f t="shared" ca="1" si="1297"/>
        <v>0</v>
      </c>
      <c r="FP266" s="388">
        <f t="shared" ca="1" si="1297"/>
        <v>0</v>
      </c>
      <c r="FQ266" s="388">
        <f t="shared" ca="1" si="1297"/>
        <v>0</v>
      </c>
      <c r="FR266" s="388">
        <f t="shared" ca="1" si="1297"/>
        <v>0</v>
      </c>
      <c r="FS266" s="388">
        <f t="shared" ca="1" si="1297"/>
        <v>0</v>
      </c>
      <c r="FT266" s="388">
        <f t="shared" ca="1" si="1297"/>
        <v>0</v>
      </c>
      <c r="FU266" s="388">
        <f t="shared" ca="1" si="1297"/>
        <v>0</v>
      </c>
      <c r="FV266" s="388">
        <f t="shared" ca="1" si="1297"/>
        <v>0</v>
      </c>
      <c r="FW266" s="388">
        <f t="shared" ca="1" si="1297"/>
        <v>0</v>
      </c>
      <c r="FX266" s="388">
        <f t="shared" ca="1" si="1297"/>
        <v>0</v>
      </c>
      <c r="FY266" s="388">
        <f t="shared" ca="1" si="1297"/>
        <v>0</v>
      </c>
      <c r="FZ266" s="388">
        <f t="shared" ca="1" si="1297"/>
        <v>0</v>
      </c>
      <c r="GA266" s="388">
        <f t="shared" ca="1" si="1297"/>
        <v>0</v>
      </c>
      <c r="GB266" s="388">
        <f t="shared" ca="1" si="1297"/>
        <v>0</v>
      </c>
      <c r="GC266" s="388">
        <f t="shared" ca="1" si="1297"/>
        <v>0</v>
      </c>
      <c r="GD266" s="388">
        <f t="shared" ca="1" si="1297"/>
        <v>0</v>
      </c>
      <c r="GE266" s="388">
        <f t="shared" ca="1" si="1297"/>
        <v>0</v>
      </c>
      <c r="GF266" s="388">
        <f t="shared" ca="1" si="1297"/>
        <v>0</v>
      </c>
      <c r="GG266" s="388">
        <f t="shared" ref="GG266:HL266" ca="1" si="1298">(GG$201&lt;=Timing_Reversion_Month)*(GG263/$I$260*$H$260)</f>
        <v>0</v>
      </c>
      <c r="GH266" s="388">
        <f t="shared" ca="1" si="1298"/>
        <v>0</v>
      </c>
      <c r="GI266" s="388">
        <f t="shared" ca="1" si="1298"/>
        <v>0</v>
      </c>
      <c r="GJ266" s="388">
        <f t="shared" ca="1" si="1298"/>
        <v>0</v>
      </c>
      <c r="GK266" s="388">
        <f t="shared" ca="1" si="1298"/>
        <v>0</v>
      </c>
      <c r="GL266" s="388">
        <f t="shared" ca="1" si="1298"/>
        <v>0</v>
      </c>
      <c r="GM266" s="388">
        <f t="shared" ca="1" si="1298"/>
        <v>0</v>
      </c>
      <c r="GN266" s="388">
        <f t="shared" ca="1" si="1298"/>
        <v>0</v>
      </c>
      <c r="GO266" s="388">
        <f t="shared" ca="1" si="1298"/>
        <v>0</v>
      </c>
      <c r="GP266" s="388">
        <f t="shared" ca="1" si="1298"/>
        <v>0</v>
      </c>
      <c r="GQ266" s="388">
        <f t="shared" ca="1" si="1298"/>
        <v>0</v>
      </c>
      <c r="GR266" s="388">
        <f t="shared" ca="1" si="1298"/>
        <v>0</v>
      </c>
      <c r="GS266" s="388">
        <f t="shared" ca="1" si="1298"/>
        <v>0</v>
      </c>
      <c r="GT266" s="388">
        <f t="shared" ca="1" si="1298"/>
        <v>0</v>
      </c>
      <c r="GU266" s="388">
        <f t="shared" ca="1" si="1298"/>
        <v>0</v>
      </c>
      <c r="GV266" s="388">
        <f t="shared" ca="1" si="1298"/>
        <v>0</v>
      </c>
      <c r="GW266" s="388">
        <f t="shared" ca="1" si="1298"/>
        <v>0</v>
      </c>
      <c r="GX266" s="388">
        <f t="shared" ca="1" si="1298"/>
        <v>0</v>
      </c>
      <c r="GY266" s="388">
        <f t="shared" ca="1" si="1298"/>
        <v>0</v>
      </c>
      <c r="GZ266" s="388">
        <f t="shared" ca="1" si="1298"/>
        <v>0</v>
      </c>
      <c r="HA266" s="388">
        <f t="shared" ca="1" si="1298"/>
        <v>0</v>
      </c>
      <c r="HB266" s="388">
        <f t="shared" ca="1" si="1298"/>
        <v>0</v>
      </c>
      <c r="HC266" s="388">
        <f t="shared" ca="1" si="1298"/>
        <v>0</v>
      </c>
      <c r="HD266" s="388">
        <f t="shared" ca="1" si="1298"/>
        <v>0</v>
      </c>
      <c r="HE266" s="388">
        <f t="shared" ca="1" si="1298"/>
        <v>0</v>
      </c>
      <c r="HF266" s="388">
        <f t="shared" ca="1" si="1298"/>
        <v>0</v>
      </c>
      <c r="HG266" s="388">
        <f t="shared" ca="1" si="1298"/>
        <v>0</v>
      </c>
      <c r="HH266" s="388">
        <f t="shared" ca="1" si="1298"/>
        <v>0</v>
      </c>
      <c r="HI266" s="388">
        <f t="shared" ca="1" si="1298"/>
        <v>0</v>
      </c>
      <c r="HJ266" s="388">
        <f t="shared" ca="1" si="1298"/>
        <v>0</v>
      </c>
      <c r="HK266" s="388">
        <f t="shared" ca="1" si="1298"/>
        <v>0</v>
      </c>
      <c r="HL266" s="388">
        <f t="shared" ca="1" si="1298"/>
        <v>0</v>
      </c>
      <c r="HM266" s="388">
        <f t="shared" ref="HM266:IR266" ca="1" si="1299">(HM$201&lt;=Timing_Reversion_Month)*(HM263/$I$260*$H$260)</f>
        <v>0</v>
      </c>
      <c r="HN266" s="388">
        <f t="shared" ca="1" si="1299"/>
        <v>0</v>
      </c>
      <c r="HO266" s="388">
        <f t="shared" ca="1" si="1299"/>
        <v>0</v>
      </c>
      <c r="HP266" s="388">
        <f t="shared" ca="1" si="1299"/>
        <v>0</v>
      </c>
      <c r="HQ266" s="388">
        <f t="shared" ca="1" si="1299"/>
        <v>0</v>
      </c>
      <c r="HR266" s="388">
        <f t="shared" ca="1" si="1299"/>
        <v>0</v>
      </c>
      <c r="HS266" s="388">
        <f t="shared" ca="1" si="1299"/>
        <v>0</v>
      </c>
      <c r="HT266" s="388">
        <f t="shared" ca="1" si="1299"/>
        <v>0</v>
      </c>
      <c r="HU266" s="388">
        <f t="shared" ca="1" si="1299"/>
        <v>0</v>
      </c>
      <c r="HV266" s="388">
        <f t="shared" ca="1" si="1299"/>
        <v>0</v>
      </c>
      <c r="HW266" s="388">
        <f t="shared" ca="1" si="1299"/>
        <v>0</v>
      </c>
      <c r="HX266" s="388">
        <f t="shared" ca="1" si="1299"/>
        <v>0</v>
      </c>
      <c r="HY266" s="388">
        <f t="shared" ca="1" si="1299"/>
        <v>0</v>
      </c>
      <c r="HZ266" s="388">
        <f t="shared" ca="1" si="1299"/>
        <v>0</v>
      </c>
      <c r="IA266" s="388">
        <f t="shared" ca="1" si="1299"/>
        <v>0</v>
      </c>
      <c r="IB266" s="388">
        <f t="shared" ca="1" si="1299"/>
        <v>0</v>
      </c>
      <c r="IC266" s="388">
        <f t="shared" ca="1" si="1299"/>
        <v>0</v>
      </c>
      <c r="ID266" s="388">
        <f t="shared" ca="1" si="1299"/>
        <v>0</v>
      </c>
      <c r="IE266" s="388">
        <f t="shared" ca="1" si="1299"/>
        <v>0</v>
      </c>
      <c r="IF266" s="388">
        <f t="shared" ca="1" si="1299"/>
        <v>0</v>
      </c>
      <c r="IG266" s="388">
        <f t="shared" ca="1" si="1299"/>
        <v>0</v>
      </c>
      <c r="IH266" s="388">
        <f t="shared" ca="1" si="1299"/>
        <v>0</v>
      </c>
      <c r="II266" s="388">
        <f t="shared" ca="1" si="1299"/>
        <v>0</v>
      </c>
      <c r="IJ266" s="388">
        <f t="shared" ca="1" si="1299"/>
        <v>0</v>
      </c>
      <c r="IK266" s="388">
        <f t="shared" ca="1" si="1299"/>
        <v>0</v>
      </c>
      <c r="IL266" s="388">
        <f t="shared" ca="1" si="1299"/>
        <v>0</v>
      </c>
      <c r="IM266" s="388">
        <f t="shared" ca="1" si="1299"/>
        <v>0</v>
      </c>
      <c r="IN266" s="388">
        <f t="shared" ca="1" si="1299"/>
        <v>0</v>
      </c>
      <c r="IO266" s="388">
        <f t="shared" ca="1" si="1299"/>
        <v>0</v>
      </c>
      <c r="IP266" s="388">
        <f t="shared" ca="1" si="1299"/>
        <v>0</v>
      </c>
      <c r="IQ266" s="388">
        <f t="shared" ca="1" si="1299"/>
        <v>0</v>
      </c>
      <c r="IR266" s="388">
        <f t="shared" ca="1" si="1299"/>
        <v>0</v>
      </c>
      <c r="IS266" s="388">
        <f t="shared" ref="IS266:KC266" ca="1" si="1300">(IS$201&lt;=Timing_Reversion_Month)*(IS263/$I$260*$H$260)</f>
        <v>0</v>
      </c>
      <c r="IT266" s="388">
        <f t="shared" ca="1" si="1300"/>
        <v>0</v>
      </c>
      <c r="IU266" s="388">
        <f t="shared" ca="1" si="1300"/>
        <v>0</v>
      </c>
      <c r="IV266" s="388">
        <f t="shared" ca="1" si="1300"/>
        <v>0</v>
      </c>
      <c r="IW266" s="388">
        <f t="shared" ca="1" si="1300"/>
        <v>0</v>
      </c>
      <c r="IX266" s="388">
        <f t="shared" ca="1" si="1300"/>
        <v>0</v>
      </c>
      <c r="IY266" s="388">
        <f t="shared" ca="1" si="1300"/>
        <v>0</v>
      </c>
      <c r="IZ266" s="388">
        <f t="shared" ca="1" si="1300"/>
        <v>0</v>
      </c>
      <c r="JA266" s="388">
        <f t="shared" ca="1" si="1300"/>
        <v>0</v>
      </c>
      <c r="JB266" s="388">
        <f t="shared" ca="1" si="1300"/>
        <v>0</v>
      </c>
      <c r="JC266" s="388">
        <f t="shared" ca="1" si="1300"/>
        <v>0</v>
      </c>
      <c r="JD266" s="388">
        <f t="shared" ca="1" si="1300"/>
        <v>0</v>
      </c>
      <c r="JE266" s="388">
        <f t="shared" ca="1" si="1300"/>
        <v>0</v>
      </c>
      <c r="JF266" s="388">
        <f t="shared" ca="1" si="1300"/>
        <v>0</v>
      </c>
      <c r="JG266" s="388">
        <f t="shared" ca="1" si="1300"/>
        <v>0</v>
      </c>
      <c r="JH266" s="388">
        <f t="shared" ca="1" si="1300"/>
        <v>0</v>
      </c>
      <c r="JI266" s="388">
        <f t="shared" ca="1" si="1300"/>
        <v>0</v>
      </c>
      <c r="JJ266" s="388">
        <f t="shared" ca="1" si="1300"/>
        <v>0</v>
      </c>
      <c r="JK266" s="388">
        <f t="shared" ca="1" si="1300"/>
        <v>0</v>
      </c>
      <c r="JL266" s="388">
        <f t="shared" ca="1" si="1300"/>
        <v>0</v>
      </c>
      <c r="JM266" s="388">
        <f t="shared" ca="1" si="1300"/>
        <v>0</v>
      </c>
      <c r="JN266" s="388">
        <f t="shared" ca="1" si="1300"/>
        <v>0</v>
      </c>
      <c r="JO266" s="388">
        <f t="shared" ca="1" si="1300"/>
        <v>0</v>
      </c>
      <c r="JP266" s="388">
        <f t="shared" ca="1" si="1300"/>
        <v>0</v>
      </c>
      <c r="JQ266" s="388">
        <f t="shared" ca="1" si="1300"/>
        <v>0</v>
      </c>
      <c r="JR266" s="388">
        <f t="shared" ca="1" si="1300"/>
        <v>0</v>
      </c>
      <c r="JS266" s="388">
        <f t="shared" ca="1" si="1300"/>
        <v>0</v>
      </c>
      <c r="JT266" s="388">
        <f t="shared" ca="1" si="1300"/>
        <v>0</v>
      </c>
      <c r="JU266" s="388">
        <f t="shared" ca="1" si="1300"/>
        <v>0</v>
      </c>
      <c r="JV266" s="388">
        <f t="shared" ca="1" si="1300"/>
        <v>0</v>
      </c>
      <c r="JW266" s="388">
        <f t="shared" ca="1" si="1300"/>
        <v>0</v>
      </c>
      <c r="JX266" s="388">
        <f t="shared" ca="1" si="1300"/>
        <v>0</v>
      </c>
      <c r="JY266" s="388">
        <f t="shared" ca="1" si="1300"/>
        <v>0</v>
      </c>
      <c r="JZ266" s="388">
        <f t="shared" ca="1" si="1300"/>
        <v>0</v>
      </c>
      <c r="KA266" s="388">
        <f t="shared" ca="1" si="1300"/>
        <v>0</v>
      </c>
      <c r="KB266" s="388">
        <f t="shared" ca="1" si="1300"/>
        <v>0</v>
      </c>
      <c r="KC266" s="388">
        <f t="shared" ca="1" si="1300"/>
        <v>0</v>
      </c>
    </row>
    <row r="267" spans="2:289" ht="0.6" customHeight="1" x14ac:dyDescent="0.25">
      <c r="B267" s="180"/>
      <c r="C267" s="181"/>
      <c r="D267" s="181"/>
      <c r="E267" s="181"/>
      <c r="F267" s="181"/>
      <c r="G267" s="181"/>
      <c r="H267" s="181"/>
      <c r="I267" s="181"/>
      <c r="EU267" s="202"/>
      <c r="EV267" s="153"/>
      <c r="EW267" s="153"/>
      <c r="EX267" s="153"/>
      <c r="EY267" s="154" t="s">
        <v>364</v>
      </c>
      <c r="EZ267" s="154"/>
      <c r="FA267" s="386">
        <f ca="1">+FA266+FA263</f>
        <v>0</v>
      </c>
      <c r="FB267" s="386">
        <f t="shared" ref="FB267:HM267" ca="1" si="1301">+FB266+FB263</f>
        <v>0</v>
      </c>
      <c r="FC267" s="386">
        <f t="shared" ca="1" si="1301"/>
        <v>0</v>
      </c>
      <c r="FD267" s="386">
        <f t="shared" ca="1" si="1301"/>
        <v>0</v>
      </c>
      <c r="FE267" s="386">
        <f t="shared" ca="1" si="1301"/>
        <v>0</v>
      </c>
      <c r="FF267" s="386">
        <f t="shared" ca="1" si="1301"/>
        <v>0</v>
      </c>
      <c r="FG267" s="386">
        <f t="shared" ca="1" si="1301"/>
        <v>0</v>
      </c>
      <c r="FH267" s="386">
        <f t="shared" ca="1" si="1301"/>
        <v>0</v>
      </c>
      <c r="FI267" s="386">
        <f t="shared" ca="1" si="1301"/>
        <v>0</v>
      </c>
      <c r="FJ267" s="386">
        <f t="shared" ca="1" si="1301"/>
        <v>0</v>
      </c>
      <c r="FK267" s="386">
        <f t="shared" ca="1" si="1301"/>
        <v>0</v>
      </c>
      <c r="FL267" s="386">
        <f t="shared" ca="1" si="1301"/>
        <v>0</v>
      </c>
      <c r="FM267" s="386">
        <f t="shared" ca="1" si="1301"/>
        <v>0</v>
      </c>
      <c r="FN267" s="386">
        <f t="shared" ca="1" si="1301"/>
        <v>0</v>
      </c>
      <c r="FO267" s="386">
        <f t="shared" ca="1" si="1301"/>
        <v>0</v>
      </c>
      <c r="FP267" s="386">
        <f t="shared" ca="1" si="1301"/>
        <v>0</v>
      </c>
      <c r="FQ267" s="386">
        <f t="shared" ca="1" si="1301"/>
        <v>0</v>
      </c>
      <c r="FR267" s="386">
        <f t="shared" ca="1" si="1301"/>
        <v>0</v>
      </c>
      <c r="FS267" s="386">
        <f t="shared" ca="1" si="1301"/>
        <v>0</v>
      </c>
      <c r="FT267" s="386">
        <f t="shared" ca="1" si="1301"/>
        <v>0</v>
      </c>
      <c r="FU267" s="386">
        <f t="shared" ca="1" si="1301"/>
        <v>0</v>
      </c>
      <c r="FV267" s="386">
        <f t="shared" ca="1" si="1301"/>
        <v>0</v>
      </c>
      <c r="FW267" s="386">
        <f t="shared" ca="1" si="1301"/>
        <v>0</v>
      </c>
      <c r="FX267" s="386">
        <f t="shared" ca="1" si="1301"/>
        <v>0</v>
      </c>
      <c r="FY267" s="386">
        <f t="shared" ca="1" si="1301"/>
        <v>0</v>
      </c>
      <c r="FZ267" s="386">
        <f t="shared" ca="1" si="1301"/>
        <v>0</v>
      </c>
      <c r="GA267" s="386">
        <f t="shared" ca="1" si="1301"/>
        <v>0</v>
      </c>
      <c r="GB267" s="386">
        <f t="shared" ca="1" si="1301"/>
        <v>0</v>
      </c>
      <c r="GC267" s="386">
        <f t="shared" ca="1" si="1301"/>
        <v>0</v>
      </c>
      <c r="GD267" s="386">
        <f t="shared" ca="1" si="1301"/>
        <v>0</v>
      </c>
      <c r="GE267" s="386">
        <f t="shared" ca="1" si="1301"/>
        <v>0</v>
      </c>
      <c r="GF267" s="386">
        <f t="shared" ca="1" si="1301"/>
        <v>0</v>
      </c>
      <c r="GG267" s="386">
        <f t="shared" ca="1" si="1301"/>
        <v>0</v>
      </c>
      <c r="GH267" s="386">
        <f t="shared" ca="1" si="1301"/>
        <v>0</v>
      </c>
      <c r="GI267" s="386">
        <f t="shared" ca="1" si="1301"/>
        <v>0</v>
      </c>
      <c r="GJ267" s="386">
        <f t="shared" ca="1" si="1301"/>
        <v>0</v>
      </c>
      <c r="GK267" s="386">
        <f t="shared" ca="1" si="1301"/>
        <v>0</v>
      </c>
      <c r="GL267" s="386">
        <f t="shared" ca="1" si="1301"/>
        <v>0</v>
      </c>
      <c r="GM267" s="386">
        <f t="shared" ca="1" si="1301"/>
        <v>0</v>
      </c>
      <c r="GN267" s="386">
        <f t="shared" ca="1" si="1301"/>
        <v>0</v>
      </c>
      <c r="GO267" s="386">
        <f t="shared" ca="1" si="1301"/>
        <v>0</v>
      </c>
      <c r="GP267" s="386">
        <f t="shared" ca="1" si="1301"/>
        <v>0</v>
      </c>
      <c r="GQ267" s="386">
        <f t="shared" ca="1" si="1301"/>
        <v>0</v>
      </c>
      <c r="GR267" s="386">
        <f t="shared" ca="1" si="1301"/>
        <v>0</v>
      </c>
      <c r="GS267" s="386">
        <f t="shared" ca="1" si="1301"/>
        <v>0</v>
      </c>
      <c r="GT267" s="386">
        <f t="shared" ca="1" si="1301"/>
        <v>0</v>
      </c>
      <c r="GU267" s="386">
        <f t="shared" ca="1" si="1301"/>
        <v>0</v>
      </c>
      <c r="GV267" s="386">
        <f t="shared" ca="1" si="1301"/>
        <v>0</v>
      </c>
      <c r="GW267" s="386">
        <f t="shared" ca="1" si="1301"/>
        <v>0</v>
      </c>
      <c r="GX267" s="386">
        <f t="shared" ca="1" si="1301"/>
        <v>0</v>
      </c>
      <c r="GY267" s="386">
        <f t="shared" ca="1" si="1301"/>
        <v>0</v>
      </c>
      <c r="GZ267" s="386">
        <f t="shared" ca="1" si="1301"/>
        <v>0</v>
      </c>
      <c r="HA267" s="386">
        <f t="shared" ca="1" si="1301"/>
        <v>0</v>
      </c>
      <c r="HB267" s="386">
        <f t="shared" ca="1" si="1301"/>
        <v>0</v>
      </c>
      <c r="HC267" s="386">
        <f t="shared" ca="1" si="1301"/>
        <v>0</v>
      </c>
      <c r="HD267" s="386">
        <f t="shared" ca="1" si="1301"/>
        <v>0</v>
      </c>
      <c r="HE267" s="386">
        <f t="shared" ca="1" si="1301"/>
        <v>0</v>
      </c>
      <c r="HF267" s="386">
        <f t="shared" ca="1" si="1301"/>
        <v>0</v>
      </c>
      <c r="HG267" s="386">
        <f t="shared" ca="1" si="1301"/>
        <v>0</v>
      </c>
      <c r="HH267" s="386">
        <f t="shared" ca="1" si="1301"/>
        <v>0</v>
      </c>
      <c r="HI267" s="386">
        <f t="shared" ca="1" si="1301"/>
        <v>0</v>
      </c>
      <c r="HJ267" s="386">
        <f t="shared" ca="1" si="1301"/>
        <v>0</v>
      </c>
      <c r="HK267" s="386">
        <f t="shared" ca="1" si="1301"/>
        <v>0</v>
      </c>
      <c r="HL267" s="386">
        <f t="shared" ca="1" si="1301"/>
        <v>0</v>
      </c>
      <c r="HM267" s="386">
        <f t="shared" ca="1" si="1301"/>
        <v>0</v>
      </c>
      <c r="HN267" s="386">
        <f t="shared" ref="HN267:JY267" ca="1" si="1302">+HN266+HN263</f>
        <v>0</v>
      </c>
      <c r="HO267" s="386">
        <f t="shared" ca="1" si="1302"/>
        <v>0</v>
      </c>
      <c r="HP267" s="386">
        <f t="shared" ca="1" si="1302"/>
        <v>0</v>
      </c>
      <c r="HQ267" s="386">
        <f t="shared" ca="1" si="1302"/>
        <v>0</v>
      </c>
      <c r="HR267" s="386">
        <f t="shared" ca="1" si="1302"/>
        <v>0</v>
      </c>
      <c r="HS267" s="386">
        <f t="shared" ca="1" si="1302"/>
        <v>0</v>
      </c>
      <c r="HT267" s="386">
        <f t="shared" ca="1" si="1302"/>
        <v>0</v>
      </c>
      <c r="HU267" s="386">
        <f t="shared" ca="1" si="1302"/>
        <v>0</v>
      </c>
      <c r="HV267" s="386">
        <f t="shared" ca="1" si="1302"/>
        <v>0</v>
      </c>
      <c r="HW267" s="386">
        <f t="shared" ca="1" si="1302"/>
        <v>0</v>
      </c>
      <c r="HX267" s="386">
        <f t="shared" ca="1" si="1302"/>
        <v>0</v>
      </c>
      <c r="HY267" s="386">
        <f t="shared" ca="1" si="1302"/>
        <v>0</v>
      </c>
      <c r="HZ267" s="386">
        <f t="shared" ca="1" si="1302"/>
        <v>0</v>
      </c>
      <c r="IA267" s="386">
        <f t="shared" ca="1" si="1302"/>
        <v>0</v>
      </c>
      <c r="IB267" s="386">
        <f t="shared" ca="1" si="1302"/>
        <v>0</v>
      </c>
      <c r="IC267" s="386">
        <f t="shared" ca="1" si="1302"/>
        <v>0</v>
      </c>
      <c r="ID267" s="386">
        <f t="shared" ca="1" si="1302"/>
        <v>0</v>
      </c>
      <c r="IE267" s="386">
        <f t="shared" ca="1" si="1302"/>
        <v>0</v>
      </c>
      <c r="IF267" s="386">
        <f t="shared" ca="1" si="1302"/>
        <v>0</v>
      </c>
      <c r="IG267" s="386">
        <f t="shared" ca="1" si="1302"/>
        <v>0</v>
      </c>
      <c r="IH267" s="386">
        <f t="shared" ca="1" si="1302"/>
        <v>0</v>
      </c>
      <c r="II267" s="386">
        <f t="shared" ca="1" si="1302"/>
        <v>0</v>
      </c>
      <c r="IJ267" s="386">
        <f t="shared" ca="1" si="1302"/>
        <v>0</v>
      </c>
      <c r="IK267" s="386">
        <f t="shared" ca="1" si="1302"/>
        <v>0</v>
      </c>
      <c r="IL267" s="386">
        <f t="shared" ca="1" si="1302"/>
        <v>0</v>
      </c>
      <c r="IM267" s="386">
        <f t="shared" ca="1" si="1302"/>
        <v>0</v>
      </c>
      <c r="IN267" s="386">
        <f t="shared" ca="1" si="1302"/>
        <v>0</v>
      </c>
      <c r="IO267" s="386">
        <f t="shared" ca="1" si="1302"/>
        <v>0</v>
      </c>
      <c r="IP267" s="386">
        <f t="shared" ca="1" si="1302"/>
        <v>0</v>
      </c>
      <c r="IQ267" s="386">
        <f t="shared" ca="1" si="1302"/>
        <v>0</v>
      </c>
      <c r="IR267" s="386">
        <f t="shared" ca="1" si="1302"/>
        <v>0</v>
      </c>
      <c r="IS267" s="386">
        <f t="shared" ca="1" si="1302"/>
        <v>0</v>
      </c>
      <c r="IT267" s="386">
        <f t="shared" ca="1" si="1302"/>
        <v>0</v>
      </c>
      <c r="IU267" s="386">
        <f t="shared" ca="1" si="1302"/>
        <v>0</v>
      </c>
      <c r="IV267" s="386">
        <f t="shared" ca="1" si="1302"/>
        <v>0</v>
      </c>
      <c r="IW267" s="386">
        <f t="shared" ca="1" si="1302"/>
        <v>0</v>
      </c>
      <c r="IX267" s="386">
        <f t="shared" ca="1" si="1302"/>
        <v>0</v>
      </c>
      <c r="IY267" s="386">
        <f t="shared" ca="1" si="1302"/>
        <v>0</v>
      </c>
      <c r="IZ267" s="386">
        <f t="shared" ca="1" si="1302"/>
        <v>0</v>
      </c>
      <c r="JA267" s="386">
        <f t="shared" ca="1" si="1302"/>
        <v>0</v>
      </c>
      <c r="JB267" s="386">
        <f t="shared" ca="1" si="1302"/>
        <v>0</v>
      </c>
      <c r="JC267" s="386">
        <f t="shared" ca="1" si="1302"/>
        <v>0</v>
      </c>
      <c r="JD267" s="386">
        <f t="shared" ca="1" si="1302"/>
        <v>0</v>
      </c>
      <c r="JE267" s="386">
        <f t="shared" ca="1" si="1302"/>
        <v>0</v>
      </c>
      <c r="JF267" s="386">
        <f t="shared" ca="1" si="1302"/>
        <v>0</v>
      </c>
      <c r="JG267" s="386">
        <f t="shared" ca="1" si="1302"/>
        <v>0</v>
      </c>
      <c r="JH267" s="386">
        <f t="shared" ca="1" si="1302"/>
        <v>0</v>
      </c>
      <c r="JI267" s="386">
        <f t="shared" ca="1" si="1302"/>
        <v>0</v>
      </c>
      <c r="JJ267" s="386">
        <f t="shared" ca="1" si="1302"/>
        <v>0</v>
      </c>
      <c r="JK267" s="386">
        <f t="shared" ca="1" si="1302"/>
        <v>0</v>
      </c>
      <c r="JL267" s="386">
        <f t="shared" ca="1" si="1302"/>
        <v>0</v>
      </c>
      <c r="JM267" s="386">
        <f t="shared" ca="1" si="1302"/>
        <v>0</v>
      </c>
      <c r="JN267" s="386">
        <f t="shared" ca="1" si="1302"/>
        <v>0</v>
      </c>
      <c r="JO267" s="386">
        <f t="shared" ca="1" si="1302"/>
        <v>0</v>
      </c>
      <c r="JP267" s="386">
        <f t="shared" ca="1" si="1302"/>
        <v>0</v>
      </c>
      <c r="JQ267" s="386">
        <f t="shared" ca="1" si="1302"/>
        <v>0</v>
      </c>
      <c r="JR267" s="386">
        <f t="shared" ca="1" si="1302"/>
        <v>0</v>
      </c>
      <c r="JS267" s="386">
        <f t="shared" ca="1" si="1302"/>
        <v>0</v>
      </c>
      <c r="JT267" s="386">
        <f t="shared" ca="1" si="1302"/>
        <v>0</v>
      </c>
      <c r="JU267" s="386">
        <f t="shared" ca="1" si="1302"/>
        <v>0</v>
      </c>
      <c r="JV267" s="386">
        <f t="shared" ca="1" si="1302"/>
        <v>0</v>
      </c>
      <c r="JW267" s="386">
        <f t="shared" ca="1" si="1302"/>
        <v>0</v>
      </c>
      <c r="JX267" s="386">
        <f t="shared" ca="1" si="1302"/>
        <v>0</v>
      </c>
      <c r="JY267" s="386">
        <f t="shared" ca="1" si="1302"/>
        <v>0</v>
      </c>
      <c r="JZ267" s="386">
        <f ca="1">+JZ266+JZ263</f>
        <v>0</v>
      </c>
      <c r="KA267" s="386">
        <f ca="1">+KA266+KA263</f>
        <v>0</v>
      </c>
      <c r="KB267" s="386">
        <f ca="1">+KB266+KB263</f>
        <v>0</v>
      </c>
      <c r="KC267" s="386">
        <f ca="1">+KC266+KC263</f>
        <v>0</v>
      </c>
    </row>
    <row r="268" spans="2:289" ht="0.6" customHeight="1" x14ac:dyDescent="0.25">
      <c r="B268" s="209" t="s">
        <v>333</v>
      </c>
      <c r="C268" s="181"/>
      <c r="D268" s="181"/>
      <c r="E268" s="181"/>
      <c r="F268" s="196" t="s">
        <v>365</v>
      </c>
      <c r="G268" s="196" t="s">
        <v>180</v>
      </c>
      <c r="H268" s="210" t="s">
        <v>191</v>
      </c>
      <c r="I268" s="210" t="s">
        <v>44</v>
      </c>
      <c r="EU268" s="398"/>
      <c r="EV268" s="398"/>
      <c r="EW268" s="398"/>
      <c r="EX268" s="398"/>
      <c r="EY268" s="399" t="s">
        <v>348</v>
      </c>
      <c r="EZ268" s="399"/>
      <c r="FA268" s="400">
        <f ca="1">MAX(FA259-FA267,0)</f>
        <v>0</v>
      </c>
      <c r="FB268" s="400">
        <f t="shared" ref="FB268:HM268" ca="1" si="1303">MAX(FB259-FB267,0)</f>
        <v>0</v>
      </c>
      <c r="FC268" s="400">
        <f t="shared" ca="1" si="1303"/>
        <v>0</v>
      </c>
      <c r="FD268" s="400">
        <f t="shared" ca="1" si="1303"/>
        <v>0</v>
      </c>
      <c r="FE268" s="400">
        <f t="shared" ca="1" si="1303"/>
        <v>0</v>
      </c>
      <c r="FF268" s="400">
        <f t="shared" ca="1" si="1303"/>
        <v>0</v>
      </c>
      <c r="FG268" s="400">
        <f t="shared" ca="1" si="1303"/>
        <v>0</v>
      </c>
      <c r="FH268" s="400">
        <f t="shared" ca="1" si="1303"/>
        <v>0</v>
      </c>
      <c r="FI268" s="400">
        <f t="shared" ca="1" si="1303"/>
        <v>0</v>
      </c>
      <c r="FJ268" s="400">
        <f t="shared" ca="1" si="1303"/>
        <v>0</v>
      </c>
      <c r="FK268" s="400">
        <f t="shared" ca="1" si="1303"/>
        <v>0</v>
      </c>
      <c r="FL268" s="400">
        <f t="shared" ca="1" si="1303"/>
        <v>0</v>
      </c>
      <c r="FM268" s="400">
        <f t="shared" ca="1" si="1303"/>
        <v>0</v>
      </c>
      <c r="FN268" s="400">
        <f t="shared" ca="1" si="1303"/>
        <v>0</v>
      </c>
      <c r="FO268" s="400">
        <f t="shared" ca="1" si="1303"/>
        <v>0</v>
      </c>
      <c r="FP268" s="400">
        <f t="shared" ca="1" si="1303"/>
        <v>0</v>
      </c>
      <c r="FQ268" s="400">
        <f t="shared" ca="1" si="1303"/>
        <v>0</v>
      </c>
      <c r="FR268" s="400">
        <f t="shared" ca="1" si="1303"/>
        <v>0</v>
      </c>
      <c r="FS268" s="400">
        <f t="shared" ca="1" si="1303"/>
        <v>0</v>
      </c>
      <c r="FT268" s="400">
        <f t="shared" ca="1" si="1303"/>
        <v>0</v>
      </c>
      <c r="FU268" s="400">
        <f t="shared" ca="1" si="1303"/>
        <v>0</v>
      </c>
      <c r="FV268" s="400">
        <f t="shared" ca="1" si="1303"/>
        <v>0</v>
      </c>
      <c r="FW268" s="400">
        <f t="shared" ca="1" si="1303"/>
        <v>0</v>
      </c>
      <c r="FX268" s="400">
        <f t="shared" ca="1" si="1303"/>
        <v>0</v>
      </c>
      <c r="FY268" s="400">
        <f t="shared" ca="1" si="1303"/>
        <v>0</v>
      </c>
      <c r="FZ268" s="400">
        <f t="shared" ca="1" si="1303"/>
        <v>0</v>
      </c>
      <c r="GA268" s="400">
        <f t="shared" ca="1" si="1303"/>
        <v>0</v>
      </c>
      <c r="GB268" s="400">
        <f t="shared" ca="1" si="1303"/>
        <v>0</v>
      </c>
      <c r="GC268" s="400">
        <f t="shared" ca="1" si="1303"/>
        <v>0</v>
      </c>
      <c r="GD268" s="400">
        <f t="shared" ca="1" si="1303"/>
        <v>0</v>
      </c>
      <c r="GE268" s="400">
        <f t="shared" ca="1" si="1303"/>
        <v>0</v>
      </c>
      <c r="GF268" s="400">
        <f t="shared" ca="1" si="1303"/>
        <v>0</v>
      </c>
      <c r="GG268" s="400">
        <f t="shared" ca="1" si="1303"/>
        <v>0</v>
      </c>
      <c r="GH268" s="400">
        <f t="shared" ca="1" si="1303"/>
        <v>0</v>
      </c>
      <c r="GI268" s="400">
        <f t="shared" ca="1" si="1303"/>
        <v>0</v>
      </c>
      <c r="GJ268" s="400">
        <f t="shared" ca="1" si="1303"/>
        <v>0</v>
      </c>
      <c r="GK268" s="400">
        <f t="shared" ca="1" si="1303"/>
        <v>0</v>
      </c>
      <c r="GL268" s="400">
        <f t="shared" ca="1" si="1303"/>
        <v>0</v>
      </c>
      <c r="GM268" s="400">
        <f t="shared" ca="1" si="1303"/>
        <v>0</v>
      </c>
      <c r="GN268" s="400">
        <f t="shared" ca="1" si="1303"/>
        <v>0</v>
      </c>
      <c r="GO268" s="400">
        <f t="shared" ca="1" si="1303"/>
        <v>0</v>
      </c>
      <c r="GP268" s="400">
        <f t="shared" ca="1" si="1303"/>
        <v>0</v>
      </c>
      <c r="GQ268" s="400">
        <f t="shared" ca="1" si="1303"/>
        <v>0</v>
      </c>
      <c r="GR268" s="400">
        <f t="shared" ca="1" si="1303"/>
        <v>0</v>
      </c>
      <c r="GS268" s="400">
        <f t="shared" ca="1" si="1303"/>
        <v>0</v>
      </c>
      <c r="GT268" s="400">
        <f t="shared" ca="1" si="1303"/>
        <v>0</v>
      </c>
      <c r="GU268" s="400">
        <f t="shared" ca="1" si="1303"/>
        <v>0</v>
      </c>
      <c r="GV268" s="400">
        <f t="shared" ca="1" si="1303"/>
        <v>0</v>
      </c>
      <c r="GW268" s="400">
        <f t="shared" ca="1" si="1303"/>
        <v>0</v>
      </c>
      <c r="GX268" s="400">
        <f t="shared" ca="1" si="1303"/>
        <v>0</v>
      </c>
      <c r="GY268" s="400">
        <f t="shared" ca="1" si="1303"/>
        <v>0</v>
      </c>
      <c r="GZ268" s="400">
        <f t="shared" ca="1" si="1303"/>
        <v>0</v>
      </c>
      <c r="HA268" s="400">
        <f t="shared" ca="1" si="1303"/>
        <v>0</v>
      </c>
      <c r="HB268" s="400">
        <f t="shared" ca="1" si="1303"/>
        <v>0</v>
      </c>
      <c r="HC268" s="400">
        <f t="shared" ca="1" si="1303"/>
        <v>0</v>
      </c>
      <c r="HD268" s="400">
        <f t="shared" ca="1" si="1303"/>
        <v>0</v>
      </c>
      <c r="HE268" s="400">
        <f t="shared" ca="1" si="1303"/>
        <v>0</v>
      </c>
      <c r="HF268" s="400">
        <f t="shared" ca="1" si="1303"/>
        <v>0</v>
      </c>
      <c r="HG268" s="400">
        <f t="shared" ca="1" si="1303"/>
        <v>0</v>
      </c>
      <c r="HH268" s="400">
        <f t="shared" ca="1" si="1303"/>
        <v>0</v>
      </c>
      <c r="HI268" s="400">
        <f t="shared" ca="1" si="1303"/>
        <v>0</v>
      </c>
      <c r="HJ268" s="400">
        <f t="shared" ca="1" si="1303"/>
        <v>0</v>
      </c>
      <c r="HK268" s="400">
        <f t="shared" ca="1" si="1303"/>
        <v>0</v>
      </c>
      <c r="HL268" s="400">
        <f t="shared" ca="1" si="1303"/>
        <v>0</v>
      </c>
      <c r="HM268" s="400">
        <f t="shared" ca="1" si="1303"/>
        <v>0</v>
      </c>
      <c r="HN268" s="400">
        <f t="shared" ref="HN268:JY268" ca="1" si="1304">MAX(HN259-HN267,0)</f>
        <v>0</v>
      </c>
      <c r="HO268" s="400">
        <f t="shared" ca="1" si="1304"/>
        <v>0</v>
      </c>
      <c r="HP268" s="400">
        <f t="shared" ca="1" si="1304"/>
        <v>0</v>
      </c>
      <c r="HQ268" s="400">
        <f t="shared" ca="1" si="1304"/>
        <v>0</v>
      </c>
      <c r="HR268" s="400">
        <f t="shared" ca="1" si="1304"/>
        <v>0</v>
      </c>
      <c r="HS268" s="400">
        <f t="shared" ca="1" si="1304"/>
        <v>0</v>
      </c>
      <c r="HT268" s="400">
        <f t="shared" ca="1" si="1304"/>
        <v>0</v>
      </c>
      <c r="HU268" s="400">
        <f t="shared" ca="1" si="1304"/>
        <v>0</v>
      </c>
      <c r="HV268" s="400">
        <f t="shared" ca="1" si="1304"/>
        <v>0</v>
      </c>
      <c r="HW268" s="400">
        <f t="shared" ca="1" si="1304"/>
        <v>0</v>
      </c>
      <c r="HX268" s="400">
        <f t="shared" ca="1" si="1304"/>
        <v>0</v>
      </c>
      <c r="HY268" s="400">
        <f t="shared" ca="1" si="1304"/>
        <v>0</v>
      </c>
      <c r="HZ268" s="400">
        <f t="shared" ca="1" si="1304"/>
        <v>0</v>
      </c>
      <c r="IA268" s="400">
        <f t="shared" ca="1" si="1304"/>
        <v>0</v>
      </c>
      <c r="IB268" s="400">
        <f t="shared" ca="1" si="1304"/>
        <v>0</v>
      </c>
      <c r="IC268" s="400">
        <f t="shared" ca="1" si="1304"/>
        <v>0</v>
      </c>
      <c r="ID268" s="400">
        <f t="shared" ca="1" si="1304"/>
        <v>0</v>
      </c>
      <c r="IE268" s="400">
        <f t="shared" ca="1" si="1304"/>
        <v>0</v>
      </c>
      <c r="IF268" s="400">
        <f t="shared" ca="1" si="1304"/>
        <v>0</v>
      </c>
      <c r="IG268" s="400">
        <f t="shared" ca="1" si="1304"/>
        <v>0</v>
      </c>
      <c r="IH268" s="400">
        <f t="shared" ca="1" si="1304"/>
        <v>0</v>
      </c>
      <c r="II268" s="400">
        <f t="shared" ca="1" si="1304"/>
        <v>0</v>
      </c>
      <c r="IJ268" s="400">
        <f t="shared" ca="1" si="1304"/>
        <v>0</v>
      </c>
      <c r="IK268" s="400">
        <f t="shared" ca="1" si="1304"/>
        <v>0</v>
      </c>
      <c r="IL268" s="400">
        <f t="shared" ca="1" si="1304"/>
        <v>0</v>
      </c>
      <c r="IM268" s="400">
        <f t="shared" ca="1" si="1304"/>
        <v>0</v>
      </c>
      <c r="IN268" s="400">
        <f t="shared" ca="1" si="1304"/>
        <v>0</v>
      </c>
      <c r="IO268" s="400">
        <f t="shared" ca="1" si="1304"/>
        <v>0</v>
      </c>
      <c r="IP268" s="400">
        <f t="shared" ca="1" si="1304"/>
        <v>0</v>
      </c>
      <c r="IQ268" s="400">
        <f t="shared" ca="1" si="1304"/>
        <v>0</v>
      </c>
      <c r="IR268" s="400">
        <f t="shared" ca="1" si="1304"/>
        <v>0</v>
      </c>
      <c r="IS268" s="400">
        <f t="shared" ca="1" si="1304"/>
        <v>0</v>
      </c>
      <c r="IT268" s="400">
        <f t="shared" ca="1" si="1304"/>
        <v>0</v>
      </c>
      <c r="IU268" s="400">
        <f t="shared" ca="1" si="1304"/>
        <v>0</v>
      </c>
      <c r="IV268" s="400">
        <f t="shared" ca="1" si="1304"/>
        <v>0</v>
      </c>
      <c r="IW268" s="400">
        <f t="shared" ca="1" si="1304"/>
        <v>0</v>
      </c>
      <c r="IX268" s="400">
        <f t="shared" ca="1" si="1304"/>
        <v>0</v>
      </c>
      <c r="IY268" s="400">
        <f t="shared" ca="1" si="1304"/>
        <v>0</v>
      </c>
      <c r="IZ268" s="400">
        <f t="shared" ca="1" si="1304"/>
        <v>0</v>
      </c>
      <c r="JA268" s="400">
        <f t="shared" ca="1" si="1304"/>
        <v>0</v>
      </c>
      <c r="JB268" s="400">
        <f t="shared" ca="1" si="1304"/>
        <v>0</v>
      </c>
      <c r="JC268" s="400">
        <f t="shared" ca="1" si="1304"/>
        <v>0</v>
      </c>
      <c r="JD268" s="400">
        <f t="shared" ca="1" si="1304"/>
        <v>0</v>
      </c>
      <c r="JE268" s="400">
        <f t="shared" ca="1" si="1304"/>
        <v>0</v>
      </c>
      <c r="JF268" s="400">
        <f t="shared" ca="1" si="1304"/>
        <v>0</v>
      </c>
      <c r="JG268" s="400">
        <f t="shared" ca="1" si="1304"/>
        <v>0</v>
      </c>
      <c r="JH268" s="400">
        <f t="shared" ca="1" si="1304"/>
        <v>0</v>
      </c>
      <c r="JI268" s="400">
        <f t="shared" ca="1" si="1304"/>
        <v>0</v>
      </c>
      <c r="JJ268" s="400">
        <f t="shared" ca="1" si="1304"/>
        <v>0</v>
      </c>
      <c r="JK268" s="400">
        <f t="shared" ca="1" si="1304"/>
        <v>0</v>
      </c>
      <c r="JL268" s="400">
        <f t="shared" ca="1" si="1304"/>
        <v>0</v>
      </c>
      <c r="JM268" s="400">
        <f t="shared" ca="1" si="1304"/>
        <v>0</v>
      </c>
      <c r="JN268" s="400">
        <f t="shared" ca="1" si="1304"/>
        <v>0</v>
      </c>
      <c r="JO268" s="400">
        <f t="shared" ca="1" si="1304"/>
        <v>0</v>
      </c>
      <c r="JP268" s="400">
        <f t="shared" ca="1" si="1304"/>
        <v>0</v>
      </c>
      <c r="JQ268" s="400">
        <f t="shared" ca="1" si="1304"/>
        <v>0</v>
      </c>
      <c r="JR268" s="400">
        <f t="shared" ca="1" si="1304"/>
        <v>0</v>
      </c>
      <c r="JS268" s="400">
        <f t="shared" ca="1" si="1304"/>
        <v>0</v>
      </c>
      <c r="JT268" s="400">
        <f t="shared" ca="1" si="1304"/>
        <v>0</v>
      </c>
      <c r="JU268" s="400">
        <f t="shared" ca="1" si="1304"/>
        <v>0</v>
      </c>
      <c r="JV268" s="400">
        <f t="shared" ca="1" si="1304"/>
        <v>0</v>
      </c>
      <c r="JW268" s="400">
        <f t="shared" ca="1" si="1304"/>
        <v>0</v>
      </c>
      <c r="JX268" s="400">
        <f t="shared" ca="1" si="1304"/>
        <v>0</v>
      </c>
      <c r="JY268" s="400">
        <f t="shared" ca="1" si="1304"/>
        <v>0</v>
      </c>
      <c r="JZ268" s="400">
        <f ca="1">MAX(JZ259-JZ267,0)</f>
        <v>0</v>
      </c>
      <c r="KA268" s="400">
        <f ca="1">MAX(KA259-KA267,0)</f>
        <v>0</v>
      </c>
      <c r="KB268" s="400">
        <f ca="1">MAX(KB259-KB267,0)</f>
        <v>0</v>
      </c>
      <c r="KC268" s="400">
        <f ca="1">MAX(KC259-KC267,0)</f>
        <v>0</v>
      </c>
    </row>
    <row r="269" spans="2:289" ht="0.6" customHeight="1" x14ac:dyDescent="0.25">
      <c r="B269" s="180" t="str">
        <f>B253</f>
        <v>GP 1</v>
      </c>
      <c r="C269" s="413" t="str">
        <f>C253</f>
        <v>[General Partner 1 Name]</v>
      </c>
      <c r="D269" s="181"/>
      <c r="E269" s="181"/>
      <c r="F269" s="409">
        <f ca="1">IFERROR(I264/I253,"NA")</f>
        <v>1.2094826879251515</v>
      </c>
      <c r="G269" s="272">
        <f ca="1">IFERROR(IF($Q$59=0,XIRR(OFFSET($R$269,0,0,1,Timing_Analysis_End_Month),OFFSET($R$199,0,0,1,Timing_Analysis_End_Month)),XIRR(OFFSET($Q$269,0,0,1,Timing_Analysis_End_Month+1),OFFSET($Q$199,0,0,1,Timing_Analysis_End_Month+1))),"NA")</f>
        <v>7.1340659260749825E-2</v>
      </c>
      <c r="H269" s="365">
        <f ca="1">I269/$I$250</f>
        <v>9.9999999999999645E-2</v>
      </c>
      <c r="I269" s="218">
        <f ca="1">SUM(Q269:ES269)</f>
        <v>33840.674105836049</v>
      </c>
      <c r="Q269" s="220">
        <f t="shared" ref="Q269:AV269" ca="1" si="1305">IF(Q$231="","",-Q253+Q264)</f>
        <v>-82250.285714285725</v>
      </c>
      <c r="R269" s="220">
        <f t="shared" ca="1" si="1305"/>
        <v>-1684.0908265539308</v>
      </c>
      <c r="S269" s="220">
        <f t="shared" ca="1" si="1305"/>
        <v>-5250.4923287438105</v>
      </c>
      <c r="T269" s="220">
        <f t="shared" ca="1" si="1305"/>
        <v>-13651.980154125289</v>
      </c>
      <c r="U269" s="220">
        <f t="shared" ca="1" si="1305"/>
        <v>-28243.729328717596</v>
      </c>
      <c r="V269" s="220">
        <f t="shared" ca="1" si="1305"/>
        <v>-30463.434859430767</v>
      </c>
      <c r="W269" s="220">
        <f t="shared" ca="1" si="1305"/>
        <v>0</v>
      </c>
      <c r="X269" s="220">
        <f t="shared" ca="1" si="1305"/>
        <v>0</v>
      </c>
      <c r="Y269" s="220">
        <f t="shared" ca="1" si="1305"/>
        <v>0</v>
      </c>
      <c r="Z269" s="220">
        <f t="shared" ca="1" si="1305"/>
        <v>0</v>
      </c>
      <c r="AA269" s="220">
        <f t="shared" ca="1" si="1305"/>
        <v>0</v>
      </c>
      <c r="AB269" s="220">
        <f t="shared" ca="1" si="1305"/>
        <v>0</v>
      </c>
      <c r="AC269" s="220">
        <f t="shared" ca="1" si="1305"/>
        <v>85.448499999999925</v>
      </c>
      <c r="AD269" s="220">
        <f t="shared" ca="1" si="1305"/>
        <v>1092.8922499999999</v>
      </c>
      <c r="AE269" s="220">
        <f t="shared" ca="1" si="1305"/>
        <v>2100.3359999999402</v>
      </c>
      <c r="AF269" s="220">
        <f t="shared" ca="1" si="1305"/>
        <v>463.649321346796</v>
      </c>
      <c r="AG269" s="220">
        <f t="shared" ca="1" si="1305"/>
        <v>463.649321346796</v>
      </c>
      <c r="AH269" s="220">
        <f t="shared" ca="1" si="1305"/>
        <v>463.649321346796</v>
      </c>
      <c r="AI269" s="220">
        <f t="shared" ca="1" si="1305"/>
        <v>463.649321346796</v>
      </c>
      <c r="AJ269" s="220">
        <f t="shared" ca="1" si="1305"/>
        <v>463.649321346796</v>
      </c>
      <c r="AK269" s="220">
        <f t="shared" ca="1" si="1305"/>
        <v>463.649321346796</v>
      </c>
      <c r="AL269" s="220">
        <f t="shared" ca="1" si="1305"/>
        <v>463.649321346796</v>
      </c>
      <c r="AM269" s="220">
        <f t="shared" ca="1" si="1305"/>
        <v>463.649321346796</v>
      </c>
      <c r="AN269" s="220">
        <f t="shared" ca="1" si="1305"/>
        <v>463.649321346796</v>
      </c>
      <c r="AO269" s="220">
        <f t="shared" ca="1" si="1305"/>
        <v>366.84640134679557</v>
      </c>
      <c r="AP269" s="220">
        <f t="shared" ca="1" si="1305"/>
        <v>397.71190134679625</v>
      </c>
      <c r="AQ269" s="220">
        <f t="shared" ca="1" si="1305"/>
        <v>428.57740134679614</v>
      </c>
      <c r="AR269" s="220">
        <f t="shared" ca="1" si="1305"/>
        <v>428.57740134679614</v>
      </c>
      <c r="AS269" s="220">
        <f t="shared" ca="1" si="1305"/>
        <v>428.57740134679614</v>
      </c>
      <c r="AT269" s="220">
        <f t="shared" ca="1" si="1305"/>
        <v>428.57740134679614</v>
      </c>
      <c r="AU269" s="220">
        <f t="shared" ca="1" si="1305"/>
        <v>428.57740134679614</v>
      </c>
      <c r="AV269" s="220">
        <f t="shared" ca="1" si="1305"/>
        <v>428.57740134679614</v>
      </c>
      <c r="AW269" s="220">
        <f t="shared" ref="AW269:CB269" ca="1" si="1306">IF(AW$231="","",-AW253+AW264)</f>
        <v>428.57740134679614</v>
      </c>
      <c r="AX269" s="220">
        <f t="shared" ca="1" si="1306"/>
        <v>428.57740134679614</v>
      </c>
      <c r="AY269" s="220">
        <f t="shared" ca="1" si="1306"/>
        <v>428.57740134679614</v>
      </c>
      <c r="AZ269" s="220">
        <f t="shared" ca="1" si="1306"/>
        <v>428.57740134679614</v>
      </c>
      <c r="BA269" s="220">
        <f t="shared" ca="1" si="1306"/>
        <v>182882.83435941048</v>
      </c>
      <c r="BB269" s="220" t="str">
        <f t="shared" si="1306"/>
        <v/>
      </c>
      <c r="BC269" s="220" t="str">
        <f t="shared" si="1306"/>
        <v/>
      </c>
      <c r="BD269" s="220" t="str">
        <f t="shared" si="1306"/>
        <v/>
      </c>
      <c r="BE269" s="220" t="str">
        <f t="shared" si="1306"/>
        <v/>
      </c>
      <c r="BF269" s="220" t="str">
        <f t="shared" si="1306"/>
        <v/>
      </c>
      <c r="BG269" s="220" t="str">
        <f t="shared" si="1306"/>
        <v/>
      </c>
      <c r="BH269" s="220" t="str">
        <f t="shared" si="1306"/>
        <v/>
      </c>
      <c r="BI269" s="220" t="str">
        <f t="shared" si="1306"/>
        <v/>
      </c>
      <c r="BJ269" s="220" t="str">
        <f t="shared" si="1306"/>
        <v/>
      </c>
      <c r="BK269" s="220" t="str">
        <f t="shared" si="1306"/>
        <v/>
      </c>
      <c r="BL269" s="220" t="str">
        <f t="shared" si="1306"/>
        <v/>
      </c>
      <c r="BM269" s="220" t="str">
        <f t="shared" si="1306"/>
        <v/>
      </c>
      <c r="BN269" s="220" t="str">
        <f t="shared" si="1306"/>
        <v/>
      </c>
      <c r="BO269" s="220" t="str">
        <f t="shared" si="1306"/>
        <v/>
      </c>
      <c r="BP269" s="220" t="str">
        <f t="shared" si="1306"/>
        <v/>
      </c>
      <c r="BQ269" s="220" t="str">
        <f t="shared" si="1306"/>
        <v/>
      </c>
      <c r="BR269" s="220" t="str">
        <f t="shared" si="1306"/>
        <v/>
      </c>
      <c r="BS269" s="220" t="str">
        <f t="shared" si="1306"/>
        <v/>
      </c>
      <c r="BT269" s="220" t="str">
        <f t="shared" si="1306"/>
        <v/>
      </c>
      <c r="BU269" s="220" t="str">
        <f t="shared" si="1306"/>
        <v/>
      </c>
      <c r="BV269" s="220" t="str">
        <f t="shared" si="1306"/>
        <v/>
      </c>
      <c r="BW269" s="220" t="str">
        <f t="shared" si="1306"/>
        <v/>
      </c>
      <c r="BX269" s="220" t="str">
        <f t="shared" si="1306"/>
        <v/>
      </c>
      <c r="BY269" s="220" t="str">
        <f t="shared" si="1306"/>
        <v/>
      </c>
      <c r="BZ269" s="220" t="str">
        <f t="shared" si="1306"/>
        <v/>
      </c>
      <c r="CA269" s="220" t="str">
        <f t="shared" si="1306"/>
        <v/>
      </c>
      <c r="CB269" s="220" t="str">
        <f t="shared" si="1306"/>
        <v/>
      </c>
      <c r="CC269" s="220" t="str">
        <f t="shared" ref="CC269:DH269" si="1307">IF(CC$231="","",-CC253+CC264)</f>
        <v/>
      </c>
      <c r="CD269" s="220" t="str">
        <f t="shared" si="1307"/>
        <v/>
      </c>
      <c r="CE269" s="220" t="str">
        <f t="shared" si="1307"/>
        <v/>
      </c>
      <c r="CF269" s="220" t="str">
        <f t="shared" si="1307"/>
        <v/>
      </c>
      <c r="CG269" s="220" t="str">
        <f t="shared" si="1307"/>
        <v/>
      </c>
      <c r="CH269" s="220" t="str">
        <f t="shared" si="1307"/>
        <v/>
      </c>
      <c r="CI269" s="220" t="str">
        <f t="shared" si="1307"/>
        <v/>
      </c>
      <c r="CJ269" s="220" t="str">
        <f t="shared" si="1307"/>
        <v/>
      </c>
      <c r="CK269" s="220" t="str">
        <f t="shared" si="1307"/>
        <v/>
      </c>
      <c r="CL269" s="220" t="str">
        <f t="shared" si="1307"/>
        <v/>
      </c>
      <c r="CM269" s="220" t="str">
        <f t="shared" si="1307"/>
        <v/>
      </c>
      <c r="CN269" s="220" t="str">
        <f t="shared" si="1307"/>
        <v/>
      </c>
      <c r="CO269" s="220" t="str">
        <f t="shared" si="1307"/>
        <v/>
      </c>
      <c r="CP269" s="220" t="str">
        <f t="shared" si="1307"/>
        <v/>
      </c>
      <c r="CQ269" s="220" t="str">
        <f t="shared" si="1307"/>
        <v/>
      </c>
      <c r="CR269" s="220" t="str">
        <f t="shared" si="1307"/>
        <v/>
      </c>
      <c r="CS269" s="220" t="str">
        <f t="shared" si="1307"/>
        <v/>
      </c>
      <c r="CT269" s="220" t="str">
        <f t="shared" si="1307"/>
        <v/>
      </c>
      <c r="CU269" s="220" t="str">
        <f t="shared" si="1307"/>
        <v/>
      </c>
      <c r="CV269" s="220" t="str">
        <f t="shared" si="1307"/>
        <v/>
      </c>
      <c r="CW269" s="220" t="str">
        <f t="shared" si="1307"/>
        <v/>
      </c>
      <c r="CX269" s="220" t="str">
        <f t="shared" si="1307"/>
        <v/>
      </c>
      <c r="CY269" s="220" t="str">
        <f t="shared" si="1307"/>
        <v/>
      </c>
      <c r="CZ269" s="220" t="str">
        <f t="shared" si="1307"/>
        <v/>
      </c>
      <c r="DA269" s="220" t="str">
        <f t="shared" si="1307"/>
        <v/>
      </c>
      <c r="DB269" s="220" t="str">
        <f t="shared" si="1307"/>
        <v/>
      </c>
      <c r="DC269" s="220" t="str">
        <f t="shared" si="1307"/>
        <v/>
      </c>
      <c r="DD269" s="220" t="str">
        <f t="shared" si="1307"/>
        <v/>
      </c>
      <c r="DE269" s="220" t="str">
        <f t="shared" si="1307"/>
        <v/>
      </c>
      <c r="DF269" s="220" t="str">
        <f t="shared" si="1307"/>
        <v/>
      </c>
      <c r="DG269" s="220" t="str">
        <f t="shared" si="1307"/>
        <v/>
      </c>
      <c r="DH269" s="220" t="str">
        <f t="shared" si="1307"/>
        <v/>
      </c>
      <c r="DI269" s="220" t="str">
        <f t="shared" ref="DI269:ES269" si="1308">IF(DI$231="","",-DI253+DI264)</f>
        <v/>
      </c>
      <c r="DJ269" s="220" t="str">
        <f t="shared" si="1308"/>
        <v/>
      </c>
      <c r="DK269" s="220" t="str">
        <f t="shared" si="1308"/>
        <v/>
      </c>
      <c r="DL269" s="220" t="str">
        <f t="shared" si="1308"/>
        <v/>
      </c>
      <c r="DM269" s="220" t="str">
        <f t="shared" si="1308"/>
        <v/>
      </c>
      <c r="DN269" s="220" t="str">
        <f t="shared" si="1308"/>
        <v/>
      </c>
      <c r="DO269" s="220" t="str">
        <f t="shared" si="1308"/>
        <v/>
      </c>
      <c r="DP269" s="220" t="str">
        <f t="shared" si="1308"/>
        <v/>
      </c>
      <c r="DQ269" s="220" t="str">
        <f t="shared" si="1308"/>
        <v/>
      </c>
      <c r="DR269" s="220" t="str">
        <f t="shared" si="1308"/>
        <v/>
      </c>
      <c r="DS269" s="220" t="str">
        <f t="shared" si="1308"/>
        <v/>
      </c>
      <c r="DT269" s="220" t="str">
        <f t="shared" si="1308"/>
        <v/>
      </c>
      <c r="DU269" s="220" t="str">
        <f t="shared" si="1308"/>
        <v/>
      </c>
      <c r="DV269" s="220" t="str">
        <f t="shared" si="1308"/>
        <v/>
      </c>
      <c r="DW269" s="220" t="str">
        <f t="shared" si="1308"/>
        <v/>
      </c>
      <c r="DX269" s="220" t="str">
        <f t="shared" si="1308"/>
        <v/>
      </c>
      <c r="DY269" s="220" t="str">
        <f t="shared" si="1308"/>
        <v/>
      </c>
      <c r="DZ269" s="220" t="str">
        <f t="shared" si="1308"/>
        <v/>
      </c>
      <c r="EA269" s="220" t="str">
        <f t="shared" si="1308"/>
        <v/>
      </c>
      <c r="EB269" s="220" t="str">
        <f t="shared" si="1308"/>
        <v/>
      </c>
      <c r="EC269" s="220" t="str">
        <f t="shared" si="1308"/>
        <v/>
      </c>
      <c r="ED269" s="220" t="str">
        <f t="shared" si="1308"/>
        <v/>
      </c>
      <c r="EE269" s="220" t="str">
        <f t="shared" si="1308"/>
        <v/>
      </c>
      <c r="EF269" s="220" t="str">
        <f t="shared" si="1308"/>
        <v/>
      </c>
      <c r="EG269" s="220" t="str">
        <f t="shared" si="1308"/>
        <v/>
      </c>
      <c r="EH269" s="220" t="str">
        <f t="shared" si="1308"/>
        <v/>
      </c>
      <c r="EI269" s="220" t="str">
        <f t="shared" si="1308"/>
        <v/>
      </c>
      <c r="EJ269" s="220" t="str">
        <f t="shared" si="1308"/>
        <v/>
      </c>
      <c r="EK269" s="220" t="str">
        <f t="shared" si="1308"/>
        <v/>
      </c>
      <c r="EL269" s="220" t="str">
        <f t="shared" si="1308"/>
        <v/>
      </c>
      <c r="EM269" s="220" t="str">
        <f t="shared" si="1308"/>
        <v/>
      </c>
      <c r="EN269" s="220" t="str">
        <f t="shared" si="1308"/>
        <v/>
      </c>
      <c r="EO269" s="220" t="str">
        <f t="shared" si="1308"/>
        <v/>
      </c>
      <c r="EP269" s="220" t="str">
        <f t="shared" si="1308"/>
        <v/>
      </c>
      <c r="EQ269" s="220" t="str">
        <f t="shared" si="1308"/>
        <v/>
      </c>
      <c r="ER269" s="220" t="str">
        <f t="shared" si="1308"/>
        <v/>
      </c>
      <c r="ES269" s="220" t="str">
        <f t="shared" si="1308"/>
        <v/>
      </c>
      <c r="EU269" s="202" t="s">
        <v>362</v>
      </c>
      <c r="EV269" s="153"/>
      <c r="EW269" s="153"/>
      <c r="EX269" s="153"/>
      <c r="EY269" s="154" t="s">
        <v>373</v>
      </c>
      <c r="EZ269" s="154"/>
      <c r="FA269" s="386">
        <f t="shared" ref="FA269:FJ269" ca="1" si="1309">FA$268*$I$261</f>
        <v>0</v>
      </c>
      <c r="FB269" s="386">
        <f t="shared" ca="1" si="1309"/>
        <v>0</v>
      </c>
      <c r="FC269" s="386">
        <f t="shared" ca="1" si="1309"/>
        <v>0</v>
      </c>
      <c r="FD269" s="386">
        <f t="shared" ca="1" si="1309"/>
        <v>0</v>
      </c>
      <c r="FE269" s="386">
        <f t="shared" ca="1" si="1309"/>
        <v>0</v>
      </c>
      <c r="FF269" s="386">
        <f t="shared" ca="1" si="1309"/>
        <v>0</v>
      </c>
      <c r="FG269" s="386">
        <f t="shared" ca="1" si="1309"/>
        <v>0</v>
      </c>
      <c r="FH269" s="386">
        <f t="shared" ca="1" si="1309"/>
        <v>0</v>
      </c>
      <c r="FI269" s="386">
        <f t="shared" ca="1" si="1309"/>
        <v>0</v>
      </c>
      <c r="FJ269" s="386">
        <f t="shared" ca="1" si="1309"/>
        <v>0</v>
      </c>
      <c r="FK269" s="386">
        <f t="shared" ref="FK269:FT269" ca="1" si="1310">FK$268*$I$261</f>
        <v>0</v>
      </c>
      <c r="FL269" s="386">
        <f t="shared" ca="1" si="1310"/>
        <v>0</v>
      </c>
      <c r="FM269" s="386">
        <f t="shared" ca="1" si="1310"/>
        <v>0</v>
      </c>
      <c r="FN269" s="386">
        <f t="shared" ca="1" si="1310"/>
        <v>0</v>
      </c>
      <c r="FO269" s="386">
        <f t="shared" ca="1" si="1310"/>
        <v>0</v>
      </c>
      <c r="FP269" s="386">
        <f t="shared" ca="1" si="1310"/>
        <v>0</v>
      </c>
      <c r="FQ269" s="386">
        <f t="shared" ca="1" si="1310"/>
        <v>0</v>
      </c>
      <c r="FR269" s="386">
        <f t="shared" ca="1" si="1310"/>
        <v>0</v>
      </c>
      <c r="FS269" s="386">
        <f t="shared" ca="1" si="1310"/>
        <v>0</v>
      </c>
      <c r="FT269" s="386">
        <f t="shared" ca="1" si="1310"/>
        <v>0</v>
      </c>
      <c r="FU269" s="386">
        <f t="shared" ref="FU269:GD269" ca="1" si="1311">FU$268*$I$261</f>
        <v>0</v>
      </c>
      <c r="FV269" s="386">
        <f t="shared" ca="1" si="1311"/>
        <v>0</v>
      </c>
      <c r="FW269" s="386">
        <f t="shared" ca="1" si="1311"/>
        <v>0</v>
      </c>
      <c r="FX269" s="386">
        <f t="shared" ca="1" si="1311"/>
        <v>0</v>
      </c>
      <c r="FY269" s="386">
        <f t="shared" ca="1" si="1311"/>
        <v>0</v>
      </c>
      <c r="FZ269" s="386">
        <f t="shared" ca="1" si="1311"/>
        <v>0</v>
      </c>
      <c r="GA269" s="386">
        <f t="shared" ca="1" si="1311"/>
        <v>0</v>
      </c>
      <c r="GB269" s="386">
        <f t="shared" ca="1" si="1311"/>
        <v>0</v>
      </c>
      <c r="GC269" s="386">
        <f t="shared" ca="1" si="1311"/>
        <v>0</v>
      </c>
      <c r="GD269" s="386">
        <f t="shared" ca="1" si="1311"/>
        <v>0</v>
      </c>
      <c r="GE269" s="386">
        <f t="shared" ref="GE269:GN269" ca="1" si="1312">GE$268*$I$261</f>
        <v>0</v>
      </c>
      <c r="GF269" s="386">
        <f t="shared" ca="1" si="1312"/>
        <v>0</v>
      </c>
      <c r="GG269" s="386">
        <f t="shared" ca="1" si="1312"/>
        <v>0</v>
      </c>
      <c r="GH269" s="386">
        <f t="shared" ca="1" si="1312"/>
        <v>0</v>
      </c>
      <c r="GI269" s="386">
        <f t="shared" ca="1" si="1312"/>
        <v>0</v>
      </c>
      <c r="GJ269" s="386">
        <f t="shared" ca="1" si="1312"/>
        <v>0</v>
      </c>
      <c r="GK269" s="386">
        <f t="shared" ca="1" si="1312"/>
        <v>0</v>
      </c>
      <c r="GL269" s="386">
        <f t="shared" ca="1" si="1312"/>
        <v>0</v>
      </c>
      <c r="GM269" s="386">
        <f t="shared" ca="1" si="1312"/>
        <v>0</v>
      </c>
      <c r="GN269" s="386">
        <f t="shared" ca="1" si="1312"/>
        <v>0</v>
      </c>
      <c r="GO269" s="386">
        <f t="shared" ref="GO269:GX269" ca="1" si="1313">GO$268*$I$261</f>
        <v>0</v>
      </c>
      <c r="GP269" s="386">
        <f t="shared" ca="1" si="1313"/>
        <v>0</v>
      </c>
      <c r="GQ269" s="386">
        <f t="shared" ca="1" si="1313"/>
        <v>0</v>
      </c>
      <c r="GR269" s="386">
        <f t="shared" ca="1" si="1313"/>
        <v>0</v>
      </c>
      <c r="GS269" s="386">
        <f t="shared" ca="1" si="1313"/>
        <v>0</v>
      </c>
      <c r="GT269" s="386">
        <f t="shared" ca="1" si="1313"/>
        <v>0</v>
      </c>
      <c r="GU269" s="386">
        <f t="shared" ca="1" si="1313"/>
        <v>0</v>
      </c>
      <c r="GV269" s="386">
        <f t="shared" ca="1" si="1313"/>
        <v>0</v>
      </c>
      <c r="GW269" s="386">
        <f t="shared" ca="1" si="1313"/>
        <v>0</v>
      </c>
      <c r="GX269" s="386">
        <f t="shared" ca="1" si="1313"/>
        <v>0</v>
      </c>
      <c r="GY269" s="386">
        <f t="shared" ref="GY269:HH269" ca="1" si="1314">GY$268*$I$261</f>
        <v>0</v>
      </c>
      <c r="GZ269" s="386">
        <f t="shared" ca="1" si="1314"/>
        <v>0</v>
      </c>
      <c r="HA269" s="386">
        <f t="shared" ca="1" si="1314"/>
        <v>0</v>
      </c>
      <c r="HB269" s="386">
        <f t="shared" ca="1" si="1314"/>
        <v>0</v>
      </c>
      <c r="HC269" s="386">
        <f t="shared" ca="1" si="1314"/>
        <v>0</v>
      </c>
      <c r="HD269" s="386">
        <f t="shared" ca="1" si="1314"/>
        <v>0</v>
      </c>
      <c r="HE269" s="386">
        <f t="shared" ca="1" si="1314"/>
        <v>0</v>
      </c>
      <c r="HF269" s="386">
        <f t="shared" ca="1" si="1314"/>
        <v>0</v>
      </c>
      <c r="HG269" s="386">
        <f t="shared" ca="1" si="1314"/>
        <v>0</v>
      </c>
      <c r="HH269" s="386">
        <f t="shared" ca="1" si="1314"/>
        <v>0</v>
      </c>
      <c r="HI269" s="386">
        <f t="shared" ref="HI269:HR269" ca="1" si="1315">HI$268*$I$261</f>
        <v>0</v>
      </c>
      <c r="HJ269" s="386">
        <f t="shared" ca="1" si="1315"/>
        <v>0</v>
      </c>
      <c r="HK269" s="386">
        <f t="shared" ca="1" si="1315"/>
        <v>0</v>
      </c>
      <c r="HL269" s="386">
        <f t="shared" ca="1" si="1315"/>
        <v>0</v>
      </c>
      <c r="HM269" s="386">
        <f t="shared" ca="1" si="1315"/>
        <v>0</v>
      </c>
      <c r="HN269" s="386">
        <f t="shared" ca="1" si="1315"/>
        <v>0</v>
      </c>
      <c r="HO269" s="386">
        <f t="shared" ca="1" si="1315"/>
        <v>0</v>
      </c>
      <c r="HP269" s="386">
        <f t="shared" ca="1" si="1315"/>
        <v>0</v>
      </c>
      <c r="HQ269" s="386">
        <f t="shared" ca="1" si="1315"/>
        <v>0</v>
      </c>
      <c r="HR269" s="386">
        <f t="shared" ca="1" si="1315"/>
        <v>0</v>
      </c>
      <c r="HS269" s="386">
        <f t="shared" ref="HS269:IB269" ca="1" si="1316">HS$268*$I$261</f>
        <v>0</v>
      </c>
      <c r="HT269" s="386">
        <f t="shared" ca="1" si="1316"/>
        <v>0</v>
      </c>
      <c r="HU269" s="386">
        <f t="shared" ca="1" si="1316"/>
        <v>0</v>
      </c>
      <c r="HV269" s="386">
        <f t="shared" ca="1" si="1316"/>
        <v>0</v>
      </c>
      <c r="HW269" s="386">
        <f t="shared" ca="1" si="1316"/>
        <v>0</v>
      </c>
      <c r="HX269" s="386">
        <f t="shared" ca="1" si="1316"/>
        <v>0</v>
      </c>
      <c r="HY269" s="386">
        <f t="shared" ca="1" si="1316"/>
        <v>0</v>
      </c>
      <c r="HZ269" s="386">
        <f t="shared" ca="1" si="1316"/>
        <v>0</v>
      </c>
      <c r="IA269" s="386">
        <f t="shared" ca="1" si="1316"/>
        <v>0</v>
      </c>
      <c r="IB269" s="386">
        <f t="shared" ca="1" si="1316"/>
        <v>0</v>
      </c>
      <c r="IC269" s="386">
        <f t="shared" ref="IC269:IL269" ca="1" si="1317">IC$268*$I$261</f>
        <v>0</v>
      </c>
      <c r="ID269" s="386">
        <f t="shared" ca="1" si="1317"/>
        <v>0</v>
      </c>
      <c r="IE269" s="386">
        <f t="shared" ca="1" si="1317"/>
        <v>0</v>
      </c>
      <c r="IF269" s="386">
        <f t="shared" ca="1" si="1317"/>
        <v>0</v>
      </c>
      <c r="IG269" s="386">
        <f t="shared" ca="1" si="1317"/>
        <v>0</v>
      </c>
      <c r="IH269" s="386">
        <f t="shared" ca="1" si="1317"/>
        <v>0</v>
      </c>
      <c r="II269" s="386">
        <f t="shared" ca="1" si="1317"/>
        <v>0</v>
      </c>
      <c r="IJ269" s="386">
        <f t="shared" ca="1" si="1317"/>
        <v>0</v>
      </c>
      <c r="IK269" s="386">
        <f t="shared" ca="1" si="1317"/>
        <v>0</v>
      </c>
      <c r="IL269" s="386">
        <f t="shared" ca="1" si="1317"/>
        <v>0</v>
      </c>
      <c r="IM269" s="386">
        <f t="shared" ref="IM269:IV269" ca="1" si="1318">IM$268*$I$261</f>
        <v>0</v>
      </c>
      <c r="IN269" s="386">
        <f t="shared" ca="1" si="1318"/>
        <v>0</v>
      </c>
      <c r="IO269" s="386">
        <f t="shared" ca="1" si="1318"/>
        <v>0</v>
      </c>
      <c r="IP269" s="386">
        <f t="shared" ca="1" si="1318"/>
        <v>0</v>
      </c>
      <c r="IQ269" s="386">
        <f t="shared" ca="1" si="1318"/>
        <v>0</v>
      </c>
      <c r="IR269" s="386">
        <f t="shared" ca="1" si="1318"/>
        <v>0</v>
      </c>
      <c r="IS269" s="386">
        <f t="shared" ca="1" si="1318"/>
        <v>0</v>
      </c>
      <c r="IT269" s="386">
        <f t="shared" ca="1" si="1318"/>
        <v>0</v>
      </c>
      <c r="IU269" s="386">
        <f t="shared" ca="1" si="1318"/>
        <v>0</v>
      </c>
      <c r="IV269" s="386">
        <f t="shared" ca="1" si="1318"/>
        <v>0</v>
      </c>
      <c r="IW269" s="386">
        <f t="shared" ref="IW269:JF269" ca="1" si="1319">IW$268*$I$261</f>
        <v>0</v>
      </c>
      <c r="IX269" s="386">
        <f t="shared" ca="1" si="1319"/>
        <v>0</v>
      </c>
      <c r="IY269" s="386">
        <f t="shared" ca="1" si="1319"/>
        <v>0</v>
      </c>
      <c r="IZ269" s="386">
        <f t="shared" ca="1" si="1319"/>
        <v>0</v>
      </c>
      <c r="JA269" s="386">
        <f t="shared" ca="1" si="1319"/>
        <v>0</v>
      </c>
      <c r="JB269" s="386">
        <f t="shared" ca="1" si="1319"/>
        <v>0</v>
      </c>
      <c r="JC269" s="386">
        <f t="shared" ca="1" si="1319"/>
        <v>0</v>
      </c>
      <c r="JD269" s="386">
        <f t="shared" ca="1" si="1319"/>
        <v>0</v>
      </c>
      <c r="JE269" s="386">
        <f t="shared" ca="1" si="1319"/>
        <v>0</v>
      </c>
      <c r="JF269" s="386">
        <f t="shared" ca="1" si="1319"/>
        <v>0</v>
      </c>
      <c r="JG269" s="386">
        <f t="shared" ref="JG269:JP269" ca="1" si="1320">JG$268*$I$261</f>
        <v>0</v>
      </c>
      <c r="JH269" s="386">
        <f t="shared" ca="1" si="1320"/>
        <v>0</v>
      </c>
      <c r="JI269" s="386">
        <f t="shared" ca="1" si="1320"/>
        <v>0</v>
      </c>
      <c r="JJ269" s="386">
        <f t="shared" ca="1" si="1320"/>
        <v>0</v>
      </c>
      <c r="JK269" s="386">
        <f t="shared" ca="1" si="1320"/>
        <v>0</v>
      </c>
      <c r="JL269" s="386">
        <f t="shared" ca="1" si="1320"/>
        <v>0</v>
      </c>
      <c r="JM269" s="386">
        <f t="shared" ca="1" si="1320"/>
        <v>0</v>
      </c>
      <c r="JN269" s="386">
        <f t="shared" ca="1" si="1320"/>
        <v>0</v>
      </c>
      <c r="JO269" s="386">
        <f t="shared" ca="1" si="1320"/>
        <v>0</v>
      </c>
      <c r="JP269" s="386">
        <f t="shared" ca="1" si="1320"/>
        <v>0</v>
      </c>
      <c r="JQ269" s="386">
        <f t="shared" ref="JQ269:KC269" ca="1" si="1321">JQ$268*$I$261</f>
        <v>0</v>
      </c>
      <c r="JR269" s="386">
        <f t="shared" ca="1" si="1321"/>
        <v>0</v>
      </c>
      <c r="JS269" s="386">
        <f t="shared" ca="1" si="1321"/>
        <v>0</v>
      </c>
      <c r="JT269" s="386">
        <f t="shared" ca="1" si="1321"/>
        <v>0</v>
      </c>
      <c r="JU269" s="386">
        <f t="shared" ca="1" si="1321"/>
        <v>0</v>
      </c>
      <c r="JV269" s="386">
        <f t="shared" ca="1" si="1321"/>
        <v>0</v>
      </c>
      <c r="JW269" s="386">
        <f t="shared" ca="1" si="1321"/>
        <v>0</v>
      </c>
      <c r="JX269" s="386">
        <f t="shared" ca="1" si="1321"/>
        <v>0</v>
      </c>
      <c r="JY269" s="386">
        <f t="shared" ca="1" si="1321"/>
        <v>0</v>
      </c>
      <c r="JZ269" s="386">
        <f t="shared" ca="1" si="1321"/>
        <v>0</v>
      </c>
      <c r="KA269" s="386">
        <f t="shared" ca="1" si="1321"/>
        <v>0</v>
      </c>
      <c r="KB269" s="386">
        <f t="shared" ca="1" si="1321"/>
        <v>0</v>
      </c>
      <c r="KC269" s="386">
        <f t="shared" ca="1" si="1321"/>
        <v>0</v>
      </c>
    </row>
    <row r="270" spans="2:289" ht="0.6" customHeight="1" x14ac:dyDescent="0.35">
      <c r="B270" s="209" t="str">
        <f>B254</f>
        <v>GP 2</v>
      </c>
      <c r="C270" s="413" t="str">
        <f>C254</f>
        <v>[General Partner 2 Name]</v>
      </c>
      <c r="D270" s="181"/>
      <c r="E270" s="181"/>
      <c r="F270" s="424">
        <f ca="1">IFERROR(I265/I254,"NA")</f>
        <v>1.2094826879251512</v>
      </c>
      <c r="G270" s="349">
        <f ca="1">IFERROR(IF($Q$59=0,XIRR(OFFSET($R$270,0,0,1,Timing_Analysis_End_Month),OFFSET($R$199,0,0,1,Timing_Analysis_End_Month)),XIRR(OFFSET($Q$270,0,0,1,Timing_Analysis_End_Month+1),OFFSET($Q$199,0,0,1,Timing_Analysis_End_Month+1))),"NA")</f>
        <v>7.1340659260749825E-2</v>
      </c>
      <c r="H270" s="416">
        <f ca="1">I270/$I$250</f>
        <v>0.89999999999999414</v>
      </c>
      <c r="I270" s="224">
        <f ca="1">SUM(Q270:ES270)</f>
        <v>304566.06695252354</v>
      </c>
      <c r="Q270" s="226">
        <f t="shared" ref="Q270:AV270" ca="1" si="1322">IF(Q$231="","",-Q254+Q265)</f>
        <v>-740252.57142857148</v>
      </c>
      <c r="R270" s="226">
        <f t="shared" ca="1" si="1322"/>
        <v>-15156.817438985376</v>
      </c>
      <c r="S270" s="226">
        <f t="shared" ca="1" si="1322"/>
        <v>-47254.430958694291</v>
      </c>
      <c r="T270" s="226">
        <f t="shared" ca="1" si="1322"/>
        <v>-122867.82138712759</v>
      </c>
      <c r="U270" s="226">
        <f t="shared" ca="1" si="1322"/>
        <v>-254193.56395845834</v>
      </c>
      <c r="V270" s="226">
        <f t="shared" ca="1" si="1322"/>
        <v>-274170.9137348769</v>
      </c>
      <c r="W270" s="226">
        <f t="shared" ca="1" si="1322"/>
        <v>0</v>
      </c>
      <c r="X270" s="226">
        <f t="shared" ca="1" si="1322"/>
        <v>0</v>
      </c>
      <c r="Y270" s="226">
        <f t="shared" ca="1" si="1322"/>
        <v>0</v>
      </c>
      <c r="Z270" s="226">
        <f t="shared" ca="1" si="1322"/>
        <v>0</v>
      </c>
      <c r="AA270" s="226">
        <f t="shared" ca="1" si="1322"/>
        <v>0</v>
      </c>
      <c r="AB270" s="226">
        <f t="shared" ca="1" si="1322"/>
        <v>0</v>
      </c>
      <c r="AC270" s="226">
        <f t="shared" ca="1" si="1322"/>
        <v>769.03649999999936</v>
      </c>
      <c r="AD270" s="226">
        <f t="shared" ca="1" si="1322"/>
        <v>9836.0302499999998</v>
      </c>
      <c r="AE270" s="226">
        <f t="shared" ca="1" si="1322"/>
        <v>18903.023999999463</v>
      </c>
      <c r="AF270" s="226">
        <f t="shared" ca="1" si="1322"/>
        <v>4172.8438921211637</v>
      </c>
      <c r="AG270" s="226">
        <f t="shared" ca="1" si="1322"/>
        <v>4172.8438921211637</v>
      </c>
      <c r="AH270" s="226">
        <f t="shared" ca="1" si="1322"/>
        <v>4172.8438921211637</v>
      </c>
      <c r="AI270" s="226">
        <f t="shared" ca="1" si="1322"/>
        <v>4172.8438921211637</v>
      </c>
      <c r="AJ270" s="226">
        <f t="shared" ca="1" si="1322"/>
        <v>4172.8438921211637</v>
      </c>
      <c r="AK270" s="226">
        <f t="shared" ca="1" si="1322"/>
        <v>4172.8438921211637</v>
      </c>
      <c r="AL270" s="226">
        <f t="shared" ca="1" si="1322"/>
        <v>4172.8438921211637</v>
      </c>
      <c r="AM270" s="226">
        <f t="shared" ca="1" si="1322"/>
        <v>4172.8438921211637</v>
      </c>
      <c r="AN270" s="226">
        <f t="shared" ca="1" si="1322"/>
        <v>4172.8438921211637</v>
      </c>
      <c r="AO270" s="226">
        <f t="shared" ca="1" si="1322"/>
        <v>3301.6176121211602</v>
      </c>
      <c r="AP270" s="226">
        <f t="shared" ca="1" si="1322"/>
        <v>3579.4071121211655</v>
      </c>
      <c r="AQ270" s="226">
        <f t="shared" ca="1" si="1322"/>
        <v>3857.1966121211644</v>
      </c>
      <c r="AR270" s="226">
        <f t="shared" ca="1" si="1322"/>
        <v>3857.1966121211644</v>
      </c>
      <c r="AS270" s="226">
        <f t="shared" ca="1" si="1322"/>
        <v>3857.1966121211644</v>
      </c>
      <c r="AT270" s="226">
        <f t="shared" ca="1" si="1322"/>
        <v>3857.1966121211644</v>
      </c>
      <c r="AU270" s="226">
        <f t="shared" ca="1" si="1322"/>
        <v>3857.1966121211644</v>
      </c>
      <c r="AV270" s="226">
        <f t="shared" ca="1" si="1322"/>
        <v>3857.1966121211644</v>
      </c>
      <c r="AW270" s="226">
        <f t="shared" ref="AW270:CB270" ca="1" si="1323">IF(AW$231="","",-AW254+AW265)</f>
        <v>3857.1966121211644</v>
      </c>
      <c r="AX270" s="226">
        <f t="shared" ca="1" si="1323"/>
        <v>3857.1966121211644</v>
      </c>
      <c r="AY270" s="226">
        <f t="shared" ca="1" si="1323"/>
        <v>3857.1966121211644</v>
      </c>
      <c r="AZ270" s="226">
        <f t="shared" ca="1" si="1323"/>
        <v>3857.1966121211644</v>
      </c>
      <c r="BA270" s="226">
        <f t="shared" ca="1" si="1323"/>
        <v>1645945.5092346941</v>
      </c>
      <c r="BB270" s="226" t="str">
        <f t="shared" si="1323"/>
        <v/>
      </c>
      <c r="BC270" s="226" t="str">
        <f t="shared" si="1323"/>
        <v/>
      </c>
      <c r="BD270" s="226" t="str">
        <f t="shared" si="1323"/>
        <v/>
      </c>
      <c r="BE270" s="226" t="str">
        <f t="shared" si="1323"/>
        <v/>
      </c>
      <c r="BF270" s="226" t="str">
        <f t="shared" si="1323"/>
        <v/>
      </c>
      <c r="BG270" s="226" t="str">
        <f t="shared" si="1323"/>
        <v/>
      </c>
      <c r="BH270" s="226" t="str">
        <f t="shared" si="1323"/>
        <v/>
      </c>
      <c r="BI270" s="226" t="str">
        <f t="shared" si="1323"/>
        <v/>
      </c>
      <c r="BJ270" s="226" t="str">
        <f t="shared" si="1323"/>
        <v/>
      </c>
      <c r="BK270" s="226" t="str">
        <f t="shared" si="1323"/>
        <v/>
      </c>
      <c r="BL270" s="226" t="str">
        <f t="shared" si="1323"/>
        <v/>
      </c>
      <c r="BM270" s="226" t="str">
        <f t="shared" si="1323"/>
        <v/>
      </c>
      <c r="BN270" s="226" t="str">
        <f t="shared" si="1323"/>
        <v/>
      </c>
      <c r="BO270" s="226" t="str">
        <f t="shared" si="1323"/>
        <v/>
      </c>
      <c r="BP270" s="226" t="str">
        <f t="shared" si="1323"/>
        <v/>
      </c>
      <c r="BQ270" s="226" t="str">
        <f t="shared" si="1323"/>
        <v/>
      </c>
      <c r="BR270" s="226" t="str">
        <f t="shared" si="1323"/>
        <v/>
      </c>
      <c r="BS270" s="226" t="str">
        <f t="shared" si="1323"/>
        <v/>
      </c>
      <c r="BT270" s="226" t="str">
        <f t="shared" si="1323"/>
        <v/>
      </c>
      <c r="BU270" s="226" t="str">
        <f t="shared" si="1323"/>
        <v/>
      </c>
      <c r="BV270" s="226" t="str">
        <f t="shared" si="1323"/>
        <v/>
      </c>
      <c r="BW270" s="226" t="str">
        <f t="shared" si="1323"/>
        <v/>
      </c>
      <c r="BX270" s="226" t="str">
        <f t="shared" si="1323"/>
        <v/>
      </c>
      <c r="BY270" s="226" t="str">
        <f t="shared" si="1323"/>
        <v/>
      </c>
      <c r="BZ270" s="226" t="str">
        <f t="shared" si="1323"/>
        <v/>
      </c>
      <c r="CA270" s="226" t="str">
        <f t="shared" si="1323"/>
        <v/>
      </c>
      <c r="CB270" s="226" t="str">
        <f t="shared" si="1323"/>
        <v/>
      </c>
      <c r="CC270" s="226" t="str">
        <f t="shared" ref="CC270:DH270" si="1324">IF(CC$231="","",-CC254+CC265)</f>
        <v/>
      </c>
      <c r="CD270" s="226" t="str">
        <f t="shared" si="1324"/>
        <v/>
      </c>
      <c r="CE270" s="226" t="str">
        <f t="shared" si="1324"/>
        <v/>
      </c>
      <c r="CF270" s="226" t="str">
        <f t="shared" si="1324"/>
        <v/>
      </c>
      <c r="CG270" s="226" t="str">
        <f t="shared" si="1324"/>
        <v/>
      </c>
      <c r="CH270" s="226" t="str">
        <f t="shared" si="1324"/>
        <v/>
      </c>
      <c r="CI270" s="226" t="str">
        <f t="shared" si="1324"/>
        <v/>
      </c>
      <c r="CJ270" s="226" t="str">
        <f t="shared" si="1324"/>
        <v/>
      </c>
      <c r="CK270" s="226" t="str">
        <f t="shared" si="1324"/>
        <v/>
      </c>
      <c r="CL270" s="226" t="str">
        <f t="shared" si="1324"/>
        <v/>
      </c>
      <c r="CM270" s="226" t="str">
        <f t="shared" si="1324"/>
        <v/>
      </c>
      <c r="CN270" s="226" t="str">
        <f t="shared" si="1324"/>
        <v/>
      </c>
      <c r="CO270" s="226" t="str">
        <f t="shared" si="1324"/>
        <v/>
      </c>
      <c r="CP270" s="226" t="str">
        <f t="shared" si="1324"/>
        <v/>
      </c>
      <c r="CQ270" s="226" t="str">
        <f t="shared" si="1324"/>
        <v/>
      </c>
      <c r="CR270" s="226" t="str">
        <f t="shared" si="1324"/>
        <v/>
      </c>
      <c r="CS270" s="226" t="str">
        <f t="shared" si="1324"/>
        <v/>
      </c>
      <c r="CT270" s="226" t="str">
        <f t="shared" si="1324"/>
        <v/>
      </c>
      <c r="CU270" s="226" t="str">
        <f t="shared" si="1324"/>
        <v/>
      </c>
      <c r="CV270" s="226" t="str">
        <f t="shared" si="1324"/>
        <v/>
      </c>
      <c r="CW270" s="226" t="str">
        <f t="shared" si="1324"/>
        <v/>
      </c>
      <c r="CX270" s="226" t="str">
        <f t="shared" si="1324"/>
        <v/>
      </c>
      <c r="CY270" s="226" t="str">
        <f t="shared" si="1324"/>
        <v/>
      </c>
      <c r="CZ270" s="226" t="str">
        <f t="shared" si="1324"/>
        <v/>
      </c>
      <c r="DA270" s="226" t="str">
        <f t="shared" si="1324"/>
        <v/>
      </c>
      <c r="DB270" s="226" t="str">
        <f t="shared" si="1324"/>
        <v/>
      </c>
      <c r="DC270" s="226" t="str">
        <f t="shared" si="1324"/>
        <v/>
      </c>
      <c r="DD270" s="226" t="str">
        <f t="shared" si="1324"/>
        <v/>
      </c>
      <c r="DE270" s="226" t="str">
        <f t="shared" si="1324"/>
        <v/>
      </c>
      <c r="DF270" s="226" t="str">
        <f t="shared" si="1324"/>
        <v/>
      </c>
      <c r="DG270" s="226" t="str">
        <f t="shared" si="1324"/>
        <v/>
      </c>
      <c r="DH270" s="226" t="str">
        <f t="shared" si="1324"/>
        <v/>
      </c>
      <c r="DI270" s="226" t="str">
        <f t="shared" ref="DI270:ES270" si="1325">IF(DI$231="","",-DI254+DI265)</f>
        <v/>
      </c>
      <c r="DJ270" s="226" t="str">
        <f t="shared" si="1325"/>
        <v/>
      </c>
      <c r="DK270" s="226" t="str">
        <f t="shared" si="1325"/>
        <v/>
      </c>
      <c r="DL270" s="226" t="str">
        <f t="shared" si="1325"/>
        <v/>
      </c>
      <c r="DM270" s="226" t="str">
        <f t="shared" si="1325"/>
        <v/>
      </c>
      <c r="DN270" s="226" t="str">
        <f t="shared" si="1325"/>
        <v/>
      </c>
      <c r="DO270" s="226" t="str">
        <f t="shared" si="1325"/>
        <v/>
      </c>
      <c r="DP270" s="226" t="str">
        <f t="shared" si="1325"/>
        <v/>
      </c>
      <c r="DQ270" s="226" t="str">
        <f t="shared" si="1325"/>
        <v/>
      </c>
      <c r="DR270" s="226" t="str">
        <f t="shared" si="1325"/>
        <v/>
      </c>
      <c r="DS270" s="226" t="str">
        <f t="shared" si="1325"/>
        <v/>
      </c>
      <c r="DT270" s="226" t="str">
        <f t="shared" si="1325"/>
        <v/>
      </c>
      <c r="DU270" s="226" t="str">
        <f t="shared" si="1325"/>
        <v/>
      </c>
      <c r="DV270" s="226" t="str">
        <f t="shared" si="1325"/>
        <v/>
      </c>
      <c r="DW270" s="226" t="str">
        <f t="shared" si="1325"/>
        <v/>
      </c>
      <c r="DX270" s="226" t="str">
        <f t="shared" si="1325"/>
        <v/>
      </c>
      <c r="DY270" s="226" t="str">
        <f t="shared" si="1325"/>
        <v/>
      </c>
      <c r="DZ270" s="226" t="str">
        <f t="shared" si="1325"/>
        <v/>
      </c>
      <c r="EA270" s="226" t="str">
        <f t="shared" si="1325"/>
        <v/>
      </c>
      <c r="EB270" s="226" t="str">
        <f t="shared" si="1325"/>
        <v/>
      </c>
      <c r="EC270" s="226" t="str">
        <f t="shared" si="1325"/>
        <v/>
      </c>
      <c r="ED270" s="226" t="str">
        <f t="shared" si="1325"/>
        <v/>
      </c>
      <c r="EE270" s="226" t="str">
        <f t="shared" si="1325"/>
        <v/>
      </c>
      <c r="EF270" s="226" t="str">
        <f t="shared" si="1325"/>
        <v/>
      </c>
      <c r="EG270" s="226" t="str">
        <f t="shared" si="1325"/>
        <v/>
      </c>
      <c r="EH270" s="226" t="str">
        <f t="shared" si="1325"/>
        <v/>
      </c>
      <c r="EI270" s="226" t="str">
        <f t="shared" si="1325"/>
        <v/>
      </c>
      <c r="EJ270" s="226" t="str">
        <f t="shared" si="1325"/>
        <v/>
      </c>
      <c r="EK270" s="226" t="str">
        <f t="shared" si="1325"/>
        <v/>
      </c>
      <c r="EL270" s="226" t="str">
        <f t="shared" si="1325"/>
        <v/>
      </c>
      <c r="EM270" s="226" t="str">
        <f t="shared" si="1325"/>
        <v/>
      </c>
      <c r="EN270" s="226" t="str">
        <f t="shared" si="1325"/>
        <v/>
      </c>
      <c r="EO270" s="226" t="str">
        <f t="shared" si="1325"/>
        <v/>
      </c>
      <c r="EP270" s="226" t="str">
        <f t="shared" si="1325"/>
        <v/>
      </c>
      <c r="EQ270" s="226" t="str">
        <f t="shared" si="1325"/>
        <v/>
      </c>
      <c r="ER270" s="226" t="str">
        <f t="shared" si="1325"/>
        <v/>
      </c>
      <c r="ES270" s="226" t="str">
        <f t="shared" si="1325"/>
        <v/>
      </c>
      <c r="EU270" s="202"/>
      <c r="EV270" s="153"/>
      <c r="EW270" s="153"/>
      <c r="EX270" s="153"/>
      <c r="EY270" s="154" t="s">
        <v>374</v>
      </c>
      <c r="EZ270" s="154"/>
      <c r="FA270" s="386">
        <f ca="1">FA$268*$H$261</f>
        <v>0</v>
      </c>
      <c r="FB270" s="386">
        <f t="shared" ref="FB270:HM270" ca="1" si="1326">FB$268*$H$261</f>
        <v>0</v>
      </c>
      <c r="FC270" s="386">
        <f t="shared" ca="1" si="1326"/>
        <v>0</v>
      </c>
      <c r="FD270" s="386">
        <f t="shared" ca="1" si="1326"/>
        <v>0</v>
      </c>
      <c r="FE270" s="386">
        <f t="shared" ca="1" si="1326"/>
        <v>0</v>
      </c>
      <c r="FF270" s="386">
        <f t="shared" ca="1" si="1326"/>
        <v>0</v>
      </c>
      <c r="FG270" s="386">
        <f t="shared" ca="1" si="1326"/>
        <v>0</v>
      </c>
      <c r="FH270" s="386">
        <f t="shared" ca="1" si="1326"/>
        <v>0</v>
      </c>
      <c r="FI270" s="386">
        <f t="shared" ca="1" si="1326"/>
        <v>0</v>
      </c>
      <c r="FJ270" s="386">
        <f t="shared" ca="1" si="1326"/>
        <v>0</v>
      </c>
      <c r="FK270" s="386">
        <f t="shared" ca="1" si="1326"/>
        <v>0</v>
      </c>
      <c r="FL270" s="386">
        <f t="shared" ca="1" si="1326"/>
        <v>0</v>
      </c>
      <c r="FM270" s="386">
        <f t="shared" ca="1" si="1326"/>
        <v>0</v>
      </c>
      <c r="FN270" s="386">
        <f t="shared" ca="1" si="1326"/>
        <v>0</v>
      </c>
      <c r="FO270" s="386">
        <f t="shared" ca="1" si="1326"/>
        <v>0</v>
      </c>
      <c r="FP270" s="386">
        <f t="shared" ca="1" si="1326"/>
        <v>0</v>
      </c>
      <c r="FQ270" s="386">
        <f t="shared" ca="1" si="1326"/>
        <v>0</v>
      </c>
      <c r="FR270" s="386">
        <f t="shared" ca="1" si="1326"/>
        <v>0</v>
      </c>
      <c r="FS270" s="386">
        <f t="shared" ca="1" si="1326"/>
        <v>0</v>
      </c>
      <c r="FT270" s="386">
        <f t="shared" ca="1" si="1326"/>
        <v>0</v>
      </c>
      <c r="FU270" s="386">
        <f t="shared" ca="1" si="1326"/>
        <v>0</v>
      </c>
      <c r="FV270" s="386">
        <f t="shared" ca="1" si="1326"/>
        <v>0</v>
      </c>
      <c r="FW270" s="386">
        <f t="shared" ca="1" si="1326"/>
        <v>0</v>
      </c>
      <c r="FX270" s="386">
        <f t="shared" ca="1" si="1326"/>
        <v>0</v>
      </c>
      <c r="FY270" s="386">
        <f t="shared" ca="1" si="1326"/>
        <v>0</v>
      </c>
      <c r="FZ270" s="386">
        <f t="shared" ca="1" si="1326"/>
        <v>0</v>
      </c>
      <c r="GA270" s="386">
        <f t="shared" ca="1" si="1326"/>
        <v>0</v>
      </c>
      <c r="GB270" s="386">
        <f t="shared" ca="1" si="1326"/>
        <v>0</v>
      </c>
      <c r="GC270" s="386">
        <f t="shared" ca="1" si="1326"/>
        <v>0</v>
      </c>
      <c r="GD270" s="386">
        <f t="shared" ca="1" si="1326"/>
        <v>0</v>
      </c>
      <c r="GE270" s="386">
        <f t="shared" ca="1" si="1326"/>
        <v>0</v>
      </c>
      <c r="GF270" s="386">
        <f t="shared" ca="1" si="1326"/>
        <v>0</v>
      </c>
      <c r="GG270" s="386">
        <f t="shared" ca="1" si="1326"/>
        <v>0</v>
      </c>
      <c r="GH270" s="386">
        <f t="shared" ca="1" si="1326"/>
        <v>0</v>
      </c>
      <c r="GI270" s="386">
        <f t="shared" ca="1" si="1326"/>
        <v>0</v>
      </c>
      <c r="GJ270" s="386">
        <f t="shared" ca="1" si="1326"/>
        <v>0</v>
      </c>
      <c r="GK270" s="386">
        <f t="shared" ca="1" si="1326"/>
        <v>0</v>
      </c>
      <c r="GL270" s="386">
        <f t="shared" ca="1" si="1326"/>
        <v>0</v>
      </c>
      <c r="GM270" s="386">
        <f t="shared" ca="1" si="1326"/>
        <v>0</v>
      </c>
      <c r="GN270" s="386">
        <f t="shared" ca="1" si="1326"/>
        <v>0</v>
      </c>
      <c r="GO270" s="386">
        <f t="shared" ca="1" si="1326"/>
        <v>0</v>
      </c>
      <c r="GP270" s="386">
        <f t="shared" ca="1" si="1326"/>
        <v>0</v>
      </c>
      <c r="GQ270" s="386">
        <f t="shared" ca="1" si="1326"/>
        <v>0</v>
      </c>
      <c r="GR270" s="386">
        <f t="shared" ca="1" si="1326"/>
        <v>0</v>
      </c>
      <c r="GS270" s="386">
        <f t="shared" ca="1" si="1326"/>
        <v>0</v>
      </c>
      <c r="GT270" s="386">
        <f t="shared" ca="1" si="1326"/>
        <v>0</v>
      </c>
      <c r="GU270" s="386">
        <f t="shared" ca="1" si="1326"/>
        <v>0</v>
      </c>
      <c r="GV270" s="386">
        <f t="shared" ca="1" si="1326"/>
        <v>0</v>
      </c>
      <c r="GW270" s="386">
        <f t="shared" ca="1" si="1326"/>
        <v>0</v>
      </c>
      <c r="GX270" s="386">
        <f t="shared" ca="1" si="1326"/>
        <v>0</v>
      </c>
      <c r="GY270" s="386">
        <f t="shared" ca="1" si="1326"/>
        <v>0</v>
      </c>
      <c r="GZ270" s="386">
        <f t="shared" ca="1" si="1326"/>
        <v>0</v>
      </c>
      <c r="HA270" s="386">
        <f t="shared" ca="1" si="1326"/>
        <v>0</v>
      </c>
      <c r="HB270" s="386">
        <f t="shared" ca="1" si="1326"/>
        <v>0</v>
      </c>
      <c r="HC270" s="386">
        <f t="shared" ca="1" si="1326"/>
        <v>0</v>
      </c>
      <c r="HD270" s="386">
        <f t="shared" ca="1" si="1326"/>
        <v>0</v>
      </c>
      <c r="HE270" s="386">
        <f t="shared" ca="1" si="1326"/>
        <v>0</v>
      </c>
      <c r="HF270" s="386">
        <f t="shared" ca="1" si="1326"/>
        <v>0</v>
      </c>
      <c r="HG270" s="386">
        <f t="shared" ca="1" si="1326"/>
        <v>0</v>
      </c>
      <c r="HH270" s="386">
        <f t="shared" ca="1" si="1326"/>
        <v>0</v>
      </c>
      <c r="HI270" s="386">
        <f t="shared" ca="1" si="1326"/>
        <v>0</v>
      </c>
      <c r="HJ270" s="386">
        <f t="shared" ca="1" si="1326"/>
        <v>0</v>
      </c>
      <c r="HK270" s="386">
        <f t="shared" ca="1" si="1326"/>
        <v>0</v>
      </c>
      <c r="HL270" s="386">
        <f t="shared" ca="1" si="1326"/>
        <v>0</v>
      </c>
      <c r="HM270" s="386">
        <f t="shared" ca="1" si="1326"/>
        <v>0</v>
      </c>
      <c r="HN270" s="386">
        <f t="shared" ref="HN270:JY270" ca="1" si="1327">HN$268*$H$261</f>
        <v>0</v>
      </c>
      <c r="HO270" s="386">
        <f t="shared" ca="1" si="1327"/>
        <v>0</v>
      </c>
      <c r="HP270" s="386">
        <f t="shared" ca="1" si="1327"/>
        <v>0</v>
      </c>
      <c r="HQ270" s="386">
        <f t="shared" ca="1" si="1327"/>
        <v>0</v>
      </c>
      <c r="HR270" s="386">
        <f t="shared" ca="1" si="1327"/>
        <v>0</v>
      </c>
      <c r="HS270" s="386">
        <f t="shared" ca="1" si="1327"/>
        <v>0</v>
      </c>
      <c r="HT270" s="386">
        <f t="shared" ca="1" si="1327"/>
        <v>0</v>
      </c>
      <c r="HU270" s="386">
        <f t="shared" ca="1" si="1327"/>
        <v>0</v>
      </c>
      <c r="HV270" s="386">
        <f t="shared" ca="1" si="1327"/>
        <v>0</v>
      </c>
      <c r="HW270" s="386">
        <f t="shared" ca="1" si="1327"/>
        <v>0</v>
      </c>
      <c r="HX270" s="386">
        <f t="shared" ca="1" si="1327"/>
        <v>0</v>
      </c>
      <c r="HY270" s="386">
        <f t="shared" ca="1" si="1327"/>
        <v>0</v>
      </c>
      <c r="HZ270" s="386">
        <f t="shared" ca="1" si="1327"/>
        <v>0</v>
      </c>
      <c r="IA270" s="386">
        <f t="shared" ca="1" si="1327"/>
        <v>0</v>
      </c>
      <c r="IB270" s="386">
        <f t="shared" ca="1" si="1327"/>
        <v>0</v>
      </c>
      <c r="IC270" s="386">
        <f t="shared" ca="1" si="1327"/>
        <v>0</v>
      </c>
      <c r="ID270" s="386">
        <f t="shared" ca="1" si="1327"/>
        <v>0</v>
      </c>
      <c r="IE270" s="386">
        <f t="shared" ca="1" si="1327"/>
        <v>0</v>
      </c>
      <c r="IF270" s="386">
        <f t="shared" ca="1" si="1327"/>
        <v>0</v>
      </c>
      <c r="IG270" s="386">
        <f t="shared" ca="1" si="1327"/>
        <v>0</v>
      </c>
      <c r="IH270" s="386">
        <f t="shared" ca="1" si="1327"/>
        <v>0</v>
      </c>
      <c r="II270" s="386">
        <f t="shared" ca="1" si="1327"/>
        <v>0</v>
      </c>
      <c r="IJ270" s="386">
        <f t="shared" ca="1" si="1327"/>
        <v>0</v>
      </c>
      <c r="IK270" s="386">
        <f t="shared" ca="1" si="1327"/>
        <v>0</v>
      </c>
      <c r="IL270" s="386">
        <f t="shared" ca="1" si="1327"/>
        <v>0</v>
      </c>
      <c r="IM270" s="386">
        <f t="shared" ca="1" si="1327"/>
        <v>0</v>
      </c>
      <c r="IN270" s="386">
        <f t="shared" ca="1" si="1327"/>
        <v>0</v>
      </c>
      <c r="IO270" s="386">
        <f t="shared" ca="1" si="1327"/>
        <v>0</v>
      </c>
      <c r="IP270" s="386">
        <f t="shared" ca="1" si="1327"/>
        <v>0</v>
      </c>
      <c r="IQ270" s="386">
        <f t="shared" ca="1" si="1327"/>
        <v>0</v>
      </c>
      <c r="IR270" s="386">
        <f t="shared" ca="1" si="1327"/>
        <v>0</v>
      </c>
      <c r="IS270" s="386">
        <f t="shared" ca="1" si="1327"/>
        <v>0</v>
      </c>
      <c r="IT270" s="386">
        <f t="shared" ca="1" si="1327"/>
        <v>0</v>
      </c>
      <c r="IU270" s="386">
        <f t="shared" ca="1" si="1327"/>
        <v>0</v>
      </c>
      <c r="IV270" s="386">
        <f t="shared" ca="1" si="1327"/>
        <v>0</v>
      </c>
      <c r="IW270" s="386">
        <f t="shared" ca="1" si="1327"/>
        <v>0</v>
      </c>
      <c r="IX270" s="386">
        <f t="shared" ca="1" si="1327"/>
        <v>0</v>
      </c>
      <c r="IY270" s="386">
        <f t="shared" ca="1" si="1327"/>
        <v>0</v>
      </c>
      <c r="IZ270" s="386">
        <f t="shared" ca="1" si="1327"/>
        <v>0</v>
      </c>
      <c r="JA270" s="386">
        <f t="shared" ca="1" si="1327"/>
        <v>0</v>
      </c>
      <c r="JB270" s="386">
        <f t="shared" ca="1" si="1327"/>
        <v>0</v>
      </c>
      <c r="JC270" s="386">
        <f t="shared" ca="1" si="1327"/>
        <v>0</v>
      </c>
      <c r="JD270" s="386">
        <f t="shared" ca="1" si="1327"/>
        <v>0</v>
      </c>
      <c r="JE270" s="386">
        <f t="shared" ca="1" si="1327"/>
        <v>0</v>
      </c>
      <c r="JF270" s="386">
        <f t="shared" ca="1" si="1327"/>
        <v>0</v>
      </c>
      <c r="JG270" s="386">
        <f t="shared" ca="1" si="1327"/>
        <v>0</v>
      </c>
      <c r="JH270" s="386">
        <f t="shared" ca="1" si="1327"/>
        <v>0</v>
      </c>
      <c r="JI270" s="386">
        <f t="shared" ca="1" si="1327"/>
        <v>0</v>
      </c>
      <c r="JJ270" s="386">
        <f t="shared" ca="1" si="1327"/>
        <v>0</v>
      </c>
      <c r="JK270" s="386">
        <f t="shared" ca="1" si="1327"/>
        <v>0</v>
      </c>
      <c r="JL270" s="386">
        <f t="shared" ca="1" si="1327"/>
        <v>0</v>
      </c>
      <c r="JM270" s="386">
        <f t="shared" ca="1" si="1327"/>
        <v>0</v>
      </c>
      <c r="JN270" s="386">
        <f t="shared" ca="1" si="1327"/>
        <v>0</v>
      </c>
      <c r="JO270" s="386">
        <f t="shared" ca="1" si="1327"/>
        <v>0</v>
      </c>
      <c r="JP270" s="386">
        <f t="shared" ca="1" si="1327"/>
        <v>0</v>
      </c>
      <c r="JQ270" s="386">
        <f t="shared" ca="1" si="1327"/>
        <v>0</v>
      </c>
      <c r="JR270" s="386">
        <f t="shared" ca="1" si="1327"/>
        <v>0</v>
      </c>
      <c r="JS270" s="386">
        <f t="shared" ca="1" si="1327"/>
        <v>0</v>
      </c>
      <c r="JT270" s="386">
        <f t="shared" ca="1" si="1327"/>
        <v>0</v>
      </c>
      <c r="JU270" s="386">
        <f t="shared" ca="1" si="1327"/>
        <v>0</v>
      </c>
      <c r="JV270" s="386">
        <f t="shared" ca="1" si="1327"/>
        <v>0</v>
      </c>
      <c r="JW270" s="386">
        <f t="shared" ca="1" si="1327"/>
        <v>0</v>
      </c>
      <c r="JX270" s="386">
        <f t="shared" ca="1" si="1327"/>
        <v>0</v>
      </c>
      <c r="JY270" s="386">
        <f t="shared" ca="1" si="1327"/>
        <v>0</v>
      </c>
      <c r="JZ270" s="386">
        <f ca="1">JZ$268*$H$261</f>
        <v>0</v>
      </c>
      <c r="KA270" s="386">
        <f ca="1">KA$268*$H$261</f>
        <v>0</v>
      </c>
      <c r="KB270" s="386">
        <f ca="1">KB$268*$H$261</f>
        <v>0</v>
      </c>
      <c r="KC270" s="386">
        <f ca="1">KC$268*$H$261</f>
        <v>0</v>
      </c>
    </row>
    <row r="271" spans="2:289" ht="0.6" customHeight="1" x14ac:dyDescent="0.25">
      <c r="B271" s="425" t="s">
        <v>68</v>
      </c>
      <c r="C271" s="426"/>
      <c r="D271" s="426"/>
      <c r="E271" s="426"/>
      <c r="F271" s="410">
        <f ca="1">IFERROR(I266/I255,"NA")</f>
        <v>1.2094826879251512</v>
      </c>
      <c r="G271" s="427">
        <f ca="1">IFERROR(IF($Q$59=0,XIRR(OFFSET($R$271,0,0,1,Timing_Analysis_End_Month),OFFSET($R$199,0,0,1,Timing_Analysis_End_Month)),XIRR(OFFSET($Q$271,0,0,1,Timing_Analysis_End_Month+1),OFFSET($Q$199,0,0,1,Timing_Analysis_End_Month+1))),"NA")</f>
        <v>7.1340659260749825E-2</v>
      </c>
      <c r="H271" s="428">
        <f ca="1">I271/$I$250</f>
        <v>0.99999999999999378</v>
      </c>
      <c r="I271" s="429">
        <f ca="1">SUM(I269:I270)</f>
        <v>338406.74105835962</v>
      </c>
      <c r="J271" s="411"/>
      <c r="K271" s="411"/>
      <c r="L271" s="411"/>
      <c r="M271" s="411"/>
      <c r="N271" s="411"/>
      <c r="O271" s="411"/>
      <c r="P271" s="411"/>
      <c r="Q271" s="430">
        <f t="shared" ref="Q271:AV271" ca="1" si="1328">IF(Q$231="","",SUM(Q269:Q270))</f>
        <v>-822502.85714285716</v>
      </c>
      <c r="R271" s="430">
        <f t="shared" ca="1" si="1328"/>
        <v>-16840.908265539307</v>
      </c>
      <c r="S271" s="430">
        <f t="shared" ca="1" si="1328"/>
        <v>-52504.923287438098</v>
      </c>
      <c r="T271" s="430">
        <f t="shared" ca="1" si="1328"/>
        <v>-136519.80154125288</v>
      </c>
      <c r="U271" s="430">
        <f t="shared" ca="1" si="1328"/>
        <v>-282437.29328717594</v>
      </c>
      <c r="V271" s="430">
        <f t="shared" ca="1" si="1328"/>
        <v>-304634.34859430767</v>
      </c>
      <c r="W271" s="430">
        <f t="shared" ca="1" si="1328"/>
        <v>0</v>
      </c>
      <c r="X271" s="430">
        <f t="shared" ca="1" si="1328"/>
        <v>0</v>
      </c>
      <c r="Y271" s="430">
        <f t="shared" ca="1" si="1328"/>
        <v>0</v>
      </c>
      <c r="Z271" s="430">
        <f t="shared" ca="1" si="1328"/>
        <v>0</v>
      </c>
      <c r="AA271" s="430">
        <f t="shared" ca="1" si="1328"/>
        <v>0</v>
      </c>
      <c r="AB271" s="430">
        <f t="shared" ca="1" si="1328"/>
        <v>0</v>
      </c>
      <c r="AC271" s="430">
        <f t="shared" ca="1" si="1328"/>
        <v>854.48499999999933</v>
      </c>
      <c r="AD271" s="430">
        <f t="shared" ca="1" si="1328"/>
        <v>10928.922500000001</v>
      </c>
      <c r="AE271" s="430">
        <f t="shared" ca="1" si="1328"/>
        <v>21003.359999999404</v>
      </c>
      <c r="AF271" s="430">
        <f t="shared" ca="1" si="1328"/>
        <v>4636.4932134679593</v>
      </c>
      <c r="AG271" s="430">
        <f t="shared" ca="1" si="1328"/>
        <v>4636.4932134679593</v>
      </c>
      <c r="AH271" s="430">
        <f t="shared" ca="1" si="1328"/>
        <v>4636.4932134679593</v>
      </c>
      <c r="AI271" s="430">
        <f t="shared" ca="1" si="1328"/>
        <v>4636.4932134679593</v>
      </c>
      <c r="AJ271" s="430">
        <f t="shared" ca="1" si="1328"/>
        <v>4636.4932134679593</v>
      </c>
      <c r="AK271" s="430">
        <f t="shared" ca="1" si="1328"/>
        <v>4636.4932134679593</v>
      </c>
      <c r="AL271" s="430">
        <f t="shared" ca="1" si="1328"/>
        <v>4636.4932134679593</v>
      </c>
      <c r="AM271" s="430">
        <f t="shared" ca="1" si="1328"/>
        <v>4636.4932134679593</v>
      </c>
      <c r="AN271" s="430">
        <f t="shared" ca="1" si="1328"/>
        <v>4636.4932134679593</v>
      </c>
      <c r="AO271" s="430">
        <f t="shared" ca="1" si="1328"/>
        <v>3668.4640134679557</v>
      </c>
      <c r="AP271" s="430">
        <f t="shared" ca="1" si="1328"/>
        <v>3977.1190134679618</v>
      </c>
      <c r="AQ271" s="430">
        <f t="shared" ca="1" si="1328"/>
        <v>4285.7740134679607</v>
      </c>
      <c r="AR271" s="430">
        <f t="shared" ca="1" si="1328"/>
        <v>4285.7740134679607</v>
      </c>
      <c r="AS271" s="430">
        <f t="shared" ca="1" si="1328"/>
        <v>4285.7740134679607</v>
      </c>
      <c r="AT271" s="430">
        <f t="shared" ca="1" si="1328"/>
        <v>4285.7740134679607</v>
      </c>
      <c r="AU271" s="430">
        <f t="shared" ca="1" si="1328"/>
        <v>4285.7740134679607</v>
      </c>
      <c r="AV271" s="430">
        <f t="shared" ca="1" si="1328"/>
        <v>4285.7740134679607</v>
      </c>
      <c r="AW271" s="430">
        <f t="shared" ref="AW271:CB271" ca="1" si="1329">IF(AW$231="","",SUM(AW269:AW270))</f>
        <v>4285.7740134679607</v>
      </c>
      <c r="AX271" s="430">
        <f t="shared" ca="1" si="1329"/>
        <v>4285.7740134679607</v>
      </c>
      <c r="AY271" s="430">
        <f t="shared" ca="1" si="1329"/>
        <v>4285.7740134679607</v>
      </c>
      <c r="AZ271" s="430">
        <f t="shared" ca="1" si="1329"/>
        <v>4285.7740134679607</v>
      </c>
      <c r="BA271" s="430">
        <f t="shared" ca="1" si="1329"/>
        <v>1828828.3435941045</v>
      </c>
      <c r="BB271" s="430" t="str">
        <f t="shared" si="1329"/>
        <v/>
      </c>
      <c r="BC271" s="430" t="str">
        <f t="shared" si="1329"/>
        <v/>
      </c>
      <c r="BD271" s="430" t="str">
        <f t="shared" si="1329"/>
        <v/>
      </c>
      <c r="BE271" s="430" t="str">
        <f t="shared" si="1329"/>
        <v/>
      </c>
      <c r="BF271" s="430" t="str">
        <f t="shared" si="1329"/>
        <v/>
      </c>
      <c r="BG271" s="430" t="str">
        <f t="shared" si="1329"/>
        <v/>
      </c>
      <c r="BH271" s="430" t="str">
        <f t="shared" si="1329"/>
        <v/>
      </c>
      <c r="BI271" s="430" t="str">
        <f t="shared" si="1329"/>
        <v/>
      </c>
      <c r="BJ271" s="430" t="str">
        <f t="shared" si="1329"/>
        <v/>
      </c>
      <c r="BK271" s="430" t="str">
        <f t="shared" si="1329"/>
        <v/>
      </c>
      <c r="BL271" s="430" t="str">
        <f t="shared" si="1329"/>
        <v/>
      </c>
      <c r="BM271" s="430" t="str">
        <f t="shared" si="1329"/>
        <v/>
      </c>
      <c r="BN271" s="430" t="str">
        <f t="shared" si="1329"/>
        <v/>
      </c>
      <c r="BO271" s="430" t="str">
        <f t="shared" si="1329"/>
        <v/>
      </c>
      <c r="BP271" s="430" t="str">
        <f t="shared" si="1329"/>
        <v/>
      </c>
      <c r="BQ271" s="430" t="str">
        <f t="shared" si="1329"/>
        <v/>
      </c>
      <c r="BR271" s="430" t="str">
        <f t="shared" si="1329"/>
        <v/>
      </c>
      <c r="BS271" s="430" t="str">
        <f t="shared" si="1329"/>
        <v/>
      </c>
      <c r="BT271" s="430" t="str">
        <f t="shared" si="1329"/>
        <v/>
      </c>
      <c r="BU271" s="430" t="str">
        <f t="shared" si="1329"/>
        <v/>
      </c>
      <c r="BV271" s="430" t="str">
        <f t="shared" si="1329"/>
        <v/>
      </c>
      <c r="BW271" s="430" t="str">
        <f t="shared" si="1329"/>
        <v/>
      </c>
      <c r="BX271" s="430" t="str">
        <f t="shared" si="1329"/>
        <v/>
      </c>
      <c r="BY271" s="430" t="str">
        <f t="shared" si="1329"/>
        <v/>
      </c>
      <c r="BZ271" s="430" t="str">
        <f t="shared" si="1329"/>
        <v/>
      </c>
      <c r="CA271" s="430" t="str">
        <f t="shared" si="1329"/>
        <v/>
      </c>
      <c r="CB271" s="430" t="str">
        <f t="shared" si="1329"/>
        <v/>
      </c>
      <c r="CC271" s="430" t="str">
        <f t="shared" ref="CC271:DH271" si="1330">IF(CC$231="","",SUM(CC269:CC270))</f>
        <v/>
      </c>
      <c r="CD271" s="430" t="str">
        <f t="shared" si="1330"/>
        <v/>
      </c>
      <c r="CE271" s="430" t="str">
        <f t="shared" si="1330"/>
        <v/>
      </c>
      <c r="CF271" s="430" t="str">
        <f t="shared" si="1330"/>
        <v/>
      </c>
      <c r="CG271" s="430" t="str">
        <f t="shared" si="1330"/>
        <v/>
      </c>
      <c r="CH271" s="430" t="str">
        <f t="shared" si="1330"/>
        <v/>
      </c>
      <c r="CI271" s="430" t="str">
        <f t="shared" si="1330"/>
        <v/>
      </c>
      <c r="CJ271" s="430" t="str">
        <f t="shared" si="1330"/>
        <v/>
      </c>
      <c r="CK271" s="430" t="str">
        <f t="shared" si="1330"/>
        <v/>
      </c>
      <c r="CL271" s="430" t="str">
        <f t="shared" si="1330"/>
        <v/>
      </c>
      <c r="CM271" s="430" t="str">
        <f t="shared" si="1330"/>
        <v/>
      </c>
      <c r="CN271" s="430" t="str">
        <f t="shared" si="1330"/>
        <v/>
      </c>
      <c r="CO271" s="430" t="str">
        <f t="shared" si="1330"/>
        <v/>
      </c>
      <c r="CP271" s="430" t="str">
        <f t="shared" si="1330"/>
        <v/>
      </c>
      <c r="CQ271" s="430" t="str">
        <f t="shared" si="1330"/>
        <v/>
      </c>
      <c r="CR271" s="430" t="str">
        <f t="shared" si="1330"/>
        <v/>
      </c>
      <c r="CS271" s="430" t="str">
        <f t="shared" si="1330"/>
        <v/>
      </c>
      <c r="CT271" s="430" t="str">
        <f t="shared" si="1330"/>
        <v/>
      </c>
      <c r="CU271" s="430" t="str">
        <f t="shared" si="1330"/>
        <v/>
      </c>
      <c r="CV271" s="430" t="str">
        <f t="shared" si="1330"/>
        <v/>
      </c>
      <c r="CW271" s="430" t="str">
        <f t="shared" si="1330"/>
        <v/>
      </c>
      <c r="CX271" s="430" t="str">
        <f t="shared" si="1330"/>
        <v/>
      </c>
      <c r="CY271" s="430" t="str">
        <f t="shared" si="1330"/>
        <v/>
      </c>
      <c r="CZ271" s="430" t="str">
        <f t="shared" si="1330"/>
        <v/>
      </c>
      <c r="DA271" s="430" t="str">
        <f t="shared" si="1330"/>
        <v/>
      </c>
      <c r="DB271" s="430" t="str">
        <f t="shared" si="1330"/>
        <v/>
      </c>
      <c r="DC271" s="430" t="str">
        <f t="shared" si="1330"/>
        <v/>
      </c>
      <c r="DD271" s="430" t="str">
        <f t="shared" si="1330"/>
        <v/>
      </c>
      <c r="DE271" s="430" t="str">
        <f t="shared" si="1330"/>
        <v/>
      </c>
      <c r="DF271" s="430" t="str">
        <f t="shared" si="1330"/>
        <v/>
      </c>
      <c r="DG271" s="430" t="str">
        <f t="shared" si="1330"/>
        <v/>
      </c>
      <c r="DH271" s="430" t="str">
        <f t="shared" si="1330"/>
        <v/>
      </c>
      <c r="DI271" s="430" t="str">
        <f t="shared" ref="DI271:EN271" si="1331">IF(DI$231="","",SUM(DI269:DI270))</f>
        <v/>
      </c>
      <c r="DJ271" s="430" t="str">
        <f t="shared" si="1331"/>
        <v/>
      </c>
      <c r="DK271" s="430" t="str">
        <f t="shared" si="1331"/>
        <v/>
      </c>
      <c r="DL271" s="430" t="str">
        <f t="shared" si="1331"/>
        <v/>
      </c>
      <c r="DM271" s="430" t="str">
        <f t="shared" si="1331"/>
        <v/>
      </c>
      <c r="DN271" s="430" t="str">
        <f t="shared" si="1331"/>
        <v/>
      </c>
      <c r="DO271" s="430" t="str">
        <f t="shared" si="1331"/>
        <v/>
      </c>
      <c r="DP271" s="430" t="str">
        <f t="shared" si="1331"/>
        <v/>
      </c>
      <c r="DQ271" s="430" t="str">
        <f t="shared" si="1331"/>
        <v/>
      </c>
      <c r="DR271" s="430" t="str">
        <f t="shared" si="1331"/>
        <v/>
      </c>
      <c r="DS271" s="430" t="str">
        <f t="shared" si="1331"/>
        <v/>
      </c>
      <c r="DT271" s="430" t="str">
        <f t="shared" si="1331"/>
        <v/>
      </c>
      <c r="DU271" s="430" t="str">
        <f t="shared" si="1331"/>
        <v/>
      </c>
      <c r="DV271" s="430" t="str">
        <f t="shared" si="1331"/>
        <v/>
      </c>
      <c r="DW271" s="430" t="str">
        <f t="shared" si="1331"/>
        <v/>
      </c>
      <c r="DX271" s="430" t="str">
        <f t="shared" si="1331"/>
        <v/>
      </c>
      <c r="DY271" s="430" t="str">
        <f t="shared" si="1331"/>
        <v/>
      </c>
      <c r="DZ271" s="430" t="str">
        <f t="shared" si="1331"/>
        <v/>
      </c>
      <c r="EA271" s="430" t="str">
        <f t="shared" si="1331"/>
        <v/>
      </c>
      <c r="EB271" s="430" t="str">
        <f t="shared" si="1331"/>
        <v/>
      </c>
      <c r="EC271" s="430" t="str">
        <f t="shared" si="1331"/>
        <v/>
      </c>
      <c r="ED271" s="430" t="str">
        <f t="shared" si="1331"/>
        <v/>
      </c>
      <c r="EE271" s="430" t="str">
        <f t="shared" si="1331"/>
        <v/>
      </c>
      <c r="EF271" s="430" t="str">
        <f t="shared" si="1331"/>
        <v/>
      </c>
      <c r="EG271" s="430" t="str">
        <f t="shared" si="1331"/>
        <v/>
      </c>
      <c r="EH271" s="430" t="str">
        <f t="shared" si="1331"/>
        <v/>
      </c>
      <c r="EI271" s="430" t="str">
        <f t="shared" si="1331"/>
        <v/>
      </c>
      <c r="EJ271" s="430" t="str">
        <f t="shared" si="1331"/>
        <v/>
      </c>
      <c r="EK271" s="430" t="str">
        <f t="shared" si="1331"/>
        <v/>
      </c>
      <c r="EL271" s="430" t="str">
        <f t="shared" si="1331"/>
        <v/>
      </c>
      <c r="EM271" s="430" t="str">
        <f t="shared" si="1331"/>
        <v/>
      </c>
      <c r="EN271" s="430" t="str">
        <f t="shared" si="1331"/>
        <v/>
      </c>
      <c r="EO271" s="430" t="str">
        <f>IF(EO$231="","",SUM(EO269:EO270))</f>
        <v/>
      </c>
      <c r="EP271" s="430" t="str">
        <f>IF(EP$231="","",SUM(EP269:EP270))</f>
        <v/>
      </c>
      <c r="EQ271" s="430" t="str">
        <f>IF(EQ$231="","",SUM(EQ269:EQ270))</f>
        <v/>
      </c>
      <c r="ER271" s="430" t="str">
        <f>IF(ER$231="","",SUM(ER269:ER270))</f>
        <v/>
      </c>
      <c r="ES271" s="430" t="str">
        <f>IF(ES$231="","",SUM(ES269:ES270))</f>
        <v/>
      </c>
      <c r="ET271" s="411"/>
      <c r="EU271" s="202"/>
      <c r="EV271" s="153"/>
      <c r="EW271" s="153"/>
      <c r="EX271" s="153"/>
      <c r="EY271" s="154" t="s">
        <v>361</v>
      </c>
      <c r="EZ271" s="154"/>
      <c r="FA271" s="386">
        <f ca="1">SUM(FA269:FA270)</f>
        <v>0</v>
      </c>
      <c r="FB271" s="386">
        <f t="shared" ref="FB271:HM271" ca="1" si="1332">SUM(FB269:FB270)</f>
        <v>0</v>
      </c>
      <c r="FC271" s="386">
        <f t="shared" ca="1" si="1332"/>
        <v>0</v>
      </c>
      <c r="FD271" s="386">
        <f t="shared" ca="1" si="1332"/>
        <v>0</v>
      </c>
      <c r="FE271" s="386">
        <f t="shared" ca="1" si="1332"/>
        <v>0</v>
      </c>
      <c r="FF271" s="386">
        <f t="shared" ca="1" si="1332"/>
        <v>0</v>
      </c>
      <c r="FG271" s="386">
        <f t="shared" ca="1" si="1332"/>
        <v>0</v>
      </c>
      <c r="FH271" s="386">
        <f t="shared" ca="1" si="1332"/>
        <v>0</v>
      </c>
      <c r="FI271" s="386">
        <f t="shared" ca="1" si="1332"/>
        <v>0</v>
      </c>
      <c r="FJ271" s="386">
        <f t="shared" ca="1" si="1332"/>
        <v>0</v>
      </c>
      <c r="FK271" s="386">
        <f t="shared" ca="1" si="1332"/>
        <v>0</v>
      </c>
      <c r="FL271" s="386">
        <f t="shared" ca="1" si="1332"/>
        <v>0</v>
      </c>
      <c r="FM271" s="386">
        <f t="shared" ca="1" si="1332"/>
        <v>0</v>
      </c>
      <c r="FN271" s="386">
        <f t="shared" ca="1" si="1332"/>
        <v>0</v>
      </c>
      <c r="FO271" s="386">
        <f t="shared" ca="1" si="1332"/>
        <v>0</v>
      </c>
      <c r="FP271" s="386">
        <f t="shared" ca="1" si="1332"/>
        <v>0</v>
      </c>
      <c r="FQ271" s="386">
        <f t="shared" ca="1" si="1332"/>
        <v>0</v>
      </c>
      <c r="FR271" s="386">
        <f t="shared" ca="1" si="1332"/>
        <v>0</v>
      </c>
      <c r="FS271" s="386">
        <f t="shared" ca="1" si="1332"/>
        <v>0</v>
      </c>
      <c r="FT271" s="386">
        <f t="shared" ca="1" si="1332"/>
        <v>0</v>
      </c>
      <c r="FU271" s="386">
        <f t="shared" ca="1" si="1332"/>
        <v>0</v>
      </c>
      <c r="FV271" s="386">
        <f t="shared" ca="1" si="1332"/>
        <v>0</v>
      </c>
      <c r="FW271" s="386">
        <f t="shared" ca="1" si="1332"/>
        <v>0</v>
      </c>
      <c r="FX271" s="386">
        <f t="shared" ca="1" si="1332"/>
        <v>0</v>
      </c>
      <c r="FY271" s="386">
        <f t="shared" ca="1" si="1332"/>
        <v>0</v>
      </c>
      <c r="FZ271" s="386">
        <f t="shared" ca="1" si="1332"/>
        <v>0</v>
      </c>
      <c r="GA271" s="386">
        <f t="shared" ca="1" si="1332"/>
        <v>0</v>
      </c>
      <c r="GB271" s="386">
        <f t="shared" ca="1" si="1332"/>
        <v>0</v>
      </c>
      <c r="GC271" s="386">
        <f t="shared" ca="1" si="1332"/>
        <v>0</v>
      </c>
      <c r="GD271" s="386">
        <f t="shared" ca="1" si="1332"/>
        <v>0</v>
      </c>
      <c r="GE271" s="386">
        <f t="shared" ca="1" si="1332"/>
        <v>0</v>
      </c>
      <c r="GF271" s="386">
        <f t="shared" ca="1" si="1332"/>
        <v>0</v>
      </c>
      <c r="GG271" s="386">
        <f t="shared" ca="1" si="1332"/>
        <v>0</v>
      </c>
      <c r="GH271" s="386">
        <f t="shared" ca="1" si="1332"/>
        <v>0</v>
      </c>
      <c r="GI271" s="386">
        <f t="shared" ca="1" si="1332"/>
        <v>0</v>
      </c>
      <c r="GJ271" s="386">
        <f t="shared" ca="1" si="1332"/>
        <v>0</v>
      </c>
      <c r="GK271" s="386">
        <f t="shared" ca="1" si="1332"/>
        <v>0</v>
      </c>
      <c r="GL271" s="386">
        <f t="shared" ca="1" si="1332"/>
        <v>0</v>
      </c>
      <c r="GM271" s="386">
        <f t="shared" ca="1" si="1332"/>
        <v>0</v>
      </c>
      <c r="GN271" s="386">
        <f t="shared" ca="1" si="1332"/>
        <v>0</v>
      </c>
      <c r="GO271" s="386">
        <f t="shared" ca="1" si="1332"/>
        <v>0</v>
      </c>
      <c r="GP271" s="386">
        <f t="shared" ca="1" si="1332"/>
        <v>0</v>
      </c>
      <c r="GQ271" s="386">
        <f t="shared" ca="1" si="1332"/>
        <v>0</v>
      </c>
      <c r="GR271" s="386">
        <f t="shared" ca="1" si="1332"/>
        <v>0</v>
      </c>
      <c r="GS271" s="386">
        <f t="shared" ca="1" si="1332"/>
        <v>0</v>
      </c>
      <c r="GT271" s="386">
        <f t="shared" ca="1" si="1332"/>
        <v>0</v>
      </c>
      <c r="GU271" s="386">
        <f t="shared" ca="1" si="1332"/>
        <v>0</v>
      </c>
      <c r="GV271" s="386">
        <f t="shared" ca="1" si="1332"/>
        <v>0</v>
      </c>
      <c r="GW271" s="386">
        <f t="shared" ca="1" si="1332"/>
        <v>0</v>
      </c>
      <c r="GX271" s="386">
        <f t="shared" ca="1" si="1332"/>
        <v>0</v>
      </c>
      <c r="GY271" s="386">
        <f t="shared" ca="1" si="1332"/>
        <v>0</v>
      </c>
      <c r="GZ271" s="386">
        <f t="shared" ca="1" si="1332"/>
        <v>0</v>
      </c>
      <c r="HA271" s="386">
        <f t="shared" ca="1" si="1332"/>
        <v>0</v>
      </c>
      <c r="HB271" s="386">
        <f t="shared" ca="1" si="1332"/>
        <v>0</v>
      </c>
      <c r="HC271" s="386">
        <f t="shared" ca="1" si="1332"/>
        <v>0</v>
      </c>
      <c r="HD271" s="386">
        <f t="shared" ca="1" si="1332"/>
        <v>0</v>
      </c>
      <c r="HE271" s="386">
        <f t="shared" ca="1" si="1332"/>
        <v>0</v>
      </c>
      <c r="HF271" s="386">
        <f t="shared" ca="1" si="1332"/>
        <v>0</v>
      </c>
      <c r="HG271" s="386">
        <f t="shared" ca="1" si="1332"/>
        <v>0</v>
      </c>
      <c r="HH271" s="386">
        <f t="shared" ca="1" si="1332"/>
        <v>0</v>
      </c>
      <c r="HI271" s="386">
        <f t="shared" ca="1" si="1332"/>
        <v>0</v>
      </c>
      <c r="HJ271" s="386">
        <f t="shared" ca="1" si="1332"/>
        <v>0</v>
      </c>
      <c r="HK271" s="386">
        <f t="shared" ca="1" si="1332"/>
        <v>0</v>
      </c>
      <c r="HL271" s="386">
        <f t="shared" ca="1" si="1332"/>
        <v>0</v>
      </c>
      <c r="HM271" s="386">
        <f t="shared" ca="1" si="1332"/>
        <v>0</v>
      </c>
      <c r="HN271" s="386">
        <f t="shared" ref="HN271:JY271" ca="1" si="1333">SUM(HN269:HN270)</f>
        <v>0</v>
      </c>
      <c r="HO271" s="386">
        <f t="shared" ca="1" si="1333"/>
        <v>0</v>
      </c>
      <c r="HP271" s="386">
        <f t="shared" ca="1" si="1333"/>
        <v>0</v>
      </c>
      <c r="HQ271" s="386">
        <f t="shared" ca="1" si="1333"/>
        <v>0</v>
      </c>
      <c r="HR271" s="386">
        <f t="shared" ca="1" si="1333"/>
        <v>0</v>
      </c>
      <c r="HS271" s="386">
        <f t="shared" ca="1" si="1333"/>
        <v>0</v>
      </c>
      <c r="HT271" s="386">
        <f t="shared" ca="1" si="1333"/>
        <v>0</v>
      </c>
      <c r="HU271" s="386">
        <f t="shared" ca="1" si="1333"/>
        <v>0</v>
      </c>
      <c r="HV271" s="386">
        <f t="shared" ca="1" si="1333"/>
        <v>0</v>
      </c>
      <c r="HW271" s="386">
        <f t="shared" ca="1" si="1333"/>
        <v>0</v>
      </c>
      <c r="HX271" s="386">
        <f t="shared" ca="1" si="1333"/>
        <v>0</v>
      </c>
      <c r="HY271" s="386">
        <f t="shared" ca="1" si="1333"/>
        <v>0</v>
      </c>
      <c r="HZ271" s="386">
        <f t="shared" ca="1" si="1333"/>
        <v>0</v>
      </c>
      <c r="IA271" s="386">
        <f t="shared" ca="1" si="1333"/>
        <v>0</v>
      </c>
      <c r="IB271" s="386">
        <f t="shared" ca="1" si="1333"/>
        <v>0</v>
      </c>
      <c r="IC271" s="386">
        <f t="shared" ca="1" si="1333"/>
        <v>0</v>
      </c>
      <c r="ID271" s="386">
        <f t="shared" ca="1" si="1333"/>
        <v>0</v>
      </c>
      <c r="IE271" s="386">
        <f t="shared" ca="1" si="1333"/>
        <v>0</v>
      </c>
      <c r="IF271" s="386">
        <f t="shared" ca="1" si="1333"/>
        <v>0</v>
      </c>
      <c r="IG271" s="386">
        <f t="shared" ca="1" si="1333"/>
        <v>0</v>
      </c>
      <c r="IH271" s="386">
        <f t="shared" ca="1" si="1333"/>
        <v>0</v>
      </c>
      <c r="II271" s="386">
        <f t="shared" ca="1" si="1333"/>
        <v>0</v>
      </c>
      <c r="IJ271" s="386">
        <f t="shared" ca="1" si="1333"/>
        <v>0</v>
      </c>
      <c r="IK271" s="386">
        <f t="shared" ca="1" si="1333"/>
        <v>0</v>
      </c>
      <c r="IL271" s="386">
        <f t="shared" ca="1" si="1333"/>
        <v>0</v>
      </c>
      <c r="IM271" s="386">
        <f t="shared" ca="1" si="1333"/>
        <v>0</v>
      </c>
      <c r="IN271" s="386">
        <f t="shared" ca="1" si="1333"/>
        <v>0</v>
      </c>
      <c r="IO271" s="386">
        <f t="shared" ca="1" si="1333"/>
        <v>0</v>
      </c>
      <c r="IP271" s="386">
        <f t="shared" ca="1" si="1333"/>
        <v>0</v>
      </c>
      <c r="IQ271" s="386">
        <f t="shared" ca="1" si="1333"/>
        <v>0</v>
      </c>
      <c r="IR271" s="386">
        <f t="shared" ca="1" si="1333"/>
        <v>0</v>
      </c>
      <c r="IS271" s="386">
        <f t="shared" ca="1" si="1333"/>
        <v>0</v>
      </c>
      <c r="IT271" s="386">
        <f t="shared" ca="1" si="1333"/>
        <v>0</v>
      </c>
      <c r="IU271" s="386">
        <f t="shared" ca="1" si="1333"/>
        <v>0</v>
      </c>
      <c r="IV271" s="386">
        <f t="shared" ca="1" si="1333"/>
        <v>0</v>
      </c>
      <c r="IW271" s="386">
        <f t="shared" ca="1" si="1333"/>
        <v>0</v>
      </c>
      <c r="IX271" s="386">
        <f t="shared" ca="1" si="1333"/>
        <v>0</v>
      </c>
      <c r="IY271" s="386">
        <f t="shared" ca="1" si="1333"/>
        <v>0</v>
      </c>
      <c r="IZ271" s="386">
        <f t="shared" ca="1" si="1333"/>
        <v>0</v>
      </c>
      <c r="JA271" s="386">
        <f t="shared" ca="1" si="1333"/>
        <v>0</v>
      </c>
      <c r="JB271" s="386">
        <f t="shared" ca="1" si="1333"/>
        <v>0</v>
      </c>
      <c r="JC271" s="386">
        <f t="shared" ca="1" si="1333"/>
        <v>0</v>
      </c>
      <c r="JD271" s="386">
        <f t="shared" ca="1" si="1333"/>
        <v>0</v>
      </c>
      <c r="JE271" s="386">
        <f t="shared" ca="1" si="1333"/>
        <v>0</v>
      </c>
      <c r="JF271" s="386">
        <f t="shared" ca="1" si="1333"/>
        <v>0</v>
      </c>
      <c r="JG271" s="386">
        <f t="shared" ca="1" si="1333"/>
        <v>0</v>
      </c>
      <c r="JH271" s="386">
        <f t="shared" ca="1" si="1333"/>
        <v>0</v>
      </c>
      <c r="JI271" s="386">
        <f t="shared" ca="1" si="1333"/>
        <v>0</v>
      </c>
      <c r="JJ271" s="386">
        <f t="shared" ca="1" si="1333"/>
        <v>0</v>
      </c>
      <c r="JK271" s="386">
        <f t="shared" ca="1" si="1333"/>
        <v>0</v>
      </c>
      <c r="JL271" s="386">
        <f t="shared" ca="1" si="1333"/>
        <v>0</v>
      </c>
      <c r="JM271" s="386">
        <f t="shared" ca="1" si="1333"/>
        <v>0</v>
      </c>
      <c r="JN271" s="386">
        <f t="shared" ca="1" si="1333"/>
        <v>0</v>
      </c>
      <c r="JO271" s="386">
        <f t="shared" ca="1" si="1333"/>
        <v>0</v>
      </c>
      <c r="JP271" s="386">
        <f t="shared" ca="1" si="1333"/>
        <v>0</v>
      </c>
      <c r="JQ271" s="386">
        <f t="shared" ca="1" si="1333"/>
        <v>0</v>
      </c>
      <c r="JR271" s="386">
        <f t="shared" ca="1" si="1333"/>
        <v>0</v>
      </c>
      <c r="JS271" s="386">
        <f t="shared" ca="1" si="1333"/>
        <v>0</v>
      </c>
      <c r="JT271" s="386">
        <f t="shared" ca="1" si="1333"/>
        <v>0</v>
      </c>
      <c r="JU271" s="386">
        <f t="shared" ca="1" si="1333"/>
        <v>0</v>
      </c>
      <c r="JV271" s="386">
        <f t="shared" ca="1" si="1333"/>
        <v>0</v>
      </c>
      <c r="JW271" s="386">
        <f t="shared" ca="1" si="1333"/>
        <v>0</v>
      </c>
      <c r="JX271" s="386">
        <f t="shared" ca="1" si="1333"/>
        <v>0</v>
      </c>
      <c r="JY271" s="386">
        <f t="shared" ca="1" si="1333"/>
        <v>0</v>
      </c>
      <c r="JZ271" s="386">
        <f ca="1">SUM(JZ269:JZ270)</f>
        <v>0</v>
      </c>
      <c r="KA271" s="386">
        <f ca="1">SUM(KA269:KA270)</f>
        <v>0</v>
      </c>
      <c r="KB271" s="386">
        <f ca="1">SUM(KB269:KB270)</f>
        <v>0</v>
      </c>
      <c r="KC271" s="386">
        <f ca="1">SUM(KC269:KC270)</f>
        <v>0</v>
      </c>
    </row>
    <row r="272" spans="2:289" ht="5.0999999999999996" customHeight="1" x14ac:dyDescent="0.25">
      <c r="B272" s="549"/>
      <c r="C272" s="550"/>
      <c r="D272" s="550"/>
      <c r="E272" s="550"/>
      <c r="F272" s="550"/>
      <c r="G272" s="550"/>
      <c r="H272" s="550"/>
      <c r="I272" s="550"/>
      <c r="J272" s="546"/>
      <c r="K272" s="546"/>
      <c r="L272" s="546"/>
      <c r="M272" s="546"/>
      <c r="N272" s="546"/>
      <c r="O272" s="546"/>
      <c r="P272" s="546"/>
      <c r="Q272" s="546"/>
      <c r="R272" s="546"/>
      <c r="S272" s="546"/>
      <c r="T272" s="546"/>
      <c r="U272" s="546"/>
      <c r="V272" s="546"/>
      <c r="W272" s="546"/>
      <c r="X272" s="546"/>
      <c r="Y272" s="546"/>
      <c r="Z272" s="546"/>
      <c r="AA272" s="546"/>
      <c r="AB272" s="546"/>
      <c r="AC272" s="546"/>
      <c r="AD272" s="546"/>
      <c r="AE272" s="546"/>
      <c r="AF272" s="546"/>
      <c r="AG272" s="546"/>
      <c r="AH272" s="546"/>
      <c r="AI272" s="546"/>
      <c r="AJ272" s="546"/>
      <c r="AK272" s="546"/>
      <c r="AL272" s="546"/>
      <c r="AM272" s="546"/>
      <c r="AN272" s="546"/>
      <c r="AO272" s="546"/>
      <c r="AP272" s="546"/>
      <c r="AQ272" s="546"/>
      <c r="AR272" s="546"/>
      <c r="AS272" s="546"/>
      <c r="AT272" s="546"/>
      <c r="AU272" s="546"/>
      <c r="AV272" s="546"/>
      <c r="AW272" s="546"/>
      <c r="AX272" s="546"/>
      <c r="AY272" s="546"/>
      <c r="AZ272" s="546"/>
      <c r="BA272" s="546"/>
      <c r="BB272" s="546"/>
      <c r="BC272" s="546"/>
      <c r="BD272" s="546"/>
      <c r="BE272" s="546"/>
      <c r="BF272" s="546"/>
      <c r="BG272" s="546"/>
      <c r="BH272" s="546"/>
      <c r="BI272" s="546"/>
      <c r="BJ272" s="546"/>
      <c r="BK272" s="546"/>
      <c r="BL272" s="546"/>
      <c r="BM272" s="546"/>
      <c r="BN272" s="546"/>
      <c r="BO272" s="546"/>
      <c r="BP272" s="546"/>
      <c r="BQ272" s="546"/>
      <c r="BR272" s="546"/>
      <c r="BS272" s="546"/>
      <c r="BT272" s="546"/>
      <c r="BU272" s="546"/>
      <c r="BV272" s="546"/>
      <c r="BW272" s="546"/>
      <c r="BX272" s="546"/>
      <c r="BY272" s="546"/>
      <c r="BZ272" s="546"/>
      <c r="CA272" s="546"/>
      <c r="CB272" s="546"/>
      <c r="CC272" s="546"/>
      <c r="CD272" s="546"/>
      <c r="CE272" s="546"/>
      <c r="CF272" s="546"/>
      <c r="CG272" s="546"/>
      <c r="CH272" s="546"/>
      <c r="CI272" s="546"/>
      <c r="CJ272" s="546"/>
      <c r="CK272" s="546"/>
      <c r="CL272" s="546"/>
      <c r="CM272" s="546"/>
      <c r="CN272" s="546"/>
      <c r="CO272" s="546"/>
      <c r="CP272" s="546"/>
      <c r="CQ272" s="546"/>
      <c r="CR272" s="546"/>
      <c r="CS272" s="546"/>
      <c r="CT272" s="546"/>
      <c r="CU272" s="546"/>
      <c r="CV272" s="546"/>
      <c r="CW272" s="546"/>
      <c r="CX272" s="546"/>
      <c r="CY272" s="546"/>
      <c r="CZ272" s="546"/>
      <c r="DA272" s="546"/>
      <c r="DB272" s="546"/>
      <c r="DC272" s="546"/>
      <c r="DD272" s="546"/>
      <c r="DE272" s="546"/>
      <c r="DF272" s="546"/>
      <c r="DG272" s="546"/>
      <c r="DH272" s="546"/>
      <c r="DI272" s="546"/>
      <c r="DJ272" s="546"/>
      <c r="DK272" s="546"/>
      <c r="DL272" s="546"/>
      <c r="DM272" s="546"/>
      <c r="DN272" s="546"/>
      <c r="DO272" s="546"/>
      <c r="DP272" s="546"/>
      <c r="DQ272" s="546"/>
      <c r="DR272" s="546"/>
      <c r="DS272" s="546"/>
      <c r="DT272" s="546"/>
      <c r="DU272" s="546"/>
      <c r="DV272" s="546"/>
      <c r="DW272" s="546"/>
      <c r="DX272" s="546"/>
      <c r="DY272" s="546"/>
      <c r="DZ272" s="546"/>
      <c r="EA272" s="546"/>
      <c r="EB272" s="546"/>
      <c r="EC272" s="546"/>
      <c r="ED272" s="546"/>
      <c r="EE272" s="546"/>
      <c r="EF272" s="546"/>
      <c r="EG272" s="546"/>
      <c r="EH272" s="546"/>
      <c r="EI272" s="546"/>
      <c r="EJ272" s="546"/>
      <c r="EK272" s="546"/>
      <c r="EL272" s="546"/>
      <c r="EM272" s="546"/>
      <c r="EN272" s="546"/>
      <c r="EO272" s="546"/>
      <c r="EP272" s="546"/>
      <c r="EQ272" s="546"/>
      <c r="ER272" s="546"/>
      <c r="ES272" s="546"/>
      <c r="ET272" s="546"/>
      <c r="EU272" s="546"/>
      <c r="EV272" s="546"/>
      <c r="EW272" s="546"/>
      <c r="EX272" s="546"/>
      <c r="EY272" s="546"/>
      <c r="EZ272" s="550"/>
      <c r="FA272" s="546"/>
      <c r="FB272" s="546"/>
      <c r="FC272" s="546"/>
      <c r="FD272" s="546"/>
      <c r="FE272" s="546"/>
      <c r="FF272" s="546"/>
      <c r="FG272" s="546"/>
      <c r="FH272" s="546"/>
      <c r="FI272" s="546"/>
      <c r="FJ272" s="546"/>
      <c r="FK272" s="546"/>
      <c r="FL272" s="546"/>
      <c r="FM272" s="546"/>
      <c r="FN272" s="546"/>
      <c r="FO272" s="546"/>
      <c r="FP272" s="546"/>
      <c r="FQ272" s="546"/>
      <c r="FR272" s="546"/>
      <c r="FS272" s="546"/>
      <c r="FT272" s="546"/>
      <c r="FU272" s="546"/>
      <c r="FV272" s="546"/>
      <c r="FW272" s="546"/>
      <c r="FX272" s="546"/>
      <c r="FY272" s="546"/>
      <c r="FZ272" s="546"/>
      <c r="GA272" s="546"/>
      <c r="GB272" s="546"/>
      <c r="GC272" s="546"/>
      <c r="GD272" s="546"/>
      <c r="GE272" s="546"/>
      <c r="GF272" s="546"/>
      <c r="GG272" s="546"/>
      <c r="GH272" s="546"/>
      <c r="GI272" s="546"/>
      <c r="GJ272" s="546"/>
      <c r="GK272" s="546"/>
      <c r="GL272" s="546"/>
      <c r="GM272" s="546"/>
      <c r="GN272" s="546"/>
      <c r="GO272" s="546"/>
      <c r="GP272" s="546"/>
      <c r="GQ272" s="546"/>
      <c r="GR272" s="546"/>
      <c r="GS272" s="546"/>
      <c r="GT272" s="546"/>
      <c r="GU272" s="546"/>
      <c r="GV272" s="546"/>
      <c r="GW272" s="546"/>
      <c r="GX272" s="546"/>
      <c r="GY272" s="546"/>
      <c r="GZ272" s="546"/>
      <c r="HA272" s="546"/>
      <c r="HB272" s="546"/>
      <c r="HC272" s="546"/>
      <c r="HD272" s="546"/>
      <c r="HE272" s="546"/>
      <c r="HF272" s="546"/>
      <c r="HG272" s="546"/>
      <c r="HH272" s="546"/>
      <c r="HI272" s="546"/>
      <c r="HJ272" s="546"/>
      <c r="HK272" s="546"/>
      <c r="HL272" s="546"/>
      <c r="HM272" s="546"/>
      <c r="HN272" s="546"/>
      <c r="HO272" s="546"/>
      <c r="HP272" s="546"/>
      <c r="HQ272" s="546"/>
      <c r="HR272" s="546"/>
      <c r="HS272" s="546"/>
      <c r="HT272" s="546"/>
      <c r="HU272" s="546"/>
      <c r="HV272" s="546"/>
      <c r="HW272" s="546"/>
      <c r="HX272" s="546"/>
      <c r="HY272" s="546"/>
      <c r="HZ272" s="546"/>
      <c r="IA272" s="546"/>
      <c r="IB272" s="546"/>
      <c r="IC272" s="546"/>
      <c r="ID272" s="546"/>
      <c r="IE272" s="546"/>
      <c r="IF272" s="546"/>
      <c r="IG272" s="546"/>
      <c r="IH272" s="546"/>
      <c r="II272" s="546"/>
      <c r="IJ272" s="546"/>
      <c r="IK272" s="546"/>
      <c r="IL272" s="546"/>
      <c r="IM272" s="546"/>
      <c r="IN272" s="546"/>
      <c r="IO272" s="546"/>
      <c r="IP272" s="546"/>
      <c r="IQ272" s="546"/>
      <c r="IR272" s="546"/>
      <c r="IS272" s="546"/>
      <c r="IT272" s="546"/>
      <c r="IU272" s="546"/>
      <c r="IV272" s="546"/>
      <c r="IW272" s="546"/>
      <c r="IX272" s="546"/>
      <c r="IY272" s="546"/>
      <c r="IZ272" s="546"/>
      <c r="JA272" s="546"/>
      <c r="JB272" s="546"/>
      <c r="JC272" s="546"/>
      <c r="JD272" s="546"/>
      <c r="JE272" s="546"/>
      <c r="JF272" s="546"/>
      <c r="JG272" s="546"/>
      <c r="JH272" s="546"/>
      <c r="JI272" s="546"/>
      <c r="JJ272" s="546"/>
      <c r="JK272" s="546"/>
      <c r="JL272" s="546"/>
      <c r="JM272" s="546"/>
      <c r="JN272" s="546"/>
      <c r="JO272" s="546"/>
      <c r="JP272" s="546"/>
      <c r="JQ272" s="546"/>
      <c r="JR272" s="546"/>
      <c r="JS272" s="546"/>
      <c r="JT272" s="546"/>
      <c r="JU272" s="546"/>
      <c r="JV272" s="546"/>
      <c r="JW272" s="546"/>
      <c r="JX272" s="546"/>
      <c r="JY272" s="546"/>
      <c r="JZ272" s="546"/>
      <c r="KA272" s="546"/>
      <c r="KB272" s="546"/>
      <c r="KC272" s="546"/>
    </row>
    <row r="273" spans="2:289" x14ac:dyDescent="0.25">
      <c r="B273" s="547" t="s">
        <v>393</v>
      </c>
      <c r="C273" s="550"/>
      <c r="D273" s="546"/>
      <c r="E273" s="546"/>
      <c r="F273" s="546"/>
      <c r="G273" s="546"/>
      <c r="H273" s="550"/>
      <c r="I273" s="550"/>
      <c r="J273" s="179"/>
      <c r="K273" s="179"/>
      <c r="L273" s="179"/>
      <c r="M273" s="179"/>
      <c r="N273" s="179"/>
      <c r="O273" s="179"/>
      <c r="P273" s="179"/>
      <c r="Q273" s="179"/>
      <c r="R273" s="179"/>
      <c r="S273" s="179"/>
      <c r="T273" s="179"/>
      <c r="U273" s="179"/>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c r="CX273" s="179"/>
      <c r="CY273" s="179"/>
      <c r="CZ273" s="179"/>
      <c r="DA273" s="179"/>
      <c r="DB273" s="179"/>
      <c r="DC273" s="179"/>
      <c r="DD273" s="179"/>
      <c r="DE273" s="179"/>
      <c r="DF273" s="179"/>
      <c r="DG273" s="179"/>
      <c r="DH273" s="179"/>
      <c r="DI273" s="179"/>
      <c r="DJ273" s="179"/>
      <c r="DK273" s="179"/>
      <c r="DL273" s="179"/>
      <c r="DM273" s="179"/>
      <c r="DN273" s="179"/>
      <c r="DO273" s="179"/>
      <c r="DP273" s="179"/>
      <c r="DQ273" s="179"/>
      <c r="DR273" s="179"/>
      <c r="DS273" s="179"/>
      <c r="DT273" s="179"/>
      <c r="DU273" s="179"/>
      <c r="DV273" s="179"/>
      <c r="DW273" s="179"/>
      <c r="DX273" s="179"/>
      <c r="DY273" s="179"/>
      <c r="DZ273" s="179"/>
      <c r="EA273" s="179"/>
      <c r="EB273" s="179"/>
      <c r="EC273" s="179"/>
      <c r="ED273" s="179"/>
      <c r="EE273" s="179"/>
      <c r="EF273" s="179"/>
      <c r="EG273" s="179"/>
      <c r="EH273" s="179"/>
      <c r="EI273" s="179"/>
      <c r="EJ273" s="179"/>
      <c r="EK273" s="179"/>
      <c r="EL273" s="179"/>
      <c r="EM273" s="179"/>
      <c r="EN273" s="179"/>
      <c r="EO273" s="179"/>
      <c r="EP273" s="179"/>
      <c r="EQ273" s="179"/>
      <c r="ER273" s="179"/>
      <c r="ES273" s="432"/>
      <c r="ET273" s="179"/>
      <c r="EU273" s="202"/>
      <c r="EV273" s="153"/>
      <c r="EW273" s="153"/>
      <c r="EX273" s="153"/>
      <c r="EY273" s="154"/>
      <c r="EZ273" s="154"/>
      <c r="FA273" s="386"/>
      <c r="FB273" s="386"/>
      <c r="FC273" s="386"/>
      <c r="FD273" s="386"/>
      <c r="FE273" s="386"/>
      <c r="FF273" s="386"/>
      <c r="FG273" s="386"/>
      <c r="FH273" s="386"/>
      <c r="FI273" s="386"/>
      <c r="FJ273" s="386"/>
      <c r="FK273" s="386"/>
      <c r="FL273" s="386"/>
      <c r="FM273" s="386"/>
      <c r="FN273" s="386"/>
      <c r="FO273" s="386"/>
      <c r="FP273" s="386"/>
      <c r="FQ273" s="386"/>
      <c r="FR273" s="386"/>
      <c r="FS273" s="386"/>
      <c r="FT273" s="386"/>
      <c r="FU273" s="386"/>
      <c r="FV273" s="386"/>
      <c r="FW273" s="386"/>
      <c r="FX273" s="386"/>
      <c r="FY273" s="386"/>
      <c r="FZ273" s="386"/>
      <c r="GA273" s="386"/>
      <c r="GB273" s="386"/>
      <c r="GC273" s="386"/>
      <c r="GD273" s="386"/>
      <c r="GE273" s="386"/>
      <c r="GF273" s="386"/>
      <c r="GG273" s="386"/>
      <c r="GH273" s="386"/>
      <c r="GI273" s="386"/>
      <c r="GJ273" s="386"/>
      <c r="GK273" s="386"/>
      <c r="GL273" s="386"/>
      <c r="GM273" s="386"/>
      <c r="GN273" s="386"/>
      <c r="GO273" s="386"/>
      <c r="GP273" s="386"/>
      <c r="GQ273" s="386"/>
      <c r="GR273" s="386"/>
      <c r="GS273" s="386"/>
      <c r="GT273" s="386"/>
      <c r="GU273" s="386"/>
      <c r="GV273" s="386"/>
      <c r="GW273" s="386"/>
      <c r="GX273" s="386"/>
      <c r="GY273" s="386"/>
      <c r="GZ273" s="386"/>
      <c r="HA273" s="386"/>
      <c r="HB273" s="386"/>
      <c r="HC273" s="386"/>
      <c r="HD273" s="386"/>
      <c r="HE273" s="386"/>
      <c r="HF273" s="386"/>
      <c r="HG273" s="386"/>
      <c r="HH273" s="386"/>
      <c r="HI273" s="386"/>
      <c r="HJ273" s="386"/>
      <c r="HK273" s="386"/>
      <c r="HL273" s="386"/>
      <c r="HM273" s="386"/>
      <c r="HN273" s="386"/>
      <c r="HO273" s="386"/>
      <c r="HP273" s="386"/>
      <c r="HQ273" s="386"/>
      <c r="HR273" s="386"/>
      <c r="HS273" s="386"/>
      <c r="HT273" s="386"/>
      <c r="HU273" s="386"/>
      <c r="HV273" s="386"/>
      <c r="HW273" s="386"/>
      <c r="HX273" s="386"/>
      <c r="HY273" s="386"/>
      <c r="HZ273" s="386"/>
      <c r="IA273" s="386"/>
      <c r="IB273" s="386"/>
      <c r="IC273" s="386"/>
      <c r="ID273" s="386"/>
      <c r="IE273" s="386"/>
      <c r="IF273" s="386"/>
      <c r="IG273" s="386"/>
      <c r="IH273" s="386"/>
      <c r="II273" s="386"/>
      <c r="IJ273" s="386"/>
      <c r="IK273" s="386"/>
      <c r="IL273" s="386"/>
      <c r="IM273" s="386"/>
      <c r="IN273" s="386"/>
      <c r="IO273" s="386"/>
      <c r="IP273" s="386"/>
      <c r="IQ273" s="386"/>
      <c r="IR273" s="386"/>
      <c r="IS273" s="386"/>
      <c r="IT273" s="386"/>
      <c r="IU273" s="386"/>
      <c r="IV273" s="386"/>
      <c r="IW273" s="386"/>
      <c r="IX273" s="386"/>
      <c r="IY273" s="386"/>
      <c r="IZ273" s="386"/>
      <c r="JA273" s="386"/>
      <c r="JB273" s="386"/>
      <c r="JC273" s="386"/>
      <c r="JD273" s="386"/>
      <c r="JE273" s="386"/>
      <c r="JF273" s="386"/>
      <c r="JG273" s="386"/>
      <c r="JH273" s="386"/>
      <c r="JI273" s="386"/>
      <c r="JJ273" s="386"/>
      <c r="JK273" s="386"/>
      <c r="JL273" s="386"/>
      <c r="JM273" s="386"/>
      <c r="JN273" s="386"/>
      <c r="JO273" s="386"/>
      <c r="JP273" s="386"/>
      <c r="JQ273" s="386"/>
      <c r="JR273" s="386"/>
      <c r="JS273" s="386"/>
      <c r="JT273" s="386"/>
      <c r="JU273" s="386"/>
      <c r="JV273" s="386"/>
      <c r="JW273" s="386"/>
      <c r="JX273" s="386"/>
      <c r="JY273" s="386"/>
      <c r="JZ273" s="386"/>
      <c r="KA273" s="386"/>
      <c r="KB273" s="386"/>
      <c r="KC273" s="386"/>
    </row>
    <row r="274" spans="2:289" x14ac:dyDescent="0.25">
      <c r="B274" s="180"/>
      <c r="C274" s="433" t="s">
        <v>432</v>
      </c>
      <c r="D274" s="180"/>
      <c r="E274" s="180"/>
      <c r="F274" s="180"/>
      <c r="G274" s="209" t="s">
        <v>434</v>
      </c>
      <c r="H274" s="180"/>
      <c r="I274" s="191"/>
    </row>
    <row r="275" spans="2:289" x14ac:dyDescent="0.25">
      <c r="B275" s="180"/>
      <c r="C275" s="434" t="s">
        <v>437</v>
      </c>
      <c r="D275" s="435" t="s">
        <v>436</v>
      </c>
      <c r="E275" s="320" t="s">
        <v>435</v>
      </c>
      <c r="F275" s="320"/>
      <c r="G275" s="436" t="s">
        <v>433</v>
      </c>
      <c r="H275" s="435" t="s">
        <v>436</v>
      </c>
      <c r="I275" s="320" t="s">
        <v>435</v>
      </c>
    </row>
    <row r="276" spans="2:289" x14ac:dyDescent="0.25">
      <c r="B276" s="436" t="s">
        <v>441</v>
      </c>
      <c r="C276" s="437">
        <f>F112</f>
        <v>0.05</v>
      </c>
      <c r="D276" s="438">
        <f ca="1">$I$221</f>
        <v>54.411253542879514</v>
      </c>
      <c r="E276" s="439">
        <f ca="1">$G$216</f>
        <v>1.2094826879251515</v>
      </c>
      <c r="F276" s="436" t="s">
        <v>441</v>
      </c>
      <c r="G276" s="440">
        <f>I148</f>
        <v>5.5E-2</v>
      </c>
      <c r="H276" s="438">
        <f ca="1">$I$221</f>
        <v>54.411253542879514</v>
      </c>
      <c r="I276" s="439">
        <f ca="1">$G$216</f>
        <v>1.2094826879251515</v>
      </c>
    </row>
    <row r="277" spans="2:289" x14ac:dyDescent="0.25">
      <c r="B277" s="182" t="s">
        <v>442</v>
      </c>
      <c r="C277" s="441">
        <v>0.03</v>
      </c>
      <c r="D277" s="438">
        <f t="dataTable" ref="D277:E281" dt2D="0" dtr="0" r1="F113" ca="1"/>
        <v>27.174492272074371</v>
      </c>
      <c r="E277" s="439">
        <v>1.0782503474758582</v>
      </c>
      <c r="F277" s="182" t="s">
        <v>442</v>
      </c>
      <c r="G277" s="442">
        <f>G276+0.25%</f>
        <v>5.7500000000000002E-2</v>
      </c>
      <c r="H277" s="438">
        <f t="dataTable" ref="H277:I281" dt2D="0" dtr="0" r1="I148" ca="1"/>
        <v>29.411253542879489</v>
      </c>
      <c r="I277" s="439">
        <v>1.095408943838647</v>
      </c>
    </row>
    <row r="278" spans="2:289" x14ac:dyDescent="0.25">
      <c r="B278" s="182" t="s">
        <v>443</v>
      </c>
      <c r="C278" s="441">
        <v>0.05</v>
      </c>
      <c r="D278" s="438">
        <v>9.0166514248708758</v>
      </c>
      <c r="E278" s="439">
        <v>0.99076212050966173</v>
      </c>
      <c r="F278" s="182" t="s">
        <v>443</v>
      </c>
      <c r="G278" s="442">
        <f t="shared" ref="G278:G281" si="1334">G277+0.25%</f>
        <v>6.0000000000000005E-2</v>
      </c>
      <c r="H278" s="438">
        <v>-20.588746457120486</v>
      </c>
      <c r="I278" s="439">
        <v>0.89463915424639839</v>
      </c>
    </row>
    <row r="279" spans="2:289" x14ac:dyDescent="0.25">
      <c r="B279" s="182" t="s">
        <v>444</v>
      </c>
      <c r="C279" s="441">
        <v>7.0000000000000007E-2</v>
      </c>
      <c r="D279" s="438">
        <v>-9.1411894223324826</v>
      </c>
      <c r="E279" s="439">
        <v>0.90327389354346654</v>
      </c>
      <c r="F279" s="182" t="s">
        <v>444</v>
      </c>
      <c r="G279" s="442">
        <f t="shared" si="1334"/>
        <v>6.25E-2</v>
      </c>
      <c r="H279" s="438">
        <v>-95.58874645712055</v>
      </c>
      <c r="I279" s="439">
        <v>0.64726209207023488</v>
      </c>
    </row>
    <row r="280" spans="2:289" x14ac:dyDescent="0.25">
      <c r="B280" s="182" t="s">
        <v>445</v>
      </c>
      <c r="C280" s="441">
        <v>0.09</v>
      </c>
      <c r="D280" s="438">
        <v>-27.299030269535841</v>
      </c>
      <c r="E280" s="439">
        <v>0.81578566657727136</v>
      </c>
      <c r="F280" s="182" t="s">
        <v>445</v>
      </c>
      <c r="G280" s="442">
        <f t="shared" si="1334"/>
        <v>6.5000000000000002E-2</v>
      </c>
      <c r="H280" s="438">
        <v>-195.58874645712064</v>
      </c>
      <c r="I280" s="439">
        <v>0.38957765230339769</v>
      </c>
    </row>
    <row r="281" spans="2:289" x14ac:dyDescent="0.25">
      <c r="B281" s="182" t="s">
        <v>446</v>
      </c>
      <c r="C281" s="441">
        <v>0.11</v>
      </c>
      <c r="D281" s="438">
        <v>-45.456871116739407</v>
      </c>
      <c r="E281" s="439">
        <v>0.72829743961107429</v>
      </c>
      <c r="F281" s="182" t="s">
        <v>446</v>
      </c>
      <c r="G281" s="442">
        <f t="shared" si="1334"/>
        <v>6.7500000000000004E-2</v>
      </c>
      <c r="H281" s="438">
        <v>-320.58874645712075</v>
      </c>
      <c r="I281" s="439">
        <v>0.14582210117260588</v>
      </c>
    </row>
    <row r="282" spans="2:289" ht="5.0999999999999996" customHeight="1" x14ac:dyDescent="0.25">
      <c r="B282" s="180"/>
      <c r="C282" s="443"/>
      <c r="D282" s="180"/>
      <c r="E282" s="289"/>
      <c r="F282" s="289"/>
      <c r="G282" s="180"/>
      <c r="H282" s="180"/>
      <c r="I282" s="289"/>
    </row>
    <row r="283" spans="2:289" x14ac:dyDescent="0.25">
      <c r="B283" s="180"/>
      <c r="C283" s="433" t="s">
        <v>439</v>
      </c>
      <c r="D283" s="180"/>
      <c r="E283" s="444"/>
      <c r="F283" s="444"/>
      <c r="G283" s="209" t="s">
        <v>440</v>
      </c>
      <c r="H283" s="180"/>
      <c r="I283" s="444"/>
    </row>
    <row r="284" spans="2:289" x14ac:dyDescent="0.25">
      <c r="B284" s="180"/>
      <c r="C284" s="445" t="s">
        <v>438</v>
      </c>
      <c r="D284" s="435" t="s">
        <v>436</v>
      </c>
      <c r="E284" s="320" t="s">
        <v>435</v>
      </c>
      <c r="F284" s="320"/>
      <c r="G284" s="436" t="s">
        <v>778</v>
      </c>
      <c r="H284" s="435" t="s">
        <v>436</v>
      </c>
      <c r="I284" s="320" t="s">
        <v>435</v>
      </c>
    </row>
    <row r="285" spans="2:289" x14ac:dyDescent="0.25">
      <c r="B285" s="436" t="s">
        <v>441</v>
      </c>
      <c r="C285" s="437">
        <f>D91</f>
        <v>0.03</v>
      </c>
      <c r="D285" s="438">
        <f ca="1">$I$221</f>
        <v>54.411253542879514</v>
      </c>
      <c r="E285" s="439">
        <f ca="1">$G$216</f>
        <v>1.2094826879251515</v>
      </c>
      <c r="F285" s="436" t="s">
        <v>441</v>
      </c>
      <c r="G285" s="446">
        <f>Timing_Growth_Begin_Income</f>
        <v>12</v>
      </c>
      <c r="H285" s="438">
        <f ca="1">$I$221</f>
        <v>54.411253542879514</v>
      </c>
      <c r="I285" s="439">
        <f ca="1">$G$216</f>
        <v>1.2094826879251515</v>
      </c>
    </row>
    <row r="286" spans="2:289" x14ac:dyDescent="0.25">
      <c r="B286" s="182" t="s">
        <v>442</v>
      </c>
      <c r="C286" s="441">
        <v>2.4999999999999998E-2</v>
      </c>
      <c r="D286" s="438">
        <f t="dataTable" ref="D286:E290" dt2D="0" dtr="0" r1="D91" ca="1"/>
        <v>46.438092536154471</v>
      </c>
      <c r="E286" s="439">
        <v>1.1738410981815519</v>
      </c>
      <c r="F286" s="182" t="s">
        <v>442</v>
      </c>
      <c r="G286" s="447">
        <v>1</v>
      </c>
      <c r="H286" s="438">
        <f t="dataTable" ref="H286:I290" dt2D="0" dtr="0" r1="D117" ca="1"/>
        <v>54.411253542879514</v>
      </c>
      <c r="I286" s="439">
        <v>1.2094826879251515</v>
      </c>
    </row>
    <row r="287" spans="2:289" x14ac:dyDescent="0.25">
      <c r="B287" s="182" t="s">
        <v>443</v>
      </c>
      <c r="C287" s="441">
        <v>1.9999999999999997E-2</v>
      </c>
      <c r="D287" s="438">
        <v>38.501870848735088</v>
      </c>
      <c r="E287" s="439">
        <v>1.1383600710705724</v>
      </c>
      <c r="F287" s="182" t="s">
        <v>443</v>
      </c>
      <c r="G287" s="447">
        <v>12</v>
      </c>
      <c r="H287" s="438">
        <v>54.411253542879514</v>
      </c>
      <c r="I287" s="439">
        <v>1.2094826879251515</v>
      </c>
    </row>
    <row r="288" spans="2:289" x14ac:dyDescent="0.25">
      <c r="B288" s="182" t="s">
        <v>444</v>
      </c>
      <c r="C288" s="441">
        <v>1.4999999999999996E-2</v>
      </c>
      <c r="D288" s="438">
        <v>30.602588480621236</v>
      </c>
      <c r="E288" s="439">
        <v>1.1030396065922123</v>
      </c>
      <c r="F288" s="182" t="s">
        <v>444</v>
      </c>
      <c r="G288" s="447">
        <v>19</v>
      </c>
      <c r="H288" s="438">
        <v>54.411253542879514</v>
      </c>
      <c r="I288" s="439">
        <v>1.2094826879251515</v>
      </c>
    </row>
    <row r="289" spans="2:9" x14ac:dyDescent="0.25">
      <c r="B289" s="182" t="s">
        <v>445</v>
      </c>
      <c r="C289" s="441">
        <v>9.999999999999995E-3</v>
      </c>
      <c r="D289" s="438">
        <v>22.740245431814021</v>
      </c>
      <c r="E289" s="439">
        <v>1.067879704746477</v>
      </c>
      <c r="F289" s="182" t="s">
        <v>445</v>
      </c>
      <c r="G289" s="447">
        <v>32</v>
      </c>
      <c r="H289" s="438">
        <v>54.411253542879514</v>
      </c>
      <c r="I289" s="439">
        <v>1.2094826879251515</v>
      </c>
    </row>
    <row r="290" spans="2:9" x14ac:dyDescent="0.25">
      <c r="B290" s="182" t="s">
        <v>446</v>
      </c>
      <c r="C290" s="441">
        <v>4.9999999999999949E-3</v>
      </c>
      <c r="D290" s="438">
        <v>14.914841702312053</v>
      </c>
      <c r="E290" s="439">
        <v>1.0328803655333592</v>
      </c>
      <c r="F290" s="182" t="s">
        <v>446</v>
      </c>
      <c r="G290" s="447">
        <v>44</v>
      </c>
      <c r="H290" s="438">
        <v>54.411253542879514</v>
      </c>
      <c r="I290" s="439">
        <v>1.2094826879251515</v>
      </c>
    </row>
    <row r="291" spans="2:9" x14ac:dyDescent="0.25">
      <c r="C291" s="449"/>
    </row>
    <row r="292" spans="2:9" x14ac:dyDescent="0.25">
      <c r="B292" s="450" t="s">
        <v>665</v>
      </c>
      <c r="C292" s="451"/>
      <c r="D292" s="451"/>
      <c r="E292" s="451"/>
      <c r="F292" s="451"/>
      <c r="G292" s="451"/>
      <c r="H292" s="451"/>
      <c r="I292" s="451"/>
    </row>
    <row r="293" spans="2:9" x14ac:dyDescent="0.25">
      <c r="B293" s="451" t="s">
        <v>668</v>
      </c>
      <c r="C293" s="452">
        <f>C67</f>
        <v>0.6</v>
      </c>
      <c r="D293" s="451"/>
      <c r="E293" s="451" t="s">
        <v>671</v>
      </c>
      <c r="F293" s="451"/>
      <c r="G293" s="453" t="s">
        <v>753</v>
      </c>
      <c r="H293" s="451"/>
      <c r="I293" s="451"/>
    </row>
    <row r="294" spans="2:9" x14ac:dyDescent="0.25">
      <c r="B294" s="451" t="s">
        <v>669</v>
      </c>
      <c r="C294" s="452">
        <f ca="1">F67</f>
        <v>0.60000027576937087</v>
      </c>
      <c r="D294" s="451"/>
      <c r="E294" s="451" t="s">
        <v>672</v>
      </c>
      <c r="F294" s="451"/>
      <c r="G294" s="453" t="s">
        <v>753</v>
      </c>
      <c r="H294" s="451"/>
      <c r="I294" s="451"/>
    </row>
    <row r="295" spans="2:9" x14ac:dyDescent="0.25">
      <c r="B295" s="451" t="s">
        <v>670</v>
      </c>
      <c r="C295" s="454" t="b">
        <f ca="1">ROUND(C293,4)&lt;&gt;ROUND(C294,4)</f>
        <v>0</v>
      </c>
      <c r="D295" s="451"/>
      <c r="E295" s="451" t="s">
        <v>673</v>
      </c>
      <c r="F295" s="454"/>
      <c r="G295" s="454" t="b">
        <v>0</v>
      </c>
      <c r="H295" s="451"/>
      <c r="I295" s="451"/>
    </row>
    <row r="296" spans="2:9" x14ac:dyDescent="0.25">
      <c r="B296" s="451"/>
      <c r="C296" s="451"/>
      <c r="D296" s="451"/>
      <c r="E296" s="451"/>
      <c r="F296" s="451"/>
      <c r="G296" s="451"/>
      <c r="H296" s="451"/>
      <c r="I296" s="451"/>
    </row>
    <row r="297" spans="2:9" x14ac:dyDescent="0.25">
      <c r="B297" s="451" t="s">
        <v>668</v>
      </c>
      <c r="C297" s="451"/>
      <c r="D297" s="452">
        <f>Debt_LTC_Target</f>
        <v>0.6</v>
      </c>
      <c r="E297" s="451"/>
      <c r="F297" s="451"/>
      <c r="G297" s="451"/>
      <c r="H297" s="451"/>
      <c r="I297" s="451"/>
    </row>
    <row r="298" spans="2:9" x14ac:dyDescent="0.25">
      <c r="B298" s="451" t="s">
        <v>754</v>
      </c>
      <c r="C298" s="451"/>
      <c r="D298" s="452">
        <f ca="1">Debt_LTC_Actual</f>
        <v>0.60000027576937087</v>
      </c>
      <c r="E298" s="451"/>
      <c r="F298" s="451"/>
      <c r="G298" s="451"/>
      <c r="H298" s="451"/>
      <c r="I298" s="451"/>
    </row>
    <row r="299" spans="2:9" x14ac:dyDescent="0.25">
      <c r="B299" s="451" t="s">
        <v>752</v>
      </c>
      <c r="C299" s="451"/>
      <c r="D299" s="454" t="b">
        <f ca="1">ROUND(D297,4)&lt;&gt;ROUND(D298,4)</f>
        <v>0</v>
      </c>
      <c r="E299" s="451"/>
      <c r="F299" s="451"/>
      <c r="G299" s="451"/>
      <c r="H299" s="451"/>
      <c r="I299" s="451"/>
    </row>
    <row r="300" spans="2:9" x14ac:dyDescent="0.25">
      <c r="B300" s="451" t="s">
        <v>674</v>
      </c>
      <c r="C300" s="451"/>
      <c r="D300" s="454" t="b">
        <f ca="1">OR(C295,D299,Calc_Dev_Fee?)</f>
        <v>0</v>
      </c>
      <c r="E300" s="451"/>
      <c r="F300" s="451"/>
      <c r="G300" s="451"/>
      <c r="H300" s="451"/>
      <c r="I300" s="451"/>
    </row>
    <row r="301" spans="2:9" x14ac:dyDescent="0.25"/>
    <row r="302" spans="2:9" x14ac:dyDescent="0.25"/>
    <row r="303" spans="2:9" x14ac:dyDescent="0.25"/>
    <row r="304" spans="2:9" x14ac:dyDescent="0.25"/>
    <row r="305" x14ac:dyDescent="0.25"/>
    <row r="306" x14ac:dyDescent="0.25"/>
    <row r="307" x14ac:dyDescent="0.25"/>
    <row r="308" x14ac:dyDescent="0.25"/>
    <row r="309" x14ac:dyDescent="0.25"/>
  </sheetData>
  <mergeCells count="1">
    <mergeCell ref="D2:G2"/>
  </mergeCells>
  <conditionalFormatting sqref="J22:P59">
    <cfRule type="expression" dxfId="43" priority="77">
      <formula>J22="Incomplete"</formula>
    </cfRule>
  </conditionalFormatting>
  <conditionalFormatting sqref="B119">
    <cfRule type="expression" dxfId="42" priority="52">
      <formula>OpEx_Underwriting_Type=0</formula>
    </cfRule>
  </conditionalFormatting>
  <conditionalFormatting sqref="C119">
    <cfRule type="expression" dxfId="41" priority="51">
      <formula>OpEx_Underwriting_Type=0</formula>
    </cfRule>
  </conditionalFormatting>
  <conditionalFormatting sqref="B109">
    <cfRule type="expression" dxfId="40" priority="45">
      <formula>Retail_Income_Include?=1</formula>
    </cfRule>
  </conditionalFormatting>
  <conditionalFormatting sqref="C109">
    <cfRule type="expression" dxfId="39" priority="44">
      <formula>Retail_Income_Include?=1</formula>
    </cfRule>
  </conditionalFormatting>
  <conditionalFormatting sqref="B224">
    <cfRule type="expression" dxfId="38" priority="43">
      <formula>Dbl_Promote?=1</formula>
    </cfRule>
  </conditionalFormatting>
  <conditionalFormatting sqref="C224">
    <cfRule type="expression" dxfId="37" priority="42">
      <formula>Dbl_Promote?=1</formula>
    </cfRule>
  </conditionalFormatting>
  <conditionalFormatting sqref="I224">
    <cfRule type="expression" dxfId="36" priority="41">
      <formula>$G$224="No"</formula>
    </cfRule>
  </conditionalFormatting>
  <conditionalFormatting sqref="E252:F255">
    <cfRule type="expression" dxfId="35" priority="36">
      <formula>$G$224="No"</formula>
    </cfRule>
  </conditionalFormatting>
  <conditionalFormatting sqref="ES5">
    <cfRule type="expression" dxfId="34" priority="33">
      <formula>Show_Calc?</formula>
    </cfRule>
  </conditionalFormatting>
  <conditionalFormatting sqref="ER5">
    <cfRule type="expression" dxfId="33" priority="32">
      <formula>Show_Calc?</formula>
    </cfRule>
  </conditionalFormatting>
  <conditionalFormatting sqref="D2">
    <cfRule type="expression" dxfId="32" priority="78">
      <formula>$D$2="CLICK TO RECALCULATE"</formula>
    </cfRule>
  </conditionalFormatting>
  <conditionalFormatting sqref="Q26:ES49">
    <cfRule type="expression" dxfId="31" priority="30">
      <formula>$F26="Detail"</formula>
    </cfRule>
  </conditionalFormatting>
  <conditionalFormatting sqref="P88:P89">
    <cfRule type="expression" dxfId="30" priority="29">
      <formula>P88="Err"</formula>
    </cfRule>
  </conditionalFormatting>
  <conditionalFormatting sqref="P198:P199">
    <cfRule type="expression" dxfId="29" priority="28">
      <formula>P198="Err"</formula>
    </cfRule>
  </conditionalFormatting>
  <conditionalFormatting sqref="R137:ES137">
    <cfRule type="expression" dxfId="28" priority="27">
      <formula>$F$137="Detail"</formula>
    </cfRule>
  </conditionalFormatting>
  <conditionalFormatting sqref="J88:O89">
    <cfRule type="expression" dxfId="27" priority="25">
      <formula>J88="Err"</formula>
    </cfRule>
  </conditionalFormatting>
  <conditionalFormatting sqref="J198:O199">
    <cfRule type="expression" dxfId="26" priority="24">
      <formula>J198="Err"</formula>
    </cfRule>
  </conditionalFormatting>
  <conditionalFormatting sqref="G90">
    <cfRule type="expression" dxfId="25" priority="23">
      <formula>LeaseUp_Method=1</formula>
    </cfRule>
  </conditionalFormatting>
  <conditionalFormatting sqref="H90">
    <cfRule type="expression" dxfId="24" priority="22">
      <formula>LeaseUp_Method=1</formula>
    </cfRule>
  </conditionalFormatting>
  <conditionalFormatting sqref="I91:I92">
    <cfRule type="expression" dxfId="23" priority="21">
      <formula>LeaseUp_Method=1</formula>
    </cfRule>
  </conditionalFormatting>
  <conditionalFormatting sqref="I90">
    <cfRule type="expression" dxfId="22" priority="20">
      <formula>LeaseUp_Method=1</formula>
    </cfRule>
  </conditionalFormatting>
  <conditionalFormatting sqref="R90:ES90">
    <cfRule type="expression" dxfId="21" priority="19">
      <formula>LeaseUp_Method=1</formula>
    </cfRule>
  </conditionalFormatting>
  <conditionalFormatting sqref="D69">
    <cfRule type="expression" dxfId="20" priority="17">
      <formula>Fixed_Variable=1</formula>
    </cfRule>
  </conditionalFormatting>
  <conditionalFormatting sqref="E69">
    <cfRule type="expression" dxfId="19" priority="16">
      <formula>Fixed_Variable=1</formula>
    </cfRule>
  </conditionalFormatting>
  <conditionalFormatting sqref="E67">
    <cfRule type="expression" dxfId="18" priority="15">
      <formula>Fixed_Variable=1</formula>
    </cfRule>
  </conditionalFormatting>
  <conditionalFormatting sqref="Q67:ES67">
    <cfRule type="expression" dxfId="17" priority="14">
      <formula>Fixed_Variable=1</formula>
    </cfRule>
  </conditionalFormatting>
  <conditionalFormatting sqref="H80">
    <cfRule type="expression" dxfId="16" priority="13">
      <formula>Perm_Debt?=1</formula>
    </cfRule>
  </conditionalFormatting>
  <conditionalFormatting sqref="I80">
    <cfRule type="expression" dxfId="15" priority="12">
      <formula>Perm_Debt?=1</formula>
    </cfRule>
  </conditionalFormatting>
  <conditionalFormatting sqref="G83">
    <cfRule type="expression" dxfId="14" priority="9">
      <formula>$F$83="Yes"</formula>
    </cfRule>
  </conditionalFormatting>
  <conditionalFormatting sqref="R142:ES142">
    <cfRule type="expression" dxfId="13" priority="8">
      <formula>$F$137="Detail"</formula>
    </cfRule>
  </conditionalFormatting>
  <conditionalFormatting sqref="C237:D237">
    <cfRule type="expression" dxfId="12" priority="7">
      <formula>$H$237&gt;=$H$232</formula>
    </cfRule>
  </conditionalFormatting>
  <conditionalFormatting sqref="Q68:ES68">
    <cfRule type="expression" dxfId="11" priority="6">
      <formula>Fixed_Variable=1</formula>
    </cfRule>
  </conditionalFormatting>
  <conditionalFormatting sqref="E68">
    <cfRule type="expression" dxfId="10" priority="5">
      <formula>Fixed_Variable=1</formula>
    </cfRule>
  </conditionalFormatting>
  <conditionalFormatting sqref="P67:P68">
    <cfRule type="expression" dxfId="9" priority="4">
      <formula>$A$69=0</formula>
    </cfRule>
  </conditionalFormatting>
  <conditionalFormatting sqref="P62:ES64">
    <cfRule type="expression" dxfId="8" priority="3">
      <formula>$C$68=0</formula>
    </cfRule>
  </conditionalFormatting>
  <conditionalFormatting sqref="I121:I130">
    <cfRule type="expression" dxfId="7" priority="1">
      <formula>$A$119=0</formula>
    </cfRule>
  </conditionalFormatting>
  <dataValidations disablePrompts="1" count="14">
    <dataValidation type="list" allowBlank="1" showInputMessage="1" showErrorMessage="1" sqref="H56:H59 H50:H54 F26:F30 F32:F49" xr:uid="{00000000-0002-0000-0200-000000000000}">
      <formula1>"Straight-Line, S-Curve, Detail"</formula1>
    </dataValidation>
    <dataValidation type="list" allowBlank="1" showInputMessage="1" showErrorMessage="1" sqref="F55" xr:uid="{00000000-0002-0000-0200-000002000000}">
      <formula1>"Straight-Line"</formula1>
    </dataValidation>
    <dataValidation type="list" allowBlank="1" showInputMessage="1" showErrorMessage="1" sqref="G224" xr:uid="{00000000-0002-0000-0200-000003000000}">
      <formula1>"Yes,No"</formula1>
    </dataValidation>
    <dataValidation type="list" allowBlank="1" showInputMessage="1" showErrorMessage="1" sqref="C275 I283 E283:F283 I274" xr:uid="{00000000-0002-0000-0200-000004000000}">
      <formula1>$ES$274:$ES$281</formula1>
    </dataValidation>
    <dataValidation type="list" allowBlank="1" showInputMessage="1" showErrorMessage="1" sqref="F137" xr:uid="{00000000-0002-0000-0200-000005000000}">
      <formula1>"Straight-Line, Detail"</formula1>
    </dataValidation>
    <dataValidation type="list" allowBlank="1" showInputMessage="1" showErrorMessage="1" sqref="I8" xr:uid="{ADFF4A6B-2992-4263-AB33-6CD5E097FFED}">
      <formula1>"SF, M2"</formula1>
    </dataValidation>
    <dataValidation type="list" allowBlank="1" showInputMessage="1" showErrorMessage="1" sqref="F83 D237" xr:uid="{01309085-2264-416E-BA8E-95A6EF0DFA9D}">
      <formula1>"Yes, No"</formula1>
    </dataValidation>
    <dataValidation type="whole" allowBlank="1" showInputMessage="1" showErrorMessage="1" errorTitle="Invalid Entry" error="Perm. Debt Loan Funding cannot occur any sooner than 1 month following construction end." sqref="C84" xr:uid="{4F97336A-5A8A-4A82-8E49-8E1B5A19551D}">
      <formula1>E59+1</formula1>
      <formula2>Timing_Analysis_End_Month</formula2>
    </dataValidation>
    <dataValidation type="list" allowBlank="1" showInputMessage="1" showErrorMessage="1" sqref="D68" xr:uid="{661014F5-A37A-45AB-9F76-0CB897B55B33}">
      <formula1>"One, Two"</formula1>
    </dataValidation>
    <dataValidation type="list" allowBlank="1" showInputMessage="1" showErrorMessage="1" sqref="D67" xr:uid="{193F7460-5E20-4C76-8B88-5A26B89C2368}">
      <formula1>"One"</formula1>
    </dataValidation>
    <dataValidation type="list" allowBlank="1" showInputMessage="1" showErrorMessage="1" sqref="E118" xr:uid="{A272C395-D3C2-4933-9C6A-01884C5784DE}">
      <formula1>"Below NOI, Above NOI"</formula1>
    </dataValidation>
    <dataValidation type="list" allowBlank="1" showInputMessage="1" showErrorMessage="1" sqref="E112:E113" xr:uid="{BC2AA63A-30E3-4509-BD7B-7B00370C7AF9}">
      <formula1>"Gross Rent, Total Rental Income, Total Potential Income"</formula1>
    </dataValidation>
    <dataValidation type="list" allowBlank="1" showInputMessage="1" showErrorMessage="1" sqref="D225" xr:uid="{96DAF52C-D90F-4B4B-B8BA-B68AEA2EEFBE}">
      <formula1>"% of LP Equity, % of Project Cost"</formula1>
    </dataValidation>
    <dataValidation type="whole" allowBlank="1" showInputMessage="1" showErrorMessage="1" errorTitle="Invalid Entry" error="Start of AUM fee must be no sooner than month 1." sqref="G225" xr:uid="{C455D676-845D-44FF-9AC3-873562D65584}">
      <formula1>1</formula1>
      <formula2>99999</formula2>
    </dataValidation>
  </dataValidations>
  <pageMargins left="0.7" right="0.7" top="0.75" bottom="0.75" header="0.3" footer="0.3"/>
  <pageSetup orientation="portrait" r:id="rId1"/>
  <ignoredErrors>
    <ignoredError sqref="G111 D193:E194 G187"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C28-E00F-4AE2-A9DE-895B6FF02164}">
  <sheetPr codeName="Sheet8">
    <tabColor theme="8" tint="0.79998168889431442"/>
    <pageSetUpPr fitToPage="1"/>
  </sheetPr>
  <dimension ref="B1:EI122"/>
  <sheetViews>
    <sheetView showGridLines="0" view="pageBreakPreview" zoomScaleNormal="100" zoomScaleSheetLayoutView="100" workbookViewId="0"/>
  </sheetViews>
  <sheetFormatPr defaultColWidth="9" defaultRowHeight="15" zeroHeight="1" outlineLevelRow="1" x14ac:dyDescent="0.25"/>
  <cols>
    <col min="1" max="1" width="0.875" style="151" customWidth="1"/>
    <col min="2" max="6" width="8.625" style="151" customWidth="1"/>
    <col min="7" max="7" width="9.25" style="151" bestFit="1" customWidth="1"/>
    <col min="8" max="8" width="10.125" style="151" bestFit="1" customWidth="1"/>
    <col min="9" max="9" width="9.625" style="151" bestFit="1" customWidth="1"/>
    <col min="10" max="10" width="8.75" style="151" bestFit="1" customWidth="1"/>
    <col min="11" max="11" width="10.125" style="151" bestFit="1" customWidth="1"/>
    <col min="12" max="16" width="9.25" style="151" bestFit="1" customWidth="1"/>
    <col min="17" max="17" width="10.125" style="151" bestFit="1" customWidth="1"/>
    <col min="18" max="18" width="9" style="151" customWidth="1"/>
    <col min="19" max="19" width="0.875" style="151" customWidth="1"/>
    <col min="20" max="30" width="9" style="151" customWidth="1"/>
    <col min="31" max="39" width="9.125" style="151" bestFit="1" customWidth="1"/>
    <col min="40" max="44" width="9.75" style="151" bestFit="1" customWidth="1"/>
    <col min="45" max="45" width="11.5" style="151" bestFit="1" customWidth="1"/>
    <col min="46" max="16384" width="9" style="151"/>
  </cols>
  <sheetData>
    <row r="1" spans="2:18" ht="6" customHeight="1" x14ac:dyDescent="0.25"/>
    <row r="2" spans="2:18" ht="15.75" x14ac:dyDescent="0.25">
      <c r="B2" s="624" t="str">
        <f>Underwriting!B2</f>
        <v>16TH TERRACE</v>
      </c>
      <c r="C2" s="625"/>
      <c r="D2" s="625"/>
      <c r="E2" s="625"/>
      <c r="F2" s="625"/>
      <c r="G2" s="625"/>
      <c r="H2" s="625"/>
      <c r="I2" s="625"/>
      <c r="J2" s="625"/>
      <c r="K2" s="625"/>
      <c r="L2" s="625"/>
      <c r="M2" s="625"/>
      <c r="N2" s="625"/>
      <c r="O2" s="625"/>
      <c r="P2" s="625"/>
      <c r="Q2" s="625"/>
      <c r="R2" s="626" t="str">
        <f>UPPER(Underwriting!I2)</f>
        <v>OGM HOLDINGS</v>
      </c>
    </row>
    <row r="3" spans="2:18" s="448" customFormat="1" ht="12.75" x14ac:dyDescent="0.2">
      <c r="B3" s="629" t="str">
        <f>Underwriting!E11&amp;", "&amp;Underwriting!I10</f>
        <v>Cape Coral, Florida</v>
      </c>
      <c r="C3" s="630"/>
      <c r="D3" s="627"/>
      <c r="E3" s="627"/>
      <c r="F3" s="627"/>
      <c r="G3" s="627"/>
      <c r="H3" s="627"/>
      <c r="I3" s="627"/>
      <c r="J3" s="627"/>
      <c r="K3" s="627"/>
      <c r="L3" s="627"/>
      <c r="M3" s="627"/>
      <c r="N3" s="628"/>
      <c r="O3" s="628"/>
      <c r="P3" s="628"/>
      <c r="Q3" s="636"/>
      <c r="R3" s="637" t="str">
        <f>"ANALYSIS START - "&amp;UPPER(TEXT(Underwriting!E13,"mmm-yyyy"))</f>
        <v>ANALYSIS START - FEB-2025</v>
      </c>
    </row>
    <row r="4" spans="2:18" s="448" customFormat="1" ht="12.75" x14ac:dyDescent="0.2">
      <c r="B4" s="631" t="s">
        <v>515</v>
      </c>
      <c r="C4" s="632"/>
      <c r="D4" s="632"/>
      <c r="E4" s="632"/>
      <c r="F4" s="632"/>
      <c r="G4" s="632"/>
      <c r="H4" s="633" t="str">
        <f>IF(H5="","",IF(EOMONTH(G6,12)&gt;H6,"EXIT",""))</f>
        <v/>
      </c>
      <c r="I4" s="633" t="str">
        <f t="shared" ref="I4:R4" si="0">IF(I5="","",IF(EOMONTH(H6,12)&gt;I6,"EXIT",""))</f>
        <v/>
      </c>
      <c r="J4" s="633" t="str">
        <f t="shared" si="0"/>
        <v/>
      </c>
      <c r="K4" s="633" t="str">
        <f t="shared" si="0"/>
        <v/>
      </c>
      <c r="L4" s="633" t="str">
        <f t="shared" si="0"/>
        <v/>
      </c>
      <c r="M4" s="633" t="str">
        <f t="shared" si="0"/>
        <v/>
      </c>
      <c r="N4" s="633" t="str">
        <f t="shared" si="0"/>
        <v/>
      </c>
      <c r="O4" s="634" t="str">
        <f t="shared" si="0"/>
        <v/>
      </c>
      <c r="P4" s="634" t="str">
        <f t="shared" si="0"/>
        <v/>
      </c>
      <c r="Q4" s="634" t="str">
        <f t="shared" si="0"/>
        <v/>
      </c>
      <c r="R4" s="635" t="str">
        <f t="shared" si="0"/>
        <v/>
      </c>
    </row>
    <row r="5" spans="2:18" s="448" customFormat="1" ht="12.75" x14ac:dyDescent="0.2">
      <c r="B5" s="571"/>
      <c r="C5" s="460"/>
      <c r="D5" s="460"/>
      <c r="E5" s="460"/>
      <c r="F5" s="572" t="s">
        <v>461</v>
      </c>
      <c r="G5" s="573">
        <v>0</v>
      </c>
      <c r="H5" s="573">
        <f t="shared" ref="H5:R5" si="1">IF(OR(G5="",G5=MAX($G$53:$EI$53)),"",G5+1)</f>
        <v>1</v>
      </c>
      <c r="I5" s="573">
        <f t="shared" si="1"/>
        <v>2</v>
      </c>
      <c r="J5" s="573">
        <f t="shared" si="1"/>
        <v>3</v>
      </c>
      <c r="K5" s="573" t="str">
        <f t="shared" si="1"/>
        <v/>
      </c>
      <c r="L5" s="574" t="str">
        <f t="shared" si="1"/>
        <v/>
      </c>
      <c r="M5" s="574" t="str">
        <f t="shared" si="1"/>
        <v/>
      </c>
      <c r="N5" s="574" t="str">
        <f t="shared" si="1"/>
        <v/>
      </c>
      <c r="O5" s="574" t="str">
        <f t="shared" si="1"/>
        <v/>
      </c>
      <c r="P5" s="575" t="str">
        <f t="shared" si="1"/>
        <v/>
      </c>
      <c r="Q5" s="575" t="str">
        <f t="shared" si="1"/>
        <v/>
      </c>
      <c r="R5" s="576" t="str">
        <f t="shared" si="1"/>
        <v/>
      </c>
    </row>
    <row r="6" spans="2:18" s="448" customFormat="1" ht="12.75" x14ac:dyDescent="0.2">
      <c r="B6" s="577"/>
      <c r="C6" s="485"/>
      <c r="D6" s="485"/>
      <c r="E6" s="485"/>
      <c r="F6" s="578" t="s">
        <v>622</v>
      </c>
      <c r="G6" s="579">
        <f>EOMONTH(Underwriting!E13,-1)</f>
        <v>45688</v>
      </c>
      <c r="H6" s="579">
        <f>IF(H5="","",IF(I5="",MAX(Underwriting!$Q$199:$ES$199),EOMONTH(G6,12)))</f>
        <v>46053</v>
      </c>
      <c r="I6" s="579">
        <f>IF(I5="","",IF(J5="",MAX(Underwriting!$Q$199:$ES$199),EOMONTH(H6,12)))</f>
        <v>46418</v>
      </c>
      <c r="J6" s="579">
        <f>IF(J5="","",IF(K5="",MAX(Underwriting!$Q$199:$ES$199),EOMONTH(I6,12)))</f>
        <v>46783</v>
      </c>
      <c r="K6" s="579" t="str">
        <f>IF(K5="","",IF(L5="",MAX(Underwriting!$Q$199:$ES$199),EOMONTH(J6,12)))</f>
        <v/>
      </c>
      <c r="L6" s="580" t="str">
        <f>IF(L5="","",IF(M5="",MAX(Underwriting!$Q$199:$ES$199),EOMONTH(K6,12)))</f>
        <v/>
      </c>
      <c r="M6" s="580" t="str">
        <f>IF(M5="","",IF(N5="",MAX(Underwriting!$Q$199:$ES$199),EOMONTH(L6,12)))</f>
        <v/>
      </c>
      <c r="N6" s="580" t="str">
        <f>IF(N5="","",IF(O5="",MAX(Underwriting!$Q$199:$ES$199),EOMONTH(M6,12)))</f>
        <v/>
      </c>
      <c r="O6" s="580" t="str">
        <f>IF(O5="","",IF(P5="",MAX(Underwriting!$Q$199:$ES$199),EOMONTH(N6,12)))</f>
        <v/>
      </c>
      <c r="P6" s="581" t="str">
        <f>IF(P5="","",IF(Q5="",MAX(Underwriting!$Q$199:$ES$199),EOMONTH(O6,12)))</f>
        <v/>
      </c>
      <c r="Q6" s="581" t="str">
        <f>IF(Q5="","",IF(R5="",MAX(Underwriting!$Q$199:$ES$199),EOMONTH(P6,12)))</f>
        <v/>
      </c>
      <c r="R6" s="582" t="str">
        <f>IF(R5="","",IF(S5="",MAX(Underwriting!$Q$199:$ES$199),EOMONTH(Q6,12)))</f>
        <v/>
      </c>
    </row>
    <row r="7" spans="2:18" s="448" customFormat="1" ht="12.75" x14ac:dyDescent="0.2">
      <c r="B7" s="480" t="s">
        <v>523</v>
      </c>
      <c r="C7" s="583"/>
      <c r="D7" s="583"/>
      <c r="E7" s="583"/>
      <c r="F7" s="242"/>
      <c r="G7" s="584"/>
      <c r="H7" s="583"/>
      <c r="I7" s="583"/>
      <c r="J7" s="583"/>
      <c r="K7" s="583"/>
      <c r="L7" s="583"/>
      <c r="M7" s="583"/>
      <c r="N7" s="585"/>
      <c r="O7" s="585"/>
      <c r="P7" s="585"/>
      <c r="Q7" s="585"/>
      <c r="R7" s="586"/>
    </row>
    <row r="8" spans="2:18" s="448" customFormat="1" ht="12.75" x14ac:dyDescent="0.2">
      <c r="B8" s="587" t="s">
        <v>30</v>
      </c>
      <c r="C8" s="583"/>
      <c r="D8" s="583"/>
      <c r="E8" s="583"/>
      <c r="F8" s="242"/>
      <c r="G8" s="588">
        <f t="shared" ref="G8:R8" si="2">IF(G$5="","",SUMIF($G$53:$EI$53,G$5,$G55:$EI55))</f>
        <v>500000</v>
      </c>
      <c r="H8" s="588">
        <f t="shared" si="2"/>
        <v>0</v>
      </c>
      <c r="I8" s="588">
        <f t="shared" si="2"/>
        <v>0</v>
      </c>
      <c r="J8" s="588">
        <f t="shared" si="2"/>
        <v>0</v>
      </c>
      <c r="K8" s="588" t="str">
        <f t="shared" si="2"/>
        <v/>
      </c>
      <c r="L8" s="588" t="str">
        <f t="shared" si="2"/>
        <v/>
      </c>
      <c r="M8" s="588" t="str">
        <f t="shared" si="2"/>
        <v/>
      </c>
      <c r="N8" s="589" t="str">
        <f t="shared" si="2"/>
        <v/>
      </c>
      <c r="O8" s="589" t="str">
        <f t="shared" si="2"/>
        <v/>
      </c>
      <c r="P8" s="589" t="str">
        <f t="shared" si="2"/>
        <v/>
      </c>
      <c r="Q8" s="589" t="str">
        <f t="shared" si="2"/>
        <v/>
      </c>
      <c r="R8" s="590" t="str">
        <f t="shared" si="2"/>
        <v/>
      </c>
    </row>
    <row r="9" spans="2:18" s="448" customFormat="1" ht="12.75" x14ac:dyDescent="0.2">
      <c r="B9" s="587" t="s">
        <v>24</v>
      </c>
      <c r="C9" s="583"/>
      <c r="D9" s="583"/>
      <c r="E9" s="583"/>
      <c r="F9" s="242"/>
      <c r="G9" s="591">
        <f t="shared" ref="G9:R9" si="3">IF(G$5="","",SUMIF($G$53:$EI$53,G$5,$G56:$EI56))</f>
        <v>0</v>
      </c>
      <c r="H9" s="588">
        <f t="shared" si="3"/>
        <v>3044999.9999999995</v>
      </c>
      <c r="I9" s="588">
        <f t="shared" si="3"/>
        <v>0</v>
      </c>
      <c r="J9" s="588">
        <f t="shared" si="3"/>
        <v>0</v>
      </c>
      <c r="K9" s="588" t="str">
        <f t="shared" si="3"/>
        <v/>
      </c>
      <c r="L9" s="588" t="str">
        <f t="shared" si="3"/>
        <v/>
      </c>
      <c r="M9" s="588" t="str">
        <f t="shared" si="3"/>
        <v/>
      </c>
      <c r="N9" s="589" t="str">
        <f t="shared" si="3"/>
        <v/>
      </c>
      <c r="O9" s="589" t="str">
        <f t="shared" si="3"/>
        <v/>
      </c>
      <c r="P9" s="589" t="str">
        <f t="shared" si="3"/>
        <v/>
      </c>
      <c r="Q9" s="589" t="str">
        <f t="shared" si="3"/>
        <v/>
      </c>
      <c r="R9" s="590" t="str">
        <f t="shared" si="3"/>
        <v/>
      </c>
    </row>
    <row r="10" spans="2:18" s="448" customFormat="1" x14ac:dyDescent="0.35">
      <c r="B10" s="587" t="s">
        <v>25</v>
      </c>
      <c r="C10" s="583"/>
      <c r="D10" s="583"/>
      <c r="E10" s="583"/>
      <c r="F10" s="242"/>
      <c r="G10" s="592">
        <f t="shared" ref="G10:R10" si="4">IF(G$5="","",SUMIF($G$53:$EI$53,G$5,$G57:$EI57))</f>
        <v>252002.85714285713</v>
      </c>
      <c r="H10" s="593">
        <f t="shared" si="4"/>
        <v>12017.142857142857</v>
      </c>
      <c r="I10" s="593">
        <f t="shared" si="4"/>
        <v>30400</v>
      </c>
      <c r="J10" s="593">
        <f t="shared" si="4"/>
        <v>0</v>
      </c>
      <c r="K10" s="593" t="str">
        <f t="shared" si="4"/>
        <v/>
      </c>
      <c r="L10" s="593" t="str">
        <f t="shared" si="4"/>
        <v/>
      </c>
      <c r="M10" s="593" t="str">
        <f t="shared" si="4"/>
        <v/>
      </c>
      <c r="N10" s="594" t="str">
        <f t="shared" si="4"/>
        <v/>
      </c>
      <c r="O10" s="594" t="str">
        <f t="shared" si="4"/>
        <v/>
      </c>
      <c r="P10" s="594" t="str">
        <f t="shared" si="4"/>
        <v/>
      </c>
      <c r="Q10" s="594" t="str">
        <f t="shared" si="4"/>
        <v/>
      </c>
      <c r="R10" s="595" t="str">
        <f t="shared" si="4"/>
        <v/>
      </c>
    </row>
    <row r="11" spans="2:18" s="448" customFormat="1" ht="12.75" x14ac:dyDescent="0.2">
      <c r="B11" s="465" t="s">
        <v>521</v>
      </c>
      <c r="C11" s="583"/>
      <c r="D11" s="583"/>
      <c r="E11" s="583"/>
      <c r="F11" s="242"/>
      <c r="G11" s="588">
        <f t="shared" ref="G11:R11" si="5">IF(G$5="","",SUMIF($G$53:$EI$53,G$5,$G58:$EI58))</f>
        <v>752002.85714285716</v>
      </c>
      <c r="H11" s="588">
        <f t="shared" si="5"/>
        <v>3057017.1428571427</v>
      </c>
      <c r="I11" s="588">
        <f t="shared" si="5"/>
        <v>30400</v>
      </c>
      <c r="J11" s="588">
        <f t="shared" si="5"/>
        <v>0</v>
      </c>
      <c r="K11" s="588" t="str">
        <f t="shared" si="5"/>
        <v/>
      </c>
      <c r="L11" s="588" t="str">
        <f t="shared" si="5"/>
        <v/>
      </c>
      <c r="M11" s="588" t="str">
        <f t="shared" si="5"/>
        <v/>
      </c>
      <c r="N11" s="589" t="str">
        <f t="shared" si="5"/>
        <v/>
      </c>
      <c r="O11" s="589" t="str">
        <f t="shared" si="5"/>
        <v/>
      </c>
      <c r="P11" s="589" t="str">
        <f t="shared" si="5"/>
        <v/>
      </c>
      <c r="Q11" s="589" t="str">
        <f t="shared" si="5"/>
        <v/>
      </c>
      <c r="R11" s="590" t="str">
        <f t="shared" si="5"/>
        <v/>
      </c>
    </row>
    <row r="12" spans="2:18" s="448" customFormat="1" ht="5.0999999999999996" customHeight="1" x14ac:dyDescent="0.2">
      <c r="B12" s="465"/>
      <c r="C12" s="583"/>
      <c r="D12" s="583"/>
      <c r="E12" s="583"/>
      <c r="F12" s="242"/>
      <c r="G12" s="588"/>
      <c r="H12" s="596"/>
      <c r="I12" s="588"/>
      <c r="J12" s="588"/>
      <c r="K12" s="588"/>
      <c r="L12" s="588"/>
      <c r="M12" s="588"/>
      <c r="N12" s="589"/>
      <c r="O12" s="589"/>
      <c r="P12" s="589"/>
      <c r="Q12" s="589"/>
      <c r="R12" s="590"/>
    </row>
    <row r="13" spans="2:18" s="448" customFormat="1" ht="12.75" x14ac:dyDescent="0.2">
      <c r="B13" s="587" t="s">
        <v>36</v>
      </c>
      <c r="C13" s="583"/>
      <c r="D13" s="583"/>
      <c r="E13" s="583"/>
      <c r="F13" s="597"/>
      <c r="G13" s="588">
        <f t="shared" ref="G13:R13" si="6">IF(G$5="","",SUMIF($G$53:$EI$53,G$5,$G60:$EI60))</f>
        <v>70500</v>
      </c>
      <c r="H13" s="588">
        <f t="shared" ca="1" si="6"/>
        <v>89172.160517627577</v>
      </c>
      <c r="I13" s="588">
        <f t="shared" ca="1" si="6"/>
        <v>39510.954086400889</v>
      </c>
      <c r="J13" s="588">
        <f t="shared" ca="1" si="6"/>
        <v>0</v>
      </c>
      <c r="K13" s="588" t="str">
        <f t="shared" si="6"/>
        <v/>
      </c>
      <c r="L13" s="588" t="str">
        <f t="shared" si="6"/>
        <v/>
      </c>
      <c r="M13" s="588" t="str">
        <f t="shared" si="6"/>
        <v/>
      </c>
      <c r="N13" s="589" t="str">
        <f t="shared" si="6"/>
        <v/>
      </c>
      <c r="O13" s="589" t="str">
        <f t="shared" si="6"/>
        <v/>
      </c>
      <c r="P13" s="589" t="str">
        <f t="shared" si="6"/>
        <v/>
      </c>
      <c r="Q13" s="589" t="str">
        <f t="shared" si="6"/>
        <v/>
      </c>
      <c r="R13" s="590" t="str">
        <f t="shared" si="6"/>
        <v/>
      </c>
    </row>
    <row r="14" spans="2:18" s="448" customFormat="1" ht="5.0999999999999996" customHeight="1" x14ac:dyDescent="0.2">
      <c r="B14" s="465"/>
      <c r="C14" s="583"/>
      <c r="D14" s="583"/>
      <c r="E14" s="583"/>
      <c r="F14" s="597"/>
      <c r="G14" s="588"/>
      <c r="H14" s="588"/>
      <c r="I14" s="588"/>
      <c r="J14" s="588"/>
      <c r="K14" s="588"/>
      <c r="L14" s="588"/>
      <c r="M14" s="588"/>
      <c r="N14" s="589"/>
      <c r="O14" s="589"/>
      <c r="P14" s="589"/>
      <c r="Q14" s="589"/>
      <c r="R14" s="590"/>
    </row>
    <row r="15" spans="2:18" s="448" customFormat="1" ht="12.75" x14ac:dyDescent="0.2">
      <c r="B15" s="465" t="s">
        <v>522</v>
      </c>
      <c r="C15" s="583"/>
      <c r="D15" s="583"/>
      <c r="E15" s="583"/>
      <c r="F15" s="597"/>
      <c r="G15" s="588">
        <f t="shared" ref="G15:R15" si="7">IF(G$5="","",SUMIF($G$53:$EI$53,G$5,$G62:$EI62))</f>
        <v>822502.85714285716</v>
      </c>
      <c r="H15" s="588">
        <f t="shared" ca="1" si="7"/>
        <v>3146189.303374771</v>
      </c>
      <c r="I15" s="588">
        <f t="shared" ca="1" si="7"/>
        <v>69910.954086400889</v>
      </c>
      <c r="J15" s="588">
        <f t="shared" ca="1" si="7"/>
        <v>0</v>
      </c>
      <c r="K15" s="588" t="str">
        <f t="shared" si="7"/>
        <v/>
      </c>
      <c r="L15" s="588" t="str">
        <f t="shared" si="7"/>
        <v/>
      </c>
      <c r="M15" s="588" t="str">
        <f t="shared" si="7"/>
        <v/>
      </c>
      <c r="N15" s="589" t="str">
        <f t="shared" si="7"/>
        <v/>
      </c>
      <c r="O15" s="589" t="str">
        <f t="shared" si="7"/>
        <v/>
      </c>
      <c r="P15" s="589" t="str">
        <f t="shared" si="7"/>
        <v/>
      </c>
      <c r="Q15" s="589" t="str">
        <f t="shared" si="7"/>
        <v/>
      </c>
      <c r="R15" s="590" t="str">
        <f t="shared" si="7"/>
        <v/>
      </c>
    </row>
    <row r="16" spans="2:18" s="448" customFormat="1" ht="5.0999999999999996" customHeight="1" x14ac:dyDescent="0.2">
      <c r="B16" s="465"/>
      <c r="C16" s="583"/>
      <c r="D16" s="583"/>
      <c r="E16" s="583"/>
      <c r="F16" s="597"/>
      <c r="G16" s="588"/>
      <c r="H16" s="588"/>
      <c r="I16" s="588"/>
      <c r="J16" s="588"/>
      <c r="K16" s="588"/>
      <c r="L16" s="588"/>
      <c r="M16" s="588"/>
      <c r="N16" s="589"/>
      <c r="O16" s="589"/>
      <c r="P16" s="589"/>
      <c r="Q16" s="589"/>
      <c r="R16" s="590"/>
    </row>
    <row r="17" spans="2:18" s="448" customFormat="1" ht="12.75" x14ac:dyDescent="0.2">
      <c r="B17" s="465" t="s">
        <v>58</v>
      </c>
      <c r="C17" s="583"/>
      <c r="D17" s="583"/>
      <c r="E17" s="583"/>
      <c r="F17" s="597"/>
      <c r="G17" s="588">
        <f t="shared" ref="G17:R17" si="8">IF(G$5="","",SUMIF($G$53:$EI$53,G$5,$G64:$EI64))</f>
        <v>822502.85714285716</v>
      </c>
      <c r="H17" s="588">
        <f t="shared" ca="1" si="8"/>
        <v>3146189.303374771</v>
      </c>
      <c r="I17" s="588">
        <f t="shared" ca="1" si="8"/>
        <v>69910.954086400889</v>
      </c>
      <c r="J17" s="588">
        <f t="shared" ca="1" si="8"/>
        <v>0</v>
      </c>
      <c r="K17" s="588" t="str">
        <f t="shared" si="8"/>
        <v/>
      </c>
      <c r="L17" s="588" t="str">
        <f t="shared" si="8"/>
        <v/>
      </c>
      <c r="M17" s="588" t="str">
        <f t="shared" si="8"/>
        <v/>
      </c>
      <c r="N17" s="589" t="str">
        <f t="shared" si="8"/>
        <v/>
      </c>
      <c r="O17" s="589" t="str">
        <f t="shared" si="8"/>
        <v/>
      </c>
      <c r="P17" s="589" t="str">
        <f t="shared" si="8"/>
        <v/>
      </c>
      <c r="Q17" s="589" t="str">
        <f t="shared" si="8"/>
        <v/>
      </c>
      <c r="R17" s="590" t="str">
        <f t="shared" si="8"/>
        <v/>
      </c>
    </row>
    <row r="18" spans="2:18" s="448" customFormat="1" ht="12.75" x14ac:dyDescent="0.2">
      <c r="B18" s="465" t="s">
        <v>29</v>
      </c>
      <c r="C18" s="583"/>
      <c r="D18" s="583"/>
      <c r="E18" s="583"/>
      <c r="F18" s="597"/>
      <c r="G18" s="588">
        <f t="shared" ref="G18:R18" si="9">IF(G$5="","",SUMIF($G$53:$EI$53,G$5,$G65:$EI65))</f>
        <v>822502.85714285716</v>
      </c>
      <c r="H18" s="588">
        <f t="shared" ca="1" si="9"/>
        <v>3146189.303374771</v>
      </c>
      <c r="I18" s="588">
        <f t="shared" ca="1" si="9"/>
        <v>69910.954086400408</v>
      </c>
      <c r="J18" s="588">
        <f t="shared" ca="1" si="9"/>
        <v>0</v>
      </c>
      <c r="K18" s="588" t="str">
        <f t="shared" si="9"/>
        <v/>
      </c>
      <c r="L18" s="588" t="str">
        <f t="shared" si="9"/>
        <v/>
      </c>
      <c r="M18" s="588" t="str">
        <f t="shared" si="9"/>
        <v/>
      </c>
      <c r="N18" s="589" t="str">
        <f t="shared" si="9"/>
        <v/>
      </c>
      <c r="O18" s="589" t="str">
        <f t="shared" si="9"/>
        <v/>
      </c>
      <c r="P18" s="589" t="str">
        <f t="shared" si="9"/>
        <v/>
      </c>
      <c r="Q18" s="589" t="str">
        <f t="shared" si="9"/>
        <v/>
      </c>
      <c r="R18" s="590" t="str">
        <f t="shared" si="9"/>
        <v/>
      </c>
    </row>
    <row r="19" spans="2:18" x14ac:dyDescent="0.25">
      <c r="B19" s="484"/>
      <c r="C19" s="598"/>
      <c r="D19" s="598"/>
      <c r="E19" s="598"/>
      <c r="F19" s="598"/>
      <c r="G19" s="599"/>
      <c r="H19" s="599"/>
      <c r="I19" s="599"/>
      <c r="J19" s="599"/>
      <c r="K19" s="600"/>
      <c r="L19" s="600"/>
      <c r="M19" s="600"/>
      <c r="N19" s="601"/>
      <c r="O19" s="601"/>
      <c r="P19" s="602"/>
      <c r="Q19" s="602"/>
      <c r="R19" s="603"/>
    </row>
    <row r="20" spans="2:18" s="448" customFormat="1" ht="12.75" x14ac:dyDescent="0.2">
      <c r="B20" s="480" t="s">
        <v>524</v>
      </c>
      <c r="C20" s="583"/>
      <c r="D20" s="583"/>
      <c r="E20" s="583"/>
      <c r="F20" s="583"/>
      <c r="G20" s="588"/>
      <c r="H20" s="591"/>
      <c r="I20" s="588"/>
      <c r="J20" s="588"/>
      <c r="K20" s="591"/>
      <c r="L20" s="591"/>
      <c r="M20" s="591"/>
      <c r="N20" s="588"/>
      <c r="O20" s="588"/>
      <c r="P20" s="591"/>
      <c r="Q20" s="591"/>
      <c r="R20" s="604"/>
    </row>
    <row r="21" spans="2:18" s="448" customFormat="1" ht="12.75" x14ac:dyDescent="0.2">
      <c r="B21" s="587" t="s">
        <v>447</v>
      </c>
      <c r="C21" s="583"/>
      <c r="D21" s="583"/>
      <c r="E21" s="583"/>
      <c r="F21" s="583"/>
      <c r="G21" s="588">
        <f t="shared" ref="G21:R21" si="10">IF(G$5="","",SUMIF($G$53:$EI$53,G$5,$G68:$EI68))</f>
        <v>0</v>
      </c>
      <c r="H21" s="591">
        <f t="shared" ca="1" si="10"/>
        <v>7600</v>
      </c>
      <c r="I21" s="588">
        <f t="shared" ca="1" si="10"/>
        <v>353628</v>
      </c>
      <c r="J21" s="588">
        <f t="shared" ca="1" si="10"/>
        <v>375636.84</v>
      </c>
      <c r="K21" s="588" t="str">
        <f t="shared" si="10"/>
        <v/>
      </c>
      <c r="L21" s="588" t="str">
        <f t="shared" si="10"/>
        <v/>
      </c>
      <c r="M21" s="588" t="str">
        <f t="shared" si="10"/>
        <v/>
      </c>
      <c r="N21" s="588" t="str">
        <f t="shared" si="10"/>
        <v/>
      </c>
      <c r="O21" s="588" t="str">
        <f t="shared" si="10"/>
        <v/>
      </c>
      <c r="P21" s="588" t="str">
        <f t="shared" si="10"/>
        <v/>
      </c>
      <c r="Q21" s="588" t="str">
        <f t="shared" si="10"/>
        <v/>
      </c>
      <c r="R21" s="605" t="str">
        <f t="shared" si="10"/>
        <v/>
      </c>
    </row>
    <row r="22" spans="2:18" s="448" customFormat="1" ht="12.75" x14ac:dyDescent="0.2">
      <c r="B22" s="587" t="s">
        <v>115</v>
      </c>
      <c r="C22" s="583"/>
      <c r="D22" s="583"/>
      <c r="E22" s="583"/>
      <c r="F22" s="583"/>
      <c r="G22" s="588">
        <f t="shared" ref="G22:R22" si="11">IF(G$5="","",SUMIF($G$53:$EI$53,G$5,$G69:$EI69))</f>
        <v>0</v>
      </c>
      <c r="H22" s="591">
        <f t="shared" si="11"/>
        <v>0</v>
      </c>
      <c r="I22" s="606">
        <f t="shared" si="11"/>
        <v>0</v>
      </c>
      <c r="J22" s="588">
        <f t="shared" si="11"/>
        <v>0</v>
      </c>
      <c r="K22" s="588" t="str">
        <f t="shared" si="11"/>
        <v/>
      </c>
      <c r="L22" s="588" t="str">
        <f t="shared" si="11"/>
        <v/>
      </c>
      <c r="M22" s="588" t="str">
        <f t="shared" si="11"/>
        <v/>
      </c>
      <c r="N22" s="588" t="str">
        <f t="shared" si="11"/>
        <v/>
      </c>
      <c r="O22" s="588" t="str">
        <f t="shared" si="11"/>
        <v/>
      </c>
      <c r="P22" s="588" t="str">
        <f t="shared" si="11"/>
        <v/>
      </c>
      <c r="Q22" s="588" t="str">
        <f t="shared" si="11"/>
        <v/>
      </c>
      <c r="R22" s="605" t="str">
        <f t="shared" si="11"/>
        <v/>
      </c>
    </row>
    <row r="23" spans="2:18" s="448" customFormat="1" x14ac:dyDescent="0.35">
      <c r="B23" s="587" t="s">
        <v>518</v>
      </c>
      <c r="C23" s="583"/>
      <c r="D23" s="583"/>
      <c r="E23" s="583"/>
      <c r="F23" s="583"/>
      <c r="G23" s="593">
        <f t="shared" ref="G23:R23" si="12">IF(G$5="","",SUMIF($G$53:$EI$53,G$5,$G70:$EI70))</f>
        <v>0</v>
      </c>
      <c r="H23" s="592">
        <f t="shared" si="12"/>
        <v>0</v>
      </c>
      <c r="I23" s="593">
        <f t="shared" si="12"/>
        <v>0</v>
      </c>
      <c r="J23" s="593">
        <f t="shared" si="12"/>
        <v>0</v>
      </c>
      <c r="K23" s="593" t="str">
        <f t="shared" si="12"/>
        <v/>
      </c>
      <c r="L23" s="593" t="str">
        <f t="shared" si="12"/>
        <v/>
      </c>
      <c r="M23" s="593" t="str">
        <f t="shared" si="12"/>
        <v/>
      </c>
      <c r="N23" s="593" t="str">
        <f t="shared" si="12"/>
        <v/>
      </c>
      <c r="O23" s="593" t="str">
        <f t="shared" si="12"/>
        <v/>
      </c>
      <c r="P23" s="593" t="str">
        <f t="shared" si="12"/>
        <v/>
      </c>
      <c r="Q23" s="593" t="str">
        <f t="shared" si="12"/>
        <v/>
      </c>
      <c r="R23" s="607" t="str">
        <f t="shared" si="12"/>
        <v/>
      </c>
    </row>
    <row r="24" spans="2:18" s="448" customFormat="1" ht="12.75" x14ac:dyDescent="0.2">
      <c r="B24" s="465" t="s">
        <v>123</v>
      </c>
      <c r="C24" s="583"/>
      <c r="D24" s="583"/>
      <c r="E24" s="583"/>
      <c r="F24" s="583"/>
      <c r="G24" s="588">
        <f t="shared" ref="G24:R24" si="13">IF(G$5="","",SUMIF($G$53:$EI$53,G$5,$G71:$EI71))</f>
        <v>0</v>
      </c>
      <c r="H24" s="591">
        <f t="shared" ca="1" si="13"/>
        <v>7600</v>
      </c>
      <c r="I24" s="606">
        <f t="shared" ca="1" si="13"/>
        <v>353628</v>
      </c>
      <c r="J24" s="588">
        <f t="shared" ca="1" si="13"/>
        <v>375636.84</v>
      </c>
      <c r="K24" s="588" t="str">
        <f t="shared" si="13"/>
        <v/>
      </c>
      <c r="L24" s="588" t="str">
        <f t="shared" si="13"/>
        <v/>
      </c>
      <c r="M24" s="588" t="str">
        <f t="shared" si="13"/>
        <v/>
      </c>
      <c r="N24" s="588" t="str">
        <f t="shared" si="13"/>
        <v/>
      </c>
      <c r="O24" s="588" t="str">
        <f t="shared" si="13"/>
        <v/>
      </c>
      <c r="P24" s="591" t="str">
        <f t="shared" si="13"/>
        <v/>
      </c>
      <c r="Q24" s="591" t="str">
        <f t="shared" si="13"/>
        <v/>
      </c>
      <c r="R24" s="604" t="str">
        <f t="shared" si="13"/>
        <v/>
      </c>
    </row>
    <row r="25" spans="2:18" s="448" customFormat="1" x14ac:dyDescent="0.35">
      <c r="B25" s="587" t="s">
        <v>516</v>
      </c>
      <c r="C25" s="583"/>
      <c r="D25" s="583"/>
      <c r="E25" s="583"/>
      <c r="F25" s="583"/>
      <c r="G25" s="593">
        <f t="shared" ref="G25:R25" si="14">IF(G$5="","",SUMIF($G$53:$EI$53,G$5,$G72:$EI72))</f>
        <v>0</v>
      </c>
      <c r="H25" s="592">
        <f t="shared" ca="1" si="14"/>
        <v>-380</v>
      </c>
      <c r="I25" s="608">
        <f t="shared" ca="1" si="14"/>
        <v>-17681.400000000001</v>
      </c>
      <c r="J25" s="593">
        <f t="shared" ca="1" si="14"/>
        <v>-18781.842000000004</v>
      </c>
      <c r="K25" s="593" t="str">
        <f t="shared" si="14"/>
        <v/>
      </c>
      <c r="L25" s="593" t="str">
        <f t="shared" si="14"/>
        <v/>
      </c>
      <c r="M25" s="593" t="str">
        <f t="shared" si="14"/>
        <v/>
      </c>
      <c r="N25" s="593" t="str">
        <f t="shared" si="14"/>
        <v/>
      </c>
      <c r="O25" s="593" t="str">
        <f t="shared" si="14"/>
        <v/>
      </c>
      <c r="P25" s="593" t="str">
        <f t="shared" si="14"/>
        <v/>
      </c>
      <c r="Q25" s="593" t="str">
        <f t="shared" si="14"/>
        <v/>
      </c>
      <c r="R25" s="607" t="str">
        <f t="shared" si="14"/>
        <v/>
      </c>
    </row>
    <row r="26" spans="2:18" s="448" customFormat="1" ht="12.75" x14ac:dyDescent="0.2">
      <c r="B26" s="465" t="s">
        <v>136</v>
      </c>
      <c r="C26" s="583"/>
      <c r="D26" s="583"/>
      <c r="E26" s="583"/>
      <c r="F26" s="583"/>
      <c r="G26" s="588">
        <f t="shared" ref="G26:R26" si="15">IF(G$5="","",SUMIF($G$53:$EI$53,G$5,$G73:$EI73))</f>
        <v>0</v>
      </c>
      <c r="H26" s="591">
        <f t="shared" ca="1" si="15"/>
        <v>7220</v>
      </c>
      <c r="I26" s="606">
        <f t="shared" ca="1" si="15"/>
        <v>335946.6</v>
      </c>
      <c r="J26" s="588">
        <f t="shared" ca="1" si="15"/>
        <v>356854.99800000008</v>
      </c>
      <c r="K26" s="588" t="str">
        <f t="shared" si="15"/>
        <v/>
      </c>
      <c r="L26" s="588" t="str">
        <f t="shared" si="15"/>
        <v/>
      </c>
      <c r="M26" s="588" t="str">
        <f t="shared" si="15"/>
        <v/>
      </c>
      <c r="N26" s="588" t="str">
        <f t="shared" si="15"/>
        <v/>
      </c>
      <c r="O26" s="588" t="str">
        <f t="shared" si="15"/>
        <v/>
      </c>
      <c r="P26" s="588" t="str">
        <f t="shared" si="15"/>
        <v/>
      </c>
      <c r="Q26" s="588" t="str">
        <f t="shared" si="15"/>
        <v/>
      </c>
      <c r="R26" s="605" t="str">
        <f t="shared" si="15"/>
        <v/>
      </c>
    </row>
    <row r="27" spans="2:18" s="448" customFormat="1" ht="12.75" x14ac:dyDescent="0.2">
      <c r="B27" s="465"/>
      <c r="C27" s="583"/>
      <c r="D27" s="583"/>
      <c r="E27" s="583"/>
      <c r="F27" s="583"/>
      <c r="G27" s="588"/>
      <c r="H27" s="591"/>
      <c r="I27" s="609"/>
      <c r="J27" s="588"/>
      <c r="K27" s="588"/>
      <c r="L27" s="588"/>
      <c r="M27" s="588"/>
      <c r="N27" s="588"/>
      <c r="O27" s="588"/>
      <c r="P27" s="591"/>
      <c r="Q27" s="591"/>
      <c r="R27" s="604"/>
    </row>
    <row r="28" spans="2:18" s="448" customFormat="1" ht="12.75" x14ac:dyDescent="0.2">
      <c r="B28" s="465" t="s">
        <v>125</v>
      </c>
      <c r="C28" s="583"/>
      <c r="D28" s="583"/>
      <c r="E28" s="583"/>
      <c r="F28" s="583"/>
      <c r="G28" s="588"/>
      <c r="H28" s="591"/>
      <c r="I28" s="609"/>
      <c r="J28" s="588"/>
      <c r="K28" s="588"/>
      <c r="L28" s="588"/>
      <c r="M28" s="588"/>
      <c r="N28" s="588"/>
      <c r="O28" s="588"/>
      <c r="P28" s="588"/>
      <c r="Q28" s="588"/>
      <c r="R28" s="605"/>
    </row>
    <row r="29" spans="2:18" s="448" customFormat="1" ht="12.75" x14ac:dyDescent="0.2">
      <c r="B29" s="587" t="str">
        <f>Underwriting!B169</f>
        <v>Repairs and Maintenance</v>
      </c>
      <c r="C29" s="583"/>
      <c r="D29" s="583"/>
      <c r="E29" s="583"/>
      <c r="F29" s="583"/>
      <c r="G29" s="588">
        <f t="shared" ref="G29:R29" si="16">IF(G$5="","",SUMIF($G$53:$EI$53,G$5,$G76:$EI76))</f>
        <v>0</v>
      </c>
      <c r="H29" s="591">
        <f t="shared" si="16"/>
        <v>169.27083333333334</v>
      </c>
      <c r="I29" s="609">
        <f t="shared" si="16"/>
        <v>2484.6354166666665</v>
      </c>
      <c r="J29" s="588">
        <f t="shared" si="16"/>
        <v>2554.25</v>
      </c>
      <c r="K29" s="588" t="str">
        <f t="shared" si="16"/>
        <v/>
      </c>
      <c r="L29" s="588" t="str">
        <f t="shared" si="16"/>
        <v/>
      </c>
      <c r="M29" s="588" t="str">
        <f t="shared" si="16"/>
        <v/>
      </c>
      <c r="N29" s="588" t="str">
        <f t="shared" si="16"/>
        <v/>
      </c>
      <c r="O29" s="588" t="str">
        <f t="shared" si="16"/>
        <v/>
      </c>
      <c r="P29" s="588" t="str">
        <f t="shared" si="16"/>
        <v/>
      </c>
      <c r="Q29" s="588" t="str">
        <f t="shared" si="16"/>
        <v/>
      </c>
      <c r="R29" s="605" t="str">
        <f t="shared" si="16"/>
        <v/>
      </c>
    </row>
    <row r="30" spans="2:18" s="448" customFormat="1" ht="12.75" x14ac:dyDescent="0.2">
      <c r="B30" s="587" t="str">
        <f>Underwriting!B170</f>
        <v>Payroll</v>
      </c>
      <c r="C30" s="583"/>
      <c r="D30" s="583"/>
      <c r="E30" s="583"/>
      <c r="F30" s="583"/>
      <c r="G30" s="588">
        <f t="shared" ref="G30:R30" si="17">IF(G$5="","",SUMIF($G$53:$EI$53,G$5,$G77:$EI77))</f>
        <v>0</v>
      </c>
      <c r="H30" s="591">
        <f t="shared" si="17"/>
        <v>0</v>
      </c>
      <c r="I30" s="609">
        <f t="shared" si="17"/>
        <v>0</v>
      </c>
      <c r="J30" s="588">
        <f t="shared" si="17"/>
        <v>0</v>
      </c>
      <c r="K30" s="588" t="str">
        <f t="shared" si="17"/>
        <v/>
      </c>
      <c r="L30" s="588" t="str">
        <f t="shared" si="17"/>
        <v/>
      </c>
      <c r="M30" s="588" t="str">
        <f t="shared" si="17"/>
        <v/>
      </c>
      <c r="N30" s="588" t="str">
        <f t="shared" si="17"/>
        <v/>
      </c>
      <c r="O30" s="588" t="str">
        <f t="shared" si="17"/>
        <v/>
      </c>
      <c r="P30" s="588" t="str">
        <f t="shared" si="17"/>
        <v/>
      </c>
      <c r="Q30" s="588" t="str">
        <f t="shared" si="17"/>
        <v/>
      </c>
      <c r="R30" s="605" t="str">
        <f t="shared" si="17"/>
        <v/>
      </c>
    </row>
    <row r="31" spans="2:18" s="448" customFormat="1" ht="12.75" x14ac:dyDescent="0.2">
      <c r="B31" s="587" t="str">
        <f>Underwriting!B171</f>
        <v>General &amp; Administrative</v>
      </c>
      <c r="C31" s="610"/>
      <c r="D31" s="610"/>
      <c r="E31" s="610"/>
      <c r="F31" s="611"/>
      <c r="G31" s="612">
        <f t="shared" ref="G31:R31" si="18">IF(G$5="","",SUMIF($G$53:$EI$53,G$5,$G78:$EI78))</f>
        <v>0</v>
      </c>
      <c r="H31" s="591">
        <f t="shared" si="18"/>
        <v>169.27083333333334</v>
      </c>
      <c r="I31" s="588">
        <f t="shared" si="18"/>
        <v>2484.6354166666665</v>
      </c>
      <c r="J31" s="591">
        <f t="shared" si="18"/>
        <v>2554.25</v>
      </c>
      <c r="K31" s="612" t="str">
        <f t="shared" si="18"/>
        <v/>
      </c>
      <c r="L31" s="612" t="str">
        <f t="shared" si="18"/>
        <v/>
      </c>
      <c r="M31" s="591" t="str">
        <f t="shared" si="18"/>
        <v/>
      </c>
      <c r="N31" s="588" t="str">
        <f t="shared" si="18"/>
        <v/>
      </c>
      <c r="O31" s="588" t="str">
        <f t="shared" si="18"/>
        <v/>
      </c>
      <c r="P31" s="588" t="str">
        <f t="shared" si="18"/>
        <v/>
      </c>
      <c r="Q31" s="588" t="str">
        <f t="shared" si="18"/>
        <v/>
      </c>
      <c r="R31" s="605" t="str">
        <f t="shared" si="18"/>
        <v/>
      </c>
    </row>
    <row r="32" spans="2:18" s="448" customFormat="1" ht="12.75" x14ac:dyDescent="0.2">
      <c r="B32" s="587" t="str">
        <f>Underwriting!B172</f>
        <v>Marketing</v>
      </c>
      <c r="C32" s="583"/>
      <c r="D32" s="583"/>
      <c r="E32" s="583"/>
      <c r="F32" s="613"/>
      <c r="G32" s="588">
        <f t="shared" ref="G32:R32" si="19">IF(G$5="","",SUMIF($G$53:$EI$53,G$5,$G79:$EI79))</f>
        <v>0</v>
      </c>
      <c r="H32" s="588">
        <f t="shared" si="19"/>
        <v>416.66666666666669</v>
      </c>
      <c r="I32" s="588">
        <f t="shared" si="19"/>
        <v>5008.333333333333</v>
      </c>
      <c r="J32" s="588">
        <f t="shared" si="19"/>
        <v>5108.5</v>
      </c>
      <c r="K32" s="588" t="str">
        <f t="shared" si="19"/>
        <v/>
      </c>
      <c r="L32" s="588" t="str">
        <f t="shared" si="19"/>
        <v/>
      </c>
      <c r="M32" s="588" t="str">
        <f t="shared" si="19"/>
        <v/>
      </c>
      <c r="N32" s="588" t="str">
        <f t="shared" si="19"/>
        <v/>
      </c>
      <c r="O32" s="614" t="str">
        <f t="shared" si="19"/>
        <v/>
      </c>
      <c r="P32" s="591" t="str">
        <f t="shared" si="19"/>
        <v/>
      </c>
      <c r="Q32" s="591" t="str">
        <f t="shared" si="19"/>
        <v/>
      </c>
      <c r="R32" s="604" t="str">
        <f t="shared" si="19"/>
        <v/>
      </c>
    </row>
    <row r="33" spans="2:18" s="448" customFormat="1" ht="12.75" x14ac:dyDescent="0.2">
      <c r="B33" s="587" t="str">
        <f>Underwriting!B173</f>
        <v>Utilities</v>
      </c>
      <c r="C33" s="583"/>
      <c r="D33" s="583"/>
      <c r="E33" s="583"/>
      <c r="F33" s="613"/>
      <c r="G33" s="588">
        <f t="shared" ref="G33:R33" si="20">IF(G$5="","",SUMIF($G$53:$EI$53,G$5,$G80:$EI80))</f>
        <v>0</v>
      </c>
      <c r="H33" s="588">
        <f t="shared" si="20"/>
        <v>260.41666666666669</v>
      </c>
      <c r="I33" s="588">
        <f t="shared" si="20"/>
        <v>4930.208333333333</v>
      </c>
      <c r="J33" s="588">
        <f t="shared" si="20"/>
        <v>5108.5</v>
      </c>
      <c r="K33" s="588" t="str">
        <f t="shared" si="20"/>
        <v/>
      </c>
      <c r="L33" s="588" t="str">
        <f t="shared" si="20"/>
        <v/>
      </c>
      <c r="M33" s="588" t="str">
        <f t="shared" si="20"/>
        <v/>
      </c>
      <c r="N33" s="615" t="str">
        <f t="shared" si="20"/>
        <v/>
      </c>
      <c r="O33" s="591" t="str">
        <f t="shared" si="20"/>
        <v/>
      </c>
      <c r="P33" s="591" t="str">
        <f t="shared" si="20"/>
        <v/>
      </c>
      <c r="Q33" s="588" t="str">
        <f t="shared" si="20"/>
        <v/>
      </c>
      <c r="R33" s="605" t="str">
        <f t="shared" si="20"/>
        <v/>
      </c>
    </row>
    <row r="34" spans="2:18" s="448" customFormat="1" ht="12.75" x14ac:dyDescent="0.2">
      <c r="B34" s="587" t="str">
        <f>Underwriting!B174</f>
        <v>Contract Services</v>
      </c>
      <c r="C34" s="583"/>
      <c r="D34" s="583"/>
      <c r="E34" s="583"/>
      <c r="F34" s="613"/>
      <c r="G34" s="588">
        <f t="shared" ref="G34:R34" si="21">IF(G$5="","",SUMIF($G$53:$EI$53,G$5,$G81:$EI81))</f>
        <v>0</v>
      </c>
      <c r="H34" s="588">
        <f t="shared" si="21"/>
        <v>104.16666666666666</v>
      </c>
      <c r="I34" s="588">
        <f t="shared" si="21"/>
        <v>1972.0833333333335</v>
      </c>
      <c r="J34" s="588">
        <f t="shared" si="21"/>
        <v>2043.4</v>
      </c>
      <c r="K34" s="588" t="str">
        <f t="shared" si="21"/>
        <v/>
      </c>
      <c r="L34" s="588" t="str">
        <f t="shared" si="21"/>
        <v/>
      </c>
      <c r="M34" s="588" t="str">
        <f t="shared" si="21"/>
        <v/>
      </c>
      <c r="N34" s="588" t="str">
        <f t="shared" si="21"/>
        <v/>
      </c>
      <c r="O34" s="591" t="str">
        <f t="shared" si="21"/>
        <v/>
      </c>
      <c r="P34" s="588" t="str">
        <f t="shared" si="21"/>
        <v/>
      </c>
      <c r="Q34" s="588" t="str">
        <f t="shared" si="21"/>
        <v/>
      </c>
      <c r="R34" s="605" t="str">
        <f t="shared" si="21"/>
        <v/>
      </c>
    </row>
    <row r="35" spans="2:18" s="448" customFormat="1" ht="12.75" x14ac:dyDescent="0.2">
      <c r="B35" s="587" t="str">
        <f>Underwriting!B175</f>
        <v>Make Ready Cost</v>
      </c>
      <c r="C35" s="583"/>
      <c r="D35" s="583"/>
      <c r="E35" s="583"/>
      <c r="F35" s="613"/>
      <c r="G35" s="588">
        <f t="shared" ref="G35:R35" si="22">IF(G$5="","",SUMIF($G$53:$EI$53,G$5,$G82:$EI82))</f>
        <v>0</v>
      </c>
      <c r="H35" s="588">
        <f t="shared" si="22"/>
        <v>135.41666666666666</v>
      </c>
      <c r="I35" s="588">
        <f t="shared" si="22"/>
        <v>1987.7083333333335</v>
      </c>
      <c r="J35" s="588">
        <f t="shared" si="22"/>
        <v>2043.4</v>
      </c>
      <c r="K35" s="588" t="str">
        <f t="shared" si="22"/>
        <v/>
      </c>
      <c r="L35" s="588" t="str">
        <f t="shared" si="22"/>
        <v/>
      </c>
      <c r="M35" s="588" t="str">
        <f t="shared" si="22"/>
        <v/>
      </c>
      <c r="N35" s="588" t="str">
        <f t="shared" si="22"/>
        <v/>
      </c>
      <c r="O35" s="591" t="str">
        <f t="shared" si="22"/>
        <v/>
      </c>
      <c r="P35" s="588" t="str">
        <f t="shared" si="22"/>
        <v/>
      </c>
      <c r="Q35" s="588" t="str">
        <f t="shared" si="22"/>
        <v/>
      </c>
      <c r="R35" s="605" t="str">
        <f t="shared" si="22"/>
        <v/>
      </c>
    </row>
    <row r="36" spans="2:18" s="448" customFormat="1" ht="12.75" x14ac:dyDescent="0.2">
      <c r="B36" s="587" t="str">
        <f>Underwriting!B176</f>
        <v>Management Fee</v>
      </c>
      <c r="C36" s="583"/>
      <c r="D36" s="583"/>
      <c r="E36" s="583"/>
      <c r="F36" s="613"/>
      <c r="G36" s="588">
        <f t="shared" ref="G36:R36" si="23">IF(G$5="","",SUMIF($G$53:$EI$53,G$5,$G83:$EI83))</f>
        <v>0</v>
      </c>
      <c r="H36" s="588">
        <f t="shared" ca="1" si="23"/>
        <v>361</v>
      </c>
      <c r="I36" s="588">
        <f t="shared" ca="1" si="23"/>
        <v>16797.330000000002</v>
      </c>
      <c r="J36" s="588">
        <f t="shared" ca="1" si="23"/>
        <v>17842.749899999999</v>
      </c>
      <c r="K36" s="588" t="str">
        <f t="shared" si="23"/>
        <v/>
      </c>
      <c r="L36" s="588" t="str">
        <f t="shared" si="23"/>
        <v/>
      </c>
      <c r="M36" s="588" t="str">
        <f t="shared" si="23"/>
        <v/>
      </c>
      <c r="N36" s="588" t="str">
        <f t="shared" si="23"/>
        <v/>
      </c>
      <c r="O36" s="591" t="str">
        <f t="shared" si="23"/>
        <v/>
      </c>
      <c r="P36" s="588" t="str">
        <f t="shared" si="23"/>
        <v/>
      </c>
      <c r="Q36" s="588" t="str">
        <f t="shared" si="23"/>
        <v/>
      </c>
      <c r="R36" s="605" t="str">
        <f t="shared" si="23"/>
        <v/>
      </c>
    </row>
    <row r="37" spans="2:18" x14ac:dyDescent="0.25">
      <c r="B37" s="587" t="str">
        <f>Underwriting!B177</f>
        <v>Insurance</v>
      </c>
      <c r="C37" s="583"/>
      <c r="D37" s="583"/>
      <c r="E37" s="583"/>
      <c r="F37" s="583"/>
      <c r="G37" s="588">
        <f t="shared" ref="G37:R37" si="24">IF(G$5="","",SUMIF($G$53:$EI$53,G$5,$G84:$EI84))</f>
        <v>0</v>
      </c>
      <c r="H37" s="588">
        <f t="shared" si="24"/>
        <v>2666.6666666666665</v>
      </c>
      <c r="I37" s="588">
        <f t="shared" si="24"/>
        <v>32053.333333333336</v>
      </c>
      <c r="J37" s="588">
        <f t="shared" si="24"/>
        <v>32694.400000000001</v>
      </c>
      <c r="K37" s="588" t="str">
        <f t="shared" si="24"/>
        <v/>
      </c>
      <c r="L37" s="588" t="str">
        <f t="shared" si="24"/>
        <v/>
      </c>
      <c r="M37" s="588" t="str">
        <f t="shared" si="24"/>
        <v/>
      </c>
      <c r="N37" s="616" t="str">
        <f t="shared" si="24"/>
        <v/>
      </c>
      <c r="O37" s="616" t="str">
        <f t="shared" si="24"/>
        <v/>
      </c>
      <c r="P37" s="616" t="str">
        <f t="shared" si="24"/>
        <v/>
      </c>
      <c r="Q37" s="616" t="str">
        <f t="shared" si="24"/>
        <v/>
      </c>
      <c r="R37" s="617" t="str">
        <f t="shared" si="24"/>
        <v/>
      </c>
    </row>
    <row r="38" spans="2:18" s="448" customFormat="1" x14ac:dyDescent="0.35">
      <c r="B38" s="587" t="str">
        <f>Underwriting!B178</f>
        <v>Property Taxes</v>
      </c>
      <c r="C38" s="583"/>
      <c r="D38" s="583"/>
      <c r="E38" s="583"/>
      <c r="F38" s="583"/>
      <c r="G38" s="593">
        <f t="shared" ref="G38:R38" si="25">IF(G$5="","",SUMIF($G$53:$EI$53,G$5,$G85:$EI85))</f>
        <v>0</v>
      </c>
      <c r="H38" s="593">
        <f t="shared" si="25"/>
        <v>2049.3066666666668</v>
      </c>
      <c r="I38" s="593">
        <f t="shared" si="25"/>
        <v>25677.812533333337</v>
      </c>
      <c r="J38" s="593">
        <f t="shared" si="25"/>
        <v>38754.028512000004</v>
      </c>
      <c r="K38" s="593" t="str">
        <f t="shared" si="25"/>
        <v/>
      </c>
      <c r="L38" s="593" t="str">
        <f t="shared" si="25"/>
        <v/>
      </c>
      <c r="M38" s="593" t="str">
        <f t="shared" si="25"/>
        <v/>
      </c>
      <c r="N38" s="593" t="str">
        <f t="shared" si="25"/>
        <v/>
      </c>
      <c r="O38" s="593" t="str">
        <f t="shared" si="25"/>
        <v/>
      </c>
      <c r="P38" s="593" t="str">
        <f t="shared" si="25"/>
        <v/>
      </c>
      <c r="Q38" s="593" t="str">
        <f t="shared" si="25"/>
        <v/>
      </c>
      <c r="R38" s="607" t="str">
        <f t="shared" si="25"/>
        <v/>
      </c>
    </row>
    <row r="39" spans="2:18" s="448" customFormat="1" ht="12.75" x14ac:dyDescent="0.2">
      <c r="B39" s="465" t="s">
        <v>135</v>
      </c>
      <c r="C39" s="583"/>
      <c r="D39" s="583"/>
      <c r="E39" s="583"/>
      <c r="F39" s="583"/>
      <c r="G39" s="588">
        <f t="shared" ref="G39:R39" si="26">IF(G$5="","",SUMIF($G$53:$EI$53,G$5,$G86:$EI86))</f>
        <v>0</v>
      </c>
      <c r="H39" s="588">
        <f t="shared" ca="1" si="26"/>
        <v>6332.1816666666673</v>
      </c>
      <c r="I39" s="588">
        <f t="shared" ca="1" si="26"/>
        <v>93396.080033333361</v>
      </c>
      <c r="J39" s="588">
        <f t="shared" ca="1" si="26"/>
        <v>108703.47841200001</v>
      </c>
      <c r="K39" s="588" t="str">
        <f t="shared" si="26"/>
        <v/>
      </c>
      <c r="L39" s="588" t="str">
        <f t="shared" si="26"/>
        <v/>
      </c>
      <c r="M39" s="588" t="str">
        <f t="shared" si="26"/>
        <v/>
      </c>
      <c r="N39" s="588" t="str">
        <f t="shared" si="26"/>
        <v/>
      </c>
      <c r="O39" s="588" t="str">
        <f t="shared" si="26"/>
        <v/>
      </c>
      <c r="P39" s="588" t="str">
        <f t="shared" si="26"/>
        <v/>
      </c>
      <c r="Q39" s="588" t="str">
        <f t="shared" si="26"/>
        <v/>
      </c>
      <c r="R39" s="605" t="str">
        <f t="shared" si="26"/>
        <v/>
      </c>
    </row>
    <row r="40" spans="2:18" s="448" customFormat="1" ht="12.75" x14ac:dyDescent="0.2">
      <c r="B40" s="465"/>
      <c r="C40" s="583"/>
      <c r="D40" s="583"/>
      <c r="E40" s="583"/>
      <c r="F40" s="583"/>
      <c r="G40" s="588"/>
      <c r="H40" s="588"/>
      <c r="I40" s="588"/>
      <c r="J40" s="588"/>
      <c r="K40" s="588"/>
      <c r="L40" s="588"/>
      <c r="M40" s="588"/>
      <c r="N40" s="588"/>
      <c r="O40" s="588"/>
      <c r="P40" s="588"/>
      <c r="Q40" s="588"/>
      <c r="R40" s="605"/>
    </row>
    <row r="41" spans="2:18" s="448" customFormat="1" ht="12.75" x14ac:dyDescent="0.2">
      <c r="B41" s="465" t="s">
        <v>154</v>
      </c>
      <c r="C41" s="583"/>
      <c r="D41" s="583"/>
      <c r="E41" s="583"/>
      <c r="F41" s="583"/>
      <c r="G41" s="588">
        <f t="shared" ref="G41:R41" si="27">IF(G$5="","",SUMIF($G$53:$EI$53,G$5,$G88:$EI88))</f>
        <v>0</v>
      </c>
      <c r="H41" s="588">
        <f t="shared" ca="1" si="27"/>
        <v>887.8183333333327</v>
      </c>
      <c r="I41" s="588">
        <f t="shared" ca="1" si="27"/>
        <v>242550.51996666664</v>
      </c>
      <c r="J41" s="588">
        <f t="shared" ca="1" si="27"/>
        <v>248151.51958799997</v>
      </c>
      <c r="K41" s="588" t="str">
        <f t="shared" si="27"/>
        <v/>
      </c>
      <c r="L41" s="588" t="str">
        <f t="shared" si="27"/>
        <v/>
      </c>
      <c r="M41" s="588" t="str">
        <f t="shared" si="27"/>
        <v/>
      </c>
      <c r="N41" s="588" t="str">
        <f t="shared" si="27"/>
        <v/>
      </c>
      <c r="O41" s="588" t="str">
        <f t="shared" si="27"/>
        <v/>
      </c>
      <c r="P41" s="588" t="str">
        <f t="shared" si="27"/>
        <v/>
      </c>
      <c r="Q41" s="588" t="str">
        <f t="shared" si="27"/>
        <v/>
      </c>
      <c r="R41" s="605" t="str">
        <f t="shared" si="27"/>
        <v/>
      </c>
    </row>
    <row r="42" spans="2:18" s="448" customFormat="1" ht="12.75" x14ac:dyDescent="0.2">
      <c r="B42" s="465"/>
      <c r="C42" s="583"/>
      <c r="D42" s="583"/>
      <c r="E42" s="583"/>
      <c r="F42" s="583"/>
      <c r="G42" s="588"/>
      <c r="H42" s="588"/>
      <c r="I42" s="588"/>
      <c r="J42" s="588"/>
      <c r="K42" s="588"/>
      <c r="L42" s="588"/>
      <c r="M42" s="588"/>
      <c r="N42" s="588"/>
      <c r="O42" s="588"/>
      <c r="P42" s="588"/>
      <c r="Q42" s="588"/>
      <c r="R42" s="605"/>
    </row>
    <row r="43" spans="2:18" s="448" customFormat="1" ht="12.75" x14ac:dyDescent="0.2">
      <c r="B43" s="465" t="s">
        <v>151</v>
      </c>
      <c r="C43" s="583"/>
      <c r="D43" s="583"/>
      <c r="E43" s="583"/>
      <c r="F43" s="583"/>
      <c r="G43" s="588">
        <f t="shared" ref="G43:R43" si="28">IF(G$5="","",SUMIF($G$53:$EI$53,G$5,$G90:$EI90))</f>
        <v>0</v>
      </c>
      <c r="H43" s="588">
        <f t="shared" si="28"/>
        <v>33.333333333333336</v>
      </c>
      <c r="I43" s="588">
        <f t="shared" si="28"/>
        <v>1552.6666666666667</v>
      </c>
      <c r="J43" s="588">
        <f t="shared" si="28"/>
        <v>1634.72</v>
      </c>
      <c r="K43" s="588" t="str">
        <f t="shared" si="28"/>
        <v/>
      </c>
      <c r="L43" s="588" t="str">
        <f t="shared" si="28"/>
        <v/>
      </c>
      <c r="M43" s="588" t="str">
        <f t="shared" si="28"/>
        <v/>
      </c>
      <c r="N43" s="588" t="str">
        <f t="shared" si="28"/>
        <v/>
      </c>
      <c r="O43" s="588" t="str">
        <f t="shared" si="28"/>
        <v/>
      </c>
      <c r="P43" s="588" t="str">
        <f t="shared" si="28"/>
        <v/>
      </c>
      <c r="Q43" s="588" t="str">
        <f t="shared" si="28"/>
        <v/>
      </c>
      <c r="R43" s="605" t="str">
        <f t="shared" si="28"/>
        <v/>
      </c>
    </row>
    <row r="44" spans="2:18" s="448" customFormat="1" ht="12.75" x14ac:dyDescent="0.2">
      <c r="B44" s="465"/>
      <c r="C44" s="583"/>
      <c r="D44" s="583"/>
      <c r="E44" s="583"/>
      <c r="F44" s="583"/>
      <c r="G44" s="588"/>
      <c r="H44" s="588"/>
      <c r="I44" s="588"/>
      <c r="J44" s="588"/>
      <c r="K44" s="588"/>
      <c r="L44" s="588"/>
      <c r="M44" s="588"/>
      <c r="N44" s="588"/>
      <c r="O44" s="588"/>
      <c r="P44" s="588"/>
      <c r="Q44" s="588"/>
      <c r="R44" s="605"/>
    </row>
    <row r="45" spans="2:18" s="448" customFormat="1" ht="12.75" x14ac:dyDescent="0.2">
      <c r="B45" s="465" t="s">
        <v>155</v>
      </c>
      <c r="C45" s="583"/>
      <c r="D45" s="583"/>
      <c r="E45" s="583"/>
      <c r="F45" s="583"/>
      <c r="G45" s="588">
        <f t="shared" ref="G45:R45" si="29">IF(G$5="","",SUMIF($G$53:$EI$53,G$5,$G92:$EI92))</f>
        <v>0</v>
      </c>
      <c r="H45" s="588">
        <f t="shared" ca="1" si="29"/>
        <v>854.48499999999933</v>
      </c>
      <c r="I45" s="588">
        <f t="shared" ca="1" si="29"/>
        <v>240997.85329999996</v>
      </c>
      <c r="J45" s="588">
        <f t="shared" ca="1" si="29"/>
        <v>246516.79958799997</v>
      </c>
      <c r="K45" s="588" t="str">
        <f t="shared" si="29"/>
        <v/>
      </c>
      <c r="L45" s="588" t="str">
        <f t="shared" si="29"/>
        <v/>
      </c>
      <c r="M45" s="588" t="str">
        <f t="shared" si="29"/>
        <v/>
      </c>
      <c r="N45" s="588" t="str">
        <f t="shared" si="29"/>
        <v/>
      </c>
      <c r="O45" s="588" t="str">
        <f t="shared" si="29"/>
        <v/>
      </c>
      <c r="P45" s="588" t="str">
        <f t="shared" si="29"/>
        <v/>
      </c>
      <c r="Q45" s="588" t="str">
        <f t="shared" si="29"/>
        <v/>
      </c>
      <c r="R45" s="605" t="str">
        <f t="shared" si="29"/>
        <v/>
      </c>
    </row>
    <row r="46" spans="2:18" s="448" customFormat="1" ht="12.75" x14ac:dyDescent="0.2">
      <c r="B46" s="484"/>
      <c r="C46" s="598"/>
      <c r="D46" s="598"/>
      <c r="E46" s="598"/>
      <c r="F46" s="598"/>
      <c r="G46" s="599"/>
      <c r="H46" s="599"/>
      <c r="I46" s="599"/>
      <c r="J46" s="599"/>
      <c r="K46" s="599"/>
      <c r="L46" s="599"/>
      <c r="M46" s="599"/>
      <c r="N46" s="599"/>
      <c r="O46" s="599"/>
      <c r="P46" s="599"/>
      <c r="Q46" s="599"/>
      <c r="R46" s="618"/>
    </row>
    <row r="47" spans="2:18" s="448" customFormat="1" ht="12.75" x14ac:dyDescent="0.2">
      <c r="B47" s="480" t="s">
        <v>525</v>
      </c>
      <c r="C47" s="583"/>
      <c r="D47" s="583"/>
      <c r="E47" s="583"/>
      <c r="F47" s="583"/>
      <c r="G47" s="588"/>
      <c r="H47" s="588"/>
      <c r="I47" s="588"/>
      <c r="J47" s="588"/>
      <c r="K47" s="588"/>
      <c r="L47" s="588"/>
      <c r="M47" s="588"/>
      <c r="N47" s="588"/>
      <c r="O47" s="588"/>
      <c r="P47" s="588"/>
      <c r="Q47" s="588"/>
      <c r="R47" s="605"/>
    </row>
    <row r="48" spans="2:18" s="448" customFormat="1" ht="12.75" x14ac:dyDescent="0.2">
      <c r="B48" s="465"/>
      <c r="C48" s="583"/>
      <c r="D48" s="583"/>
      <c r="E48" s="583"/>
      <c r="F48" s="583"/>
      <c r="G48" s="588"/>
      <c r="H48" s="588"/>
      <c r="I48" s="588"/>
      <c r="J48" s="588"/>
      <c r="K48" s="588"/>
      <c r="L48" s="588"/>
      <c r="M48" s="588"/>
      <c r="N48" s="588"/>
      <c r="O48" s="588"/>
      <c r="P48" s="588"/>
      <c r="Q48" s="588"/>
      <c r="R48" s="605"/>
    </row>
    <row r="49" spans="2:139" s="448" customFormat="1" ht="12.75" x14ac:dyDescent="0.2">
      <c r="B49" s="465" t="s">
        <v>178</v>
      </c>
      <c r="C49" s="583"/>
      <c r="D49" s="583"/>
      <c r="E49" s="583"/>
      <c r="F49" s="583"/>
      <c r="G49" s="588">
        <f t="shared" ref="G49:R49" ca="1" si="30">IF(G$5="","",SUMIF($G$53:$EI$53,G$5,$G96:$EI96))</f>
        <v>-752002.85714285716</v>
      </c>
      <c r="H49" s="588">
        <f t="shared" ca="1" si="30"/>
        <v>-3056162.6578571429</v>
      </c>
      <c r="I49" s="588">
        <f t="shared" ca="1" si="30"/>
        <v>210597.85329999996</v>
      </c>
      <c r="J49" s="588">
        <f t="shared" ca="1" si="30"/>
        <v>4484940.79661036</v>
      </c>
      <c r="K49" s="588" t="str">
        <f t="shared" si="30"/>
        <v/>
      </c>
      <c r="L49" s="588" t="str">
        <f t="shared" si="30"/>
        <v/>
      </c>
      <c r="M49" s="588" t="str">
        <f t="shared" si="30"/>
        <v/>
      </c>
      <c r="N49" s="588" t="str">
        <f t="shared" si="30"/>
        <v/>
      </c>
      <c r="O49" s="588" t="str">
        <f t="shared" si="30"/>
        <v/>
      </c>
      <c r="P49" s="588" t="str">
        <f t="shared" si="30"/>
        <v/>
      </c>
      <c r="Q49" s="588" t="str">
        <f t="shared" si="30"/>
        <v/>
      </c>
      <c r="R49" s="605" t="str">
        <f t="shared" si="30"/>
        <v/>
      </c>
    </row>
    <row r="50" spans="2:139" s="448" customFormat="1" ht="12.75" x14ac:dyDescent="0.2">
      <c r="B50" s="465" t="s">
        <v>179</v>
      </c>
      <c r="C50" s="583"/>
      <c r="D50" s="583"/>
      <c r="E50" s="583"/>
      <c r="F50" s="583"/>
      <c r="G50" s="588">
        <f t="shared" ref="G50:R50" ca="1" si="31">IF(G$5="","",SUMIF($G$53:$EI$53,G$5,$G97:$EI97))</f>
        <v>-822502.85714285716</v>
      </c>
      <c r="H50" s="588">
        <f t="shared" ca="1" si="31"/>
        <v>-792082.78997571394</v>
      </c>
      <c r="I50" s="588">
        <f t="shared" ca="1" si="31"/>
        <v>77329.185434679006</v>
      </c>
      <c r="J50" s="588">
        <f t="shared" ca="1" si="31"/>
        <v>1875663.202742252</v>
      </c>
      <c r="K50" s="588" t="str">
        <f t="shared" si="31"/>
        <v/>
      </c>
      <c r="L50" s="588" t="str">
        <f t="shared" si="31"/>
        <v/>
      </c>
      <c r="M50" s="588" t="str">
        <f t="shared" si="31"/>
        <v/>
      </c>
      <c r="N50" s="588" t="str">
        <f t="shared" si="31"/>
        <v/>
      </c>
      <c r="O50" s="588" t="str">
        <f t="shared" si="31"/>
        <v/>
      </c>
      <c r="P50" s="588" t="str">
        <f t="shared" si="31"/>
        <v/>
      </c>
      <c r="Q50" s="588" t="str">
        <f t="shared" si="31"/>
        <v/>
      </c>
      <c r="R50" s="605" t="str">
        <f t="shared" si="31"/>
        <v/>
      </c>
    </row>
    <row r="51" spans="2:139" s="448" customFormat="1" ht="12.75" x14ac:dyDescent="0.2">
      <c r="B51" s="619"/>
      <c r="C51" s="598"/>
      <c r="D51" s="598"/>
      <c r="E51" s="598"/>
      <c r="F51" s="598"/>
      <c r="G51" s="599"/>
      <c r="H51" s="599"/>
      <c r="I51" s="599"/>
      <c r="J51" s="599"/>
      <c r="K51" s="599"/>
      <c r="L51" s="599"/>
      <c r="M51" s="599"/>
      <c r="N51" s="599"/>
      <c r="O51" s="599"/>
      <c r="P51" s="599"/>
      <c r="Q51" s="599"/>
      <c r="R51" s="618"/>
    </row>
    <row r="52" spans="2:139" x14ac:dyDescent="0.25"/>
    <row r="53" spans="2:139" outlineLevel="1" x14ac:dyDescent="0.25">
      <c r="F53" s="449" t="s">
        <v>461</v>
      </c>
      <c r="G53" s="620">
        <f>IF(G54="","",Underwriting!Q2)</f>
        <v>0</v>
      </c>
      <c r="H53" s="620">
        <f>IF(H54="","",Underwriting!R2)</f>
        <v>1</v>
      </c>
      <c r="I53" s="620">
        <f>IF(I54="","",Underwriting!S2)</f>
        <v>1</v>
      </c>
      <c r="J53" s="620">
        <f>IF(J54="","",Underwriting!T2)</f>
        <v>1</v>
      </c>
      <c r="K53" s="620">
        <f>IF(K54="","",Underwriting!U2)</f>
        <v>1</v>
      </c>
      <c r="L53" s="620">
        <f>IF(L54="","",Underwriting!V2)</f>
        <v>1</v>
      </c>
      <c r="M53" s="620">
        <f>IF(M54="","",Underwriting!W2)</f>
        <v>1</v>
      </c>
      <c r="N53" s="620">
        <f>IF(N54="","",Underwriting!X2)</f>
        <v>1</v>
      </c>
      <c r="O53" s="620">
        <f>IF(O54="","",Underwriting!Y2)</f>
        <v>1</v>
      </c>
      <c r="P53" s="620">
        <f>IF(P54="","",Underwriting!Z2)</f>
        <v>1</v>
      </c>
      <c r="Q53" s="620">
        <f>IF(Q54="","",Underwriting!AA2)</f>
        <v>1</v>
      </c>
      <c r="R53" s="620">
        <f>IF(R54="","",Underwriting!AB2)</f>
        <v>1</v>
      </c>
      <c r="S53" s="620">
        <f>IF(S54="","",Underwriting!AC2)</f>
        <v>1</v>
      </c>
      <c r="T53" s="620">
        <f>IF(T54="","",Underwriting!AD2)</f>
        <v>2</v>
      </c>
      <c r="U53" s="620">
        <f>IF(U54="","",Underwriting!AE2)</f>
        <v>2</v>
      </c>
      <c r="V53" s="620">
        <f>IF(V54="","",Underwriting!AF2)</f>
        <v>2</v>
      </c>
      <c r="W53" s="620">
        <f>IF(W54="","",Underwriting!AG2)</f>
        <v>2</v>
      </c>
      <c r="X53" s="620">
        <f>IF(X54="","",Underwriting!AH2)</f>
        <v>2</v>
      </c>
      <c r="Y53" s="620">
        <f>IF(Y54="","",Underwriting!AI2)</f>
        <v>2</v>
      </c>
      <c r="Z53" s="620">
        <f>IF(Z54="","",Underwriting!AJ2)</f>
        <v>2</v>
      </c>
      <c r="AA53" s="620">
        <f>IF(AA54="","",Underwriting!AK2)</f>
        <v>2</v>
      </c>
      <c r="AB53" s="620">
        <f>IF(AB54="","",Underwriting!AL2)</f>
        <v>2</v>
      </c>
      <c r="AC53" s="620">
        <f>IF(AC54="","",Underwriting!AM2)</f>
        <v>2</v>
      </c>
      <c r="AD53" s="620">
        <f>IF(AD54="","",Underwriting!AN2)</f>
        <v>2</v>
      </c>
      <c r="AE53" s="620">
        <f>IF(AE54="","",Underwriting!AO2)</f>
        <v>2</v>
      </c>
      <c r="AF53" s="620">
        <f>IF(AF54="","",Underwriting!AP2)</f>
        <v>3</v>
      </c>
      <c r="AG53" s="620">
        <f>IF(AG54="","",Underwriting!AQ2)</f>
        <v>3</v>
      </c>
      <c r="AH53" s="620">
        <f>IF(AH54="","",Underwriting!AR2)</f>
        <v>3</v>
      </c>
      <c r="AI53" s="620">
        <f>IF(AI54="","",Underwriting!AS2)</f>
        <v>3</v>
      </c>
      <c r="AJ53" s="620">
        <f>IF(AJ54="","",Underwriting!AT2)</f>
        <v>3</v>
      </c>
      <c r="AK53" s="620">
        <f>IF(AK54="","",Underwriting!AU2)</f>
        <v>3</v>
      </c>
      <c r="AL53" s="620">
        <f>IF(AL54="","",Underwriting!AV2)</f>
        <v>3</v>
      </c>
      <c r="AM53" s="620">
        <f>IF(AM54="","",Underwriting!AW2)</f>
        <v>3</v>
      </c>
      <c r="AN53" s="620">
        <f>IF(AN54="","",Underwriting!AX2)</f>
        <v>3</v>
      </c>
      <c r="AO53" s="620">
        <f>IF(AO54="","",Underwriting!AY2)</f>
        <v>3</v>
      </c>
      <c r="AP53" s="620">
        <f>IF(AP54="","",Underwriting!AZ2)</f>
        <v>3</v>
      </c>
      <c r="AQ53" s="620">
        <f>IF(AQ54="","",Underwriting!BA2)</f>
        <v>3</v>
      </c>
      <c r="AR53" s="620" t="str">
        <f>IF(AR54="","",Underwriting!BB2)</f>
        <v/>
      </c>
      <c r="AS53" s="620" t="str">
        <f>IF(AS54="","",Underwriting!BC2)</f>
        <v/>
      </c>
      <c r="AT53" s="620" t="str">
        <f>IF(AT54="","",Underwriting!BD2)</f>
        <v/>
      </c>
      <c r="AU53" s="620" t="str">
        <f>IF(AU54="","",Underwriting!BE2)</f>
        <v/>
      </c>
      <c r="AV53" s="620" t="str">
        <f>IF(AV54="","",Underwriting!BF2)</f>
        <v/>
      </c>
      <c r="AW53" s="620" t="str">
        <f>IF(AW54="","",Underwriting!BG2)</f>
        <v/>
      </c>
      <c r="AX53" s="620" t="str">
        <f>IF(AX54="","",Underwriting!BH2)</f>
        <v/>
      </c>
      <c r="AY53" s="620" t="str">
        <f>IF(AY54="","",Underwriting!BI2)</f>
        <v/>
      </c>
      <c r="AZ53" s="620" t="str">
        <f>IF(AZ54="","",Underwriting!BJ2)</f>
        <v/>
      </c>
      <c r="BA53" s="620" t="str">
        <f>IF(BA54="","",Underwriting!BK2)</f>
        <v/>
      </c>
      <c r="BB53" s="620" t="str">
        <f>IF(BB54="","",Underwriting!BL2)</f>
        <v/>
      </c>
      <c r="BC53" s="620" t="str">
        <f>IF(BC54="","",Underwriting!BM2)</f>
        <v/>
      </c>
      <c r="BD53" s="620" t="str">
        <f>IF(BD54="","",Underwriting!BN2)</f>
        <v/>
      </c>
      <c r="BE53" s="620" t="str">
        <f>IF(BE54="","",Underwriting!BO2)</f>
        <v/>
      </c>
      <c r="BF53" s="620" t="str">
        <f>IF(BF54="","",Underwriting!BP2)</f>
        <v/>
      </c>
      <c r="BG53" s="620" t="str">
        <f>IF(BG54="","",Underwriting!BQ2)</f>
        <v/>
      </c>
      <c r="BH53" s="620" t="str">
        <f>IF(BH54="","",Underwriting!BR2)</f>
        <v/>
      </c>
      <c r="BI53" s="620" t="str">
        <f>IF(BI54="","",Underwriting!BS2)</f>
        <v/>
      </c>
      <c r="BJ53" s="620" t="str">
        <f>IF(BJ54="","",Underwriting!BT2)</f>
        <v/>
      </c>
      <c r="BK53" s="620" t="str">
        <f>IF(BK54="","",Underwriting!BU2)</f>
        <v/>
      </c>
      <c r="BL53" s="620" t="str">
        <f>IF(BL54="","",Underwriting!BV2)</f>
        <v/>
      </c>
      <c r="BM53" s="620" t="str">
        <f>IF(BM54="","",Underwriting!BW2)</f>
        <v/>
      </c>
      <c r="BN53" s="620" t="str">
        <f>IF(BN54="","",Underwriting!BX2)</f>
        <v/>
      </c>
      <c r="BO53" s="620" t="str">
        <f>IF(BO54="","",Underwriting!BY2)</f>
        <v/>
      </c>
      <c r="BP53" s="620" t="str">
        <f>IF(BP54="","",Underwriting!BZ2)</f>
        <v/>
      </c>
      <c r="BQ53" s="620" t="str">
        <f>IF(BQ54="","",Underwriting!CA2)</f>
        <v/>
      </c>
      <c r="BR53" s="620" t="str">
        <f>IF(BR54="","",Underwriting!CB2)</f>
        <v/>
      </c>
      <c r="BS53" s="620" t="str">
        <f>IF(BS54="","",Underwriting!CC2)</f>
        <v/>
      </c>
      <c r="BT53" s="620" t="str">
        <f>IF(BT54="","",Underwriting!CD2)</f>
        <v/>
      </c>
      <c r="BU53" s="620" t="str">
        <f>IF(BU54="","",Underwriting!CE2)</f>
        <v/>
      </c>
      <c r="BV53" s="620" t="str">
        <f>IF(BV54="","",Underwriting!CF2)</f>
        <v/>
      </c>
      <c r="BW53" s="620" t="str">
        <f>IF(BW54="","",Underwriting!CG2)</f>
        <v/>
      </c>
      <c r="BX53" s="620" t="str">
        <f>IF(BX54="","",Underwriting!CH2)</f>
        <v/>
      </c>
      <c r="BY53" s="620" t="str">
        <f>IF(BY54="","",Underwriting!CI2)</f>
        <v/>
      </c>
      <c r="BZ53" s="620" t="str">
        <f>IF(BZ54="","",Underwriting!CJ2)</f>
        <v/>
      </c>
      <c r="CA53" s="620" t="str">
        <f>IF(CA54="","",Underwriting!CK2)</f>
        <v/>
      </c>
      <c r="CB53" s="620" t="str">
        <f>IF(CB54="","",Underwriting!CL2)</f>
        <v/>
      </c>
      <c r="CC53" s="620" t="str">
        <f>IF(CC54="","",Underwriting!CM2)</f>
        <v/>
      </c>
      <c r="CD53" s="620" t="str">
        <f>IF(CD54="","",Underwriting!CN2)</f>
        <v/>
      </c>
      <c r="CE53" s="620" t="str">
        <f>IF(CE54="","",Underwriting!CO2)</f>
        <v/>
      </c>
      <c r="CF53" s="620" t="str">
        <f>IF(CF54="","",Underwriting!CP2)</f>
        <v/>
      </c>
      <c r="CG53" s="620" t="str">
        <f>IF(CG54="","",Underwriting!CQ2)</f>
        <v/>
      </c>
      <c r="CH53" s="620" t="str">
        <f>IF(CH54="","",Underwriting!CR2)</f>
        <v/>
      </c>
      <c r="CI53" s="620" t="str">
        <f>IF(CI54="","",Underwriting!CS2)</f>
        <v/>
      </c>
      <c r="CJ53" s="620" t="str">
        <f>IF(CJ54="","",Underwriting!CT2)</f>
        <v/>
      </c>
      <c r="CK53" s="620" t="str">
        <f>IF(CK54="","",Underwriting!CU2)</f>
        <v/>
      </c>
      <c r="CL53" s="620" t="str">
        <f>IF(CL54="","",Underwriting!CV2)</f>
        <v/>
      </c>
      <c r="CM53" s="620" t="str">
        <f>IF(CM54="","",Underwriting!CW2)</f>
        <v/>
      </c>
      <c r="CN53" s="620" t="str">
        <f>IF(CN54="","",Underwriting!CX2)</f>
        <v/>
      </c>
      <c r="CO53" s="620" t="str">
        <f>IF(CO54="","",Underwriting!CY2)</f>
        <v/>
      </c>
      <c r="CP53" s="620" t="str">
        <f>IF(CP54="","",Underwriting!CZ2)</f>
        <v/>
      </c>
      <c r="CQ53" s="620" t="str">
        <f>IF(CQ54="","",Underwriting!DA2)</f>
        <v/>
      </c>
      <c r="CR53" s="620" t="str">
        <f>IF(CR54="","",Underwriting!DB2)</f>
        <v/>
      </c>
      <c r="CS53" s="620" t="str">
        <f>IF(CS54="","",Underwriting!DC2)</f>
        <v/>
      </c>
      <c r="CT53" s="620" t="str">
        <f>IF(CT54="","",Underwriting!DD2)</f>
        <v/>
      </c>
      <c r="CU53" s="620" t="str">
        <f>IF(CU54="","",Underwriting!DE2)</f>
        <v/>
      </c>
      <c r="CV53" s="620" t="str">
        <f>IF(CV54="","",Underwriting!DF2)</f>
        <v/>
      </c>
      <c r="CW53" s="620" t="str">
        <f>IF(CW54="","",Underwriting!DG2)</f>
        <v/>
      </c>
      <c r="CX53" s="620" t="str">
        <f>IF(CX54="","",Underwriting!DH2)</f>
        <v/>
      </c>
      <c r="CY53" s="620" t="str">
        <f>IF(CY54="","",Underwriting!DI2)</f>
        <v/>
      </c>
      <c r="CZ53" s="620" t="str">
        <f>IF(CZ54="","",Underwriting!DJ2)</f>
        <v/>
      </c>
      <c r="DA53" s="620" t="str">
        <f>IF(DA54="","",Underwriting!DK2)</f>
        <v/>
      </c>
      <c r="DB53" s="620" t="str">
        <f>IF(DB54="","",Underwriting!DL2)</f>
        <v/>
      </c>
      <c r="DC53" s="620" t="str">
        <f>IF(DC54="","",Underwriting!DM2)</f>
        <v/>
      </c>
      <c r="DD53" s="620" t="str">
        <f>IF(DD54="","",Underwriting!DN2)</f>
        <v/>
      </c>
      <c r="DE53" s="620" t="str">
        <f>IF(DE54="","",Underwriting!DO2)</f>
        <v/>
      </c>
      <c r="DF53" s="620" t="str">
        <f>IF(DF54="","",Underwriting!DP2)</f>
        <v/>
      </c>
      <c r="DG53" s="620" t="str">
        <f>IF(DG54="","",Underwriting!DQ2)</f>
        <v/>
      </c>
      <c r="DH53" s="620" t="str">
        <f>IF(DH54="","",Underwriting!DR2)</f>
        <v/>
      </c>
      <c r="DI53" s="620" t="str">
        <f>IF(DI54="","",Underwriting!DS2)</f>
        <v/>
      </c>
      <c r="DJ53" s="620" t="str">
        <f>IF(DJ54="","",Underwriting!DT2)</f>
        <v/>
      </c>
      <c r="DK53" s="620" t="str">
        <f>IF(DK54="","",Underwriting!DU2)</f>
        <v/>
      </c>
      <c r="DL53" s="620" t="str">
        <f>IF(DL54="","",Underwriting!DV2)</f>
        <v/>
      </c>
      <c r="DM53" s="620" t="str">
        <f>IF(DM54="","",Underwriting!DW2)</f>
        <v/>
      </c>
      <c r="DN53" s="620" t="str">
        <f>IF(DN54="","",Underwriting!DX2)</f>
        <v/>
      </c>
      <c r="DO53" s="620" t="str">
        <f>IF(DO54="","",Underwriting!DY2)</f>
        <v/>
      </c>
      <c r="DP53" s="620" t="str">
        <f>IF(DP54="","",Underwriting!DZ2)</f>
        <v/>
      </c>
      <c r="DQ53" s="620" t="str">
        <f>IF(DQ54="","",Underwriting!EA2)</f>
        <v/>
      </c>
      <c r="DR53" s="620" t="str">
        <f>IF(DR54="","",Underwriting!EB2)</f>
        <v/>
      </c>
      <c r="DS53" s="620" t="str">
        <f>IF(DS54="","",Underwriting!EC2)</f>
        <v/>
      </c>
      <c r="DT53" s="620" t="str">
        <f>IF(DT54="","",Underwriting!ED2)</f>
        <v/>
      </c>
      <c r="DU53" s="620" t="str">
        <f>IF(DU54="","",Underwriting!EE2)</f>
        <v/>
      </c>
      <c r="DV53" s="620" t="str">
        <f>IF(DV54="","",Underwriting!EF2)</f>
        <v/>
      </c>
      <c r="DW53" s="620" t="str">
        <f>IF(DW54="","",Underwriting!EG2)</f>
        <v/>
      </c>
      <c r="DX53" s="620" t="str">
        <f>IF(DX54="","",Underwriting!EH2)</f>
        <v/>
      </c>
      <c r="DY53" s="620" t="str">
        <f>IF(DY54="","",Underwriting!EI2)</f>
        <v/>
      </c>
      <c r="DZ53" s="620" t="str">
        <f>IF(DZ54="","",Underwriting!EJ2)</f>
        <v/>
      </c>
      <c r="EA53" s="620" t="str">
        <f>IF(EA54="","",Underwriting!EK2)</f>
        <v/>
      </c>
      <c r="EB53" s="620" t="str">
        <f>IF(EB54="","",Underwriting!EL2)</f>
        <v/>
      </c>
      <c r="EC53" s="620" t="str">
        <f>IF(EC54="","",Underwriting!EM2)</f>
        <v/>
      </c>
      <c r="ED53" s="620" t="str">
        <f>IF(ED54="","",Underwriting!EN2)</f>
        <v/>
      </c>
      <c r="EE53" s="620" t="str">
        <f>IF(EE54="","",Underwriting!EO2)</f>
        <v/>
      </c>
      <c r="EF53" s="620" t="str">
        <f>IF(EF54="","",Underwriting!EP2)</f>
        <v/>
      </c>
      <c r="EG53" s="620" t="str">
        <f>IF(EG54="","",Underwriting!EQ2)</f>
        <v/>
      </c>
      <c r="EH53" s="620" t="str">
        <f>IF(EH54="","",Underwriting!ER2)</f>
        <v/>
      </c>
      <c r="EI53" s="620" t="str">
        <f>IF(EI54="","",Underwriting!ES2)</f>
        <v/>
      </c>
    </row>
    <row r="54" spans="2:139" outlineLevel="1" x14ac:dyDescent="0.25">
      <c r="B54" s="448" t="s">
        <v>520</v>
      </c>
      <c r="C54" s="448"/>
      <c r="D54" s="448"/>
      <c r="E54" s="448"/>
      <c r="F54" s="448"/>
      <c r="G54" s="567">
        <f>Underwriting!Q198</f>
        <v>0</v>
      </c>
      <c r="H54" s="567">
        <f>Underwriting!R198</f>
        <v>1</v>
      </c>
      <c r="I54" s="567">
        <f>Underwriting!S198</f>
        <v>2</v>
      </c>
      <c r="J54" s="567">
        <f>Underwriting!T198</f>
        <v>3</v>
      </c>
      <c r="K54" s="567">
        <f>Underwriting!U198</f>
        <v>4</v>
      </c>
      <c r="L54" s="567">
        <f>Underwriting!V198</f>
        <v>5</v>
      </c>
      <c r="M54" s="567">
        <f>Underwriting!W198</f>
        <v>6</v>
      </c>
      <c r="N54" s="567">
        <f>Underwriting!X198</f>
        <v>7</v>
      </c>
      <c r="O54" s="567">
        <f>Underwriting!Y198</f>
        <v>8</v>
      </c>
      <c r="P54" s="567">
        <f>Underwriting!Z198</f>
        <v>9</v>
      </c>
      <c r="Q54" s="567">
        <f>Underwriting!AA198</f>
        <v>10</v>
      </c>
      <c r="R54" s="567">
        <f>Underwriting!AB198</f>
        <v>11</v>
      </c>
      <c r="S54" s="567">
        <f>Underwriting!AC198</f>
        <v>12</v>
      </c>
      <c r="T54" s="567">
        <f>Underwriting!AD198</f>
        <v>13</v>
      </c>
      <c r="U54" s="567">
        <f>Underwriting!AE198</f>
        <v>14</v>
      </c>
      <c r="V54" s="567">
        <f>Underwriting!AF198</f>
        <v>15</v>
      </c>
      <c r="W54" s="567">
        <f>Underwriting!AG198</f>
        <v>16</v>
      </c>
      <c r="X54" s="567">
        <f>Underwriting!AH198</f>
        <v>17</v>
      </c>
      <c r="Y54" s="567">
        <f>Underwriting!AI198</f>
        <v>18</v>
      </c>
      <c r="Z54" s="567">
        <f>Underwriting!AJ198</f>
        <v>19</v>
      </c>
      <c r="AA54" s="567">
        <f>Underwriting!AK198</f>
        <v>20</v>
      </c>
      <c r="AB54" s="567">
        <f>Underwriting!AL198</f>
        <v>21</v>
      </c>
      <c r="AC54" s="567">
        <f>Underwriting!AM198</f>
        <v>22</v>
      </c>
      <c r="AD54" s="567">
        <f>Underwriting!AN198</f>
        <v>23</v>
      </c>
      <c r="AE54" s="567">
        <f>Underwriting!AO198</f>
        <v>24</v>
      </c>
      <c r="AF54" s="567">
        <f>Underwriting!AP198</f>
        <v>25</v>
      </c>
      <c r="AG54" s="567">
        <f>Underwriting!AQ198</f>
        <v>26</v>
      </c>
      <c r="AH54" s="567">
        <f>Underwriting!AR198</f>
        <v>27</v>
      </c>
      <c r="AI54" s="567">
        <f>Underwriting!AS198</f>
        <v>28</v>
      </c>
      <c r="AJ54" s="567">
        <f>Underwriting!AT198</f>
        <v>29</v>
      </c>
      <c r="AK54" s="567">
        <f>Underwriting!AU198</f>
        <v>30</v>
      </c>
      <c r="AL54" s="567">
        <f>Underwriting!AV198</f>
        <v>31</v>
      </c>
      <c r="AM54" s="567">
        <f>Underwriting!AW198</f>
        <v>32</v>
      </c>
      <c r="AN54" s="567">
        <f>Underwriting!AX198</f>
        <v>33</v>
      </c>
      <c r="AO54" s="567">
        <f>Underwriting!AY198</f>
        <v>34</v>
      </c>
      <c r="AP54" s="567">
        <f>Underwriting!AZ198</f>
        <v>35</v>
      </c>
      <c r="AQ54" s="567">
        <f>Underwriting!BA198</f>
        <v>36</v>
      </c>
      <c r="AR54" s="567" t="str">
        <f>Underwriting!BB198</f>
        <v/>
      </c>
      <c r="AS54" s="567" t="str">
        <f>Underwriting!BC198</f>
        <v/>
      </c>
      <c r="AT54" s="567" t="str">
        <f>Underwriting!BD198</f>
        <v/>
      </c>
      <c r="AU54" s="567" t="str">
        <f>Underwriting!BE198</f>
        <v/>
      </c>
      <c r="AV54" s="567" t="str">
        <f>Underwriting!BF198</f>
        <v/>
      </c>
      <c r="AW54" s="567" t="str">
        <f>Underwriting!BG198</f>
        <v/>
      </c>
      <c r="AX54" s="567" t="str">
        <f>Underwriting!BH198</f>
        <v/>
      </c>
      <c r="AY54" s="567" t="str">
        <f>Underwriting!BI198</f>
        <v/>
      </c>
      <c r="AZ54" s="567" t="str">
        <f>Underwriting!BJ198</f>
        <v/>
      </c>
      <c r="BA54" s="567" t="str">
        <f>Underwriting!BK198</f>
        <v/>
      </c>
      <c r="BB54" s="567" t="str">
        <f>Underwriting!BL198</f>
        <v/>
      </c>
      <c r="BC54" s="567" t="str">
        <f>Underwriting!BM198</f>
        <v/>
      </c>
      <c r="BD54" s="567" t="str">
        <f>Underwriting!BN198</f>
        <v/>
      </c>
      <c r="BE54" s="567" t="str">
        <f>Underwriting!BO198</f>
        <v/>
      </c>
      <c r="BF54" s="567" t="str">
        <f>Underwriting!BP198</f>
        <v/>
      </c>
      <c r="BG54" s="567" t="str">
        <f>Underwriting!BQ198</f>
        <v/>
      </c>
      <c r="BH54" s="567" t="str">
        <f>Underwriting!BR198</f>
        <v/>
      </c>
      <c r="BI54" s="567" t="str">
        <f>Underwriting!BS198</f>
        <v/>
      </c>
      <c r="BJ54" s="567" t="str">
        <f>Underwriting!BT198</f>
        <v/>
      </c>
      <c r="BK54" s="567" t="str">
        <f>Underwriting!BU198</f>
        <v/>
      </c>
      <c r="BL54" s="567" t="str">
        <f>Underwriting!BV198</f>
        <v/>
      </c>
      <c r="BM54" s="567" t="str">
        <f>Underwriting!BW198</f>
        <v/>
      </c>
      <c r="BN54" s="567" t="str">
        <f>Underwriting!BX198</f>
        <v/>
      </c>
      <c r="BO54" s="567" t="str">
        <f>Underwriting!BY198</f>
        <v/>
      </c>
      <c r="BP54" s="567" t="str">
        <f>Underwriting!BZ198</f>
        <v/>
      </c>
      <c r="BQ54" s="567" t="str">
        <f>Underwriting!CA198</f>
        <v/>
      </c>
      <c r="BR54" s="567" t="str">
        <f>Underwriting!CB198</f>
        <v/>
      </c>
      <c r="BS54" s="567" t="str">
        <f>Underwriting!CC198</f>
        <v/>
      </c>
      <c r="BT54" s="567" t="str">
        <f>Underwriting!CD198</f>
        <v/>
      </c>
      <c r="BU54" s="567" t="str">
        <f>Underwriting!CE198</f>
        <v/>
      </c>
      <c r="BV54" s="567" t="str">
        <f>Underwriting!CF198</f>
        <v/>
      </c>
      <c r="BW54" s="567" t="str">
        <f>Underwriting!CG198</f>
        <v/>
      </c>
      <c r="BX54" s="567" t="str">
        <f>Underwriting!CH198</f>
        <v/>
      </c>
      <c r="BY54" s="567" t="str">
        <f>Underwriting!CI198</f>
        <v/>
      </c>
      <c r="BZ54" s="567" t="str">
        <f>Underwriting!CJ198</f>
        <v/>
      </c>
      <c r="CA54" s="567" t="str">
        <f>Underwriting!CK198</f>
        <v/>
      </c>
      <c r="CB54" s="567" t="str">
        <f>Underwriting!CL198</f>
        <v/>
      </c>
      <c r="CC54" s="567" t="str">
        <f>Underwriting!CM198</f>
        <v/>
      </c>
      <c r="CD54" s="567" t="str">
        <f>Underwriting!CN198</f>
        <v/>
      </c>
      <c r="CE54" s="567" t="str">
        <f>Underwriting!CO198</f>
        <v/>
      </c>
      <c r="CF54" s="567" t="str">
        <f>Underwriting!CP198</f>
        <v/>
      </c>
      <c r="CG54" s="567" t="str">
        <f>Underwriting!CQ198</f>
        <v/>
      </c>
      <c r="CH54" s="567" t="str">
        <f>Underwriting!CR198</f>
        <v/>
      </c>
      <c r="CI54" s="567" t="str">
        <f>Underwriting!CS198</f>
        <v/>
      </c>
      <c r="CJ54" s="567" t="str">
        <f>Underwriting!CT198</f>
        <v/>
      </c>
      <c r="CK54" s="567" t="str">
        <f>Underwriting!CU198</f>
        <v/>
      </c>
      <c r="CL54" s="567" t="str">
        <f>Underwriting!CV198</f>
        <v/>
      </c>
      <c r="CM54" s="567" t="str">
        <f>Underwriting!CW198</f>
        <v/>
      </c>
      <c r="CN54" s="567" t="str">
        <f>Underwriting!CX198</f>
        <v/>
      </c>
      <c r="CO54" s="567" t="str">
        <f>Underwriting!CY198</f>
        <v/>
      </c>
      <c r="CP54" s="567" t="str">
        <f>Underwriting!CZ198</f>
        <v/>
      </c>
      <c r="CQ54" s="567" t="str">
        <f>Underwriting!DA198</f>
        <v/>
      </c>
      <c r="CR54" s="567" t="str">
        <f>Underwriting!DB198</f>
        <v/>
      </c>
      <c r="CS54" s="567" t="str">
        <f>Underwriting!DC198</f>
        <v/>
      </c>
      <c r="CT54" s="567" t="str">
        <f>Underwriting!DD198</f>
        <v/>
      </c>
      <c r="CU54" s="567" t="str">
        <f>Underwriting!DE198</f>
        <v/>
      </c>
      <c r="CV54" s="567" t="str">
        <f>Underwriting!DF198</f>
        <v/>
      </c>
      <c r="CW54" s="567" t="str">
        <f>Underwriting!DG198</f>
        <v/>
      </c>
      <c r="CX54" s="567" t="str">
        <f>Underwriting!DH198</f>
        <v/>
      </c>
      <c r="CY54" s="567" t="str">
        <f>Underwriting!DI198</f>
        <v/>
      </c>
      <c r="CZ54" s="567" t="str">
        <f>Underwriting!DJ198</f>
        <v/>
      </c>
      <c r="DA54" s="567" t="str">
        <f>Underwriting!DK198</f>
        <v/>
      </c>
      <c r="DB54" s="567" t="str">
        <f>Underwriting!DL198</f>
        <v/>
      </c>
      <c r="DC54" s="567" t="str">
        <f>Underwriting!DM198</f>
        <v/>
      </c>
      <c r="DD54" s="567" t="str">
        <f>Underwriting!DN198</f>
        <v/>
      </c>
      <c r="DE54" s="567" t="str">
        <f>Underwriting!DO198</f>
        <v/>
      </c>
      <c r="DF54" s="567" t="str">
        <f>Underwriting!DP198</f>
        <v/>
      </c>
      <c r="DG54" s="567" t="str">
        <f>Underwriting!DQ198</f>
        <v/>
      </c>
      <c r="DH54" s="567" t="str">
        <f>Underwriting!DR198</f>
        <v/>
      </c>
      <c r="DI54" s="567" t="str">
        <f>Underwriting!DS198</f>
        <v/>
      </c>
      <c r="DJ54" s="567" t="str">
        <f>Underwriting!DT198</f>
        <v/>
      </c>
      <c r="DK54" s="567" t="str">
        <f>Underwriting!DU198</f>
        <v/>
      </c>
      <c r="DL54" s="567" t="str">
        <f>Underwriting!DV198</f>
        <v/>
      </c>
      <c r="DM54" s="567" t="str">
        <f>Underwriting!DW198</f>
        <v/>
      </c>
      <c r="DN54" s="567" t="str">
        <f>Underwriting!DX198</f>
        <v/>
      </c>
      <c r="DO54" s="567" t="str">
        <f>Underwriting!DY198</f>
        <v/>
      </c>
      <c r="DP54" s="567" t="str">
        <f>Underwriting!DZ198</f>
        <v/>
      </c>
      <c r="DQ54" s="567" t="str">
        <f>Underwriting!EA198</f>
        <v/>
      </c>
      <c r="DR54" s="567" t="str">
        <f>Underwriting!EB198</f>
        <v/>
      </c>
      <c r="DS54" s="567" t="str">
        <f>Underwriting!EC198</f>
        <v/>
      </c>
      <c r="DT54" s="567" t="str">
        <f>Underwriting!ED198</f>
        <v/>
      </c>
      <c r="DU54" s="567" t="str">
        <f>Underwriting!EE198</f>
        <v/>
      </c>
      <c r="DV54" s="567" t="str">
        <f>Underwriting!EF198</f>
        <v/>
      </c>
      <c r="DW54" s="567" t="str">
        <f>Underwriting!EG198</f>
        <v/>
      </c>
      <c r="DX54" s="567" t="str">
        <f>Underwriting!EH198</f>
        <v/>
      </c>
      <c r="DY54" s="567" t="str">
        <f>Underwriting!EI198</f>
        <v/>
      </c>
      <c r="DZ54" s="567" t="str">
        <f>Underwriting!EJ198</f>
        <v/>
      </c>
      <c r="EA54" s="567" t="str">
        <f>Underwriting!EK198</f>
        <v/>
      </c>
      <c r="EB54" s="567" t="str">
        <f>Underwriting!EL198</f>
        <v/>
      </c>
      <c r="EC54" s="567" t="str">
        <f>Underwriting!EM198</f>
        <v/>
      </c>
      <c r="ED54" s="567" t="str">
        <f>Underwriting!EN198</f>
        <v/>
      </c>
      <c r="EE54" s="567" t="str">
        <f>Underwriting!EO198</f>
        <v/>
      </c>
      <c r="EF54" s="567" t="str">
        <f>Underwriting!EP198</f>
        <v/>
      </c>
      <c r="EG54" s="567" t="str">
        <f>Underwriting!EQ198</f>
        <v/>
      </c>
      <c r="EH54" s="567" t="str">
        <f>Underwriting!ER198</f>
        <v/>
      </c>
      <c r="EI54" s="567" t="str">
        <f>Underwriting!ES198</f>
        <v/>
      </c>
    </row>
    <row r="55" spans="2:139" outlineLevel="1" x14ac:dyDescent="0.25">
      <c r="B55" s="621" t="s">
        <v>30</v>
      </c>
      <c r="C55" s="448"/>
      <c r="D55" s="448"/>
      <c r="E55" s="448"/>
      <c r="F55" s="448"/>
      <c r="G55" s="622">
        <f>IF(G$54="","",Underwriting!Q31)</f>
        <v>500000</v>
      </c>
      <c r="H55" s="622">
        <f>IF(H$54="","",Underwriting!R31)</f>
        <v>0</v>
      </c>
      <c r="I55" s="622">
        <f>IF(I$54="","",Underwriting!S31)</f>
        <v>0</v>
      </c>
      <c r="J55" s="622">
        <f>IF(J$54="","",Underwriting!T31)</f>
        <v>0</v>
      </c>
      <c r="K55" s="622">
        <f>IF(K$54="","",Underwriting!U31)</f>
        <v>0</v>
      </c>
      <c r="L55" s="622">
        <f>IF(L$54="","",Underwriting!V31)</f>
        <v>0</v>
      </c>
      <c r="M55" s="622">
        <f>IF(M$54="","",Underwriting!W31)</f>
        <v>0</v>
      </c>
      <c r="N55" s="622">
        <f>IF(N$54="","",Underwriting!X31)</f>
        <v>0</v>
      </c>
      <c r="O55" s="622">
        <f>IF(O$54="","",Underwriting!Y31)</f>
        <v>0</v>
      </c>
      <c r="P55" s="622">
        <f>IF(P$54="","",Underwriting!Z31)</f>
        <v>0</v>
      </c>
      <c r="Q55" s="622">
        <f>IF(Q$54="","",Underwriting!AA31)</f>
        <v>0</v>
      </c>
      <c r="R55" s="622">
        <f>IF(R$54="","",Underwriting!AB31)</f>
        <v>0</v>
      </c>
      <c r="S55" s="622">
        <f>IF(S$54="","",Underwriting!AC31)</f>
        <v>0</v>
      </c>
      <c r="T55" s="622">
        <f>IF(T$54="","",Underwriting!AD31)</f>
        <v>0</v>
      </c>
      <c r="U55" s="622">
        <f>IF(U$54="","",Underwriting!AE31)</f>
        <v>0</v>
      </c>
      <c r="V55" s="622">
        <f>IF(V$54="","",Underwriting!AF31)</f>
        <v>0</v>
      </c>
      <c r="W55" s="622">
        <f>IF(W$54="","",Underwriting!AG31)</f>
        <v>0</v>
      </c>
      <c r="X55" s="622">
        <f>IF(X$54="","",Underwriting!AH31)</f>
        <v>0</v>
      </c>
      <c r="Y55" s="622">
        <f>IF(Y$54="","",Underwriting!AI31)</f>
        <v>0</v>
      </c>
      <c r="Z55" s="622">
        <f>IF(Z$54="","",Underwriting!AJ31)</f>
        <v>0</v>
      </c>
      <c r="AA55" s="622">
        <f>IF(AA$54="","",Underwriting!AK31)</f>
        <v>0</v>
      </c>
      <c r="AB55" s="622">
        <f>IF(AB$54="","",Underwriting!AL31)</f>
        <v>0</v>
      </c>
      <c r="AC55" s="622">
        <f>IF(AC$54="","",Underwriting!AM31)</f>
        <v>0</v>
      </c>
      <c r="AD55" s="622">
        <f>IF(AD$54="","",Underwriting!AN31)</f>
        <v>0</v>
      </c>
      <c r="AE55" s="622">
        <f>IF(AE$54="","",Underwriting!AO31)</f>
        <v>0</v>
      </c>
      <c r="AF55" s="622">
        <f>IF(AF$54="","",Underwriting!AP31)</f>
        <v>0</v>
      </c>
      <c r="AG55" s="622">
        <f>IF(AG$54="","",Underwriting!AQ31)</f>
        <v>0</v>
      </c>
      <c r="AH55" s="622">
        <f>IF(AH$54="","",Underwriting!AR31)</f>
        <v>0</v>
      </c>
      <c r="AI55" s="622">
        <f>IF(AI$54="","",Underwriting!AS31)</f>
        <v>0</v>
      </c>
      <c r="AJ55" s="622">
        <f>IF(AJ$54="","",Underwriting!AT31)</f>
        <v>0</v>
      </c>
      <c r="AK55" s="622">
        <f>IF(AK$54="","",Underwriting!AU31)</f>
        <v>0</v>
      </c>
      <c r="AL55" s="622">
        <f>IF(AL$54="","",Underwriting!AV31)</f>
        <v>0</v>
      </c>
      <c r="AM55" s="622">
        <f>IF(AM$54="","",Underwriting!AW31)</f>
        <v>0</v>
      </c>
      <c r="AN55" s="622">
        <f>IF(AN$54="","",Underwriting!AX31)</f>
        <v>0</v>
      </c>
      <c r="AO55" s="622">
        <f>IF(AO$54="","",Underwriting!AY31)</f>
        <v>0</v>
      </c>
      <c r="AP55" s="622">
        <f>IF(AP$54="","",Underwriting!AZ31)</f>
        <v>0</v>
      </c>
      <c r="AQ55" s="622">
        <f>IF(AQ$54="","",Underwriting!BA31)</f>
        <v>0</v>
      </c>
      <c r="AR55" s="622" t="str">
        <f>IF(AR$54="","",Underwriting!BB31)</f>
        <v/>
      </c>
      <c r="AS55" s="622" t="str">
        <f>IF(AS$54="","",Underwriting!BC31)</f>
        <v/>
      </c>
      <c r="AT55" s="622" t="str">
        <f>IF(AT$54="","",Underwriting!BD31)</f>
        <v/>
      </c>
      <c r="AU55" s="622" t="str">
        <f>IF(AU$54="","",Underwriting!BE31)</f>
        <v/>
      </c>
      <c r="AV55" s="622" t="str">
        <f>IF(AV$54="","",Underwriting!BF31)</f>
        <v/>
      </c>
      <c r="AW55" s="622" t="str">
        <f>IF(AW$54="","",Underwriting!BG31)</f>
        <v/>
      </c>
      <c r="AX55" s="622" t="str">
        <f>IF(AX$54="","",Underwriting!BH31)</f>
        <v/>
      </c>
      <c r="AY55" s="622" t="str">
        <f>IF(AY$54="","",Underwriting!BI31)</f>
        <v/>
      </c>
      <c r="AZ55" s="622" t="str">
        <f>IF(AZ$54="","",Underwriting!BJ31)</f>
        <v/>
      </c>
      <c r="BA55" s="622" t="str">
        <f>IF(BA$54="","",Underwriting!BK31)</f>
        <v/>
      </c>
      <c r="BB55" s="622" t="str">
        <f>IF(BB$54="","",Underwriting!BL31)</f>
        <v/>
      </c>
      <c r="BC55" s="622" t="str">
        <f>IF(BC$54="","",Underwriting!BM31)</f>
        <v/>
      </c>
      <c r="BD55" s="622" t="str">
        <f>IF(BD$54="","",Underwriting!BN31)</f>
        <v/>
      </c>
      <c r="BE55" s="622" t="str">
        <f>IF(BE$54="","",Underwriting!BO31)</f>
        <v/>
      </c>
      <c r="BF55" s="622" t="str">
        <f>IF(BF$54="","",Underwriting!BP31)</f>
        <v/>
      </c>
      <c r="BG55" s="622" t="str">
        <f>IF(BG$54="","",Underwriting!BQ31)</f>
        <v/>
      </c>
      <c r="BH55" s="622" t="str">
        <f>IF(BH$54="","",Underwriting!BR31)</f>
        <v/>
      </c>
      <c r="BI55" s="622" t="str">
        <f>IF(BI$54="","",Underwriting!BS31)</f>
        <v/>
      </c>
      <c r="BJ55" s="622" t="str">
        <f>IF(BJ$54="","",Underwriting!BT31)</f>
        <v/>
      </c>
      <c r="BK55" s="622" t="str">
        <f>IF(BK$54="","",Underwriting!BU31)</f>
        <v/>
      </c>
      <c r="BL55" s="622" t="str">
        <f>IF(BL$54="","",Underwriting!BV31)</f>
        <v/>
      </c>
      <c r="BM55" s="622" t="str">
        <f>IF(BM$54="","",Underwriting!BW31)</f>
        <v/>
      </c>
      <c r="BN55" s="622" t="str">
        <f>IF(BN$54="","",Underwriting!BX31)</f>
        <v/>
      </c>
      <c r="BO55" s="622" t="str">
        <f>IF(BO$54="","",Underwriting!BY31)</f>
        <v/>
      </c>
      <c r="BP55" s="622" t="str">
        <f>IF(BP$54="","",Underwriting!BZ31)</f>
        <v/>
      </c>
      <c r="BQ55" s="622" t="str">
        <f>IF(BQ$54="","",Underwriting!CA31)</f>
        <v/>
      </c>
      <c r="BR55" s="622" t="str">
        <f>IF(BR$54="","",Underwriting!CB31)</f>
        <v/>
      </c>
      <c r="BS55" s="622" t="str">
        <f>IF(BS$54="","",Underwriting!CC31)</f>
        <v/>
      </c>
      <c r="BT55" s="622" t="str">
        <f>IF(BT$54="","",Underwriting!CD31)</f>
        <v/>
      </c>
      <c r="BU55" s="622" t="str">
        <f>IF(BU$54="","",Underwriting!CE31)</f>
        <v/>
      </c>
      <c r="BV55" s="622" t="str">
        <f>IF(BV$54="","",Underwriting!CF31)</f>
        <v/>
      </c>
      <c r="BW55" s="622" t="str">
        <f>IF(BW$54="","",Underwriting!CG31)</f>
        <v/>
      </c>
      <c r="BX55" s="622" t="str">
        <f>IF(BX$54="","",Underwriting!CH31)</f>
        <v/>
      </c>
      <c r="BY55" s="622" t="str">
        <f>IF(BY$54="","",Underwriting!CI31)</f>
        <v/>
      </c>
      <c r="BZ55" s="622" t="str">
        <f>IF(BZ$54="","",Underwriting!CJ31)</f>
        <v/>
      </c>
      <c r="CA55" s="622" t="str">
        <f>IF(CA$54="","",Underwriting!CK31)</f>
        <v/>
      </c>
      <c r="CB55" s="622" t="str">
        <f>IF(CB$54="","",Underwriting!CL31)</f>
        <v/>
      </c>
      <c r="CC55" s="622" t="str">
        <f>IF(CC$54="","",Underwriting!CM31)</f>
        <v/>
      </c>
      <c r="CD55" s="622" t="str">
        <f>IF(CD$54="","",Underwriting!CN31)</f>
        <v/>
      </c>
      <c r="CE55" s="622" t="str">
        <f>IF(CE$54="","",Underwriting!CO31)</f>
        <v/>
      </c>
      <c r="CF55" s="622" t="str">
        <f>IF(CF$54="","",Underwriting!CP31)</f>
        <v/>
      </c>
      <c r="CG55" s="622" t="str">
        <f>IF(CG$54="","",Underwriting!CQ31)</f>
        <v/>
      </c>
      <c r="CH55" s="622" t="str">
        <f>IF(CH$54="","",Underwriting!CR31)</f>
        <v/>
      </c>
      <c r="CI55" s="622" t="str">
        <f>IF(CI$54="","",Underwriting!CS31)</f>
        <v/>
      </c>
      <c r="CJ55" s="622" t="str">
        <f>IF(CJ$54="","",Underwriting!CT31)</f>
        <v/>
      </c>
      <c r="CK55" s="622" t="str">
        <f>IF(CK$54="","",Underwriting!CU31)</f>
        <v/>
      </c>
      <c r="CL55" s="622" t="str">
        <f>IF(CL$54="","",Underwriting!CV31)</f>
        <v/>
      </c>
      <c r="CM55" s="622" t="str">
        <f>IF(CM$54="","",Underwriting!CW31)</f>
        <v/>
      </c>
      <c r="CN55" s="622" t="str">
        <f>IF(CN$54="","",Underwriting!CX31)</f>
        <v/>
      </c>
      <c r="CO55" s="622" t="str">
        <f>IF(CO$54="","",Underwriting!CY31)</f>
        <v/>
      </c>
      <c r="CP55" s="622" t="str">
        <f>IF(CP$54="","",Underwriting!CZ31)</f>
        <v/>
      </c>
      <c r="CQ55" s="622" t="str">
        <f>IF(CQ$54="","",Underwriting!DA31)</f>
        <v/>
      </c>
      <c r="CR55" s="622" t="str">
        <f>IF(CR$54="","",Underwriting!DB31)</f>
        <v/>
      </c>
      <c r="CS55" s="622" t="str">
        <f>IF(CS$54="","",Underwriting!DC31)</f>
        <v/>
      </c>
      <c r="CT55" s="622" t="str">
        <f>IF(CT$54="","",Underwriting!DD31)</f>
        <v/>
      </c>
      <c r="CU55" s="622" t="str">
        <f>IF(CU$54="","",Underwriting!DE31)</f>
        <v/>
      </c>
      <c r="CV55" s="622" t="str">
        <f>IF(CV$54="","",Underwriting!DF31)</f>
        <v/>
      </c>
      <c r="CW55" s="622" t="str">
        <f>IF(CW$54="","",Underwriting!DG31)</f>
        <v/>
      </c>
      <c r="CX55" s="622" t="str">
        <f>IF(CX$54="","",Underwriting!DH31)</f>
        <v/>
      </c>
      <c r="CY55" s="622" t="str">
        <f>IF(CY$54="","",Underwriting!DI31)</f>
        <v/>
      </c>
      <c r="CZ55" s="622" t="str">
        <f>IF(CZ$54="","",Underwriting!DJ31)</f>
        <v/>
      </c>
      <c r="DA55" s="622" t="str">
        <f>IF(DA$54="","",Underwriting!DK31)</f>
        <v/>
      </c>
      <c r="DB55" s="622" t="str">
        <f>IF(DB$54="","",Underwriting!DL31)</f>
        <v/>
      </c>
      <c r="DC55" s="622" t="str">
        <f>IF(DC$54="","",Underwriting!DM31)</f>
        <v/>
      </c>
      <c r="DD55" s="622" t="str">
        <f>IF(DD$54="","",Underwriting!DN31)</f>
        <v/>
      </c>
      <c r="DE55" s="622" t="str">
        <f>IF(DE$54="","",Underwriting!DO31)</f>
        <v/>
      </c>
      <c r="DF55" s="622" t="str">
        <f>IF(DF$54="","",Underwriting!DP31)</f>
        <v/>
      </c>
      <c r="DG55" s="622" t="str">
        <f>IF(DG$54="","",Underwriting!DQ31)</f>
        <v/>
      </c>
      <c r="DH55" s="622" t="str">
        <f>IF(DH$54="","",Underwriting!DR31)</f>
        <v/>
      </c>
      <c r="DI55" s="622" t="str">
        <f>IF(DI$54="","",Underwriting!DS31)</f>
        <v/>
      </c>
      <c r="DJ55" s="622" t="str">
        <f>IF(DJ$54="","",Underwriting!DT31)</f>
        <v/>
      </c>
      <c r="DK55" s="622" t="str">
        <f>IF(DK$54="","",Underwriting!DU31)</f>
        <v/>
      </c>
      <c r="DL55" s="622" t="str">
        <f>IF(DL$54="","",Underwriting!DV31)</f>
        <v/>
      </c>
      <c r="DM55" s="622" t="str">
        <f>IF(DM$54="","",Underwriting!DW31)</f>
        <v/>
      </c>
      <c r="DN55" s="622" t="str">
        <f>IF(DN$54="","",Underwriting!DX31)</f>
        <v/>
      </c>
      <c r="DO55" s="622" t="str">
        <f>IF(DO$54="","",Underwriting!DY31)</f>
        <v/>
      </c>
      <c r="DP55" s="622" t="str">
        <f>IF(DP$54="","",Underwriting!DZ31)</f>
        <v/>
      </c>
      <c r="DQ55" s="622" t="str">
        <f>IF(DQ$54="","",Underwriting!EA31)</f>
        <v/>
      </c>
      <c r="DR55" s="622" t="str">
        <f>IF(DR$54="","",Underwriting!EB31)</f>
        <v/>
      </c>
      <c r="DS55" s="622" t="str">
        <f>IF(DS$54="","",Underwriting!EC31)</f>
        <v/>
      </c>
      <c r="DT55" s="622" t="str">
        <f>IF(DT$54="","",Underwriting!ED31)</f>
        <v/>
      </c>
      <c r="DU55" s="622" t="str">
        <f>IF(DU$54="","",Underwriting!EE31)</f>
        <v/>
      </c>
      <c r="DV55" s="622" t="str">
        <f>IF(DV$54="","",Underwriting!EF31)</f>
        <v/>
      </c>
      <c r="DW55" s="622" t="str">
        <f>IF(DW$54="","",Underwriting!EG31)</f>
        <v/>
      </c>
      <c r="DX55" s="622" t="str">
        <f>IF(DX$54="","",Underwriting!EH31)</f>
        <v/>
      </c>
      <c r="DY55" s="622" t="str">
        <f>IF(DY$54="","",Underwriting!EI31)</f>
        <v/>
      </c>
      <c r="DZ55" s="622" t="str">
        <f>IF(DZ$54="","",Underwriting!EJ31)</f>
        <v/>
      </c>
      <c r="EA55" s="622" t="str">
        <f>IF(EA$54="","",Underwriting!EK31)</f>
        <v/>
      </c>
      <c r="EB55" s="622" t="str">
        <f>IF(EB$54="","",Underwriting!EL31)</f>
        <v/>
      </c>
      <c r="EC55" s="622" t="str">
        <f>IF(EC$54="","",Underwriting!EM31)</f>
        <v/>
      </c>
      <c r="ED55" s="622" t="str">
        <f>IF(ED$54="","",Underwriting!EN31)</f>
        <v/>
      </c>
      <c r="EE55" s="622" t="str">
        <f>IF(EE$54="","",Underwriting!EO31)</f>
        <v/>
      </c>
      <c r="EF55" s="622" t="str">
        <f>IF(EF$54="","",Underwriting!EP31)</f>
        <v/>
      </c>
      <c r="EG55" s="622" t="str">
        <f>IF(EG$54="","",Underwriting!EQ31)</f>
        <v/>
      </c>
      <c r="EH55" s="622" t="str">
        <f>IF(EH$54="","",Underwriting!ER31)</f>
        <v/>
      </c>
      <c r="EI55" s="622" t="str">
        <f>IF(EI$54="","",Underwriting!ES31)</f>
        <v/>
      </c>
    </row>
    <row r="56" spans="2:139" outlineLevel="1" x14ac:dyDescent="0.25">
      <c r="B56" s="621" t="s">
        <v>24</v>
      </c>
      <c r="C56" s="448"/>
      <c r="D56" s="448"/>
      <c r="E56" s="448"/>
      <c r="F56" s="448"/>
      <c r="G56" s="622">
        <f>IF(G$54="","",Underwriting!Q38)</f>
        <v>0</v>
      </c>
      <c r="H56" s="622">
        <f>IF(H$54="","",Underwriting!R38)</f>
        <v>14838.051122682164</v>
      </c>
      <c r="I56" s="622">
        <f>IF(I$54="","",Underwriting!S38)</f>
        <v>50502.066144580953</v>
      </c>
      <c r="J56" s="622">
        <f>IF(J$54="","",Underwriting!T38)</f>
        <v>134516.94439839575</v>
      </c>
      <c r="K56" s="622">
        <f>IF(K$54="","",Underwriting!U38)</f>
        <v>280434.43614431878</v>
      </c>
      <c r="L56" s="622">
        <f>IF(L$54="","",Underwriting!V38)</f>
        <v>457627.05692607386</v>
      </c>
      <c r="M56" s="622">
        <f>IF(M$54="","",Underwriting!W38)</f>
        <v>584581.44526394852</v>
      </c>
      <c r="N56" s="622">
        <f>IF(N$54="","",Underwriting!X38)</f>
        <v>584581.44526394852</v>
      </c>
      <c r="O56" s="622">
        <f>IF(O$54="","",Underwriting!Y38)</f>
        <v>457627.05692607397</v>
      </c>
      <c r="P56" s="622">
        <f>IF(P$54="","",Underwriting!Z38)</f>
        <v>280434.43614431861</v>
      </c>
      <c r="Q56" s="622">
        <f>IF(Q$54="","",Underwriting!AA38)</f>
        <v>134516.94439839578</v>
      </c>
      <c r="R56" s="622">
        <f>IF(R$54="","",Underwriting!AB38)</f>
        <v>50502.066144580931</v>
      </c>
      <c r="S56" s="622">
        <f>IF(S$54="","",Underwriting!AC38)</f>
        <v>14838.051122682213</v>
      </c>
      <c r="T56" s="622">
        <f>IF(T$54="","",Underwriting!AD38)</f>
        <v>0</v>
      </c>
      <c r="U56" s="622">
        <f>IF(U$54="","",Underwriting!AE38)</f>
        <v>0</v>
      </c>
      <c r="V56" s="622">
        <f>IF(V$54="","",Underwriting!AF38)</f>
        <v>0</v>
      </c>
      <c r="W56" s="622">
        <f>IF(W$54="","",Underwriting!AG38)</f>
        <v>0</v>
      </c>
      <c r="X56" s="622">
        <f>IF(X$54="","",Underwriting!AH38)</f>
        <v>0</v>
      </c>
      <c r="Y56" s="622">
        <f>IF(Y$54="","",Underwriting!AI38)</f>
        <v>0</v>
      </c>
      <c r="Z56" s="622">
        <f>IF(Z$54="","",Underwriting!AJ38)</f>
        <v>0</v>
      </c>
      <c r="AA56" s="622">
        <f>IF(AA$54="","",Underwriting!AK38)</f>
        <v>0</v>
      </c>
      <c r="AB56" s="622">
        <f>IF(AB$54="","",Underwriting!AL38)</f>
        <v>0</v>
      </c>
      <c r="AC56" s="622">
        <f>IF(AC$54="","",Underwriting!AM38)</f>
        <v>0</v>
      </c>
      <c r="AD56" s="622">
        <f>IF(AD$54="","",Underwriting!AN38)</f>
        <v>0</v>
      </c>
      <c r="AE56" s="622">
        <f>IF(AE$54="","",Underwriting!AO38)</f>
        <v>0</v>
      </c>
      <c r="AF56" s="622">
        <f>IF(AF$54="","",Underwriting!AP38)</f>
        <v>0</v>
      </c>
      <c r="AG56" s="622">
        <f>IF(AG$54="","",Underwriting!AQ38)</f>
        <v>0</v>
      </c>
      <c r="AH56" s="622">
        <f>IF(AH$54="","",Underwriting!AR38)</f>
        <v>0</v>
      </c>
      <c r="AI56" s="622">
        <f>IF(AI$54="","",Underwriting!AS38)</f>
        <v>0</v>
      </c>
      <c r="AJ56" s="622">
        <f>IF(AJ$54="","",Underwriting!AT38)</f>
        <v>0</v>
      </c>
      <c r="AK56" s="622">
        <f>IF(AK$54="","",Underwriting!AU38)</f>
        <v>0</v>
      </c>
      <c r="AL56" s="622">
        <f>IF(AL$54="","",Underwriting!AV38)</f>
        <v>0</v>
      </c>
      <c r="AM56" s="622">
        <f>IF(AM$54="","",Underwriting!AW38)</f>
        <v>0</v>
      </c>
      <c r="AN56" s="622">
        <f>IF(AN$54="","",Underwriting!AX38)</f>
        <v>0</v>
      </c>
      <c r="AO56" s="622">
        <f>IF(AO$54="","",Underwriting!AY38)</f>
        <v>0</v>
      </c>
      <c r="AP56" s="622">
        <f>IF(AP$54="","",Underwriting!AZ38)</f>
        <v>0</v>
      </c>
      <c r="AQ56" s="622">
        <f>IF(AQ$54="","",Underwriting!BA38)</f>
        <v>0</v>
      </c>
      <c r="AR56" s="622" t="str">
        <f>IF(AR$54="","",Underwriting!BB38)</f>
        <v/>
      </c>
      <c r="AS56" s="622" t="str">
        <f>IF(AS$54="","",Underwriting!BC38)</f>
        <v/>
      </c>
      <c r="AT56" s="622" t="str">
        <f>IF(AT$54="","",Underwriting!BD38)</f>
        <v/>
      </c>
      <c r="AU56" s="622" t="str">
        <f>IF(AU$54="","",Underwriting!BE38)</f>
        <v/>
      </c>
      <c r="AV56" s="622" t="str">
        <f>IF(AV$54="","",Underwriting!BF38)</f>
        <v/>
      </c>
      <c r="AW56" s="622" t="str">
        <f>IF(AW$54="","",Underwriting!BG38)</f>
        <v/>
      </c>
      <c r="AX56" s="622" t="str">
        <f>IF(AX$54="","",Underwriting!BH38)</f>
        <v/>
      </c>
      <c r="AY56" s="622" t="str">
        <f>IF(AY$54="","",Underwriting!BI38)</f>
        <v/>
      </c>
      <c r="AZ56" s="622" t="str">
        <f>IF(AZ$54="","",Underwriting!BJ38)</f>
        <v/>
      </c>
      <c r="BA56" s="622" t="str">
        <f>IF(BA$54="","",Underwriting!BK38)</f>
        <v/>
      </c>
      <c r="BB56" s="622" t="str">
        <f>IF(BB$54="","",Underwriting!BL38)</f>
        <v/>
      </c>
      <c r="BC56" s="622" t="str">
        <f>IF(BC$54="","",Underwriting!BM38)</f>
        <v/>
      </c>
      <c r="BD56" s="622" t="str">
        <f>IF(BD$54="","",Underwriting!BN38)</f>
        <v/>
      </c>
      <c r="BE56" s="622" t="str">
        <f>IF(BE$54="","",Underwriting!BO38)</f>
        <v/>
      </c>
      <c r="BF56" s="622" t="str">
        <f>IF(BF$54="","",Underwriting!BP38)</f>
        <v/>
      </c>
      <c r="BG56" s="622" t="str">
        <f>IF(BG$54="","",Underwriting!BQ38)</f>
        <v/>
      </c>
      <c r="BH56" s="622" t="str">
        <f>IF(BH$54="","",Underwriting!BR38)</f>
        <v/>
      </c>
      <c r="BI56" s="622" t="str">
        <f>IF(BI$54="","",Underwriting!BS38)</f>
        <v/>
      </c>
      <c r="BJ56" s="622" t="str">
        <f>IF(BJ$54="","",Underwriting!BT38)</f>
        <v/>
      </c>
      <c r="BK56" s="622" t="str">
        <f>IF(BK$54="","",Underwriting!BU38)</f>
        <v/>
      </c>
      <c r="BL56" s="622" t="str">
        <f>IF(BL$54="","",Underwriting!BV38)</f>
        <v/>
      </c>
      <c r="BM56" s="622" t="str">
        <f>IF(BM$54="","",Underwriting!BW38)</f>
        <v/>
      </c>
      <c r="BN56" s="622" t="str">
        <f>IF(BN$54="","",Underwriting!BX38)</f>
        <v/>
      </c>
      <c r="BO56" s="622" t="str">
        <f>IF(BO$54="","",Underwriting!BY38)</f>
        <v/>
      </c>
      <c r="BP56" s="622" t="str">
        <f>IF(BP$54="","",Underwriting!BZ38)</f>
        <v/>
      </c>
      <c r="BQ56" s="622" t="str">
        <f>IF(BQ$54="","",Underwriting!CA38)</f>
        <v/>
      </c>
      <c r="BR56" s="622" t="str">
        <f>IF(BR$54="","",Underwriting!CB38)</f>
        <v/>
      </c>
      <c r="BS56" s="622" t="str">
        <f>IF(BS$54="","",Underwriting!CC38)</f>
        <v/>
      </c>
      <c r="BT56" s="622" t="str">
        <f>IF(BT$54="","",Underwriting!CD38)</f>
        <v/>
      </c>
      <c r="BU56" s="622" t="str">
        <f>IF(BU$54="","",Underwriting!CE38)</f>
        <v/>
      </c>
      <c r="BV56" s="622" t="str">
        <f>IF(BV$54="","",Underwriting!CF38)</f>
        <v/>
      </c>
      <c r="BW56" s="622" t="str">
        <f>IF(BW$54="","",Underwriting!CG38)</f>
        <v/>
      </c>
      <c r="BX56" s="622" t="str">
        <f>IF(BX$54="","",Underwriting!CH38)</f>
        <v/>
      </c>
      <c r="BY56" s="622" t="str">
        <f>IF(BY$54="","",Underwriting!CI38)</f>
        <v/>
      </c>
      <c r="BZ56" s="622" t="str">
        <f>IF(BZ$54="","",Underwriting!CJ38)</f>
        <v/>
      </c>
      <c r="CA56" s="622" t="str">
        <f>IF(CA$54="","",Underwriting!CK38)</f>
        <v/>
      </c>
      <c r="CB56" s="622" t="str">
        <f>IF(CB$54="","",Underwriting!CL38)</f>
        <v/>
      </c>
      <c r="CC56" s="622" t="str">
        <f>IF(CC$54="","",Underwriting!CM38)</f>
        <v/>
      </c>
      <c r="CD56" s="622" t="str">
        <f>IF(CD$54="","",Underwriting!CN38)</f>
        <v/>
      </c>
      <c r="CE56" s="622" t="str">
        <f>IF(CE$54="","",Underwriting!CO38)</f>
        <v/>
      </c>
      <c r="CF56" s="622" t="str">
        <f>IF(CF$54="","",Underwriting!CP38)</f>
        <v/>
      </c>
      <c r="CG56" s="622" t="str">
        <f>IF(CG$54="","",Underwriting!CQ38)</f>
        <v/>
      </c>
      <c r="CH56" s="622" t="str">
        <f>IF(CH$54="","",Underwriting!CR38)</f>
        <v/>
      </c>
      <c r="CI56" s="622" t="str">
        <f>IF(CI$54="","",Underwriting!CS38)</f>
        <v/>
      </c>
      <c r="CJ56" s="622" t="str">
        <f>IF(CJ$54="","",Underwriting!CT38)</f>
        <v/>
      </c>
      <c r="CK56" s="622" t="str">
        <f>IF(CK$54="","",Underwriting!CU38)</f>
        <v/>
      </c>
      <c r="CL56" s="622" t="str">
        <f>IF(CL$54="","",Underwriting!CV38)</f>
        <v/>
      </c>
      <c r="CM56" s="622" t="str">
        <f>IF(CM$54="","",Underwriting!CW38)</f>
        <v/>
      </c>
      <c r="CN56" s="622" t="str">
        <f>IF(CN$54="","",Underwriting!CX38)</f>
        <v/>
      </c>
      <c r="CO56" s="622" t="str">
        <f>IF(CO$54="","",Underwriting!CY38)</f>
        <v/>
      </c>
      <c r="CP56" s="622" t="str">
        <f>IF(CP$54="","",Underwriting!CZ38)</f>
        <v/>
      </c>
      <c r="CQ56" s="622" t="str">
        <f>IF(CQ$54="","",Underwriting!DA38)</f>
        <v/>
      </c>
      <c r="CR56" s="622" t="str">
        <f>IF(CR$54="","",Underwriting!DB38)</f>
        <v/>
      </c>
      <c r="CS56" s="622" t="str">
        <f>IF(CS$54="","",Underwriting!DC38)</f>
        <v/>
      </c>
      <c r="CT56" s="622" t="str">
        <f>IF(CT$54="","",Underwriting!DD38)</f>
        <v/>
      </c>
      <c r="CU56" s="622" t="str">
        <f>IF(CU$54="","",Underwriting!DE38)</f>
        <v/>
      </c>
      <c r="CV56" s="622" t="str">
        <f>IF(CV$54="","",Underwriting!DF38)</f>
        <v/>
      </c>
      <c r="CW56" s="622" t="str">
        <f>IF(CW$54="","",Underwriting!DG38)</f>
        <v/>
      </c>
      <c r="CX56" s="622" t="str">
        <f>IF(CX$54="","",Underwriting!DH38)</f>
        <v/>
      </c>
      <c r="CY56" s="622" t="str">
        <f>IF(CY$54="","",Underwriting!DI38)</f>
        <v/>
      </c>
      <c r="CZ56" s="622" t="str">
        <f>IF(CZ$54="","",Underwriting!DJ38)</f>
        <v/>
      </c>
      <c r="DA56" s="622" t="str">
        <f>IF(DA$54="","",Underwriting!DK38)</f>
        <v/>
      </c>
      <c r="DB56" s="622" t="str">
        <f>IF(DB$54="","",Underwriting!DL38)</f>
        <v/>
      </c>
      <c r="DC56" s="622" t="str">
        <f>IF(DC$54="","",Underwriting!DM38)</f>
        <v/>
      </c>
      <c r="DD56" s="622" t="str">
        <f>IF(DD$54="","",Underwriting!DN38)</f>
        <v/>
      </c>
      <c r="DE56" s="622" t="str">
        <f>IF(DE$54="","",Underwriting!DO38)</f>
        <v/>
      </c>
      <c r="DF56" s="622" t="str">
        <f>IF(DF$54="","",Underwriting!DP38)</f>
        <v/>
      </c>
      <c r="DG56" s="622" t="str">
        <f>IF(DG$54="","",Underwriting!DQ38)</f>
        <v/>
      </c>
      <c r="DH56" s="622" t="str">
        <f>IF(DH$54="","",Underwriting!DR38)</f>
        <v/>
      </c>
      <c r="DI56" s="622" t="str">
        <f>IF(DI$54="","",Underwriting!DS38)</f>
        <v/>
      </c>
      <c r="DJ56" s="622" t="str">
        <f>IF(DJ$54="","",Underwriting!DT38)</f>
        <v/>
      </c>
      <c r="DK56" s="622" t="str">
        <f>IF(DK$54="","",Underwriting!DU38)</f>
        <v/>
      </c>
      <c r="DL56" s="622" t="str">
        <f>IF(DL$54="","",Underwriting!DV38)</f>
        <v/>
      </c>
      <c r="DM56" s="622" t="str">
        <f>IF(DM$54="","",Underwriting!DW38)</f>
        <v/>
      </c>
      <c r="DN56" s="622" t="str">
        <f>IF(DN$54="","",Underwriting!DX38)</f>
        <v/>
      </c>
      <c r="DO56" s="622" t="str">
        <f>IF(DO$54="","",Underwriting!DY38)</f>
        <v/>
      </c>
      <c r="DP56" s="622" t="str">
        <f>IF(DP$54="","",Underwriting!DZ38)</f>
        <v/>
      </c>
      <c r="DQ56" s="622" t="str">
        <f>IF(DQ$54="","",Underwriting!EA38)</f>
        <v/>
      </c>
      <c r="DR56" s="622" t="str">
        <f>IF(DR$54="","",Underwriting!EB38)</f>
        <v/>
      </c>
      <c r="DS56" s="622" t="str">
        <f>IF(DS$54="","",Underwriting!EC38)</f>
        <v/>
      </c>
      <c r="DT56" s="622" t="str">
        <f>IF(DT$54="","",Underwriting!ED38)</f>
        <v/>
      </c>
      <c r="DU56" s="622" t="str">
        <f>IF(DU$54="","",Underwriting!EE38)</f>
        <v/>
      </c>
      <c r="DV56" s="622" t="str">
        <f>IF(DV$54="","",Underwriting!EF38)</f>
        <v/>
      </c>
      <c r="DW56" s="622" t="str">
        <f>IF(DW$54="","",Underwriting!EG38)</f>
        <v/>
      </c>
      <c r="DX56" s="622" t="str">
        <f>IF(DX$54="","",Underwriting!EH38)</f>
        <v/>
      </c>
      <c r="DY56" s="622" t="str">
        <f>IF(DY$54="","",Underwriting!EI38)</f>
        <v/>
      </c>
      <c r="DZ56" s="622" t="str">
        <f>IF(DZ$54="","",Underwriting!EJ38)</f>
        <v/>
      </c>
      <c r="EA56" s="622" t="str">
        <f>IF(EA$54="","",Underwriting!EK38)</f>
        <v/>
      </c>
      <c r="EB56" s="622" t="str">
        <f>IF(EB$54="","",Underwriting!EL38)</f>
        <v/>
      </c>
      <c r="EC56" s="622" t="str">
        <f>IF(EC$54="","",Underwriting!EM38)</f>
        <v/>
      </c>
      <c r="ED56" s="622" t="str">
        <f>IF(ED$54="","",Underwriting!EN38)</f>
        <v/>
      </c>
      <c r="EE56" s="622" t="str">
        <f>IF(EE$54="","",Underwriting!EO38)</f>
        <v/>
      </c>
      <c r="EF56" s="622" t="str">
        <f>IF(EF$54="","",Underwriting!EP38)</f>
        <v/>
      </c>
      <c r="EG56" s="622" t="str">
        <f>IF(EG$54="","",Underwriting!EQ38)</f>
        <v/>
      </c>
      <c r="EH56" s="622" t="str">
        <f>IF(EH$54="","",Underwriting!ER38)</f>
        <v/>
      </c>
      <c r="EI56" s="622" t="str">
        <f>IF(EI$54="","",Underwriting!ES38)</f>
        <v/>
      </c>
    </row>
    <row r="57" spans="2:139" outlineLevel="1" x14ac:dyDescent="0.25">
      <c r="B57" s="621" t="s">
        <v>25</v>
      </c>
      <c r="C57" s="448"/>
      <c r="D57" s="448"/>
      <c r="E57" s="448"/>
      <c r="F57" s="448"/>
      <c r="G57" s="623">
        <f>IF(G$54="","",Underwriting!Q49)</f>
        <v>252002.85714285713</v>
      </c>
      <c r="H57" s="623">
        <f>IF(H$54="","",Underwriting!R49)</f>
        <v>2002.8571428571429</v>
      </c>
      <c r="I57" s="623">
        <f>IF(I$54="","",Underwriting!S49)</f>
        <v>2002.8571428571429</v>
      </c>
      <c r="J57" s="623">
        <f>IF(J$54="","",Underwriting!T49)</f>
        <v>2002.8571428571429</v>
      </c>
      <c r="K57" s="623">
        <f>IF(K$54="","",Underwriting!U49)</f>
        <v>2002.8571428571429</v>
      </c>
      <c r="L57" s="623">
        <f>IF(L$54="","",Underwriting!V49)</f>
        <v>2002.8571428571429</v>
      </c>
      <c r="M57" s="623">
        <f>IF(M$54="","",Underwriting!W49)</f>
        <v>2002.8571428571429</v>
      </c>
      <c r="N57" s="623">
        <f>IF(N$54="","",Underwriting!X49)</f>
        <v>0</v>
      </c>
      <c r="O57" s="623">
        <f>IF(O$54="","",Underwriting!Y49)</f>
        <v>0</v>
      </c>
      <c r="P57" s="623">
        <f>IF(P$54="","",Underwriting!Z49)</f>
        <v>0</v>
      </c>
      <c r="Q57" s="623">
        <f>IF(Q$54="","",Underwriting!AA49)</f>
        <v>0</v>
      </c>
      <c r="R57" s="623">
        <f>IF(R$54="","",Underwriting!AB49)</f>
        <v>0</v>
      </c>
      <c r="S57" s="623">
        <f>IF(S$54="","",Underwriting!AC49)</f>
        <v>0</v>
      </c>
      <c r="T57" s="623">
        <f>IF(T$54="","",Underwriting!AD49)</f>
        <v>15200</v>
      </c>
      <c r="U57" s="623">
        <f>IF(U$54="","",Underwriting!AE49)</f>
        <v>15200</v>
      </c>
      <c r="V57" s="623">
        <f>IF(V$54="","",Underwriting!AF49)</f>
        <v>0</v>
      </c>
      <c r="W57" s="623">
        <f>IF(W$54="","",Underwriting!AG49)</f>
        <v>0</v>
      </c>
      <c r="X57" s="623">
        <f>IF(X$54="","",Underwriting!AH49)</f>
        <v>0</v>
      </c>
      <c r="Y57" s="623">
        <f>IF(Y$54="","",Underwriting!AI49)</f>
        <v>0</v>
      </c>
      <c r="Z57" s="623">
        <f>IF(Z$54="","",Underwriting!AJ49)</f>
        <v>0</v>
      </c>
      <c r="AA57" s="623">
        <f>IF(AA$54="","",Underwriting!AK49)</f>
        <v>0</v>
      </c>
      <c r="AB57" s="623">
        <f>IF(AB$54="","",Underwriting!AL49)</f>
        <v>0</v>
      </c>
      <c r="AC57" s="623">
        <f>IF(AC$54="","",Underwriting!AM49)</f>
        <v>0</v>
      </c>
      <c r="AD57" s="623">
        <f>IF(AD$54="","",Underwriting!AN49)</f>
        <v>0</v>
      </c>
      <c r="AE57" s="623">
        <f>IF(AE$54="","",Underwriting!AO49)</f>
        <v>0</v>
      </c>
      <c r="AF57" s="623">
        <f>IF(AF$54="","",Underwriting!AP49)</f>
        <v>0</v>
      </c>
      <c r="AG57" s="623">
        <f>IF(AG$54="","",Underwriting!AQ49)</f>
        <v>0</v>
      </c>
      <c r="AH57" s="623">
        <f>IF(AH$54="","",Underwriting!AR49)</f>
        <v>0</v>
      </c>
      <c r="AI57" s="623">
        <f>IF(AI$54="","",Underwriting!AS49)</f>
        <v>0</v>
      </c>
      <c r="AJ57" s="623">
        <f>IF(AJ$54="","",Underwriting!AT49)</f>
        <v>0</v>
      </c>
      <c r="AK57" s="623">
        <f>IF(AK$54="","",Underwriting!AU49)</f>
        <v>0</v>
      </c>
      <c r="AL57" s="623">
        <f>IF(AL$54="","",Underwriting!AV49)</f>
        <v>0</v>
      </c>
      <c r="AM57" s="623">
        <f>IF(AM$54="","",Underwriting!AW49)</f>
        <v>0</v>
      </c>
      <c r="AN57" s="623">
        <f>IF(AN$54="","",Underwriting!AX49)</f>
        <v>0</v>
      </c>
      <c r="AO57" s="623">
        <f>IF(AO$54="","",Underwriting!AY49)</f>
        <v>0</v>
      </c>
      <c r="AP57" s="623">
        <f>IF(AP$54="","",Underwriting!AZ49)</f>
        <v>0</v>
      </c>
      <c r="AQ57" s="623">
        <f>IF(AQ$54="","",Underwriting!BA49)</f>
        <v>0</v>
      </c>
      <c r="AR57" s="623" t="str">
        <f>IF(AR$54="","",Underwriting!BB49)</f>
        <v/>
      </c>
      <c r="AS57" s="623" t="str">
        <f>IF(AS$54="","",Underwriting!BC49)</f>
        <v/>
      </c>
      <c r="AT57" s="623" t="str">
        <f>IF(AT$54="","",Underwriting!BD49)</f>
        <v/>
      </c>
      <c r="AU57" s="623" t="str">
        <f>IF(AU$54="","",Underwriting!BE49)</f>
        <v/>
      </c>
      <c r="AV57" s="623" t="str">
        <f>IF(AV$54="","",Underwriting!BF49)</f>
        <v/>
      </c>
      <c r="AW57" s="623" t="str">
        <f>IF(AW$54="","",Underwriting!BG49)</f>
        <v/>
      </c>
      <c r="AX57" s="623" t="str">
        <f>IF(AX$54="","",Underwriting!BH49)</f>
        <v/>
      </c>
      <c r="AY57" s="623" t="str">
        <f>IF(AY$54="","",Underwriting!BI49)</f>
        <v/>
      </c>
      <c r="AZ57" s="623" t="str">
        <f>IF(AZ$54="","",Underwriting!BJ49)</f>
        <v/>
      </c>
      <c r="BA57" s="623" t="str">
        <f>IF(BA$54="","",Underwriting!BK49)</f>
        <v/>
      </c>
      <c r="BB57" s="623" t="str">
        <f>IF(BB$54="","",Underwriting!BL49)</f>
        <v/>
      </c>
      <c r="BC57" s="623" t="str">
        <f>IF(BC$54="","",Underwriting!BM49)</f>
        <v/>
      </c>
      <c r="BD57" s="623" t="str">
        <f>IF(BD$54="","",Underwriting!BN49)</f>
        <v/>
      </c>
      <c r="BE57" s="623" t="str">
        <f>IF(BE$54="","",Underwriting!BO49)</f>
        <v/>
      </c>
      <c r="BF57" s="623" t="str">
        <f>IF(BF$54="","",Underwriting!BP49)</f>
        <v/>
      </c>
      <c r="BG57" s="623" t="str">
        <f>IF(BG$54="","",Underwriting!BQ49)</f>
        <v/>
      </c>
      <c r="BH57" s="623" t="str">
        <f>IF(BH$54="","",Underwriting!BR49)</f>
        <v/>
      </c>
      <c r="BI57" s="623" t="str">
        <f>IF(BI$54="","",Underwriting!BS49)</f>
        <v/>
      </c>
      <c r="BJ57" s="623" t="str">
        <f>IF(BJ$54="","",Underwriting!BT49)</f>
        <v/>
      </c>
      <c r="BK57" s="623" t="str">
        <f>IF(BK$54="","",Underwriting!BU49)</f>
        <v/>
      </c>
      <c r="BL57" s="623" t="str">
        <f>IF(BL$54="","",Underwriting!BV49)</f>
        <v/>
      </c>
      <c r="BM57" s="623" t="str">
        <f>IF(BM$54="","",Underwriting!BW49)</f>
        <v/>
      </c>
      <c r="BN57" s="623" t="str">
        <f>IF(BN$54="","",Underwriting!BX49)</f>
        <v/>
      </c>
      <c r="BO57" s="623" t="str">
        <f>IF(BO$54="","",Underwriting!BY49)</f>
        <v/>
      </c>
      <c r="BP57" s="623" t="str">
        <f>IF(BP$54="","",Underwriting!BZ49)</f>
        <v/>
      </c>
      <c r="BQ57" s="623" t="str">
        <f>IF(BQ$54="","",Underwriting!CA49)</f>
        <v/>
      </c>
      <c r="BR57" s="623" t="str">
        <f>IF(BR$54="","",Underwriting!CB49)</f>
        <v/>
      </c>
      <c r="BS57" s="623" t="str">
        <f>IF(BS$54="","",Underwriting!CC49)</f>
        <v/>
      </c>
      <c r="BT57" s="623" t="str">
        <f>IF(BT$54="","",Underwriting!CD49)</f>
        <v/>
      </c>
      <c r="BU57" s="623" t="str">
        <f>IF(BU$54="","",Underwriting!CE49)</f>
        <v/>
      </c>
      <c r="BV57" s="623" t="str">
        <f>IF(BV$54="","",Underwriting!CF49)</f>
        <v/>
      </c>
      <c r="BW57" s="623" t="str">
        <f>IF(BW$54="","",Underwriting!CG49)</f>
        <v/>
      </c>
      <c r="BX57" s="623" t="str">
        <f>IF(BX$54="","",Underwriting!CH49)</f>
        <v/>
      </c>
      <c r="BY57" s="623" t="str">
        <f>IF(BY$54="","",Underwriting!CI49)</f>
        <v/>
      </c>
      <c r="BZ57" s="623" t="str">
        <f>IF(BZ$54="","",Underwriting!CJ49)</f>
        <v/>
      </c>
      <c r="CA57" s="623" t="str">
        <f>IF(CA$54="","",Underwriting!CK49)</f>
        <v/>
      </c>
      <c r="CB57" s="623" t="str">
        <f>IF(CB$54="","",Underwriting!CL49)</f>
        <v/>
      </c>
      <c r="CC57" s="623" t="str">
        <f>IF(CC$54="","",Underwriting!CM49)</f>
        <v/>
      </c>
      <c r="CD57" s="623" t="str">
        <f>IF(CD$54="","",Underwriting!CN49)</f>
        <v/>
      </c>
      <c r="CE57" s="623" t="str">
        <f>IF(CE$54="","",Underwriting!CO49)</f>
        <v/>
      </c>
      <c r="CF57" s="623" t="str">
        <f>IF(CF$54="","",Underwriting!CP49)</f>
        <v/>
      </c>
      <c r="CG57" s="623" t="str">
        <f>IF(CG$54="","",Underwriting!CQ49)</f>
        <v/>
      </c>
      <c r="CH57" s="623" t="str">
        <f>IF(CH$54="","",Underwriting!CR49)</f>
        <v/>
      </c>
      <c r="CI57" s="623" t="str">
        <f>IF(CI$54="","",Underwriting!CS49)</f>
        <v/>
      </c>
      <c r="CJ57" s="623" t="str">
        <f>IF(CJ$54="","",Underwriting!CT49)</f>
        <v/>
      </c>
      <c r="CK57" s="623" t="str">
        <f>IF(CK$54="","",Underwriting!CU49)</f>
        <v/>
      </c>
      <c r="CL57" s="623" t="str">
        <f>IF(CL$54="","",Underwriting!CV49)</f>
        <v/>
      </c>
      <c r="CM57" s="623" t="str">
        <f>IF(CM$54="","",Underwriting!CW49)</f>
        <v/>
      </c>
      <c r="CN57" s="623" t="str">
        <f>IF(CN$54="","",Underwriting!CX49)</f>
        <v/>
      </c>
      <c r="CO57" s="623" t="str">
        <f>IF(CO$54="","",Underwriting!CY49)</f>
        <v/>
      </c>
      <c r="CP57" s="623" t="str">
        <f>IF(CP$54="","",Underwriting!CZ49)</f>
        <v/>
      </c>
      <c r="CQ57" s="623" t="str">
        <f>IF(CQ$54="","",Underwriting!DA49)</f>
        <v/>
      </c>
      <c r="CR57" s="623" t="str">
        <f>IF(CR$54="","",Underwriting!DB49)</f>
        <v/>
      </c>
      <c r="CS57" s="623" t="str">
        <f>IF(CS$54="","",Underwriting!DC49)</f>
        <v/>
      </c>
      <c r="CT57" s="623" t="str">
        <f>IF(CT$54="","",Underwriting!DD49)</f>
        <v/>
      </c>
      <c r="CU57" s="623" t="str">
        <f>IF(CU$54="","",Underwriting!DE49)</f>
        <v/>
      </c>
      <c r="CV57" s="623" t="str">
        <f>IF(CV$54="","",Underwriting!DF49)</f>
        <v/>
      </c>
      <c r="CW57" s="623" t="str">
        <f>IF(CW$54="","",Underwriting!DG49)</f>
        <v/>
      </c>
      <c r="CX57" s="623" t="str">
        <f>IF(CX$54="","",Underwriting!DH49)</f>
        <v/>
      </c>
      <c r="CY57" s="623" t="str">
        <f>IF(CY$54="","",Underwriting!DI49)</f>
        <v/>
      </c>
      <c r="CZ57" s="623" t="str">
        <f>IF(CZ$54="","",Underwriting!DJ49)</f>
        <v/>
      </c>
      <c r="DA57" s="623" t="str">
        <f>IF(DA$54="","",Underwriting!DK49)</f>
        <v/>
      </c>
      <c r="DB57" s="623" t="str">
        <f>IF(DB$54="","",Underwriting!DL49)</f>
        <v/>
      </c>
      <c r="DC57" s="623" t="str">
        <f>IF(DC$54="","",Underwriting!DM49)</f>
        <v/>
      </c>
      <c r="DD57" s="623" t="str">
        <f>IF(DD$54="","",Underwriting!DN49)</f>
        <v/>
      </c>
      <c r="DE57" s="623" t="str">
        <f>IF(DE$54="","",Underwriting!DO49)</f>
        <v/>
      </c>
      <c r="DF57" s="623" t="str">
        <f>IF(DF$54="","",Underwriting!DP49)</f>
        <v/>
      </c>
      <c r="DG57" s="623" t="str">
        <f>IF(DG$54="","",Underwriting!DQ49)</f>
        <v/>
      </c>
      <c r="DH57" s="623" t="str">
        <f>IF(DH$54="","",Underwriting!DR49)</f>
        <v/>
      </c>
      <c r="DI57" s="623" t="str">
        <f>IF(DI$54="","",Underwriting!DS49)</f>
        <v/>
      </c>
      <c r="DJ57" s="623" t="str">
        <f>IF(DJ$54="","",Underwriting!DT49)</f>
        <v/>
      </c>
      <c r="DK57" s="623" t="str">
        <f>IF(DK$54="","",Underwriting!DU49)</f>
        <v/>
      </c>
      <c r="DL57" s="623" t="str">
        <f>IF(DL$54="","",Underwriting!DV49)</f>
        <v/>
      </c>
      <c r="DM57" s="623" t="str">
        <f>IF(DM$54="","",Underwriting!DW49)</f>
        <v/>
      </c>
      <c r="DN57" s="623" t="str">
        <f>IF(DN$54="","",Underwriting!DX49)</f>
        <v/>
      </c>
      <c r="DO57" s="623" t="str">
        <f>IF(DO$54="","",Underwriting!DY49)</f>
        <v/>
      </c>
      <c r="DP57" s="623" t="str">
        <f>IF(DP$54="","",Underwriting!DZ49)</f>
        <v/>
      </c>
      <c r="DQ57" s="623" t="str">
        <f>IF(DQ$54="","",Underwriting!EA49)</f>
        <v/>
      </c>
      <c r="DR57" s="623" t="str">
        <f>IF(DR$54="","",Underwriting!EB49)</f>
        <v/>
      </c>
      <c r="DS57" s="623" t="str">
        <f>IF(DS$54="","",Underwriting!EC49)</f>
        <v/>
      </c>
      <c r="DT57" s="623" t="str">
        <f>IF(DT$54="","",Underwriting!ED49)</f>
        <v/>
      </c>
      <c r="DU57" s="623" t="str">
        <f>IF(DU$54="","",Underwriting!EE49)</f>
        <v/>
      </c>
      <c r="DV57" s="623" t="str">
        <f>IF(DV$54="","",Underwriting!EF49)</f>
        <v/>
      </c>
      <c r="DW57" s="623" t="str">
        <f>IF(DW$54="","",Underwriting!EG49)</f>
        <v/>
      </c>
      <c r="DX57" s="623" t="str">
        <f>IF(DX$54="","",Underwriting!EH49)</f>
        <v/>
      </c>
      <c r="DY57" s="623" t="str">
        <f>IF(DY$54="","",Underwriting!EI49)</f>
        <v/>
      </c>
      <c r="DZ57" s="623" t="str">
        <f>IF(DZ$54="","",Underwriting!EJ49)</f>
        <v/>
      </c>
      <c r="EA57" s="623" t="str">
        <f>IF(EA$54="","",Underwriting!EK49)</f>
        <v/>
      </c>
      <c r="EB57" s="623" t="str">
        <f>IF(EB$54="","",Underwriting!EL49)</f>
        <v/>
      </c>
      <c r="EC57" s="623" t="str">
        <f>IF(EC$54="","",Underwriting!EM49)</f>
        <v/>
      </c>
      <c r="ED57" s="623" t="str">
        <f>IF(ED$54="","",Underwriting!EN49)</f>
        <v/>
      </c>
      <c r="EE57" s="623" t="str">
        <f>IF(EE$54="","",Underwriting!EO49)</f>
        <v/>
      </c>
      <c r="EF57" s="623" t="str">
        <f>IF(EF$54="","",Underwriting!EP49)</f>
        <v/>
      </c>
      <c r="EG57" s="623" t="str">
        <f>IF(EG$54="","",Underwriting!EQ49)</f>
        <v/>
      </c>
      <c r="EH57" s="623" t="str">
        <f>IF(EH$54="","",Underwriting!ER49)</f>
        <v/>
      </c>
      <c r="EI57" s="623" t="str">
        <f>IF(EI$54="","",Underwriting!ES49)</f>
        <v/>
      </c>
    </row>
    <row r="58" spans="2:139" outlineLevel="1" x14ac:dyDescent="0.25">
      <c r="B58" s="448" t="s">
        <v>521</v>
      </c>
      <c r="C58" s="448"/>
      <c r="D58" s="448"/>
      <c r="E58" s="448"/>
      <c r="F58" s="448"/>
      <c r="G58" s="622">
        <f>IF(G$54="","",SUM(G55:G57))</f>
        <v>752002.85714285716</v>
      </c>
      <c r="H58" s="622">
        <f t="shared" ref="H58:BS58" si="32">IF(H$54="","",SUM(H55:H57))</f>
        <v>16840.908265539307</v>
      </c>
      <c r="I58" s="622">
        <f t="shared" si="32"/>
        <v>52504.923287438098</v>
      </c>
      <c r="J58" s="622">
        <f t="shared" si="32"/>
        <v>136519.80154125288</v>
      </c>
      <c r="K58" s="622">
        <f t="shared" si="32"/>
        <v>282437.29328717594</v>
      </c>
      <c r="L58" s="622">
        <f t="shared" si="32"/>
        <v>459629.91406893102</v>
      </c>
      <c r="M58" s="622">
        <f t="shared" si="32"/>
        <v>586584.30240680568</v>
      </c>
      <c r="N58" s="622">
        <f t="shared" si="32"/>
        <v>584581.44526394852</v>
      </c>
      <c r="O58" s="622">
        <f t="shared" si="32"/>
        <v>457627.05692607397</v>
      </c>
      <c r="P58" s="622">
        <f t="shared" si="32"/>
        <v>280434.43614431861</v>
      </c>
      <c r="Q58" s="622">
        <f t="shared" si="32"/>
        <v>134516.94439839578</v>
      </c>
      <c r="R58" s="622">
        <f t="shared" si="32"/>
        <v>50502.066144580931</v>
      </c>
      <c r="S58" s="622">
        <f t="shared" si="32"/>
        <v>14838.051122682213</v>
      </c>
      <c r="T58" s="622">
        <f t="shared" si="32"/>
        <v>15200</v>
      </c>
      <c r="U58" s="622">
        <f t="shared" si="32"/>
        <v>15200</v>
      </c>
      <c r="V58" s="622">
        <f t="shared" si="32"/>
        <v>0</v>
      </c>
      <c r="W58" s="622">
        <f t="shared" si="32"/>
        <v>0</v>
      </c>
      <c r="X58" s="622">
        <f t="shared" si="32"/>
        <v>0</v>
      </c>
      <c r="Y58" s="622">
        <f t="shared" si="32"/>
        <v>0</v>
      </c>
      <c r="Z58" s="622">
        <f t="shared" si="32"/>
        <v>0</v>
      </c>
      <c r="AA58" s="622">
        <f t="shared" si="32"/>
        <v>0</v>
      </c>
      <c r="AB58" s="622">
        <f t="shared" si="32"/>
        <v>0</v>
      </c>
      <c r="AC58" s="622">
        <f t="shared" si="32"/>
        <v>0</v>
      </c>
      <c r="AD58" s="622">
        <f t="shared" si="32"/>
        <v>0</v>
      </c>
      <c r="AE58" s="622">
        <f t="shared" si="32"/>
        <v>0</v>
      </c>
      <c r="AF58" s="622">
        <f t="shared" si="32"/>
        <v>0</v>
      </c>
      <c r="AG58" s="622">
        <f t="shared" si="32"/>
        <v>0</v>
      </c>
      <c r="AH58" s="622">
        <f t="shared" si="32"/>
        <v>0</v>
      </c>
      <c r="AI58" s="622">
        <f t="shared" si="32"/>
        <v>0</v>
      </c>
      <c r="AJ58" s="622">
        <f t="shared" si="32"/>
        <v>0</v>
      </c>
      <c r="AK58" s="622">
        <f t="shared" si="32"/>
        <v>0</v>
      </c>
      <c r="AL58" s="622">
        <f t="shared" si="32"/>
        <v>0</v>
      </c>
      <c r="AM58" s="622">
        <f t="shared" si="32"/>
        <v>0</v>
      </c>
      <c r="AN58" s="622">
        <f t="shared" si="32"/>
        <v>0</v>
      </c>
      <c r="AO58" s="622">
        <f t="shared" si="32"/>
        <v>0</v>
      </c>
      <c r="AP58" s="622">
        <f t="shared" si="32"/>
        <v>0</v>
      </c>
      <c r="AQ58" s="622">
        <f t="shared" si="32"/>
        <v>0</v>
      </c>
      <c r="AR58" s="622" t="str">
        <f t="shared" si="32"/>
        <v/>
      </c>
      <c r="AS58" s="622" t="str">
        <f t="shared" si="32"/>
        <v/>
      </c>
      <c r="AT58" s="622" t="str">
        <f t="shared" si="32"/>
        <v/>
      </c>
      <c r="AU58" s="622" t="str">
        <f t="shared" si="32"/>
        <v/>
      </c>
      <c r="AV58" s="622" t="str">
        <f t="shared" si="32"/>
        <v/>
      </c>
      <c r="AW58" s="622" t="str">
        <f t="shared" si="32"/>
        <v/>
      </c>
      <c r="AX58" s="622" t="str">
        <f t="shared" si="32"/>
        <v/>
      </c>
      <c r="AY58" s="622" t="str">
        <f t="shared" si="32"/>
        <v/>
      </c>
      <c r="AZ58" s="622" t="str">
        <f t="shared" si="32"/>
        <v/>
      </c>
      <c r="BA58" s="622" t="str">
        <f t="shared" si="32"/>
        <v/>
      </c>
      <c r="BB58" s="622" t="str">
        <f t="shared" si="32"/>
        <v/>
      </c>
      <c r="BC58" s="622" t="str">
        <f t="shared" si="32"/>
        <v/>
      </c>
      <c r="BD58" s="622" t="str">
        <f t="shared" si="32"/>
        <v/>
      </c>
      <c r="BE58" s="622" t="str">
        <f t="shared" si="32"/>
        <v/>
      </c>
      <c r="BF58" s="622" t="str">
        <f t="shared" si="32"/>
        <v/>
      </c>
      <c r="BG58" s="622" t="str">
        <f t="shared" si="32"/>
        <v/>
      </c>
      <c r="BH58" s="622" t="str">
        <f t="shared" si="32"/>
        <v/>
      </c>
      <c r="BI58" s="622" t="str">
        <f t="shared" si="32"/>
        <v/>
      </c>
      <c r="BJ58" s="622" t="str">
        <f t="shared" si="32"/>
        <v/>
      </c>
      <c r="BK58" s="622" t="str">
        <f t="shared" si="32"/>
        <v/>
      </c>
      <c r="BL58" s="622" t="str">
        <f t="shared" si="32"/>
        <v/>
      </c>
      <c r="BM58" s="622" t="str">
        <f t="shared" si="32"/>
        <v/>
      </c>
      <c r="BN58" s="622" t="str">
        <f t="shared" si="32"/>
        <v/>
      </c>
      <c r="BO58" s="622" t="str">
        <f t="shared" si="32"/>
        <v/>
      </c>
      <c r="BP58" s="622" t="str">
        <f t="shared" si="32"/>
        <v/>
      </c>
      <c r="BQ58" s="622" t="str">
        <f t="shared" si="32"/>
        <v/>
      </c>
      <c r="BR58" s="622" t="str">
        <f t="shared" si="32"/>
        <v/>
      </c>
      <c r="BS58" s="622" t="str">
        <f t="shared" si="32"/>
        <v/>
      </c>
      <c r="BT58" s="622" t="str">
        <f t="shared" ref="BT58:EE58" si="33">IF(BT$54="","",SUM(BT55:BT57))</f>
        <v/>
      </c>
      <c r="BU58" s="622" t="str">
        <f t="shared" si="33"/>
        <v/>
      </c>
      <c r="BV58" s="622" t="str">
        <f t="shared" si="33"/>
        <v/>
      </c>
      <c r="BW58" s="622" t="str">
        <f t="shared" si="33"/>
        <v/>
      </c>
      <c r="BX58" s="622" t="str">
        <f t="shared" si="33"/>
        <v/>
      </c>
      <c r="BY58" s="622" t="str">
        <f t="shared" si="33"/>
        <v/>
      </c>
      <c r="BZ58" s="622" t="str">
        <f t="shared" si="33"/>
        <v/>
      </c>
      <c r="CA58" s="622" t="str">
        <f t="shared" si="33"/>
        <v/>
      </c>
      <c r="CB58" s="622" t="str">
        <f t="shared" si="33"/>
        <v/>
      </c>
      <c r="CC58" s="622" t="str">
        <f t="shared" si="33"/>
        <v/>
      </c>
      <c r="CD58" s="622" t="str">
        <f t="shared" si="33"/>
        <v/>
      </c>
      <c r="CE58" s="622" t="str">
        <f t="shared" si="33"/>
        <v/>
      </c>
      <c r="CF58" s="622" t="str">
        <f t="shared" si="33"/>
        <v/>
      </c>
      <c r="CG58" s="622" t="str">
        <f t="shared" si="33"/>
        <v/>
      </c>
      <c r="CH58" s="622" t="str">
        <f t="shared" si="33"/>
        <v/>
      </c>
      <c r="CI58" s="622" t="str">
        <f t="shared" si="33"/>
        <v/>
      </c>
      <c r="CJ58" s="622" t="str">
        <f t="shared" si="33"/>
        <v/>
      </c>
      <c r="CK58" s="622" t="str">
        <f t="shared" si="33"/>
        <v/>
      </c>
      <c r="CL58" s="622" t="str">
        <f t="shared" si="33"/>
        <v/>
      </c>
      <c r="CM58" s="622" t="str">
        <f t="shared" si="33"/>
        <v/>
      </c>
      <c r="CN58" s="622" t="str">
        <f t="shared" si="33"/>
        <v/>
      </c>
      <c r="CO58" s="622" t="str">
        <f t="shared" si="33"/>
        <v/>
      </c>
      <c r="CP58" s="622" t="str">
        <f t="shared" si="33"/>
        <v/>
      </c>
      <c r="CQ58" s="622" t="str">
        <f t="shared" si="33"/>
        <v/>
      </c>
      <c r="CR58" s="622" t="str">
        <f t="shared" si="33"/>
        <v/>
      </c>
      <c r="CS58" s="622" t="str">
        <f t="shared" si="33"/>
        <v/>
      </c>
      <c r="CT58" s="622" t="str">
        <f t="shared" si="33"/>
        <v/>
      </c>
      <c r="CU58" s="622" t="str">
        <f t="shared" si="33"/>
        <v/>
      </c>
      <c r="CV58" s="622" t="str">
        <f t="shared" si="33"/>
        <v/>
      </c>
      <c r="CW58" s="622" t="str">
        <f t="shared" si="33"/>
        <v/>
      </c>
      <c r="CX58" s="622" t="str">
        <f t="shared" si="33"/>
        <v/>
      </c>
      <c r="CY58" s="622" t="str">
        <f t="shared" si="33"/>
        <v/>
      </c>
      <c r="CZ58" s="622" t="str">
        <f t="shared" si="33"/>
        <v/>
      </c>
      <c r="DA58" s="622" t="str">
        <f t="shared" si="33"/>
        <v/>
      </c>
      <c r="DB58" s="622" t="str">
        <f t="shared" si="33"/>
        <v/>
      </c>
      <c r="DC58" s="622" t="str">
        <f t="shared" si="33"/>
        <v/>
      </c>
      <c r="DD58" s="622" t="str">
        <f t="shared" si="33"/>
        <v/>
      </c>
      <c r="DE58" s="622" t="str">
        <f t="shared" si="33"/>
        <v/>
      </c>
      <c r="DF58" s="622" t="str">
        <f t="shared" si="33"/>
        <v/>
      </c>
      <c r="DG58" s="622" t="str">
        <f t="shared" si="33"/>
        <v/>
      </c>
      <c r="DH58" s="622" t="str">
        <f t="shared" si="33"/>
        <v/>
      </c>
      <c r="DI58" s="622" t="str">
        <f t="shared" si="33"/>
        <v/>
      </c>
      <c r="DJ58" s="622" t="str">
        <f t="shared" si="33"/>
        <v/>
      </c>
      <c r="DK58" s="622" t="str">
        <f t="shared" si="33"/>
        <v/>
      </c>
      <c r="DL58" s="622" t="str">
        <f t="shared" si="33"/>
        <v/>
      </c>
      <c r="DM58" s="622" t="str">
        <f t="shared" si="33"/>
        <v/>
      </c>
      <c r="DN58" s="622" t="str">
        <f t="shared" si="33"/>
        <v/>
      </c>
      <c r="DO58" s="622" t="str">
        <f t="shared" si="33"/>
        <v/>
      </c>
      <c r="DP58" s="622" t="str">
        <f t="shared" si="33"/>
        <v/>
      </c>
      <c r="DQ58" s="622" t="str">
        <f t="shared" si="33"/>
        <v/>
      </c>
      <c r="DR58" s="622" t="str">
        <f t="shared" si="33"/>
        <v/>
      </c>
      <c r="DS58" s="622" t="str">
        <f t="shared" si="33"/>
        <v/>
      </c>
      <c r="DT58" s="622" t="str">
        <f t="shared" si="33"/>
        <v/>
      </c>
      <c r="DU58" s="622" t="str">
        <f t="shared" si="33"/>
        <v/>
      </c>
      <c r="DV58" s="622" t="str">
        <f t="shared" si="33"/>
        <v/>
      </c>
      <c r="DW58" s="622" t="str">
        <f t="shared" si="33"/>
        <v/>
      </c>
      <c r="DX58" s="622" t="str">
        <f t="shared" si="33"/>
        <v/>
      </c>
      <c r="DY58" s="622" t="str">
        <f t="shared" si="33"/>
        <v/>
      </c>
      <c r="DZ58" s="622" t="str">
        <f t="shared" si="33"/>
        <v/>
      </c>
      <c r="EA58" s="622" t="str">
        <f t="shared" si="33"/>
        <v/>
      </c>
      <c r="EB58" s="622" t="str">
        <f t="shared" si="33"/>
        <v/>
      </c>
      <c r="EC58" s="622" t="str">
        <f t="shared" si="33"/>
        <v/>
      </c>
      <c r="ED58" s="622" t="str">
        <f t="shared" si="33"/>
        <v/>
      </c>
      <c r="EE58" s="622" t="str">
        <f t="shared" si="33"/>
        <v/>
      </c>
      <c r="EF58" s="622" t="str">
        <f t="shared" ref="EF58:EI58" si="34">IF(EF$54="","",SUM(EF55:EF57))</f>
        <v/>
      </c>
      <c r="EG58" s="622" t="str">
        <f t="shared" si="34"/>
        <v/>
      </c>
      <c r="EH58" s="622" t="str">
        <f t="shared" si="34"/>
        <v/>
      </c>
      <c r="EI58" s="622" t="str">
        <f t="shared" si="34"/>
        <v/>
      </c>
    </row>
    <row r="59" spans="2:139" outlineLevel="1" x14ac:dyDescent="0.25">
      <c r="B59" s="448"/>
      <c r="C59" s="448"/>
      <c r="D59" s="448"/>
      <c r="E59" s="448"/>
      <c r="F59" s="448"/>
      <c r="G59" s="622"/>
      <c r="H59" s="622"/>
      <c r="I59" s="622"/>
      <c r="J59" s="622"/>
      <c r="K59" s="622"/>
      <c r="L59" s="622"/>
      <c r="M59" s="622"/>
      <c r="N59" s="622"/>
      <c r="O59" s="622"/>
      <c r="P59" s="622"/>
      <c r="Q59" s="622"/>
      <c r="R59" s="622"/>
      <c r="S59" s="622"/>
      <c r="T59" s="622"/>
      <c r="U59" s="622"/>
      <c r="V59" s="622"/>
      <c r="W59" s="622"/>
      <c r="X59" s="622"/>
      <c r="Y59" s="622"/>
      <c r="Z59" s="622"/>
      <c r="AA59" s="622"/>
      <c r="AB59" s="622"/>
      <c r="AC59" s="622"/>
      <c r="AD59" s="622"/>
      <c r="AE59" s="622"/>
      <c r="AF59" s="622"/>
      <c r="AG59" s="622"/>
      <c r="AH59" s="622"/>
      <c r="AI59" s="622"/>
      <c r="AJ59" s="622"/>
      <c r="AK59" s="622"/>
      <c r="AL59" s="622"/>
      <c r="AM59" s="622"/>
      <c r="AN59" s="622"/>
      <c r="AO59" s="622"/>
      <c r="AP59" s="622"/>
      <c r="AQ59" s="622"/>
      <c r="AR59" s="622"/>
      <c r="AS59" s="622"/>
      <c r="AT59" s="622"/>
      <c r="AU59" s="622"/>
      <c r="AV59" s="622"/>
      <c r="AW59" s="622"/>
      <c r="AX59" s="622"/>
      <c r="AY59" s="622"/>
      <c r="AZ59" s="622"/>
      <c r="BA59" s="622"/>
      <c r="BB59" s="622"/>
      <c r="BC59" s="622"/>
      <c r="BD59" s="622"/>
      <c r="BE59" s="622"/>
      <c r="BF59" s="622"/>
      <c r="BG59" s="622"/>
      <c r="BH59" s="622"/>
      <c r="BI59" s="622"/>
      <c r="BJ59" s="622"/>
      <c r="BK59" s="622"/>
      <c r="BL59" s="622"/>
      <c r="BM59" s="622"/>
      <c r="BN59" s="622"/>
      <c r="BO59" s="622"/>
      <c r="BP59" s="622"/>
      <c r="BQ59" s="622"/>
      <c r="BR59" s="622"/>
      <c r="BS59" s="622"/>
      <c r="BT59" s="622"/>
      <c r="BU59" s="622"/>
      <c r="BV59" s="622"/>
      <c r="BW59" s="622"/>
      <c r="BX59" s="622"/>
      <c r="BY59" s="622"/>
      <c r="BZ59" s="622"/>
      <c r="CA59" s="622"/>
      <c r="CB59" s="622"/>
      <c r="CC59" s="622"/>
      <c r="CD59" s="622"/>
      <c r="CE59" s="622"/>
      <c r="CF59" s="622"/>
      <c r="CG59" s="622"/>
      <c r="CH59" s="622"/>
      <c r="CI59" s="622"/>
      <c r="CJ59" s="622"/>
      <c r="CK59" s="622"/>
      <c r="CL59" s="622"/>
      <c r="CM59" s="622"/>
      <c r="CN59" s="622"/>
      <c r="CO59" s="622"/>
      <c r="CP59" s="622"/>
      <c r="CQ59" s="622"/>
      <c r="CR59" s="622"/>
      <c r="CS59" s="622"/>
      <c r="CT59" s="622"/>
      <c r="CU59" s="622"/>
      <c r="CV59" s="622"/>
      <c r="CW59" s="622"/>
      <c r="CX59" s="622"/>
      <c r="CY59" s="622"/>
      <c r="CZ59" s="622"/>
      <c r="DA59" s="622"/>
      <c r="DB59" s="622"/>
      <c r="DC59" s="622"/>
      <c r="DD59" s="622"/>
      <c r="DE59" s="622"/>
      <c r="DF59" s="622"/>
      <c r="DG59" s="622"/>
      <c r="DH59" s="622"/>
      <c r="DI59" s="622"/>
      <c r="DJ59" s="622"/>
      <c r="DK59" s="622"/>
      <c r="DL59" s="622"/>
      <c r="DM59" s="622"/>
      <c r="DN59" s="622"/>
      <c r="DO59" s="622"/>
      <c r="DP59" s="622"/>
      <c r="DQ59" s="622"/>
      <c r="DR59" s="622"/>
      <c r="DS59" s="622"/>
      <c r="DT59" s="622"/>
      <c r="DU59" s="622"/>
      <c r="DV59" s="622"/>
      <c r="DW59" s="622"/>
      <c r="DX59" s="622"/>
      <c r="DY59" s="622"/>
      <c r="DZ59" s="622"/>
      <c r="EA59" s="622"/>
      <c r="EB59" s="622"/>
      <c r="EC59" s="622"/>
      <c r="ED59" s="622"/>
      <c r="EE59" s="622"/>
      <c r="EF59" s="622"/>
      <c r="EG59" s="622"/>
      <c r="EH59" s="622"/>
      <c r="EI59" s="622"/>
    </row>
    <row r="60" spans="2:139" outlineLevel="1" x14ac:dyDescent="0.25">
      <c r="B60" s="621" t="s">
        <v>36</v>
      </c>
      <c r="C60" s="448"/>
      <c r="D60" s="448"/>
      <c r="E60" s="448"/>
      <c r="F60" s="448"/>
      <c r="G60" s="622">
        <f>IF(G$54="","",Underwriting!Q57)</f>
        <v>70500</v>
      </c>
      <c r="H60" s="622">
        <f ca="1">IF(H$54="","",Underwriting!R57)</f>
        <v>0</v>
      </c>
      <c r="I60" s="622">
        <f ca="1">IF(I$54="","",Underwriting!S57)</f>
        <v>0</v>
      </c>
      <c r="J60" s="622">
        <f ca="1">IF(J$54="","",Underwriting!T57)</f>
        <v>0</v>
      </c>
      <c r="K60" s="622">
        <f ca="1">IF(K$54="","",Underwriting!U57)</f>
        <v>0</v>
      </c>
      <c r="L60" s="622">
        <f ca="1">IF(L$54="","",Underwriting!V57)</f>
        <v>0</v>
      </c>
      <c r="M60" s="622">
        <f ca="1">IF(M$54="","",Underwriting!W57)</f>
        <v>1291.629712288528</v>
      </c>
      <c r="N60" s="622">
        <f ca="1">IF(N$54="","",Underwriting!X57)</f>
        <v>6190.5958132809792</v>
      </c>
      <c r="O60" s="622">
        <f ca="1">IF(O$54="","",Underwriting!Y57)</f>
        <v>11113.696155591226</v>
      </c>
      <c r="P60" s="622">
        <f ca="1">IF(P$54="","",Underwriting!Z57)</f>
        <v>15019.869097938436</v>
      </c>
      <c r="Q60" s="622">
        <f ca="1">IF(Q$54="","",Underwriting!AA57)</f>
        <v>17481.98830829058</v>
      </c>
      <c r="R60" s="622">
        <f ca="1">IF(R$54="","",Underwriting!AB57)</f>
        <v>18748.646080846302</v>
      </c>
      <c r="S60" s="622">
        <f ca="1">IF(S$54="","",Underwriting!AC57)</f>
        <v>19325.735349391529</v>
      </c>
      <c r="T60" s="622">
        <f ca="1">IF(T$54="","",Underwriting!AD57)</f>
        <v>19610.433569992147</v>
      </c>
      <c r="U60" s="622">
        <f ca="1">IF(U$54="","",Underwriting!AE57)</f>
        <v>19900.520516408742</v>
      </c>
      <c r="V60" s="622">
        <f ca="1">IF(V$54="","",Underwriting!AF57)</f>
        <v>0</v>
      </c>
      <c r="W60" s="622">
        <f ca="1">IF(W$54="","",Underwriting!AG57)</f>
        <v>0</v>
      </c>
      <c r="X60" s="622">
        <f ca="1">IF(X$54="","",Underwriting!AH57)</f>
        <v>0</v>
      </c>
      <c r="Y60" s="622">
        <f ca="1">IF(Y$54="","",Underwriting!AI57)</f>
        <v>0</v>
      </c>
      <c r="Z60" s="622">
        <f ca="1">IF(Z$54="","",Underwriting!AJ57)</f>
        <v>0</v>
      </c>
      <c r="AA60" s="622">
        <f ca="1">IF(AA$54="","",Underwriting!AK57)</f>
        <v>0</v>
      </c>
      <c r="AB60" s="622">
        <f ca="1">IF(AB$54="","",Underwriting!AL57)</f>
        <v>0</v>
      </c>
      <c r="AC60" s="622">
        <f ca="1">IF(AC$54="","",Underwriting!AM57)</f>
        <v>0</v>
      </c>
      <c r="AD60" s="622">
        <f ca="1">IF(AD$54="","",Underwriting!AN57)</f>
        <v>0</v>
      </c>
      <c r="AE60" s="622">
        <f ca="1">IF(AE$54="","",Underwriting!AO57)</f>
        <v>0</v>
      </c>
      <c r="AF60" s="622">
        <f ca="1">IF(AF$54="","",Underwriting!AP57)</f>
        <v>0</v>
      </c>
      <c r="AG60" s="622">
        <f ca="1">IF(AG$54="","",Underwriting!AQ57)</f>
        <v>0</v>
      </c>
      <c r="AH60" s="622">
        <f ca="1">IF(AH$54="","",Underwriting!AR57)</f>
        <v>0</v>
      </c>
      <c r="AI60" s="622">
        <f ca="1">IF(AI$54="","",Underwriting!AS57)</f>
        <v>0</v>
      </c>
      <c r="AJ60" s="622">
        <f ca="1">IF(AJ$54="","",Underwriting!AT57)</f>
        <v>0</v>
      </c>
      <c r="AK60" s="622">
        <f ca="1">IF(AK$54="","",Underwriting!AU57)</f>
        <v>0</v>
      </c>
      <c r="AL60" s="622">
        <f ca="1">IF(AL$54="","",Underwriting!AV57)</f>
        <v>0</v>
      </c>
      <c r="AM60" s="622">
        <f ca="1">IF(AM$54="","",Underwriting!AW57)</f>
        <v>0</v>
      </c>
      <c r="AN60" s="622">
        <f ca="1">IF(AN$54="","",Underwriting!AX57)</f>
        <v>0</v>
      </c>
      <c r="AO60" s="622">
        <f ca="1">IF(AO$54="","",Underwriting!AY57)</f>
        <v>0</v>
      </c>
      <c r="AP60" s="622">
        <f ca="1">IF(AP$54="","",Underwriting!AZ57)</f>
        <v>0</v>
      </c>
      <c r="AQ60" s="622">
        <f ca="1">IF(AQ$54="","",Underwriting!BA57)</f>
        <v>0</v>
      </c>
      <c r="AR60" s="622" t="str">
        <f>IF(AR$54="","",Underwriting!BB57)</f>
        <v/>
      </c>
      <c r="AS60" s="622" t="str">
        <f>IF(AS$54="","",Underwriting!BC57)</f>
        <v/>
      </c>
      <c r="AT60" s="622" t="str">
        <f>IF(AT$54="","",Underwriting!BD57)</f>
        <v/>
      </c>
      <c r="AU60" s="622" t="str">
        <f>IF(AU$54="","",Underwriting!BE57)</f>
        <v/>
      </c>
      <c r="AV60" s="622" t="str">
        <f>IF(AV$54="","",Underwriting!BF57)</f>
        <v/>
      </c>
      <c r="AW60" s="622" t="str">
        <f>IF(AW$54="","",Underwriting!BG57)</f>
        <v/>
      </c>
      <c r="AX60" s="622" t="str">
        <f>IF(AX$54="","",Underwriting!BH57)</f>
        <v/>
      </c>
      <c r="AY60" s="622" t="str">
        <f>IF(AY$54="","",Underwriting!BI57)</f>
        <v/>
      </c>
      <c r="AZ60" s="622" t="str">
        <f>IF(AZ$54="","",Underwriting!BJ57)</f>
        <v/>
      </c>
      <c r="BA60" s="622" t="str">
        <f>IF(BA$54="","",Underwriting!BK57)</f>
        <v/>
      </c>
      <c r="BB60" s="622" t="str">
        <f>IF(BB$54="","",Underwriting!BL57)</f>
        <v/>
      </c>
      <c r="BC60" s="622" t="str">
        <f>IF(BC$54="","",Underwriting!BM57)</f>
        <v/>
      </c>
      <c r="BD60" s="622" t="str">
        <f>IF(BD$54="","",Underwriting!BN57)</f>
        <v/>
      </c>
      <c r="BE60" s="622" t="str">
        <f>IF(BE$54="","",Underwriting!BO57)</f>
        <v/>
      </c>
      <c r="BF60" s="622" t="str">
        <f>IF(BF$54="","",Underwriting!BP57)</f>
        <v/>
      </c>
      <c r="BG60" s="622" t="str">
        <f>IF(BG$54="","",Underwriting!BQ57)</f>
        <v/>
      </c>
      <c r="BH60" s="622" t="str">
        <f>IF(BH$54="","",Underwriting!BR57)</f>
        <v/>
      </c>
      <c r="BI60" s="622" t="str">
        <f>IF(BI$54="","",Underwriting!BS57)</f>
        <v/>
      </c>
      <c r="BJ60" s="622" t="str">
        <f>IF(BJ$54="","",Underwriting!BT57)</f>
        <v/>
      </c>
      <c r="BK60" s="622" t="str">
        <f>IF(BK$54="","",Underwriting!BU57)</f>
        <v/>
      </c>
      <c r="BL60" s="622" t="str">
        <f>IF(BL$54="","",Underwriting!BV57)</f>
        <v/>
      </c>
      <c r="BM60" s="622" t="str">
        <f>IF(BM$54="","",Underwriting!BW57)</f>
        <v/>
      </c>
      <c r="BN60" s="622" t="str">
        <f>IF(BN$54="","",Underwriting!BX57)</f>
        <v/>
      </c>
      <c r="BO60" s="622" t="str">
        <f>IF(BO$54="","",Underwriting!BY57)</f>
        <v/>
      </c>
      <c r="BP60" s="622" t="str">
        <f>IF(BP$54="","",Underwriting!BZ57)</f>
        <v/>
      </c>
      <c r="BQ60" s="622" t="str">
        <f>IF(BQ$54="","",Underwriting!CA57)</f>
        <v/>
      </c>
      <c r="BR60" s="622" t="str">
        <f>IF(BR$54="","",Underwriting!CB57)</f>
        <v/>
      </c>
      <c r="BS60" s="622" t="str">
        <f>IF(BS$54="","",Underwriting!CC57)</f>
        <v/>
      </c>
      <c r="BT60" s="622" t="str">
        <f>IF(BT$54="","",Underwriting!CD57)</f>
        <v/>
      </c>
      <c r="BU60" s="622" t="str">
        <f>IF(BU$54="","",Underwriting!CE57)</f>
        <v/>
      </c>
      <c r="BV60" s="622" t="str">
        <f>IF(BV$54="","",Underwriting!CF57)</f>
        <v/>
      </c>
      <c r="BW60" s="622" t="str">
        <f>IF(BW$54="","",Underwriting!CG57)</f>
        <v/>
      </c>
      <c r="BX60" s="622" t="str">
        <f>IF(BX$54="","",Underwriting!CH57)</f>
        <v/>
      </c>
      <c r="BY60" s="622" t="str">
        <f>IF(BY$54="","",Underwriting!CI57)</f>
        <v/>
      </c>
      <c r="BZ60" s="622" t="str">
        <f>IF(BZ$54="","",Underwriting!CJ57)</f>
        <v/>
      </c>
      <c r="CA60" s="622" t="str">
        <f>IF(CA$54="","",Underwriting!CK57)</f>
        <v/>
      </c>
      <c r="CB60" s="622" t="str">
        <f>IF(CB$54="","",Underwriting!CL57)</f>
        <v/>
      </c>
      <c r="CC60" s="622" t="str">
        <f>IF(CC$54="","",Underwriting!CM57)</f>
        <v/>
      </c>
      <c r="CD60" s="622" t="str">
        <f>IF(CD$54="","",Underwriting!CN57)</f>
        <v/>
      </c>
      <c r="CE60" s="622" t="str">
        <f>IF(CE$54="","",Underwriting!CO57)</f>
        <v/>
      </c>
      <c r="CF60" s="622" t="str">
        <f>IF(CF$54="","",Underwriting!CP57)</f>
        <v/>
      </c>
      <c r="CG60" s="622" t="str">
        <f>IF(CG$54="","",Underwriting!CQ57)</f>
        <v/>
      </c>
      <c r="CH60" s="622" t="str">
        <f>IF(CH$54="","",Underwriting!CR57)</f>
        <v/>
      </c>
      <c r="CI60" s="622" t="str">
        <f>IF(CI$54="","",Underwriting!CS57)</f>
        <v/>
      </c>
      <c r="CJ60" s="622" t="str">
        <f>IF(CJ$54="","",Underwriting!CT57)</f>
        <v/>
      </c>
      <c r="CK60" s="622" t="str">
        <f>IF(CK$54="","",Underwriting!CU57)</f>
        <v/>
      </c>
      <c r="CL60" s="622" t="str">
        <f>IF(CL$54="","",Underwriting!CV57)</f>
        <v/>
      </c>
      <c r="CM60" s="622" t="str">
        <f>IF(CM$54="","",Underwriting!CW57)</f>
        <v/>
      </c>
      <c r="CN60" s="622" t="str">
        <f>IF(CN$54="","",Underwriting!CX57)</f>
        <v/>
      </c>
      <c r="CO60" s="622" t="str">
        <f>IF(CO$54="","",Underwriting!CY57)</f>
        <v/>
      </c>
      <c r="CP60" s="622" t="str">
        <f>IF(CP$54="","",Underwriting!CZ57)</f>
        <v/>
      </c>
      <c r="CQ60" s="622" t="str">
        <f>IF(CQ$54="","",Underwriting!DA57)</f>
        <v/>
      </c>
      <c r="CR60" s="622" t="str">
        <f>IF(CR$54="","",Underwriting!DB57)</f>
        <v/>
      </c>
      <c r="CS60" s="622" t="str">
        <f>IF(CS$54="","",Underwriting!DC57)</f>
        <v/>
      </c>
      <c r="CT60" s="622" t="str">
        <f>IF(CT$54="","",Underwriting!DD57)</f>
        <v/>
      </c>
      <c r="CU60" s="622" t="str">
        <f>IF(CU$54="","",Underwriting!DE57)</f>
        <v/>
      </c>
      <c r="CV60" s="622" t="str">
        <f>IF(CV$54="","",Underwriting!DF57)</f>
        <v/>
      </c>
      <c r="CW60" s="622" t="str">
        <f>IF(CW$54="","",Underwriting!DG57)</f>
        <v/>
      </c>
      <c r="CX60" s="622" t="str">
        <f>IF(CX$54="","",Underwriting!DH57)</f>
        <v/>
      </c>
      <c r="CY60" s="622" t="str">
        <f>IF(CY$54="","",Underwriting!DI57)</f>
        <v/>
      </c>
      <c r="CZ60" s="622" t="str">
        <f>IF(CZ$54="","",Underwriting!DJ57)</f>
        <v/>
      </c>
      <c r="DA60" s="622" t="str">
        <f>IF(DA$54="","",Underwriting!DK57)</f>
        <v/>
      </c>
      <c r="DB60" s="622" t="str">
        <f>IF(DB$54="","",Underwriting!DL57)</f>
        <v/>
      </c>
      <c r="DC60" s="622" t="str">
        <f>IF(DC$54="","",Underwriting!DM57)</f>
        <v/>
      </c>
      <c r="DD60" s="622" t="str">
        <f>IF(DD$54="","",Underwriting!DN57)</f>
        <v/>
      </c>
      <c r="DE60" s="622" t="str">
        <f>IF(DE$54="","",Underwriting!DO57)</f>
        <v/>
      </c>
      <c r="DF60" s="622" t="str">
        <f>IF(DF$54="","",Underwriting!DP57)</f>
        <v/>
      </c>
      <c r="DG60" s="622" t="str">
        <f>IF(DG$54="","",Underwriting!DQ57)</f>
        <v/>
      </c>
      <c r="DH60" s="622" t="str">
        <f>IF(DH$54="","",Underwriting!DR57)</f>
        <v/>
      </c>
      <c r="DI60" s="622" t="str">
        <f>IF(DI$54="","",Underwriting!DS57)</f>
        <v/>
      </c>
      <c r="DJ60" s="622" t="str">
        <f>IF(DJ$54="","",Underwriting!DT57)</f>
        <v/>
      </c>
      <c r="DK60" s="622" t="str">
        <f>IF(DK$54="","",Underwriting!DU57)</f>
        <v/>
      </c>
      <c r="DL60" s="622" t="str">
        <f>IF(DL$54="","",Underwriting!DV57)</f>
        <v/>
      </c>
      <c r="DM60" s="622" t="str">
        <f>IF(DM$54="","",Underwriting!DW57)</f>
        <v/>
      </c>
      <c r="DN60" s="622" t="str">
        <f>IF(DN$54="","",Underwriting!DX57)</f>
        <v/>
      </c>
      <c r="DO60" s="622" t="str">
        <f>IF(DO$54="","",Underwriting!DY57)</f>
        <v/>
      </c>
      <c r="DP60" s="622" t="str">
        <f>IF(DP$54="","",Underwriting!DZ57)</f>
        <v/>
      </c>
      <c r="DQ60" s="622" t="str">
        <f>IF(DQ$54="","",Underwriting!EA57)</f>
        <v/>
      </c>
      <c r="DR60" s="622" t="str">
        <f>IF(DR$54="","",Underwriting!EB57)</f>
        <v/>
      </c>
      <c r="DS60" s="622" t="str">
        <f>IF(DS$54="","",Underwriting!EC57)</f>
        <v/>
      </c>
      <c r="DT60" s="622" t="str">
        <f>IF(DT$54="","",Underwriting!ED57)</f>
        <v/>
      </c>
      <c r="DU60" s="622" t="str">
        <f>IF(DU$54="","",Underwriting!EE57)</f>
        <v/>
      </c>
      <c r="DV60" s="622" t="str">
        <f>IF(DV$54="","",Underwriting!EF57)</f>
        <v/>
      </c>
      <c r="DW60" s="622" t="str">
        <f>IF(DW$54="","",Underwriting!EG57)</f>
        <v/>
      </c>
      <c r="DX60" s="622" t="str">
        <f>IF(DX$54="","",Underwriting!EH57)</f>
        <v/>
      </c>
      <c r="DY60" s="622" t="str">
        <f>IF(DY$54="","",Underwriting!EI57)</f>
        <v/>
      </c>
      <c r="DZ60" s="622" t="str">
        <f>IF(DZ$54="","",Underwriting!EJ57)</f>
        <v/>
      </c>
      <c r="EA60" s="622" t="str">
        <f>IF(EA$54="","",Underwriting!EK57)</f>
        <v/>
      </c>
      <c r="EB60" s="622" t="str">
        <f>IF(EB$54="","",Underwriting!EL57)</f>
        <v/>
      </c>
      <c r="EC60" s="622" t="str">
        <f>IF(EC$54="","",Underwriting!EM57)</f>
        <v/>
      </c>
      <c r="ED60" s="622" t="str">
        <f>IF(ED$54="","",Underwriting!EN57)</f>
        <v/>
      </c>
      <c r="EE60" s="622" t="str">
        <f>IF(EE$54="","",Underwriting!EO57)</f>
        <v/>
      </c>
      <c r="EF60" s="622" t="str">
        <f>IF(EF$54="","",Underwriting!EP57)</f>
        <v/>
      </c>
      <c r="EG60" s="622" t="str">
        <f>IF(EG$54="","",Underwriting!EQ57)</f>
        <v/>
      </c>
      <c r="EH60" s="622" t="str">
        <f>IF(EH$54="","",Underwriting!ER57)</f>
        <v/>
      </c>
      <c r="EI60" s="622" t="str">
        <f>IF(EI$54="","",Underwriting!ES57)</f>
        <v/>
      </c>
    </row>
    <row r="61" spans="2:139" outlineLevel="1" x14ac:dyDescent="0.25">
      <c r="B61" s="448"/>
      <c r="C61" s="448"/>
      <c r="D61" s="448"/>
      <c r="E61" s="448"/>
      <c r="F61" s="448"/>
      <c r="G61" s="622"/>
      <c r="H61" s="622"/>
      <c r="I61" s="622"/>
      <c r="J61" s="622"/>
      <c r="K61" s="622"/>
      <c r="L61" s="622"/>
      <c r="M61" s="622"/>
      <c r="N61" s="622"/>
      <c r="O61" s="622"/>
      <c r="P61" s="622"/>
      <c r="Q61" s="622"/>
      <c r="R61" s="622"/>
      <c r="S61" s="622"/>
      <c r="T61" s="622"/>
      <c r="U61" s="622"/>
      <c r="V61" s="622"/>
      <c r="W61" s="622"/>
      <c r="X61" s="622"/>
      <c r="Y61" s="622"/>
      <c r="Z61" s="622"/>
      <c r="AA61" s="622"/>
      <c r="AB61" s="622"/>
      <c r="AC61" s="622"/>
      <c r="AD61" s="622"/>
      <c r="AE61" s="622"/>
      <c r="AF61" s="622"/>
      <c r="AG61" s="622"/>
      <c r="AH61" s="622"/>
      <c r="AI61" s="622"/>
      <c r="AJ61" s="622"/>
      <c r="AK61" s="622"/>
      <c r="AL61" s="622"/>
      <c r="AM61" s="622"/>
      <c r="AN61" s="622"/>
      <c r="AO61" s="622"/>
      <c r="AP61" s="622"/>
      <c r="AQ61" s="622"/>
      <c r="AR61" s="622"/>
      <c r="AS61" s="622"/>
      <c r="AT61" s="622"/>
      <c r="AU61" s="622"/>
      <c r="AV61" s="622"/>
      <c r="AW61" s="622"/>
      <c r="AX61" s="622"/>
      <c r="AY61" s="622"/>
      <c r="AZ61" s="622"/>
      <c r="BA61" s="622"/>
      <c r="BB61" s="622"/>
      <c r="BC61" s="622"/>
      <c r="BD61" s="622"/>
      <c r="BE61" s="622"/>
      <c r="BF61" s="622"/>
      <c r="BG61" s="622"/>
      <c r="BH61" s="622"/>
      <c r="BI61" s="622"/>
      <c r="BJ61" s="622"/>
      <c r="BK61" s="622"/>
      <c r="BL61" s="622"/>
      <c r="BM61" s="622"/>
      <c r="BN61" s="622"/>
      <c r="BO61" s="622"/>
      <c r="BP61" s="622"/>
      <c r="BQ61" s="622"/>
      <c r="BR61" s="622"/>
      <c r="BS61" s="622"/>
      <c r="BT61" s="622"/>
      <c r="BU61" s="622"/>
      <c r="BV61" s="622"/>
      <c r="BW61" s="622"/>
      <c r="BX61" s="622"/>
      <c r="BY61" s="622"/>
      <c r="BZ61" s="622"/>
      <c r="CA61" s="622"/>
      <c r="CB61" s="622"/>
      <c r="CC61" s="622"/>
      <c r="CD61" s="622"/>
      <c r="CE61" s="622"/>
      <c r="CF61" s="622"/>
      <c r="CG61" s="622"/>
      <c r="CH61" s="622"/>
      <c r="CI61" s="622"/>
      <c r="CJ61" s="622"/>
      <c r="CK61" s="622"/>
      <c r="CL61" s="622"/>
      <c r="CM61" s="622"/>
      <c r="CN61" s="622"/>
      <c r="CO61" s="622"/>
      <c r="CP61" s="622"/>
      <c r="CQ61" s="622"/>
      <c r="CR61" s="622"/>
      <c r="CS61" s="622"/>
      <c r="CT61" s="622"/>
      <c r="CU61" s="622"/>
      <c r="CV61" s="622"/>
      <c r="CW61" s="622"/>
      <c r="CX61" s="622"/>
      <c r="CY61" s="622"/>
      <c r="CZ61" s="622"/>
      <c r="DA61" s="622"/>
      <c r="DB61" s="622"/>
      <c r="DC61" s="622"/>
      <c r="DD61" s="622"/>
      <c r="DE61" s="622"/>
      <c r="DF61" s="622"/>
      <c r="DG61" s="622"/>
      <c r="DH61" s="622"/>
      <c r="DI61" s="622"/>
      <c r="DJ61" s="622"/>
      <c r="DK61" s="622"/>
      <c r="DL61" s="622"/>
      <c r="DM61" s="622"/>
      <c r="DN61" s="622"/>
      <c r="DO61" s="622"/>
      <c r="DP61" s="622"/>
      <c r="DQ61" s="622"/>
      <c r="DR61" s="622"/>
      <c r="DS61" s="622"/>
      <c r="DT61" s="622"/>
      <c r="DU61" s="622"/>
      <c r="DV61" s="622"/>
      <c r="DW61" s="622"/>
      <c r="DX61" s="622"/>
      <c r="DY61" s="622"/>
      <c r="DZ61" s="622"/>
      <c r="EA61" s="622"/>
      <c r="EB61" s="622"/>
      <c r="EC61" s="622"/>
      <c r="ED61" s="622"/>
      <c r="EE61" s="622"/>
      <c r="EF61" s="622"/>
      <c r="EG61" s="622"/>
      <c r="EH61" s="622"/>
      <c r="EI61" s="622"/>
    </row>
    <row r="62" spans="2:139" outlineLevel="1" x14ac:dyDescent="0.25">
      <c r="B62" s="448" t="s">
        <v>522</v>
      </c>
      <c r="C62" s="448"/>
      <c r="D62" s="448"/>
      <c r="E62" s="448"/>
      <c r="F62" s="448"/>
      <c r="G62" s="622">
        <f>IF(G$54="","",G60+G58)</f>
        <v>822502.85714285716</v>
      </c>
      <c r="H62" s="622">
        <f t="shared" ref="H62:BS62" ca="1" si="35">IF(H$54="","",H60+H58)</f>
        <v>16840.908265539307</v>
      </c>
      <c r="I62" s="622">
        <f t="shared" ca="1" si="35"/>
        <v>52504.923287438098</v>
      </c>
      <c r="J62" s="622">
        <f t="shared" ca="1" si="35"/>
        <v>136519.80154125288</v>
      </c>
      <c r="K62" s="622">
        <f t="shared" ca="1" si="35"/>
        <v>282437.29328717594</v>
      </c>
      <c r="L62" s="622">
        <f t="shared" ca="1" si="35"/>
        <v>459629.91406893102</v>
      </c>
      <c r="M62" s="622">
        <f t="shared" ca="1" si="35"/>
        <v>587875.93211909418</v>
      </c>
      <c r="N62" s="622">
        <f t="shared" ca="1" si="35"/>
        <v>590772.04107722954</v>
      </c>
      <c r="O62" s="622">
        <f t="shared" ca="1" si="35"/>
        <v>468740.7530816652</v>
      </c>
      <c r="P62" s="622">
        <f t="shared" ca="1" si="35"/>
        <v>295454.30524225702</v>
      </c>
      <c r="Q62" s="622">
        <f t="shared" ca="1" si="35"/>
        <v>151998.93270668635</v>
      </c>
      <c r="R62" s="622">
        <f t="shared" ca="1" si="35"/>
        <v>69250.71222542724</v>
      </c>
      <c r="S62" s="622">
        <f t="shared" ca="1" si="35"/>
        <v>34163.786472073742</v>
      </c>
      <c r="T62" s="622">
        <f t="shared" ca="1" si="35"/>
        <v>34810.43356999215</v>
      </c>
      <c r="U62" s="622">
        <f t="shared" ca="1" si="35"/>
        <v>35100.520516408738</v>
      </c>
      <c r="V62" s="622">
        <f t="shared" ca="1" si="35"/>
        <v>0</v>
      </c>
      <c r="W62" s="622">
        <f t="shared" ca="1" si="35"/>
        <v>0</v>
      </c>
      <c r="X62" s="622">
        <f t="shared" ca="1" si="35"/>
        <v>0</v>
      </c>
      <c r="Y62" s="622">
        <f t="shared" ca="1" si="35"/>
        <v>0</v>
      </c>
      <c r="Z62" s="622">
        <f t="shared" ca="1" si="35"/>
        <v>0</v>
      </c>
      <c r="AA62" s="622">
        <f t="shared" ca="1" si="35"/>
        <v>0</v>
      </c>
      <c r="AB62" s="622">
        <f t="shared" ca="1" si="35"/>
        <v>0</v>
      </c>
      <c r="AC62" s="622">
        <f t="shared" ca="1" si="35"/>
        <v>0</v>
      </c>
      <c r="AD62" s="622">
        <f t="shared" ca="1" si="35"/>
        <v>0</v>
      </c>
      <c r="AE62" s="622">
        <f t="shared" ca="1" si="35"/>
        <v>0</v>
      </c>
      <c r="AF62" s="622">
        <f t="shared" ca="1" si="35"/>
        <v>0</v>
      </c>
      <c r="AG62" s="622">
        <f t="shared" ca="1" si="35"/>
        <v>0</v>
      </c>
      <c r="AH62" s="622">
        <f t="shared" ca="1" si="35"/>
        <v>0</v>
      </c>
      <c r="AI62" s="622">
        <f t="shared" ca="1" si="35"/>
        <v>0</v>
      </c>
      <c r="AJ62" s="622">
        <f t="shared" ca="1" si="35"/>
        <v>0</v>
      </c>
      <c r="AK62" s="622">
        <f t="shared" ca="1" si="35"/>
        <v>0</v>
      </c>
      <c r="AL62" s="622">
        <f t="shared" ca="1" si="35"/>
        <v>0</v>
      </c>
      <c r="AM62" s="622">
        <f t="shared" ca="1" si="35"/>
        <v>0</v>
      </c>
      <c r="AN62" s="622">
        <f t="shared" ca="1" si="35"/>
        <v>0</v>
      </c>
      <c r="AO62" s="622">
        <f t="shared" ca="1" si="35"/>
        <v>0</v>
      </c>
      <c r="AP62" s="622">
        <f t="shared" ca="1" si="35"/>
        <v>0</v>
      </c>
      <c r="AQ62" s="622">
        <f t="shared" ca="1" si="35"/>
        <v>0</v>
      </c>
      <c r="AR62" s="622" t="str">
        <f t="shared" si="35"/>
        <v/>
      </c>
      <c r="AS62" s="622" t="str">
        <f t="shared" si="35"/>
        <v/>
      </c>
      <c r="AT62" s="622" t="str">
        <f t="shared" si="35"/>
        <v/>
      </c>
      <c r="AU62" s="622" t="str">
        <f t="shared" si="35"/>
        <v/>
      </c>
      <c r="AV62" s="622" t="str">
        <f t="shared" si="35"/>
        <v/>
      </c>
      <c r="AW62" s="622" t="str">
        <f t="shared" si="35"/>
        <v/>
      </c>
      <c r="AX62" s="622" t="str">
        <f t="shared" si="35"/>
        <v/>
      </c>
      <c r="AY62" s="622" t="str">
        <f t="shared" si="35"/>
        <v/>
      </c>
      <c r="AZ62" s="622" t="str">
        <f t="shared" si="35"/>
        <v/>
      </c>
      <c r="BA62" s="622" t="str">
        <f t="shared" si="35"/>
        <v/>
      </c>
      <c r="BB62" s="622" t="str">
        <f t="shared" si="35"/>
        <v/>
      </c>
      <c r="BC62" s="622" t="str">
        <f t="shared" si="35"/>
        <v/>
      </c>
      <c r="BD62" s="622" t="str">
        <f t="shared" si="35"/>
        <v/>
      </c>
      <c r="BE62" s="622" t="str">
        <f t="shared" si="35"/>
        <v/>
      </c>
      <c r="BF62" s="622" t="str">
        <f t="shared" si="35"/>
        <v/>
      </c>
      <c r="BG62" s="622" t="str">
        <f t="shared" si="35"/>
        <v/>
      </c>
      <c r="BH62" s="622" t="str">
        <f t="shared" si="35"/>
        <v/>
      </c>
      <c r="BI62" s="622" t="str">
        <f t="shared" si="35"/>
        <v/>
      </c>
      <c r="BJ62" s="622" t="str">
        <f t="shared" si="35"/>
        <v/>
      </c>
      <c r="BK62" s="622" t="str">
        <f t="shared" si="35"/>
        <v/>
      </c>
      <c r="BL62" s="622" t="str">
        <f t="shared" si="35"/>
        <v/>
      </c>
      <c r="BM62" s="622" t="str">
        <f t="shared" si="35"/>
        <v/>
      </c>
      <c r="BN62" s="622" t="str">
        <f t="shared" si="35"/>
        <v/>
      </c>
      <c r="BO62" s="622" t="str">
        <f t="shared" si="35"/>
        <v/>
      </c>
      <c r="BP62" s="622" t="str">
        <f t="shared" si="35"/>
        <v/>
      </c>
      <c r="BQ62" s="622" t="str">
        <f t="shared" si="35"/>
        <v/>
      </c>
      <c r="BR62" s="622" t="str">
        <f t="shared" si="35"/>
        <v/>
      </c>
      <c r="BS62" s="622" t="str">
        <f t="shared" si="35"/>
        <v/>
      </c>
      <c r="BT62" s="622" t="str">
        <f t="shared" ref="BT62:EE62" si="36">IF(BT$54="","",BT60+BT58)</f>
        <v/>
      </c>
      <c r="BU62" s="622" t="str">
        <f t="shared" si="36"/>
        <v/>
      </c>
      <c r="BV62" s="622" t="str">
        <f t="shared" si="36"/>
        <v/>
      </c>
      <c r="BW62" s="622" t="str">
        <f t="shared" si="36"/>
        <v/>
      </c>
      <c r="BX62" s="622" t="str">
        <f t="shared" si="36"/>
        <v/>
      </c>
      <c r="BY62" s="622" t="str">
        <f t="shared" si="36"/>
        <v/>
      </c>
      <c r="BZ62" s="622" t="str">
        <f t="shared" si="36"/>
        <v/>
      </c>
      <c r="CA62" s="622" t="str">
        <f t="shared" si="36"/>
        <v/>
      </c>
      <c r="CB62" s="622" t="str">
        <f t="shared" si="36"/>
        <v/>
      </c>
      <c r="CC62" s="622" t="str">
        <f t="shared" si="36"/>
        <v/>
      </c>
      <c r="CD62" s="622" t="str">
        <f t="shared" si="36"/>
        <v/>
      </c>
      <c r="CE62" s="622" t="str">
        <f t="shared" si="36"/>
        <v/>
      </c>
      <c r="CF62" s="622" t="str">
        <f t="shared" si="36"/>
        <v/>
      </c>
      <c r="CG62" s="622" t="str">
        <f t="shared" si="36"/>
        <v/>
      </c>
      <c r="CH62" s="622" t="str">
        <f t="shared" si="36"/>
        <v/>
      </c>
      <c r="CI62" s="622" t="str">
        <f t="shared" si="36"/>
        <v/>
      </c>
      <c r="CJ62" s="622" t="str">
        <f t="shared" si="36"/>
        <v/>
      </c>
      <c r="CK62" s="622" t="str">
        <f t="shared" si="36"/>
        <v/>
      </c>
      <c r="CL62" s="622" t="str">
        <f t="shared" si="36"/>
        <v/>
      </c>
      <c r="CM62" s="622" t="str">
        <f t="shared" si="36"/>
        <v/>
      </c>
      <c r="CN62" s="622" t="str">
        <f t="shared" si="36"/>
        <v/>
      </c>
      <c r="CO62" s="622" t="str">
        <f t="shared" si="36"/>
        <v/>
      </c>
      <c r="CP62" s="622" t="str">
        <f t="shared" si="36"/>
        <v/>
      </c>
      <c r="CQ62" s="622" t="str">
        <f t="shared" si="36"/>
        <v/>
      </c>
      <c r="CR62" s="622" t="str">
        <f t="shared" si="36"/>
        <v/>
      </c>
      <c r="CS62" s="622" t="str">
        <f t="shared" si="36"/>
        <v/>
      </c>
      <c r="CT62" s="622" t="str">
        <f t="shared" si="36"/>
        <v/>
      </c>
      <c r="CU62" s="622" t="str">
        <f t="shared" si="36"/>
        <v/>
      </c>
      <c r="CV62" s="622" t="str">
        <f t="shared" si="36"/>
        <v/>
      </c>
      <c r="CW62" s="622" t="str">
        <f t="shared" si="36"/>
        <v/>
      </c>
      <c r="CX62" s="622" t="str">
        <f t="shared" si="36"/>
        <v/>
      </c>
      <c r="CY62" s="622" t="str">
        <f t="shared" si="36"/>
        <v/>
      </c>
      <c r="CZ62" s="622" t="str">
        <f t="shared" si="36"/>
        <v/>
      </c>
      <c r="DA62" s="622" t="str">
        <f t="shared" si="36"/>
        <v/>
      </c>
      <c r="DB62" s="622" t="str">
        <f t="shared" si="36"/>
        <v/>
      </c>
      <c r="DC62" s="622" t="str">
        <f t="shared" si="36"/>
        <v/>
      </c>
      <c r="DD62" s="622" t="str">
        <f t="shared" si="36"/>
        <v/>
      </c>
      <c r="DE62" s="622" t="str">
        <f t="shared" si="36"/>
        <v/>
      </c>
      <c r="DF62" s="622" t="str">
        <f t="shared" si="36"/>
        <v/>
      </c>
      <c r="DG62" s="622" t="str">
        <f t="shared" si="36"/>
        <v/>
      </c>
      <c r="DH62" s="622" t="str">
        <f t="shared" si="36"/>
        <v/>
      </c>
      <c r="DI62" s="622" t="str">
        <f t="shared" si="36"/>
        <v/>
      </c>
      <c r="DJ62" s="622" t="str">
        <f t="shared" si="36"/>
        <v/>
      </c>
      <c r="DK62" s="622" t="str">
        <f t="shared" si="36"/>
        <v/>
      </c>
      <c r="DL62" s="622" t="str">
        <f t="shared" si="36"/>
        <v/>
      </c>
      <c r="DM62" s="622" t="str">
        <f t="shared" si="36"/>
        <v/>
      </c>
      <c r="DN62" s="622" t="str">
        <f t="shared" si="36"/>
        <v/>
      </c>
      <c r="DO62" s="622" t="str">
        <f t="shared" si="36"/>
        <v/>
      </c>
      <c r="DP62" s="622" t="str">
        <f t="shared" si="36"/>
        <v/>
      </c>
      <c r="DQ62" s="622" t="str">
        <f t="shared" si="36"/>
        <v/>
      </c>
      <c r="DR62" s="622" t="str">
        <f t="shared" si="36"/>
        <v/>
      </c>
      <c r="DS62" s="622" t="str">
        <f t="shared" si="36"/>
        <v/>
      </c>
      <c r="DT62" s="622" t="str">
        <f t="shared" si="36"/>
        <v/>
      </c>
      <c r="DU62" s="622" t="str">
        <f t="shared" si="36"/>
        <v/>
      </c>
      <c r="DV62" s="622" t="str">
        <f t="shared" si="36"/>
        <v/>
      </c>
      <c r="DW62" s="622" t="str">
        <f t="shared" si="36"/>
        <v/>
      </c>
      <c r="DX62" s="622" t="str">
        <f t="shared" si="36"/>
        <v/>
      </c>
      <c r="DY62" s="622" t="str">
        <f t="shared" si="36"/>
        <v/>
      </c>
      <c r="DZ62" s="622" t="str">
        <f t="shared" si="36"/>
        <v/>
      </c>
      <c r="EA62" s="622" t="str">
        <f t="shared" si="36"/>
        <v/>
      </c>
      <c r="EB62" s="622" t="str">
        <f t="shared" si="36"/>
        <v/>
      </c>
      <c r="EC62" s="622" t="str">
        <f t="shared" si="36"/>
        <v/>
      </c>
      <c r="ED62" s="622" t="str">
        <f t="shared" si="36"/>
        <v/>
      </c>
      <c r="EE62" s="622" t="str">
        <f t="shared" si="36"/>
        <v/>
      </c>
      <c r="EF62" s="622" t="str">
        <f t="shared" ref="EF62:EI62" si="37">IF(EF$54="","",EF60+EF58)</f>
        <v/>
      </c>
      <c r="EG62" s="622" t="str">
        <f t="shared" si="37"/>
        <v/>
      </c>
      <c r="EH62" s="622" t="str">
        <f t="shared" si="37"/>
        <v/>
      </c>
      <c r="EI62" s="622" t="str">
        <f t="shared" si="37"/>
        <v/>
      </c>
    </row>
    <row r="63" spans="2:139" outlineLevel="1" x14ac:dyDescent="0.25">
      <c r="B63" s="448"/>
      <c r="C63" s="448"/>
      <c r="D63" s="448"/>
      <c r="E63" s="448"/>
      <c r="F63" s="448"/>
      <c r="G63" s="622"/>
      <c r="H63" s="622"/>
      <c r="I63" s="622"/>
      <c r="J63" s="622"/>
      <c r="K63" s="622"/>
      <c r="L63" s="622"/>
      <c r="M63" s="622"/>
      <c r="N63" s="622"/>
      <c r="O63" s="622"/>
      <c r="P63" s="622"/>
      <c r="Q63" s="622"/>
      <c r="R63" s="622"/>
      <c r="S63" s="622"/>
      <c r="T63" s="622"/>
      <c r="U63" s="622"/>
      <c r="V63" s="622"/>
      <c r="W63" s="622"/>
      <c r="X63" s="622"/>
      <c r="Y63" s="622"/>
      <c r="Z63" s="622"/>
      <c r="AA63" s="622"/>
      <c r="AB63" s="622"/>
      <c r="AC63" s="622"/>
      <c r="AD63" s="622"/>
      <c r="AE63" s="622"/>
      <c r="AF63" s="622"/>
      <c r="AG63" s="622"/>
      <c r="AH63" s="622"/>
      <c r="AI63" s="622"/>
      <c r="AJ63" s="622"/>
      <c r="AK63" s="622"/>
      <c r="AL63" s="622"/>
      <c r="AM63" s="622"/>
      <c r="AN63" s="622"/>
      <c r="AO63" s="622"/>
      <c r="AP63" s="622"/>
      <c r="AQ63" s="622"/>
      <c r="AR63" s="622"/>
      <c r="AS63" s="622"/>
      <c r="AT63" s="622"/>
      <c r="AU63" s="622"/>
      <c r="AV63" s="622"/>
      <c r="AW63" s="622"/>
      <c r="AX63" s="622"/>
      <c r="AY63" s="622"/>
      <c r="AZ63" s="622"/>
      <c r="BA63" s="622"/>
      <c r="BB63" s="622"/>
      <c r="BC63" s="622"/>
      <c r="BD63" s="622"/>
      <c r="BE63" s="622"/>
      <c r="BF63" s="622"/>
      <c r="BG63" s="622"/>
      <c r="BH63" s="622"/>
      <c r="BI63" s="622"/>
      <c r="BJ63" s="622"/>
      <c r="BK63" s="622"/>
      <c r="BL63" s="622"/>
      <c r="BM63" s="622"/>
      <c r="BN63" s="622"/>
      <c r="BO63" s="622"/>
      <c r="BP63" s="622"/>
      <c r="BQ63" s="622"/>
      <c r="BR63" s="622"/>
      <c r="BS63" s="622"/>
      <c r="BT63" s="622"/>
      <c r="BU63" s="622"/>
      <c r="BV63" s="622"/>
      <c r="BW63" s="622"/>
      <c r="BX63" s="622"/>
      <c r="BY63" s="622"/>
      <c r="BZ63" s="622"/>
      <c r="CA63" s="622"/>
      <c r="CB63" s="622"/>
      <c r="CC63" s="622"/>
      <c r="CD63" s="622"/>
      <c r="CE63" s="622"/>
      <c r="CF63" s="622"/>
      <c r="CG63" s="622"/>
      <c r="CH63" s="622"/>
      <c r="CI63" s="622"/>
      <c r="CJ63" s="622"/>
      <c r="CK63" s="622"/>
      <c r="CL63" s="622"/>
      <c r="CM63" s="622"/>
      <c r="CN63" s="622"/>
      <c r="CO63" s="622"/>
      <c r="CP63" s="622"/>
      <c r="CQ63" s="622"/>
      <c r="CR63" s="622"/>
      <c r="CS63" s="622"/>
      <c r="CT63" s="622"/>
      <c r="CU63" s="622"/>
      <c r="CV63" s="622"/>
      <c r="CW63" s="622"/>
      <c r="CX63" s="622"/>
      <c r="CY63" s="622"/>
      <c r="CZ63" s="622"/>
      <c r="DA63" s="622"/>
      <c r="DB63" s="622"/>
      <c r="DC63" s="622"/>
      <c r="DD63" s="622"/>
      <c r="DE63" s="622"/>
      <c r="DF63" s="622"/>
      <c r="DG63" s="622"/>
      <c r="DH63" s="622"/>
      <c r="DI63" s="622"/>
      <c r="DJ63" s="622"/>
      <c r="DK63" s="622"/>
      <c r="DL63" s="622"/>
      <c r="DM63" s="622"/>
      <c r="DN63" s="622"/>
      <c r="DO63" s="622"/>
      <c r="DP63" s="622"/>
      <c r="DQ63" s="622"/>
      <c r="DR63" s="622"/>
      <c r="DS63" s="622"/>
      <c r="DT63" s="622"/>
      <c r="DU63" s="622"/>
      <c r="DV63" s="622"/>
      <c r="DW63" s="622"/>
      <c r="DX63" s="622"/>
      <c r="DY63" s="622"/>
      <c r="DZ63" s="622"/>
      <c r="EA63" s="622"/>
      <c r="EB63" s="622"/>
      <c r="EC63" s="622"/>
      <c r="ED63" s="622"/>
      <c r="EE63" s="622"/>
      <c r="EF63" s="622"/>
      <c r="EG63" s="622"/>
      <c r="EH63" s="622"/>
      <c r="EI63" s="622"/>
    </row>
    <row r="64" spans="2:139" outlineLevel="1" x14ac:dyDescent="0.25">
      <c r="B64" s="448" t="s">
        <v>58</v>
      </c>
      <c r="C64" s="448"/>
      <c r="D64" s="448"/>
      <c r="E64" s="448"/>
      <c r="F64" s="448"/>
      <c r="G64" s="622">
        <f>IF(G$54="","",Underwriting!Q59)</f>
        <v>822502.85714285716</v>
      </c>
      <c r="H64" s="622">
        <f ca="1">IF(H$54="","",Underwriting!R59)</f>
        <v>16840.908265539307</v>
      </c>
      <c r="I64" s="622">
        <f ca="1">IF(I$54="","",Underwriting!S59)</f>
        <v>52504.923287438098</v>
      </c>
      <c r="J64" s="622">
        <f ca="1">IF(J$54="","",Underwriting!T59)</f>
        <v>136519.80154125288</v>
      </c>
      <c r="K64" s="622">
        <f ca="1">IF(K$54="","",Underwriting!U59)</f>
        <v>282437.29328717594</v>
      </c>
      <c r="L64" s="622">
        <f ca="1">IF(L$54="","",Underwriting!V59)</f>
        <v>459629.91406893102</v>
      </c>
      <c r="M64" s="622">
        <f ca="1">IF(M$54="","",Underwriting!W59)</f>
        <v>587875.93211909418</v>
      </c>
      <c r="N64" s="622">
        <f ca="1">IF(N$54="","",Underwriting!X59)</f>
        <v>590772.04107722954</v>
      </c>
      <c r="O64" s="622">
        <f ca="1">IF(O$54="","",Underwriting!Y59)</f>
        <v>468740.7530816652</v>
      </c>
      <c r="P64" s="622">
        <f ca="1">IF(P$54="","",Underwriting!Z59)</f>
        <v>295454.30524225702</v>
      </c>
      <c r="Q64" s="622">
        <f ca="1">IF(Q$54="","",Underwriting!AA59)</f>
        <v>151998.93270668635</v>
      </c>
      <c r="R64" s="622">
        <f ca="1">IF(R$54="","",Underwriting!AB59)</f>
        <v>69250.71222542724</v>
      </c>
      <c r="S64" s="622">
        <f ca="1">IF(S$54="","",Underwriting!AC59)</f>
        <v>34163.786472073742</v>
      </c>
      <c r="T64" s="622">
        <f ca="1">IF(T$54="","",Underwriting!AD59)</f>
        <v>34810.43356999215</v>
      </c>
      <c r="U64" s="622">
        <f ca="1">IF(U$54="","",Underwriting!AE59)</f>
        <v>35100.520516408738</v>
      </c>
      <c r="V64" s="622">
        <f ca="1">IF(V$54="","",Underwriting!AF59)</f>
        <v>0</v>
      </c>
      <c r="W64" s="622">
        <f ca="1">IF(W$54="","",Underwriting!AG59)</f>
        <v>0</v>
      </c>
      <c r="X64" s="622">
        <f ca="1">IF(X$54="","",Underwriting!AH59)</f>
        <v>0</v>
      </c>
      <c r="Y64" s="622">
        <f ca="1">IF(Y$54="","",Underwriting!AI59)</f>
        <v>0</v>
      </c>
      <c r="Z64" s="622">
        <f ca="1">IF(Z$54="","",Underwriting!AJ59)</f>
        <v>0</v>
      </c>
      <c r="AA64" s="622">
        <f ca="1">IF(AA$54="","",Underwriting!AK59)</f>
        <v>0</v>
      </c>
      <c r="AB64" s="622">
        <f ca="1">IF(AB$54="","",Underwriting!AL59)</f>
        <v>0</v>
      </c>
      <c r="AC64" s="622">
        <f ca="1">IF(AC$54="","",Underwriting!AM59)</f>
        <v>0</v>
      </c>
      <c r="AD64" s="622">
        <f ca="1">IF(AD$54="","",Underwriting!AN59)</f>
        <v>0</v>
      </c>
      <c r="AE64" s="622">
        <f ca="1">IF(AE$54="","",Underwriting!AO59)</f>
        <v>0</v>
      </c>
      <c r="AF64" s="622">
        <f ca="1">IF(AF$54="","",Underwriting!AP59)</f>
        <v>0</v>
      </c>
      <c r="AG64" s="622">
        <f ca="1">IF(AG$54="","",Underwriting!AQ59)</f>
        <v>0</v>
      </c>
      <c r="AH64" s="622">
        <f ca="1">IF(AH$54="","",Underwriting!AR59)</f>
        <v>0</v>
      </c>
      <c r="AI64" s="622">
        <f ca="1">IF(AI$54="","",Underwriting!AS59)</f>
        <v>0</v>
      </c>
      <c r="AJ64" s="622">
        <f ca="1">IF(AJ$54="","",Underwriting!AT59)</f>
        <v>0</v>
      </c>
      <c r="AK64" s="622">
        <f ca="1">IF(AK$54="","",Underwriting!AU59)</f>
        <v>0</v>
      </c>
      <c r="AL64" s="622">
        <f ca="1">IF(AL$54="","",Underwriting!AV59)</f>
        <v>0</v>
      </c>
      <c r="AM64" s="622">
        <f ca="1">IF(AM$54="","",Underwriting!AW59)</f>
        <v>0</v>
      </c>
      <c r="AN64" s="622">
        <f ca="1">IF(AN$54="","",Underwriting!AX59)</f>
        <v>0</v>
      </c>
      <c r="AO64" s="622">
        <f ca="1">IF(AO$54="","",Underwriting!AY59)</f>
        <v>0</v>
      </c>
      <c r="AP64" s="622">
        <f ca="1">IF(AP$54="","",Underwriting!AZ59)</f>
        <v>0</v>
      </c>
      <c r="AQ64" s="622">
        <f ca="1">IF(AQ$54="","",Underwriting!BA59)</f>
        <v>0</v>
      </c>
      <c r="AR64" s="622" t="str">
        <f>IF(AR$54="","",Underwriting!BB59)</f>
        <v/>
      </c>
      <c r="AS64" s="622" t="str">
        <f>IF(AS$54="","",Underwriting!BC59)</f>
        <v/>
      </c>
      <c r="AT64" s="622" t="str">
        <f>IF(AT$54="","",Underwriting!BD59)</f>
        <v/>
      </c>
      <c r="AU64" s="622" t="str">
        <f>IF(AU$54="","",Underwriting!BE59)</f>
        <v/>
      </c>
      <c r="AV64" s="622" t="str">
        <f>IF(AV$54="","",Underwriting!BF59)</f>
        <v/>
      </c>
      <c r="AW64" s="622" t="str">
        <f>IF(AW$54="","",Underwriting!BG59)</f>
        <v/>
      </c>
      <c r="AX64" s="622" t="str">
        <f>IF(AX$54="","",Underwriting!BH59)</f>
        <v/>
      </c>
      <c r="AY64" s="622" t="str">
        <f>IF(AY$54="","",Underwriting!BI59)</f>
        <v/>
      </c>
      <c r="AZ64" s="622" t="str">
        <f>IF(AZ$54="","",Underwriting!BJ59)</f>
        <v/>
      </c>
      <c r="BA64" s="622" t="str">
        <f>IF(BA$54="","",Underwriting!BK59)</f>
        <v/>
      </c>
      <c r="BB64" s="622" t="str">
        <f>IF(BB$54="","",Underwriting!BL59)</f>
        <v/>
      </c>
      <c r="BC64" s="622" t="str">
        <f>IF(BC$54="","",Underwriting!BM59)</f>
        <v/>
      </c>
      <c r="BD64" s="622" t="str">
        <f>IF(BD$54="","",Underwriting!BN59)</f>
        <v/>
      </c>
      <c r="BE64" s="622" t="str">
        <f>IF(BE$54="","",Underwriting!BO59)</f>
        <v/>
      </c>
      <c r="BF64" s="622" t="str">
        <f>IF(BF$54="","",Underwriting!BP59)</f>
        <v/>
      </c>
      <c r="BG64" s="622" t="str">
        <f>IF(BG$54="","",Underwriting!BQ59)</f>
        <v/>
      </c>
      <c r="BH64" s="622" t="str">
        <f>IF(BH$54="","",Underwriting!BR59)</f>
        <v/>
      </c>
      <c r="BI64" s="622" t="str">
        <f>IF(BI$54="","",Underwriting!BS59)</f>
        <v/>
      </c>
      <c r="BJ64" s="622" t="str">
        <f>IF(BJ$54="","",Underwriting!BT59)</f>
        <v/>
      </c>
      <c r="BK64" s="622" t="str">
        <f>IF(BK$54="","",Underwriting!BU59)</f>
        <v/>
      </c>
      <c r="BL64" s="622" t="str">
        <f>IF(BL$54="","",Underwriting!BV59)</f>
        <v/>
      </c>
      <c r="BM64" s="622" t="str">
        <f>IF(BM$54="","",Underwriting!BW59)</f>
        <v/>
      </c>
      <c r="BN64" s="622" t="str">
        <f>IF(BN$54="","",Underwriting!BX59)</f>
        <v/>
      </c>
      <c r="BO64" s="622" t="str">
        <f>IF(BO$54="","",Underwriting!BY59)</f>
        <v/>
      </c>
      <c r="BP64" s="622" t="str">
        <f>IF(BP$54="","",Underwriting!BZ59)</f>
        <v/>
      </c>
      <c r="BQ64" s="622" t="str">
        <f>IF(BQ$54="","",Underwriting!CA59)</f>
        <v/>
      </c>
      <c r="BR64" s="622" t="str">
        <f>IF(BR$54="","",Underwriting!CB59)</f>
        <v/>
      </c>
      <c r="BS64" s="622" t="str">
        <f>IF(BS$54="","",Underwriting!CC59)</f>
        <v/>
      </c>
      <c r="BT64" s="622" t="str">
        <f>IF(BT$54="","",Underwriting!CD59)</f>
        <v/>
      </c>
      <c r="BU64" s="622" t="str">
        <f>IF(BU$54="","",Underwriting!CE59)</f>
        <v/>
      </c>
      <c r="BV64" s="622" t="str">
        <f>IF(BV$54="","",Underwriting!CF59)</f>
        <v/>
      </c>
      <c r="BW64" s="622" t="str">
        <f>IF(BW$54="","",Underwriting!CG59)</f>
        <v/>
      </c>
      <c r="BX64" s="622" t="str">
        <f>IF(BX$54="","",Underwriting!CH59)</f>
        <v/>
      </c>
      <c r="BY64" s="622" t="str">
        <f>IF(BY$54="","",Underwriting!CI59)</f>
        <v/>
      </c>
      <c r="BZ64" s="622" t="str">
        <f>IF(BZ$54="","",Underwriting!CJ59)</f>
        <v/>
      </c>
      <c r="CA64" s="622" t="str">
        <f>IF(CA$54="","",Underwriting!CK59)</f>
        <v/>
      </c>
      <c r="CB64" s="622" t="str">
        <f>IF(CB$54="","",Underwriting!CL59)</f>
        <v/>
      </c>
      <c r="CC64" s="622" t="str">
        <f>IF(CC$54="","",Underwriting!CM59)</f>
        <v/>
      </c>
      <c r="CD64" s="622" t="str">
        <f>IF(CD$54="","",Underwriting!CN59)</f>
        <v/>
      </c>
      <c r="CE64" s="622" t="str">
        <f>IF(CE$54="","",Underwriting!CO59)</f>
        <v/>
      </c>
      <c r="CF64" s="622" t="str">
        <f>IF(CF$54="","",Underwriting!CP59)</f>
        <v/>
      </c>
      <c r="CG64" s="622" t="str">
        <f>IF(CG$54="","",Underwriting!CQ59)</f>
        <v/>
      </c>
      <c r="CH64" s="622" t="str">
        <f>IF(CH$54="","",Underwriting!CR59)</f>
        <v/>
      </c>
      <c r="CI64" s="622" t="str">
        <f>IF(CI$54="","",Underwriting!CS59)</f>
        <v/>
      </c>
      <c r="CJ64" s="622" t="str">
        <f>IF(CJ$54="","",Underwriting!CT59)</f>
        <v/>
      </c>
      <c r="CK64" s="622" t="str">
        <f>IF(CK$54="","",Underwriting!CU59)</f>
        <v/>
      </c>
      <c r="CL64" s="622" t="str">
        <f>IF(CL$54="","",Underwriting!CV59)</f>
        <v/>
      </c>
      <c r="CM64" s="622" t="str">
        <f>IF(CM$54="","",Underwriting!CW59)</f>
        <v/>
      </c>
      <c r="CN64" s="622" t="str">
        <f>IF(CN$54="","",Underwriting!CX59)</f>
        <v/>
      </c>
      <c r="CO64" s="622" t="str">
        <f>IF(CO$54="","",Underwriting!CY59)</f>
        <v/>
      </c>
      <c r="CP64" s="622" t="str">
        <f>IF(CP$54="","",Underwriting!CZ59)</f>
        <v/>
      </c>
      <c r="CQ64" s="622" t="str">
        <f>IF(CQ$54="","",Underwriting!DA59)</f>
        <v/>
      </c>
      <c r="CR64" s="622" t="str">
        <f>IF(CR$54="","",Underwriting!DB59)</f>
        <v/>
      </c>
      <c r="CS64" s="622" t="str">
        <f>IF(CS$54="","",Underwriting!DC59)</f>
        <v/>
      </c>
      <c r="CT64" s="622" t="str">
        <f>IF(CT$54="","",Underwriting!DD59)</f>
        <v/>
      </c>
      <c r="CU64" s="622" t="str">
        <f>IF(CU$54="","",Underwriting!DE59)</f>
        <v/>
      </c>
      <c r="CV64" s="622" t="str">
        <f>IF(CV$54="","",Underwriting!DF59)</f>
        <v/>
      </c>
      <c r="CW64" s="622" t="str">
        <f>IF(CW$54="","",Underwriting!DG59)</f>
        <v/>
      </c>
      <c r="CX64" s="622" t="str">
        <f>IF(CX$54="","",Underwriting!DH59)</f>
        <v/>
      </c>
      <c r="CY64" s="622" t="str">
        <f>IF(CY$54="","",Underwriting!DI59)</f>
        <v/>
      </c>
      <c r="CZ64" s="622" t="str">
        <f>IF(CZ$54="","",Underwriting!DJ59)</f>
        <v/>
      </c>
      <c r="DA64" s="622" t="str">
        <f>IF(DA$54="","",Underwriting!DK59)</f>
        <v/>
      </c>
      <c r="DB64" s="622" t="str">
        <f>IF(DB$54="","",Underwriting!DL59)</f>
        <v/>
      </c>
      <c r="DC64" s="622" t="str">
        <f>IF(DC$54="","",Underwriting!DM59)</f>
        <v/>
      </c>
      <c r="DD64" s="622" t="str">
        <f>IF(DD$54="","",Underwriting!DN59)</f>
        <v/>
      </c>
      <c r="DE64" s="622" t="str">
        <f>IF(DE$54="","",Underwriting!DO59)</f>
        <v/>
      </c>
      <c r="DF64" s="622" t="str">
        <f>IF(DF$54="","",Underwriting!DP59)</f>
        <v/>
      </c>
      <c r="DG64" s="622" t="str">
        <f>IF(DG$54="","",Underwriting!DQ59)</f>
        <v/>
      </c>
      <c r="DH64" s="622" t="str">
        <f>IF(DH$54="","",Underwriting!DR59)</f>
        <v/>
      </c>
      <c r="DI64" s="622" t="str">
        <f>IF(DI$54="","",Underwriting!DS59)</f>
        <v/>
      </c>
      <c r="DJ64" s="622" t="str">
        <f>IF(DJ$54="","",Underwriting!DT59)</f>
        <v/>
      </c>
      <c r="DK64" s="622" t="str">
        <f>IF(DK$54="","",Underwriting!DU59)</f>
        <v/>
      </c>
      <c r="DL64" s="622" t="str">
        <f>IF(DL$54="","",Underwriting!DV59)</f>
        <v/>
      </c>
      <c r="DM64" s="622" t="str">
        <f>IF(DM$54="","",Underwriting!DW59)</f>
        <v/>
      </c>
      <c r="DN64" s="622" t="str">
        <f>IF(DN$54="","",Underwriting!DX59)</f>
        <v/>
      </c>
      <c r="DO64" s="622" t="str">
        <f>IF(DO$54="","",Underwriting!DY59)</f>
        <v/>
      </c>
      <c r="DP64" s="622" t="str">
        <f>IF(DP$54="","",Underwriting!DZ59)</f>
        <v/>
      </c>
      <c r="DQ64" s="622" t="str">
        <f>IF(DQ$54="","",Underwriting!EA59)</f>
        <v/>
      </c>
      <c r="DR64" s="622" t="str">
        <f>IF(DR$54="","",Underwriting!EB59)</f>
        <v/>
      </c>
      <c r="DS64" s="622" t="str">
        <f>IF(DS$54="","",Underwriting!EC59)</f>
        <v/>
      </c>
      <c r="DT64" s="622" t="str">
        <f>IF(DT$54="","",Underwriting!ED59)</f>
        <v/>
      </c>
      <c r="DU64" s="622" t="str">
        <f>IF(DU$54="","",Underwriting!EE59)</f>
        <v/>
      </c>
      <c r="DV64" s="622" t="str">
        <f>IF(DV$54="","",Underwriting!EF59)</f>
        <v/>
      </c>
      <c r="DW64" s="622" t="str">
        <f>IF(DW$54="","",Underwriting!EG59)</f>
        <v/>
      </c>
      <c r="DX64" s="622" t="str">
        <f>IF(DX$54="","",Underwriting!EH59)</f>
        <v/>
      </c>
      <c r="DY64" s="622" t="str">
        <f>IF(DY$54="","",Underwriting!EI59)</f>
        <v/>
      </c>
      <c r="DZ64" s="622" t="str">
        <f>IF(DZ$54="","",Underwriting!EJ59)</f>
        <v/>
      </c>
      <c r="EA64" s="622" t="str">
        <f>IF(EA$54="","",Underwriting!EK59)</f>
        <v/>
      </c>
      <c r="EB64" s="622" t="str">
        <f>IF(EB$54="","",Underwriting!EL59)</f>
        <v/>
      </c>
      <c r="EC64" s="622" t="str">
        <f>IF(EC$54="","",Underwriting!EM59)</f>
        <v/>
      </c>
      <c r="ED64" s="622" t="str">
        <f>IF(ED$54="","",Underwriting!EN59)</f>
        <v/>
      </c>
      <c r="EE64" s="622" t="str">
        <f>IF(EE$54="","",Underwriting!EO59)</f>
        <v/>
      </c>
      <c r="EF64" s="622" t="str">
        <f>IF(EF$54="","",Underwriting!EP59)</f>
        <v/>
      </c>
      <c r="EG64" s="622" t="str">
        <f>IF(EG$54="","",Underwriting!EQ59)</f>
        <v/>
      </c>
      <c r="EH64" s="622" t="str">
        <f>IF(EH$54="","",Underwriting!ER59)</f>
        <v/>
      </c>
      <c r="EI64" s="622" t="str">
        <f>IF(EI$54="","",Underwriting!ES59)</f>
        <v/>
      </c>
    </row>
    <row r="65" spans="2:139" outlineLevel="1" x14ac:dyDescent="0.25">
      <c r="B65" s="448" t="s">
        <v>29</v>
      </c>
      <c r="C65" s="448"/>
      <c r="D65" s="448"/>
      <c r="E65" s="448"/>
      <c r="F65" s="448"/>
      <c r="G65" s="622">
        <f>IF(G$54="","",Underwriting!Q79)</f>
        <v>822502.85714285716</v>
      </c>
      <c r="H65" s="622">
        <f ca="1">IF(H$54="","",Underwriting!R79)</f>
        <v>16840.908265539307</v>
      </c>
      <c r="I65" s="622">
        <f ca="1">IF(I$54="","",Underwriting!S79)</f>
        <v>52504.923287438098</v>
      </c>
      <c r="J65" s="622">
        <f ca="1">IF(J$54="","",Underwriting!T79)</f>
        <v>136519.80154125288</v>
      </c>
      <c r="K65" s="622">
        <f ca="1">IF(K$54="","",Underwriting!U79)</f>
        <v>282437.29328717594</v>
      </c>
      <c r="L65" s="622">
        <f ca="1">IF(L$54="","",Underwriting!V79)</f>
        <v>459629.91406893102</v>
      </c>
      <c r="M65" s="622">
        <f ca="1">IF(M$54="","",Underwriting!W79)</f>
        <v>587875.93211909418</v>
      </c>
      <c r="N65" s="622">
        <f ca="1">IF(N$54="","",Underwriting!X79)</f>
        <v>590772.04107722954</v>
      </c>
      <c r="O65" s="622">
        <f ca="1">IF(O$54="","",Underwriting!Y79)</f>
        <v>468740.7530816652</v>
      </c>
      <c r="P65" s="622">
        <f ca="1">IF(P$54="","",Underwriting!Z79)</f>
        <v>295454.30524225702</v>
      </c>
      <c r="Q65" s="622">
        <f ca="1">IF(Q$54="","",Underwriting!AA79)</f>
        <v>151998.93270668635</v>
      </c>
      <c r="R65" s="622">
        <f ca="1">IF(R$54="","",Underwriting!AB79)</f>
        <v>69250.71222542724</v>
      </c>
      <c r="S65" s="622">
        <f ca="1">IF(S$54="","",Underwriting!AC79)</f>
        <v>34163.786472073742</v>
      </c>
      <c r="T65" s="622">
        <f ca="1">IF(T$54="","",Underwriting!AD79)</f>
        <v>34810.43356999215</v>
      </c>
      <c r="U65" s="622">
        <f ca="1">IF(U$54="","",Underwriting!AE79)</f>
        <v>35100.520516408258</v>
      </c>
      <c r="V65" s="622">
        <f ca="1">IF(V$54="","",Underwriting!AF79)</f>
        <v>0</v>
      </c>
      <c r="W65" s="622">
        <f ca="1">IF(W$54="","",Underwriting!AG79)</f>
        <v>0</v>
      </c>
      <c r="X65" s="622">
        <f ca="1">IF(X$54="","",Underwriting!AH79)</f>
        <v>0</v>
      </c>
      <c r="Y65" s="622">
        <f ca="1">IF(Y$54="","",Underwriting!AI79)</f>
        <v>0</v>
      </c>
      <c r="Z65" s="622">
        <f ca="1">IF(Z$54="","",Underwriting!AJ79)</f>
        <v>0</v>
      </c>
      <c r="AA65" s="622">
        <f ca="1">IF(AA$54="","",Underwriting!AK79)</f>
        <v>0</v>
      </c>
      <c r="AB65" s="622">
        <f ca="1">IF(AB$54="","",Underwriting!AL79)</f>
        <v>0</v>
      </c>
      <c r="AC65" s="622">
        <f ca="1">IF(AC$54="","",Underwriting!AM79)</f>
        <v>0</v>
      </c>
      <c r="AD65" s="622">
        <f ca="1">IF(AD$54="","",Underwriting!AN79)</f>
        <v>0</v>
      </c>
      <c r="AE65" s="622">
        <f ca="1">IF(AE$54="","",Underwriting!AO79)</f>
        <v>0</v>
      </c>
      <c r="AF65" s="622">
        <f ca="1">IF(AF$54="","",Underwriting!AP79)</f>
        <v>0</v>
      </c>
      <c r="AG65" s="622">
        <f ca="1">IF(AG$54="","",Underwriting!AQ79)</f>
        <v>0</v>
      </c>
      <c r="AH65" s="622">
        <f ca="1">IF(AH$54="","",Underwriting!AR79)</f>
        <v>0</v>
      </c>
      <c r="AI65" s="622">
        <f ca="1">IF(AI$54="","",Underwriting!AS79)</f>
        <v>0</v>
      </c>
      <c r="AJ65" s="622">
        <f ca="1">IF(AJ$54="","",Underwriting!AT79)</f>
        <v>0</v>
      </c>
      <c r="AK65" s="622">
        <f ca="1">IF(AK$54="","",Underwriting!AU79)</f>
        <v>0</v>
      </c>
      <c r="AL65" s="622">
        <f ca="1">IF(AL$54="","",Underwriting!AV79)</f>
        <v>0</v>
      </c>
      <c r="AM65" s="622">
        <f ca="1">IF(AM$54="","",Underwriting!AW79)</f>
        <v>0</v>
      </c>
      <c r="AN65" s="622">
        <f ca="1">IF(AN$54="","",Underwriting!AX79)</f>
        <v>0</v>
      </c>
      <c r="AO65" s="622">
        <f ca="1">IF(AO$54="","",Underwriting!AY79)</f>
        <v>0</v>
      </c>
      <c r="AP65" s="622">
        <f ca="1">IF(AP$54="","",Underwriting!AZ79)</f>
        <v>0</v>
      </c>
      <c r="AQ65" s="622">
        <f ca="1">IF(AQ$54="","",Underwriting!BA79)</f>
        <v>0</v>
      </c>
      <c r="AR65" s="622" t="str">
        <f>IF(AR$54="","",Underwriting!BB79)</f>
        <v/>
      </c>
      <c r="AS65" s="622" t="str">
        <f>IF(AS$54="","",Underwriting!BC79)</f>
        <v/>
      </c>
      <c r="AT65" s="622" t="str">
        <f>IF(AT$54="","",Underwriting!BD79)</f>
        <v/>
      </c>
      <c r="AU65" s="622" t="str">
        <f>IF(AU$54="","",Underwriting!BE79)</f>
        <v/>
      </c>
      <c r="AV65" s="622" t="str">
        <f>IF(AV$54="","",Underwriting!BF79)</f>
        <v/>
      </c>
      <c r="AW65" s="622" t="str">
        <f>IF(AW$54="","",Underwriting!BG79)</f>
        <v/>
      </c>
      <c r="AX65" s="622" t="str">
        <f>IF(AX$54="","",Underwriting!BH79)</f>
        <v/>
      </c>
      <c r="AY65" s="622" t="str">
        <f>IF(AY$54="","",Underwriting!BI79)</f>
        <v/>
      </c>
      <c r="AZ65" s="622" t="str">
        <f>IF(AZ$54="","",Underwriting!BJ79)</f>
        <v/>
      </c>
      <c r="BA65" s="622" t="str">
        <f>IF(BA$54="","",Underwriting!BK79)</f>
        <v/>
      </c>
      <c r="BB65" s="622" t="str">
        <f>IF(BB$54="","",Underwriting!BL79)</f>
        <v/>
      </c>
      <c r="BC65" s="622" t="str">
        <f>IF(BC$54="","",Underwriting!BM79)</f>
        <v/>
      </c>
      <c r="BD65" s="622" t="str">
        <f>IF(BD$54="","",Underwriting!BN79)</f>
        <v/>
      </c>
      <c r="BE65" s="622" t="str">
        <f>IF(BE$54="","",Underwriting!BO79)</f>
        <v/>
      </c>
      <c r="BF65" s="622" t="str">
        <f>IF(BF$54="","",Underwriting!BP79)</f>
        <v/>
      </c>
      <c r="BG65" s="622" t="str">
        <f>IF(BG$54="","",Underwriting!BQ79)</f>
        <v/>
      </c>
      <c r="BH65" s="622" t="str">
        <f>IF(BH$54="","",Underwriting!BR79)</f>
        <v/>
      </c>
      <c r="BI65" s="622" t="str">
        <f>IF(BI$54="","",Underwriting!BS79)</f>
        <v/>
      </c>
      <c r="BJ65" s="622" t="str">
        <f>IF(BJ$54="","",Underwriting!BT79)</f>
        <v/>
      </c>
      <c r="BK65" s="622" t="str">
        <f>IF(BK$54="","",Underwriting!BU79)</f>
        <v/>
      </c>
      <c r="BL65" s="622" t="str">
        <f>IF(BL$54="","",Underwriting!BV79)</f>
        <v/>
      </c>
      <c r="BM65" s="622" t="str">
        <f>IF(BM$54="","",Underwriting!BW79)</f>
        <v/>
      </c>
      <c r="BN65" s="622" t="str">
        <f>IF(BN$54="","",Underwriting!BX79)</f>
        <v/>
      </c>
      <c r="BO65" s="622" t="str">
        <f>IF(BO$54="","",Underwriting!BY79)</f>
        <v/>
      </c>
      <c r="BP65" s="622" t="str">
        <f>IF(BP$54="","",Underwriting!BZ79)</f>
        <v/>
      </c>
      <c r="BQ65" s="622" t="str">
        <f>IF(BQ$54="","",Underwriting!CA79)</f>
        <v/>
      </c>
      <c r="BR65" s="622" t="str">
        <f>IF(BR$54="","",Underwriting!CB79)</f>
        <v/>
      </c>
      <c r="BS65" s="622" t="str">
        <f>IF(BS$54="","",Underwriting!CC79)</f>
        <v/>
      </c>
      <c r="BT65" s="622" t="str">
        <f>IF(BT$54="","",Underwriting!CD79)</f>
        <v/>
      </c>
      <c r="BU65" s="622" t="str">
        <f>IF(BU$54="","",Underwriting!CE79)</f>
        <v/>
      </c>
      <c r="BV65" s="622" t="str">
        <f>IF(BV$54="","",Underwriting!CF79)</f>
        <v/>
      </c>
      <c r="BW65" s="622" t="str">
        <f>IF(BW$54="","",Underwriting!CG79)</f>
        <v/>
      </c>
      <c r="BX65" s="622" t="str">
        <f>IF(BX$54="","",Underwriting!CH79)</f>
        <v/>
      </c>
      <c r="BY65" s="622" t="str">
        <f>IF(BY$54="","",Underwriting!CI79)</f>
        <v/>
      </c>
      <c r="BZ65" s="622" t="str">
        <f>IF(BZ$54="","",Underwriting!CJ79)</f>
        <v/>
      </c>
      <c r="CA65" s="622" t="str">
        <f>IF(CA$54="","",Underwriting!CK79)</f>
        <v/>
      </c>
      <c r="CB65" s="622" t="str">
        <f>IF(CB$54="","",Underwriting!CL79)</f>
        <v/>
      </c>
      <c r="CC65" s="622" t="str">
        <f>IF(CC$54="","",Underwriting!CM79)</f>
        <v/>
      </c>
      <c r="CD65" s="622" t="str">
        <f>IF(CD$54="","",Underwriting!CN79)</f>
        <v/>
      </c>
      <c r="CE65" s="622" t="str">
        <f>IF(CE$54="","",Underwriting!CO79)</f>
        <v/>
      </c>
      <c r="CF65" s="622" t="str">
        <f>IF(CF$54="","",Underwriting!CP79)</f>
        <v/>
      </c>
      <c r="CG65" s="622" t="str">
        <f>IF(CG$54="","",Underwriting!CQ79)</f>
        <v/>
      </c>
      <c r="CH65" s="622" t="str">
        <f>IF(CH$54="","",Underwriting!CR79)</f>
        <v/>
      </c>
      <c r="CI65" s="622" t="str">
        <f>IF(CI$54="","",Underwriting!CS79)</f>
        <v/>
      </c>
      <c r="CJ65" s="622" t="str">
        <f>IF(CJ$54="","",Underwriting!CT79)</f>
        <v/>
      </c>
      <c r="CK65" s="622" t="str">
        <f>IF(CK$54="","",Underwriting!CU79)</f>
        <v/>
      </c>
      <c r="CL65" s="622" t="str">
        <f>IF(CL$54="","",Underwriting!CV79)</f>
        <v/>
      </c>
      <c r="CM65" s="622" t="str">
        <f>IF(CM$54="","",Underwriting!CW79)</f>
        <v/>
      </c>
      <c r="CN65" s="622" t="str">
        <f>IF(CN$54="","",Underwriting!CX79)</f>
        <v/>
      </c>
      <c r="CO65" s="622" t="str">
        <f>IF(CO$54="","",Underwriting!CY79)</f>
        <v/>
      </c>
      <c r="CP65" s="622" t="str">
        <f>IF(CP$54="","",Underwriting!CZ79)</f>
        <v/>
      </c>
      <c r="CQ65" s="622" t="str">
        <f>IF(CQ$54="","",Underwriting!DA79)</f>
        <v/>
      </c>
      <c r="CR65" s="622" t="str">
        <f>IF(CR$54="","",Underwriting!DB79)</f>
        <v/>
      </c>
      <c r="CS65" s="622" t="str">
        <f>IF(CS$54="","",Underwriting!DC79)</f>
        <v/>
      </c>
      <c r="CT65" s="622" t="str">
        <f>IF(CT$54="","",Underwriting!DD79)</f>
        <v/>
      </c>
      <c r="CU65" s="622" t="str">
        <f>IF(CU$54="","",Underwriting!DE79)</f>
        <v/>
      </c>
      <c r="CV65" s="622" t="str">
        <f>IF(CV$54="","",Underwriting!DF79)</f>
        <v/>
      </c>
      <c r="CW65" s="622" t="str">
        <f>IF(CW$54="","",Underwriting!DG79)</f>
        <v/>
      </c>
      <c r="CX65" s="622" t="str">
        <f>IF(CX$54="","",Underwriting!DH79)</f>
        <v/>
      </c>
      <c r="CY65" s="622" t="str">
        <f>IF(CY$54="","",Underwriting!DI79)</f>
        <v/>
      </c>
      <c r="CZ65" s="622" t="str">
        <f>IF(CZ$54="","",Underwriting!DJ79)</f>
        <v/>
      </c>
      <c r="DA65" s="622" t="str">
        <f>IF(DA$54="","",Underwriting!DK79)</f>
        <v/>
      </c>
      <c r="DB65" s="622" t="str">
        <f>IF(DB$54="","",Underwriting!DL79)</f>
        <v/>
      </c>
      <c r="DC65" s="622" t="str">
        <f>IF(DC$54="","",Underwriting!DM79)</f>
        <v/>
      </c>
      <c r="DD65" s="622" t="str">
        <f>IF(DD$54="","",Underwriting!DN79)</f>
        <v/>
      </c>
      <c r="DE65" s="622" t="str">
        <f>IF(DE$54="","",Underwriting!DO79)</f>
        <v/>
      </c>
      <c r="DF65" s="622" t="str">
        <f>IF(DF$54="","",Underwriting!DP79)</f>
        <v/>
      </c>
      <c r="DG65" s="622" t="str">
        <f>IF(DG$54="","",Underwriting!DQ79)</f>
        <v/>
      </c>
      <c r="DH65" s="622" t="str">
        <f>IF(DH$54="","",Underwriting!DR79)</f>
        <v/>
      </c>
      <c r="DI65" s="622" t="str">
        <f>IF(DI$54="","",Underwriting!DS79)</f>
        <v/>
      </c>
      <c r="DJ65" s="622" t="str">
        <f>IF(DJ$54="","",Underwriting!DT79)</f>
        <v/>
      </c>
      <c r="DK65" s="622" t="str">
        <f>IF(DK$54="","",Underwriting!DU79)</f>
        <v/>
      </c>
      <c r="DL65" s="622" t="str">
        <f>IF(DL$54="","",Underwriting!DV79)</f>
        <v/>
      </c>
      <c r="DM65" s="622" t="str">
        <f>IF(DM$54="","",Underwriting!DW79)</f>
        <v/>
      </c>
      <c r="DN65" s="622" t="str">
        <f>IF(DN$54="","",Underwriting!DX79)</f>
        <v/>
      </c>
      <c r="DO65" s="622" t="str">
        <f>IF(DO$54="","",Underwriting!DY79)</f>
        <v/>
      </c>
      <c r="DP65" s="622" t="str">
        <f>IF(DP$54="","",Underwriting!DZ79)</f>
        <v/>
      </c>
      <c r="DQ65" s="622" t="str">
        <f>IF(DQ$54="","",Underwriting!EA79)</f>
        <v/>
      </c>
      <c r="DR65" s="622" t="str">
        <f>IF(DR$54="","",Underwriting!EB79)</f>
        <v/>
      </c>
      <c r="DS65" s="622" t="str">
        <f>IF(DS$54="","",Underwriting!EC79)</f>
        <v/>
      </c>
      <c r="DT65" s="622" t="str">
        <f>IF(DT$54="","",Underwriting!ED79)</f>
        <v/>
      </c>
      <c r="DU65" s="622" t="str">
        <f>IF(DU$54="","",Underwriting!EE79)</f>
        <v/>
      </c>
      <c r="DV65" s="622" t="str">
        <f>IF(DV$54="","",Underwriting!EF79)</f>
        <v/>
      </c>
      <c r="DW65" s="622" t="str">
        <f>IF(DW$54="","",Underwriting!EG79)</f>
        <v/>
      </c>
      <c r="DX65" s="622" t="str">
        <f>IF(DX$54="","",Underwriting!EH79)</f>
        <v/>
      </c>
      <c r="DY65" s="622" t="str">
        <f>IF(DY$54="","",Underwriting!EI79)</f>
        <v/>
      </c>
      <c r="DZ65" s="622" t="str">
        <f>IF(DZ$54="","",Underwriting!EJ79)</f>
        <v/>
      </c>
      <c r="EA65" s="622" t="str">
        <f>IF(EA$54="","",Underwriting!EK79)</f>
        <v/>
      </c>
      <c r="EB65" s="622" t="str">
        <f>IF(EB$54="","",Underwriting!EL79)</f>
        <v/>
      </c>
      <c r="EC65" s="622" t="str">
        <f>IF(EC$54="","",Underwriting!EM79)</f>
        <v/>
      </c>
      <c r="ED65" s="622" t="str">
        <f>IF(ED$54="","",Underwriting!EN79)</f>
        <v/>
      </c>
      <c r="EE65" s="622" t="str">
        <f>IF(EE$54="","",Underwriting!EO79)</f>
        <v/>
      </c>
      <c r="EF65" s="622" t="str">
        <f>IF(EF$54="","",Underwriting!EP79)</f>
        <v/>
      </c>
      <c r="EG65" s="622" t="str">
        <f>IF(EG$54="","",Underwriting!EQ79)</f>
        <v/>
      </c>
      <c r="EH65" s="622" t="str">
        <f>IF(EH$54="","",Underwriting!ER79)</f>
        <v/>
      </c>
      <c r="EI65" s="622" t="str">
        <f>IF(EI$54="","",Underwriting!ES79)</f>
        <v/>
      </c>
    </row>
    <row r="66" spans="2:139" outlineLevel="1" x14ac:dyDescent="0.25">
      <c r="B66" s="448"/>
      <c r="C66" s="448"/>
      <c r="D66" s="448"/>
      <c r="E66" s="448"/>
      <c r="F66" s="448"/>
      <c r="G66" s="448"/>
      <c r="H66" s="448"/>
      <c r="I66" s="448"/>
      <c r="J66" s="448"/>
      <c r="K66" s="448"/>
      <c r="L66" s="448"/>
      <c r="M66" s="448"/>
      <c r="N66" s="448"/>
      <c r="O66" s="448"/>
      <c r="P66" s="448"/>
      <c r="Q66" s="448"/>
      <c r="R66" s="448"/>
      <c r="S66" s="448"/>
      <c r="T66" s="448"/>
      <c r="U66" s="448"/>
      <c r="V66" s="448"/>
      <c r="W66" s="448"/>
      <c r="X66" s="448"/>
      <c r="Y66" s="448"/>
      <c r="Z66" s="448"/>
      <c r="AA66" s="448"/>
      <c r="AB66" s="448"/>
      <c r="AC66" s="448"/>
      <c r="AD66" s="448"/>
      <c r="AE66" s="448"/>
      <c r="AF66" s="448"/>
      <c r="AG66" s="448"/>
      <c r="AH66" s="448"/>
      <c r="AI66" s="448"/>
      <c r="AJ66" s="448"/>
      <c r="AK66" s="448"/>
      <c r="AL66" s="448"/>
      <c r="AM66" s="448"/>
      <c r="AN66" s="448"/>
      <c r="AO66" s="448"/>
      <c r="AP66" s="448"/>
      <c r="AQ66" s="448"/>
      <c r="AR66" s="448"/>
      <c r="AS66" s="448"/>
      <c r="AT66" s="448"/>
      <c r="AU66" s="448"/>
      <c r="AV66" s="448"/>
      <c r="AW66" s="448"/>
      <c r="AX66" s="448"/>
      <c r="AY66" s="448"/>
      <c r="AZ66" s="448"/>
      <c r="BA66" s="448"/>
      <c r="BB66" s="448"/>
      <c r="BC66" s="448"/>
      <c r="BD66" s="448"/>
      <c r="BE66" s="448"/>
      <c r="BF66" s="448"/>
      <c r="BG66" s="448"/>
      <c r="BH66" s="448"/>
      <c r="BI66" s="448"/>
      <c r="BJ66" s="448"/>
      <c r="BK66" s="448"/>
      <c r="BL66" s="448"/>
      <c r="BM66" s="448"/>
      <c r="BN66" s="448"/>
      <c r="BO66" s="448"/>
      <c r="BP66" s="448"/>
      <c r="BQ66" s="448"/>
      <c r="BR66" s="448"/>
      <c r="BS66" s="448"/>
      <c r="BT66" s="448"/>
      <c r="BU66" s="448"/>
      <c r="BV66" s="448"/>
      <c r="BW66" s="448"/>
      <c r="BX66" s="448"/>
      <c r="BY66" s="448"/>
      <c r="BZ66" s="448"/>
      <c r="CA66" s="448"/>
      <c r="CB66" s="448"/>
      <c r="CC66" s="448"/>
      <c r="CD66" s="448"/>
      <c r="CE66" s="448"/>
      <c r="CF66" s="448"/>
      <c r="CG66" s="448"/>
      <c r="CH66" s="448"/>
      <c r="CI66" s="448"/>
      <c r="CJ66" s="448"/>
      <c r="CK66" s="448"/>
      <c r="CL66" s="448"/>
      <c r="CM66" s="448"/>
      <c r="CN66" s="448"/>
      <c r="CO66" s="448"/>
      <c r="CP66" s="448"/>
      <c r="CQ66" s="448"/>
      <c r="CR66" s="448"/>
      <c r="CS66" s="448"/>
      <c r="CT66" s="448"/>
      <c r="CU66" s="448"/>
      <c r="CV66" s="448"/>
      <c r="CW66" s="448"/>
      <c r="CX66" s="448"/>
      <c r="CY66" s="448"/>
      <c r="CZ66" s="448"/>
      <c r="DA66" s="448"/>
      <c r="DB66" s="448"/>
      <c r="DC66" s="448"/>
      <c r="DD66" s="448"/>
      <c r="DE66" s="448"/>
      <c r="DF66" s="448"/>
      <c r="DG66" s="448"/>
      <c r="DH66" s="448"/>
      <c r="DI66" s="448"/>
      <c r="DJ66" s="448"/>
      <c r="DK66" s="448"/>
      <c r="DL66" s="448"/>
      <c r="DM66" s="448"/>
      <c r="DN66" s="448"/>
      <c r="DO66" s="448"/>
      <c r="DP66" s="448"/>
      <c r="DQ66" s="448"/>
      <c r="DR66" s="448"/>
      <c r="DS66" s="448"/>
      <c r="DT66" s="448"/>
      <c r="DU66" s="448"/>
      <c r="DV66" s="448"/>
      <c r="DW66" s="448"/>
      <c r="DX66" s="448"/>
      <c r="DY66" s="448"/>
      <c r="DZ66" s="448"/>
      <c r="EA66" s="448"/>
      <c r="EB66" s="448"/>
      <c r="EC66" s="448"/>
      <c r="ED66" s="448"/>
      <c r="EE66" s="448"/>
      <c r="EF66" s="448"/>
      <c r="EG66" s="448"/>
      <c r="EH66" s="448"/>
      <c r="EI66" s="448"/>
    </row>
    <row r="67" spans="2:139" outlineLevel="1" x14ac:dyDescent="0.25">
      <c r="B67" s="448" t="s">
        <v>517</v>
      </c>
      <c r="C67" s="448"/>
      <c r="D67" s="448"/>
      <c r="E67" s="448"/>
      <c r="F67" s="448"/>
      <c r="G67" s="567">
        <f>+G54</f>
        <v>0</v>
      </c>
      <c r="H67" s="567">
        <f t="shared" ref="H67:BS67" si="38">+H54</f>
        <v>1</v>
      </c>
      <c r="I67" s="567">
        <f t="shared" si="38"/>
        <v>2</v>
      </c>
      <c r="J67" s="567">
        <f t="shared" si="38"/>
        <v>3</v>
      </c>
      <c r="K67" s="567">
        <f t="shared" si="38"/>
        <v>4</v>
      </c>
      <c r="L67" s="567">
        <f t="shared" si="38"/>
        <v>5</v>
      </c>
      <c r="M67" s="567">
        <f t="shared" si="38"/>
        <v>6</v>
      </c>
      <c r="N67" s="567">
        <f t="shared" si="38"/>
        <v>7</v>
      </c>
      <c r="O67" s="567">
        <f t="shared" si="38"/>
        <v>8</v>
      </c>
      <c r="P67" s="567">
        <f t="shared" si="38"/>
        <v>9</v>
      </c>
      <c r="Q67" s="567">
        <f t="shared" si="38"/>
        <v>10</v>
      </c>
      <c r="R67" s="567">
        <f t="shared" si="38"/>
        <v>11</v>
      </c>
      <c r="S67" s="567">
        <f t="shared" si="38"/>
        <v>12</v>
      </c>
      <c r="T67" s="567">
        <f t="shared" si="38"/>
        <v>13</v>
      </c>
      <c r="U67" s="567">
        <f t="shared" si="38"/>
        <v>14</v>
      </c>
      <c r="V67" s="567">
        <f t="shared" si="38"/>
        <v>15</v>
      </c>
      <c r="W67" s="567">
        <f t="shared" si="38"/>
        <v>16</v>
      </c>
      <c r="X67" s="567">
        <f t="shared" si="38"/>
        <v>17</v>
      </c>
      <c r="Y67" s="567">
        <f t="shared" si="38"/>
        <v>18</v>
      </c>
      <c r="Z67" s="567">
        <f t="shared" si="38"/>
        <v>19</v>
      </c>
      <c r="AA67" s="567">
        <f t="shared" si="38"/>
        <v>20</v>
      </c>
      <c r="AB67" s="567">
        <f t="shared" si="38"/>
        <v>21</v>
      </c>
      <c r="AC67" s="567">
        <f t="shared" si="38"/>
        <v>22</v>
      </c>
      <c r="AD67" s="567">
        <f t="shared" si="38"/>
        <v>23</v>
      </c>
      <c r="AE67" s="567">
        <f t="shared" si="38"/>
        <v>24</v>
      </c>
      <c r="AF67" s="567">
        <f t="shared" si="38"/>
        <v>25</v>
      </c>
      <c r="AG67" s="567">
        <f t="shared" si="38"/>
        <v>26</v>
      </c>
      <c r="AH67" s="567">
        <f t="shared" si="38"/>
        <v>27</v>
      </c>
      <c r="AI67" s="567">
        <f t="shared" si="38"/>
        <v>28</v>
      </c>
      <c r="AJ67" s="567">
        <f t="shared" si="38"/>
        <v>29</v>
      </c>
      <c r="AK67" s="567">
        <f t="shared" si="38"/>
        <v>30</v>
      </c>
      <c r="AL67" s="567">
        <f t="shared" si="38"/>
        <v>31</v>
      </c>
      <c r="AM67" s="567">
        <f t="shared" si="38"/>
        <v>32</v>
      </c>
      <c r="AN67" s="567">
        <f t="shared" si="38"/>
        <v>33</v>
      </c>
      <c r="AO67" s="567">
        <f t="shared" si="38"/>
        <v>34</v>
      </c>
      <c r="AP67" s="567">
        <f t="shared" si="38"/>
        <v>35</v>
      </c>
      <c r="AQ67" s="567">
        <f t="shared" si="38"/>
        <v>36</v>
      </c>
      <c r="AR67" s="567" t="str">
        <f t="shared" si="38"/>
        <v/>
      </c>
      <c r="AS67" s="567" t="str">
        <f t="shared" si="38"/>
        <v/>
      </c>
      <c r="AT67" s="567" t="str">
        <f t="shared" si="38"/>
        <v/>
      </c>
      <c r="AU67" s="567" t="str">
        <f t="shared" si="38"/>
        <v/>
      </c>
      <c r="AV67" s="567" t="str">
        <f t="shared" si="38"/>
        <v/>
      </c>
      <c r="AW67" s="567" t="str">
        <f t="shared" si="38"/>
        <v/>
      </c>
      <c r="AX67" s="567" t="str">
        <f t="shared" si="38"/>
        <v/>
      </c>
      <c r="AY67" s="567" t="str">
        <f t="shared" si="38"/>
        <v/>
      </c>
      <c r="AZ67" s="567" t="str">
        <f t="shared" si="38"/>
        <v/>
      </c>
      <c r="BA67" s="567" t="str">
        <f t="shared" si="38"/>
        <v/>
      </c>
      <c r="BB67" s="567" t="str">
        <f t="shared" si="38"/>
        <v/>
      </c>
      <c r="BC67" s="567" t="str">
        <f t="shared" si="38"/>
        <v/>
      </c>
      <c r="BD67" s="567" t="str">
        <f t="shared" si="38"/>
        <v/>
      </c>
      <c r="BE67" s="567" t="str">
        <f t="shared" si="38"/>
        <v/>
      </c>
      <c r="BF67" s="567" t="str">
        <f t="shared" si="38"/>
        <v/>
      </c>
      <c r="BG67" s="567" t="str">
        <f t="shared" si="38"/>
        <v/>
      </c>
      <c r="BH67" s="567" t="str">
        <f t="shared" si="38"/>
        <v/>
      </c>
      <c r="BI67" s="567" t="str">
        <f t="shared" si="38"/>
        <v/>
      </c>
      <c r="BJ67" s="567" t="str">
        <f t="shared" si="38"/>
        <v/>
      </c>
      <c r="BK67" s="567" t="str">
        <f t="shared" si="38"/>
        <v/>
      </c>
      <c r="BL67" s="567" t="str">
        <f t="shared" si="38"/>
        <v/>
      </c>
      <c r="BM67" s="567" t="str">
        <f t="shared" si="38"/>
        <v/>
      </c>
      <c r="BN67" s="567" t="str">
        <f t="shared" si="38"/>
        <v/>
      </c>
      <c r="BO67" s="567" t="str">
        <f t="shared" si="38"/>
        <v/>
      </c>
      <c r="BP67" s="567" t="str">
        <f t="shared" si="38"/>
        <v/>
      </c>
      <c r="BQ67" s="567" t="str">
        <f t="shared" si="38"/>
        <v/>
      </c>
      <c r="BR67" s="567" t="str">
        <f t="shared" si="38"/>
        <v/>
      </c>
      <c r="BS67" s="567" t="str">
        <f t="shared" si="38"/>
        <v/>
      </c>
      <c r="BT67" s="567" t="str">
        <f t="shared" ref="BT67:EE67" si="39">+BT54</f>
        <v/>
      </c>
      <c r="BU67" s="567" t="str">
        <f t="shared" si="39"/>
        <v/>
      </c>
      <c r="BV67" s="567" t="str">
        <f t="shared" si="39"/>
        <v/>
      </c>
      <c r="BW67" s="567" t="str">
        <f t="shared" si="39"/>
        <v/>
      </c>
      <c r="BX67" s="567" t="str">
        <f t="shared" si="39"/>
        <v/>
      </c>
      <c r="BY67" s="567" t="str">
        <f t="shared" si="39"/>
        <v/>
      </c>
      <c r="BZ67" s="567" t="str">
        <f t="shared" si="39"/>
        <v/>
      </c>
      <c r="CA67" s="567" t="str">
        <f t="shared" si="39"/>
        <v/>
      </c>
      <c r="CB67" s="567" t="str">
        <f t="shared" si="39"/>
        <v/>
      </c>
      <c r="CC67" s="567" t="str">
        <f t="shared" si="39"/>
        <v/>
      </c>
      <c r="CD67" s="567" t="str">
        <f t="shared" si="39"/>
        <v/>
      </c>
      <c r="CE67" s="567" t="str">
        <f t="shared" si="39"/>
        <v/>
      </c>
      <c r="CF67" s="567" t="str">
        <f t="shared" si="39"/>
        <v/>
      </c>
      <c r="CG67" s="567" t="str">
        <f t="shared" si="39"/>
        <v/>
      </c>
      <c r="CH67" s="567" t="str">
        <f t="shared" si="39"/>
        <v/>
      </c>
      <c r="CI67" s="567" t="str">
        <f t="shared" si="39"/>
        <v/>
      </c>
      <c r="CJ67" s="567" t="str">
        <f t="shared" si="39"/>
        <v/>
      </c>
      <c r="CK67" s="567" t="str">
        <f t="shared" si="39"/>
        <v/>
      </c>
      <c r="CL67" s="567" t="str">
        <f t="shared" si="39"/>
        <v/>
      </c>
      <c r="CM67" s="567" t="str">
        <f t="shared" si="39"/>
        <v/>
      </c>
      <c r="CN67" s="567" t="str">
        <f t="shared" si="39"/>
        <v/>
      </c>
      <c r="CO67" s="567" t="str">
        <f t="shared" si="39"/>
        <v/>
      </c>
      <c r="CP67" s="567" t="str">
        <f t="shared" si="39"/>
        <v/>
      </c>
      <c r="CQ67" s="567" t="str">
        <f t="shared" si="39"/>
        <v/>
      </c>
      <c r="CR67" s="567" t="str">
        <f t="shared" si="39"/>
        <v/>
      </c>
      <c r="CS67" s="567" t="str">
        <f t="shared" si="39"/>
        <v/>
      </c>
      <c r="CT67" s="567" t="str">
        <f t="shared" si="39"/>
        <v/>
      </c>
      <c r="CU67" s="567" t="str">
        <f t="shared" si="39"/>
        <v/>
      </c>
      <c r="CV67" s="567" t="str">
        <f t="shared" si="39"/>
        <v/>
      </c>
      <c r="CW67" s="567" t="str">
        <f t="shared" si="39"/>
        <v/>
      </c>
      <c r="CX67" s="567" t="str">
        <f t="shared" si="39"/>
        <v/>
      </c>
      <c r="CY67" s="567" t="str">
        <f t="shared" si="39"/>
        <v/>
      </c>
      <c r="CZ67" s="567" t="str">
        <f t="shared" si="39"/>
        <v/>
      </c>
      <c r="DA67" s="567" t="str">
        <f t="shared" si="39"/>
        <v/>
      </c>
      <c r="DB67" s="567" t="str">
        <f t="shared" si="39"/>
        <v/>
      </c>
      <c r="DC67" s="567" t="str">
        <f t="shared" si="39"/>
        <v/>
      </c>
      <c r="DD67" s="567" t="str">
        <f t="shared" si="39"/>
        <v/>
      </c>
      <c r="DE67" s="567" t="str">
        <f t="shared" si="39"/>
        <v/>
      </c>
      <c r="DF67" s="567" t="str">
        <f t="shared" si="39"/>
        <v/>
      </c>
      <c r="DG67" s="567" t="str">
        <f t="shared" si="39"/>
        <v/>
      </c>
      <c r="DH67" s="567" t="str">
        <f t="shared" si="39"/>
        <v/>
      </c>
      <c r="DI67" s="567" t="str">
        <f t="shared" si="39"/>
        <v/>
      </c>
      <c r="DJ67" s="567" t="str">
        <f t="shared" si="39"/>
        <v/>
      </c>
      <c r="DK67" s="567" t="str">
        <f t="shared" si="39"/>
        <v/>
      </c>
      <c r="DL67" s="567" t="str">
        <f t="shared" si="39"/>
        <v/>
      </c>
      <c r="DM67" s="567" t="str">
        <f t="shared" si="39"/>
        <v/>
      </c>
      <c r="DN67" s="567" t="str">
        <f t="shared" si="39"/>
        <v/>
      </c>
      <c r="DO67" s="567" t="str">
        <f t="shared" si="39"/>
        <v/>
      </c>
      <c r="DP67" s="567" t="str">
        <f t="shared" si="39"/>
        <v/>
      </c>
      <c r="DQ67" s="567" t="str">
        <f t="shared" si="39"/>
        <v/>
      </c>
      <c r="DR67" s="567" t="str">
        <f t="shared" si="39"/>
        <v/>
      </c>
      <c r="DS67" s="567" t="str">
        <f t="shared" si="39"/>
        <v/>
      </c>
      <c r="DT67" s="567" t="str">
        <f t="shared" si="39"/>
        <v/>
      </c>
      <c r="DU67" s="567" t="str">
        <f t="shared" si="39"/>
        <v/>
      </c>
      <c r="DV67" s="567" t="str">
        <f t="shared" si="39"/>
        <v/>
      </c>
      <c r="DW67" s="567" t="str">
        <f t="shared" si="39"/>
        <v/>
      </c>
      <c r="DX67" s="567" t="str">
        <f t="shared" si="39"/>
        <v/>
      </c>
      <c r="DY67" s="567" t="str">
        <f t="shared" si="39"/>
        <v/>
      </c>
      <c r="DZ67" s="567" t="str">
        <f t="shared" si="39"/>
        <v/>
      </c>
      <c r="EA67" s="567" t="str">
        <f t="shared" si="39"/>
        <v/>
      </c>
      <c r="EB67" s="567" t="str">
        <f t="shared" si="39"/>
        <v/>
      </c>
      <c r="EC67" s="567" t="str">
        <f t="shared" si="39"/>
        <v/>
      </c>
      <c r="ED67" s="567" t="str">
        <f t="shared" si="39"/>
        <v/>
      </c>
      <c r="EE67" s="567" t="str">
        <f t="shared" si="39"/>
        <v/>
      </c>
      <c r="EF67" s="567" t="str">
        <f t="shared" ref="EF67:EI67" si="40">+EF54</f>
        <v/>
      </c>
      <c r="EG67" s="567" t="str">
        <f t="shared" si="40"/>
        <v/>
      </c>
      <c r="EH67" s="567" t="str">
        <f t="shared" si="40"/>
        <v/>
      </c>
      <c r="EI67" s="567" t="str">
        <f t="shared" si="40"/>
        <v/>
      </c>
    </row>
    <row r="68" spans="2:139" outlineLevel="1" x14ac:dyDescent="0.25">
      <c r="B68" s="621" t="s">
        <v>447</v>
      </c>
      <c r="C68" s="448"/>
      <c r="D68" s="448"/>
      <c r="E68" s="448"/>
      <c r="F68" s="448"/>
      <c r="G68" s="568">
        <f>IF(G$67="","",Underwriting!Q103)</f>
        <v>0</v>
      </c>
      <c r="H68" s="568">
        <f ca="1">IF(H$67="","",Underwriting!R103)</f>
        <v>0</v>
      </c>
      <c r="I68" s="568">
        <f ca="1">IF(I$67="","",Underwriting!S103)</f>
        <v>0</v>
      </c>
      <c r="J68" s="568">
        <f ca="1">IF(J$67="","",Underwriting!T103)</f>
        <v>0</v>
      </c>
      <c r="K68" s="568">
        <f ca="1">IF(K$67="","",Underwriting!U103)</f>
        <v>0</v>
      </c>
      <c r="L68" s="568">
        <f ca="1">IF(L$67="","",Underwriting!V103)</f>
        <v>0</v>
      </c>
      <c r="M68" s="568">
        <f ca="1">IF(M$67="","",Underwriting!W103)</f>
        <v>0</v>
      </c>
      <c r="N68" s="568">
        <f ca="1">IF(N$67="","",Underwriting!X103)</f>
        <v>0</v>
      </c>
      <c r="O68" s="568">
        <f ca="1">IF(O$67="","",Underwriting!Y103)</f>
        <v>0</v>
      </c>
      <c r="P68" s="568">
        <f ca="1">IF(P$67="","",Underwriting!Z103)</f>
        <v>0</v>
      </c>
      <c r="Q68" s="568">
        <f ca="1">IF(Q$67="","",Underwriting!AA103)</f>
        <v>0</v>
      </c>
      <c r="R68" s="568">
        <f ca="1">IF(R$67="","",Underwriting!AB103)</f>
        <v>0</v>
      </c>
      <c r="S68" s="568">
        <f ca="1">IF(S$67="","",Underwriting!AC103)</f>
        <v>7600</v>
      </c>
      <c r="T68" s="568">
        <f ca="1">IF(T$67="","",Underwriting!AD103)</f>
        <v>19000</v>
      </c>
      <c r="U68" s="568">
        <f ca="1">IF(U$67="","",Underwriting!AE103)</f>
        <v>30400</v>
      </c>
      <c r="V68" s="568">
        <f ca="1">IF(V$67="","",Underwriting!AF103)</f>
        <v>30400</v>
      </c>
      <c r="W68" s="568">
        <f ca="1">IF(W$67="","",Underwriting!AG103)</f>
        <v>30400</v>
      </c>
      <c r="X68" s="568">
        <f ca="1">IF(X$67="","",Underwriting!AH103)</f>
        <v>30400</v>
      </c>
      <c r="Y68" s="568">
        <f ca="1">IF(Y$67="","",Underwriting!AI103)</f>
        <v>30400</v>
      </c>
      <c r="Z68" s="568">
        <f ca="1">IF(Z$67="","",Underwriting!AJ103)</f>
        <v>30400</v>
      </c>
      <c r="AA68" s="568">
        <f ca="1">IF(AA$67="","",Underwriting!AK103)</f>
        <v>30400</v>
      </c>
      <c r="AB68" s="568">
        <f ca="1">IF(AB$67="","",Underwriting!AL103)</f>
        <v>30400</v>
      </c>
      <c r="AC68" s="568">
        <f ca="1">IF(AC$67="","",Underwriting!AM103)</f>
        <v>30400</v>
      </c>
      <c r="AD68" s="568">
        <f ca="1">IF(AD$67="","",Underwriting!AN103)</f>
        <v>30400</v>
      </c>
      <c r="AE68" s="568">
        <f ca="1">IF(AE$67="","",Underwriting!AO103)</f>
        <v>30628</v>
      </c>
      <c r="AF68" s="568">
        <f ca="1">IF(AF$67="","",Underwriting!AP103)</f>
        <v>30970</v>
      </c>
      <c r="AG68" s="568">
        <f ca="1">IF(AG$67="","",Underwriting!AQ103)</f>
        <v>31312</v>
      </c>
      <c r="AH68" s="568">
        <f ca="1">IF(AH$67="","",Underwriting!AR103)</f>
        <v>31312</v>
      </c>
      <c r="AI68" s="568">
        <f ca="1">IF(AI$67="","",Underwriting!AS103)</f>
        <v>31312</v>
      </c>
      <c r="AJ68" s="568">
        <f ca="1">IF(AJ$67="","",Underwriting!AT103)</f>
        <v>31312</v>
      </c>
      <c r="AK68" s="568">
        <f ca="1">IF(AK$67="","",Underwriting!AU103)</f>
        <v>31312</v>
      </c>
      <c r="AL68" s="568">
        <f ca="1">IF(AL$67="","",Underwriting!AV103)</f>
        <v>31312</v>
      </c>
      <c r="AM68" s="568">
        <f ca="1">IF(AM$67="","",Underwriting!AW103)</f>
        <v>31312</v>
      </c>
      <c r="AN68" s="568">
        <f ca="1">IF(AN$67="","",Underwriting!AX103)</f>
        <v>31312</v>
      </c>
      <c r="AO68" s="568">
        <f ca="1">IF(AO$67="","",Underwriting!AY103)</f>
        <v>31312</v>
      </c>
      <c r="AP68" s="568">
        <f ca="1">IF(AP$67="","",Underwriting!AZ103)</f>
        <v>31312</v>
      </c>
      <c r="AQ68" s="568">
        <f ca="1">IF(AQ$67="","",Underwriting!BA103)</f>
        <v>31546.84</v>
      </c>
      <c r="AR68" s="568" t="str">
        <f>IF(AR$67="","",Underwriting!BB103)</f>
        <v/>
      </c>
      <c r="AS68" s="568" t="str">
        <f>IF(AS$67="","",Underwriting!BC103)</f>
        <v/>
      </c>
      <c r="AT68" s="568" t="str">
        <f>IF(AT$67="","",Underwriting!BD103)</f>
        <v/>
      </c>
      <c r="AU68" s="568" t="str">
        <f>IF(AU$67="","",Underwriting!BE103)</f>
        <v/>
      </c>
      <c r="AV68" s="568" t="str">
        <f>IF(AV$67="","",Underwriting!BF103)</f>
        <v/>
      </c>
      <c r="AW68" s="568" t="str">
        <f>IF(AW$67="","",Underwriting!BG103)</f>
        <v/>
      </c>
      <c r="AX68" s="568" t="str">
        <f>IF(AX$67="","",Underwriting!BH103)</f>
        <v/>
      </c>
      <c r="AY68" s="568" t="str">
        <f>IF(AY$67="","",Underwriting!BI103)</f>
        <v/>
      </c>
      <c r="AZ68" s="568" t="str">
        <f>IF(AZ$67="","",Underwriting!BJ103)</f>
        <v/>
      </c>
      <c r="BA68" s="568" t="str">
        <f>IF(BA$67="","",Underwriting!BK103)</f>
        <v/>
      </c>
      <c r="BB68" s="568" t="str">
        <f>IF(BB$67="","",Underwriting!BL103)</f>
        <v/>
      </c>
      <c r="BC68" s="568" t="str">
        <f>IF(BC$67="","",Underwriting!BM103)</f>
        <v/>
      </c>
      <c r="BD68" s="568" t="str">
        <f>IF(BD$67="","",Underwriting!BN103)</f>
        <v/>
      </c>
      <c r="BE68" s="568" t="str">
        <f>IF(BE$67="","",Underwriting!BO103)</f>
        <v/>
      </c>
      <c r="BF68" s="568" t="str">
        <f>IF(BF$67="","",Underwriting!BP103)</f>
        <v/>
      </c>
      <c r="BG68" s="568" t="str">
        <f>IF(BG$67="","",Underwriting!BQ103)</f>
        <v/>
      </c>
      <c r="BH68" s="568" t="str">
        <f>IF(BH$67="","",Underwriting!BR103)</f>
        <v/>
      </c>
      <c r="BI68" s="568" t="str">
        <f>IF(BI$67="","",Underwriting!BS103)</f>
        <v/>
      </c>
      <c r="BJ68" s="568" t="str">
        <f>IF(BJ$67="","",Underwriting!BT103)</f>
        <v/>
      </c>
      <c r="BK68" s="568" t="str">
        <f>IF(BK$67="","",Underwriting!BU103)</f>
        <v/>
      </c>
      <c r="BL68" s="568" t="str">
        <f>IF(BL$67="","",Underwriting!BV103)</f>
        <v/>
      </c>
      <c r="BM68" s="568" t="str">
        <f>IF(BM$67="","",Underwriting!BW103)</f>
        <v/>
      </c>
      <c r="BN68" s="568" t="str">
        <f>IF(BN$67="","",Underwriting!BX103)</f>
        <v/>
      </c>
      <c r="BO68" s="568" t="str">
        <f>IF(BO$67="","",Underwriting!BY103)</f>
        <v/>
      </c>
      <c r="BP68" s="568" t="str">
        <f>IF(BP$67="","",Underwriting!BZ103)</f>
        <v/>
      </c>
      <c r="BQ68" s="568" t="str">
        <f>IF(BQ$67="","",Underwriting!CA103)</f>
        <v/>
      </c>
      <c r="BR68" s="568" t="str">
        <f>IF(BR$67="","",Underwriting!CB103)</f>
        <v/>
      </c>
      <c r="BS68" s="568" t="str">
        <f>IF(BS$67="","",Underwriting!CC103)</f>
        <v/>
      </c>
      <c r="BT68" s="568" t="str">
        <f>IF(BT$67="","",Underwriting!CD103)</f>
        <v/>
      </c>
      <c r="BU68" s="568" t="str">
        <f>IF(BU$67="","",Underwriting!CE103)</f>
        <v/>
      </c>
      <c r="BV68" s="568" t="str">
        <f>IF(BV$67="","",Underwriting!CF103)</f>
        <v/>
      </c>
      <c r="BW68" s="568" t="str">
        <f>IF(BW$67="","",Underwriting!CG103)</f>
        <v/>
      </c>
      <c r="BX68" s="568" t="str">
        <f>IF(BX$67="","",Underwriting!CH103)</f>
        <v/>
      </c>
      <c r="BY68" s="568" t="str">
        <f>IF(BY$67="","",Underwriting!CI103)</f>
        <v/>
      </c>
      <c r="BZ68" s="568" t="str">
        <f>IF(BZ$67="","",Underwriting!CJ103)</f>
        <v/>
      </c>
      <c r="CA68" s="568" t="str">
        <f>IF(CA$67="","",Underwriting!CK103)</f>
        <v/>
      </c>
      <c r="CB68" s="568" t="str">
        <f>IF(CB$67="","",Underwriting!CL103)</f>
        <v/>
      </c>
      <c r="CC68" s="568" t="str">
        <f>IF(CC$67="","",Underwriting!CM103)</f>
        <v/>
      </c>
      <c r="CD68" s="568" t="str">
        <f>IF(CD$67="","",Underwriting!CN103)</f>
        <v/>
      </c>
      <c r="CE68" s="568" t="str">
        <f>IF(CE$67="","",Underwriting!CO103)</f>
        <v/>
      </c>
      <c r="CF68" s="568" t="str">
        <f>IF(CF$67="","",Underwriting!CP103)</f>
        <v/>
      </c>
      <c r="CG68" s="568" t="str">
        <f>IF(CG$67="","",Underwriting!CQ103)</f>
        <v/>
      </c>
      <c r="CH68" s="568" t="str">
        <f>IF(CH$67="","",Underwriting!CR103)</f>
        <v/>
      </c>
      <c r="CI68" s="568" t="str">
        <f>IF(CI$67="","",Underwriting!CS103)</f>
        <v/>
      </c>
      <c r="CJ68" s="568" t="str">
        <f>IF(CJ$67="","",Underwriting!CT103)</f>
        <v/>
      </c>
      <c r="CK68" s="568" t="str">
        <f>IF(CK$67="","",Underwriting!CU103)</f>
        <v/>
      </c>
      <c r="CL68" s="568" t="str">
        <f>IF(CL$67="","",Underwriting!CV103)</f>
        <v/>
      </c>
      <c r="CM68" s="568" t="str">
        <f>IF(CM$67="","",Underwriting!CW103)</f>
        <v/>
      </c>
      <c r="CN68" s="568" t="str">
        <f>IF(CN$67="","",Underwriting!CX103)</f>
        <v/>
      </c>
      <c r="CO68" s="568" t="str">
        <f>IF(CO$67="","",Underwriting!CY103)</f>
        <v/>
      </c>
      <c r="CP68" s="568" t="str">
        <f>IF(CP$67="","",Underwriting!CZ103)</f>
        <v/>
      </c>
      <c r="CQ68" s="568" t="str">
        <f>IF(CQ$67="","",Underwriting!DA103)</f>
        <v/>
      </c>
      <c r="CR68" s="568" t="str">
        <f>IF(CR$67="","",Underwriting!DB103)</f>
        <v/>
      </c>
      <c r="CS68" s="568" t="str">
        <f>IF(CS$67="","",Underwriting!DC103)</f>
        <v/>
      </c>
      <c r="CT68" s="568" t="str">
        <f>IF(CT$67="","",Underwriting!DD103)</f>
        <v/>
      </c>
      <c r="CU68" s="568" t="str">
        <f>IF(CU$67="","",Underwriting!DE103)</f>
        <v/>
      </c>
      <c r="CV68" s="568" t="str">
        <f>IF(CV$67="","",Underwriting!DF103)</f>
        <v/>
      </c>
      <c r="CW68" s="568" t="str">
        <f>IF(CW$67="","",Underwriting!DG103)</f>
        <v/>
      </c>
      <c r="CX68" s="568" t="str">
        <f>IF(CX$67="","",Underwriting!DH103)</f>
        <v/>
      </c>
      <c r="CY68" s="568" t="str">
        <f>IF(CY$67="","",Underwriting!DI103)</f>
        <v/>
      </c>
      <c r="CZ68" s="568" t="str">
        <f>IF(CZ$67="","",Underwriting!DJ103)</f>
        <v/>
      </c>
      <c r="DA68" s="568" t="str">
        <f>IF(DA$67="","",Underwriting!DK103)</f>
        <v/>
      </c>
      <c r="DB68" s="568" t="str">
        <f>IF(DB$67="","",Underwriting!DL103)</f>
        <v/>
      </c>
      <c r="DC68" s="568" t="str">
        <f>IF(DC$67="","",Underwriting!DM103)</f>
        <v/>
      </c>
      <c r="DD68" s="568" t="str">
        <f>IF(DD$67="","",Underwriting!DN103)</f>
        <v/>
      </c>
      <c r="DE68" s="568" t="str">
        <f>IF(DE$67="","",Underwriting!DO103)</f>
        <v/>
      </c>
      <c r="DF68" s="568" t="str">
        <f>IF(DF$67="","",Underwriting!DP103)</f>
        <v/>
      </c>
      <c r="DG68" s="568" t="str">
        <f>IF(DG$67="","",Underwriting!DQ103)</f>
        <v/>
      </c>
      <c r="DH68" s="568" t="str">
        <f>IF(DH$67="","",Underwriting!DR103)</f>
        <v/>
      </c>
      <c r="DI68" s="568" t="str">
        <f>IF(DI$67="","",Underwriting!DS103)</f>
        <v/>
      </c>
      <c r="DJ68" s="568" t="str">
        <f>IF(DJ$67="","",Underwriting!DT103)</f>
        <v/>
      </c>
      <c r="DK68" s="568" t="str">
        <f>IF(DK$67="","",Underwriting!DU103)</f>
        <v/>
      </c>
      <c r="DL68" s="568" t="str">
        <f>IF(DL$67="","",Underwriting!DV103)</f>
        <v/>
      </c>
      <c r="DM68" s="568" t="str">
        <f>IF(DM$67="","",Underwriting!DW103)</f>
        <v/>
      </c>
      <c r="DN68" s="568" t="str">
        <f>IF(DN$67="","",Underwriting!DX103)</f>
        <v/>
      </c>
      <c r="DO68" s="568" t="str">
        <f>IF(DO$67="","",Underwriting!DY103)</f>
        <v/>
      </c>
      <c r="DP68" s="568" t="str">
        <f>IF(DP$67="","",Underwriting!DZ103)</f>
        <v/>
      </c>
      <c r="DQ68" s="568" t="str">
        <f>IF(DQ$67="","",Underwriting!EA103)</f>
        <v/>
      </c>
      <c r="DR68" s="568" t="str">
        <f>IF(DR$67="","",Underwriting!EB103)</f>
        <v/>
      </c>
      <c r="DS68" s="568" t="str">
        <f>IF(DS$67="","",Underwriting!EC103)</f>
        <v/>
      </c>
      <c r="DT68" s="568" t="str">
        <f>IF(DT$67="","",Underwriting!ED103)</f>
        <v/>
      </c>
      <c r="DU68" s="568" t="str">
        <f>IF(DU$67="","",Underwriting!EE103)</f>
        <v/>
      </c>
      <c r="DV68" s="568" t="str">
        <f>IF(DV$67="","",Underwriting!EF103)</f>
        <v/>
      </c>
      <c r="DW68" s="568" t="str">
        <f>IF(DW$67="","",Underwriting!EG103)</f>
        <v/>
      </c>
      <c r="DX68" s="568" t="str">
        <f>IF(DX$67="","",Underwriting!EH103)</f>
        <v/>
      </c>
      <c r="DY68" s="568" t="str">
        <f>IF(DY$67="","",Underwriting!EI103)</f>
        <v/>
      </c>
      <c r="DZ68" s="568" t="str">
        <f>IF(DZ$67="","",Underwriting!EJ103)</f>
        <v/>
      </c>
      <c r="EA68" s="568" t="str">
        <f>IF(EA$67="","",Underwriting!EK103)</f>
        <v/>
      </c>
      <c r="EB68" s="568" t="str">
        <f>IF(EB$67="","",Underwriting!EL103)</f>
        <v/>
      </c>
      <c r="EC68" s="568" t="str">
        <f>IF(EC$67="","",Underwriting!EM103)</f>
        <v/>
      </c>
      <c r="ED68" s="568" t="str">
        <f>IF(ED$67="","",Underwriting!EN103)</f>
        <v/>
      </c>
      <c r="EE68" s="568" t="str">
        <f>IF(EE$67="","",Underwriting!EO103)</f>
        <v/>
      </c>
      <c r="EF68" s="568" t="str">
        <f>IF(EF$67="","",Underwriting!EP103)</f>
        <v/>
      </c>
      <c r="EG68" s="568" t="str">
        <f>IF(EG$67="","",Underwriting!EQ103)</f>
        <v/>
      </c>
      <c r="EH68" s="568" t="str">
        <f>IF(EH$67="","",Underwriting!ER103)</f>
        <v/>
      </c>
      <c r="EI68" s="568" t="str">
        <f>IF(EI$67="","",Underwriting!ES103)</f>
        <v/>
      </c>
    </row>
    <row r="69" spans="2:139" outlineLevel="1" x14ac:dyDescent="0.25">
      <c r="B69" s="621" t="s">
        <v>115</v>
      </c>
      <c r="C69" s="448"/>
      <c r="D69" s="448"/>
      <c r="E69" s="448"/>
      <c r="F69" s="448"/>
      <c r="G69" s="568">
        <f>IF(G$67="","",Underwriting!Q108)</f>
        <v>0</v>
      </c>
      <c r="H69" s="568">
        <f>IF(H$67="","",Underwriting!R108)</f>
        <v>0</v>
      </c>
      <c r="I69" s="568">
        <f>IF(I$67="","",Underwriting!S108)</f>
        <v>0</v>
      </c>
      <c r="J69" s="568">
        <f>IF(J$67="","",Underwriting!T108)</f>
        <v>0</v>
      </c>
      <c r="K69" s="568">
        <f>IF(K$67="","",Underwriting!U108)</f>
        <v>0</v>
      </c>
      <c r="L69" s="568">
        <f>IF(L$67="","",Underwriting!V108)</f>
        <v>0</v>
      </c>
      <c r="M69" s="568">
        <f>IF(M$67="","",Underwriting!W108)</f>
        <v>0</v>
      </c>
      <c r="N69" s="568">
        <f>IF(N$67="","",Underwriting!X108)</f>
        <v>0</v>
      </c>
      <c r="O69" s="568">
        <f>IF(O$67="","",Underwriting!Y108)</f>
        <v>0</v>
      </c>
      <c r="P69" s="568">
        <f>IF(P$67="","",Underwriting!Z108)</f>
        <v>0</v>
      </c>
      <c r="Q69" s="568">
        <f>IF(Q$67="","",Underwriting!AA108)</f>
        <v>0</v>
      </c>
      <c r="R69" s="568">
        <f>IF(R$67="","",Underwriting!AB108)</f>
        <v>0</v>
      </c>
      <c r="S69" s="568">
        <f>IF(S$67="","",Underwriting!AC108)</f>
        <v>0</v>
      </c>
      <c r="T69" s="568">
        <f>IF(T$67="","",Underwriting!AD108)</f>
        <v>0</v>
      </c>
      <c r="U69" s="568">
        <f>IF(U$67="","",Underwriting!AE108)</f>
        <v>0</v>
      </c>
      <c r="V69" s="568">
        <f>IF(V$67="","",Underwriting!AF108)</f>
        <v>0</v>
      </c>
      <c r="W69" s="568">
        <f>IF(W$67="","",Underwriting!AG108)</f>
        <v>0</v>
      </c>
      <c r="X69" s="568">
        <f>IF(X$67="","",Underwriting!AH108)</f>
        <v>0</v>
      </c>
      <c r="Y69" s="568">
        <f>IF(Y$67="","",Underwriting!AI108)</f>
        <v>0</v>
      </c>
      <c r="Z69" s="568">
        <f>IF(Z$67="","",Underwriting!AJ108)</f>
        <v>0</v>
      </c>
      <c r="AA69" s="568">
        <f>IF(AA$67="","",Underwriting!AK108)</f>
        <v>0</v>
      </c>
      <c r="AB69" s="568">
        <f>IF(AB$67="","",Underwriting!AL108)</f>
        <v>0</v>
      </c>
      <c r="AC69" s="568">
        <f>IF(AC$67="","",Underwriting!AM108)</f>
        <v>0</v>
      </c>
      <c r="AD69" s="568">
        <f>IF(AD$67="","",Underwriting!AN108)</f>
        <v>0</v>
      </c>
      <c r="AE69" s="568">
        <f>IF(AE$67="","",Underwriting!AO108)</f>
        <v>0</v>
      </c>
      <c r="AF69" s="568">
        <f>IF(AF$67="","",Underwriting!AP108)</f>
        <v>0</v>
      </c>
      <c r="AG69" s="568">
        <f>IF(AG$67="","",Underwriting!AQ108)</f>
        <v>0</v>
      </c>
      <c r="AH69" s="568">
        <f>IF(AH$67="","",Underwriting!AR108)</f>
        <v>0</v>
      </c>
      <c r="AI69" s="568">
        <f>IF(AI$67="","",Underwriting!AS108)</f>
        <v>0</v>
      </c>
      <c r="AJ69" s="568">
        <f>IF(AJ$67="","",Underwriting!AT108)</f>
        <v>0</v>
      </c>
      <c r="AK69" s="568">
        <f>IF(AK$67="","",Underwriting!AU108)</f>
        <v>0</v>
      </c>
      <c r="AL69" s="568">
        <f>IF(AL$67="","",Underwriting!AV108)</f>
        <v>0</v>
      </c>
      <c r="AM69" s="568">
        <f>IF(AM$67="","",Underwriting!AW108)</f>
        <v>0</v>
      </c>
      <c r="AN69" s="568">
        <f>IF(AN$67="","",Underwriting!AX108)</f>
        <v>0</v>
      </c>
      <c r="AO69" s="568">
        <f>IF(AO$67="","",Underwriting!AY108)</f>
        <v>0</v>
      </c>
      <c r="AP69" s="568">
        <f>IF(AP$67="","",Underwriting!AZ108)</f>
        <v>0</v>
      </c>
      <c r="AQ69" s="568">
        <f>IF(AQ$67="","",Underwriting!BA108)</f>
        <v>0</v>
      </c>
      <c r="AR69" s="568" t="str">
        <f>IF(AR$67="","",Underwriting!BB108)</f>
        <v/>
      </c>
      <c r="AS69" s="568" t="str">
        <f>IF(AS$67="","",Underwriting!BC108)</f>
        <v/>
      </c>
      <c r="AT69" s="568" t="str">
        <f>IF(AT$67="","",Underwriting!BD108)</f>
        <v/>
      </c>
      <c r="AU69" s="568" t="str">
        <f>IF(AU$67="","",Underwriting!BE108)</f>
        <v/>
      </c>
      <c r="AV69" s="568" t="str">
        <f>IF(AV$67="","",Underwriting!BF108)</f>
        <v/>
      </c>
      <c r="AW69" s="568" t="str">
        <f>IF(AW$67="","",Underwriting!BG108)</f>
        <v/>
      </c>
      <c r="AX69" s="568" t="str">
        <f>IF(AX$67="","",Underwriting!BH108)</f>
        <v/>
      </c>
      <c r="AY69" s="568" t="str">
        <f>IF(AY$67="","",Underwriting!BI108)</f>
        <v/>
      </c>
      <c r="AZ69" s="568" t="str">
        <f>IF(AZ$67="","",Underwriting!BJ108)</f>
        <v/>
      </c>
      <c r="BA69" s="568" t="str">
        <f>IF(BA$67="","",Underwriting!BK108)</f>
        <v/>
      </c>
      <c r="BB69" s="568" t="str">
        <f>IF(BB$67="","",Underwriting!BL108)</f>
        <v/>
      </c>
      <c r="BC69" s="568" t="str">
        <f>IF(BC$67="","",Underwriting!BM108)</f>
        <v/>
      </c>
      <c r="BD69" s="568" t="str">
        <f>IF(BD$67="","",Underwriting!BN108)</f>
        <v/>
      </c>
      <c r="BE69" s="568" t="str">
        <f>IF(BE$67="","",Underwriting!BO108)</f>
        <v/>
      </c>
      <c r="BF69" s="568" t="str">
        <f>IF(BF$67="","",Underwriting!BP108)</f>
        <v/>
      </c>
      <c r="BG69" s="568" t="str">
        <f>IF(BG$67="","",Underwriting!BQ108)</f>
        <v/>
      </c>
      <c r="BH69" s="568" t="str">
        <f>IF(BH$67="","",Underwriting!BR108)</f>
        <v/>
      </c>
      <c r="BI69" s="568" t="str">
        <f>IF(BI$67="","",Underwriting!BS108)</f>
        <v/>
      </c>
      <c r="BJ69" s="568" t="str">
        <f>IF(BJ$67="","",Underwriting!BT108)</f>
        <v/>
      </c>
      <c r="BK69" s="568" t="str">
        <f>IF(BK$67="","",Underwriting!BU108)</f>
        <v/>
      </c>
      <c r="BL69" s="568" t="str">
        <f>IF(BL$67="","",Underwriting!BV108)</f>
        <v/>
      </c>
      <c r="BM69" s="568" t="str">
        <f>IF(BM$67="","",Underwriting!BW108)</f>
        <v/>
      </c>
      <c r="BN69" s="568" t="str">
        <f>IF(BN$67="","",Underwriting!BX108)</f>
        <v/>
      </c>
      <c r="BO69" s="568" t="str">
        <f>IF(BO$67="","",Underwriting!BY108)</f>
        <v/>
      </c>
      <c r="BP69" s="568" t="str">
        <f>IF(BP$67="","",Underwriting!BZ108)</f>
        <v/>
      </c>
      <c r="BQ69" s="568" t="str">
        <f>IF(BQ$67="","",Underwriting!CA108)</f>
        <v/>
      </c>
      <c r="BR69" s="568" t="str">
        <f>IF(BR$67="","",Underwriting!CB108)</f>
        <v/>
      </c>
      <c r="BS69" s="568" t="str">
        <f>IF(BS$67="","",Underwriting!CC108)</f>
        <v/>
      </c>
      <c r="BT69" s="568" t="str">
        <f>IF(BT$67="","",Underwriting!CD108)</f>
        <v/>
      </c>
      <c r="BU69" s="568" t="str">
        <f>IF(BU$67="","",Underwriting!CE108)</f>
        <v/>
      </c>
      <c r="BV69" s="568" t="str">
        <f>IF(BV$67="","",Underwriting!CF108)</f>
        <v/>
      </c>
      <c r="BW69" s="568" t="str">
        <f>IF(BW$67="","",Underwriting!CG108)</f>
        <v/>
      </c>
      <c r="BX69" s="568" t="str">
        <f>IF(BX$67="","",Underwriting!CH108)</f>
        <v/>
      </c>
      <c r="BY69" s="568" t="str">
        <f>IF(BY$67="","",Underwriting!CI108)</f>
        <v/>
      </c>
      <c r="BZ69" s="568" t="str">
        <f>IF(BZ$67="","",Underwriting!CJ108)</f>
        <v/>
      </c>
      <c r="CA69" s="568" t="str">
        <f>IF(CA$67="","",Underwriting!CK108)</f>
        <v/>
      </c>
      <c r="CB69" s="568" t="str">
        <f>IF(CB$67="","",Underwriting!CL108)</f>
        <v/>
      </c>
      <c r="CC69" s="568" t="str">
        <f>IF(CC$67="","",Underwriting!CM108)</f>
        <v/>
      </c>
      <c r="CD69" s="568" t="str">
        <f>IF(CD$67="","",Underwriting!CN108)</f>
        <v/>
      </c>
      <c r="CE69" s="568" t="str">
        <f>IF(CE$67="","",Underwriting!CO108)</f>
        <v/>
      </c>
      <c r="CF69" s="568" t="str">
        <f>IF(CF$67="","",Underwriting!CP108)</f>
        <v/>
      </c>
      <c r="CG69" s="568" t="str">
        <f>IF(CG$67="","",Underwriting!CQ108)</f>
        <v/>
      </c>
      <c r="CH69" s="568" t="str">
        <f>IF(CH$67="","",Underwriting!CR108)</f>
        <v/>
      </c>
      <c r="CI69" s="568" t="str">
        <f>IF(CI$67="","",Underwriting!CS108)</f>
        <v/>
      </c>
      <c r="CJ69" s="568" t="str">
        <f>IF(CJ$67="","",Underwriting!CT108)</f>
        <v/>
      </c>
      <c r="CK69" s="568" t="str">
        <f>IF(CK$67="","",Underwriting!CU108)</f>
        <v/>
      </c>
      <c r="CL69" s="568" t="str">
        <f>IF(CL$67="","",Underwriting!CV108)</f>
        <v/>
      </c>
      <c r="CM69" s="568" t="str">
        <f>IF(CM$67="","",Underwriting!CW108)</f>
        <v/>
      </c>
      <c r="CN69" s="568" t="str">
        <f>IF(CN$67="","",Underwriting!CX108)</f>
        <v/>
      </c>
      <c r="CO69" s="568" t="str">
        <f>IF(CO$67="","",Underwriting!CY108)</f>
        <v/>
      </c>
      <c r="CP69" s="568" t="str">
        <f>IF(CP$67="","",Underwriting!CZ108)</f>
        <v/>
      </c>
      <c r="CQ69" s="568" t="str">
        <f>IF(CQ$67="","",Underwriting!DA108)</f>
        <v/>
      </c>
      <c r="CR69" s="568" t="str">
        <f>IF(CR$67="","",Underwriting!DB108)</f>
        <v/>
      </c>
      <c r="CS69" s="568" t="str">
        <f>IF(CS$67="","",Underwriting!DC108)</f>
        <v/>
      </c>
      <c r="CT69" s="568" t="str">
        <f>IF(CT$67="","",Underwriting!DD108)</f>
        <v/>
      </c>
      <c r="CU69" s="568" t="str">
        <f>IF(CU$67="","",Underwriting!DE108)</f>
        <v/>
      </c>
      <c r="CV69" s="568" t="str">
        <f>IF(CV$67="","",Underwriting!DF108)</f>
        <v/>
      </c>
      <c r="CW69" s="568" t="str">
        <f>IF(CW$67="","",Underwriting!DG108)</f>
        <v/>
      </c>
      <c r="CX69" s="568" t="str">
        <f>IF(CX$67="","",Underwriting!DH108)</f>
        <v/>
      </c>
      <c r="CY69" s="568" t="str">
        <f>IF(CY$67="","",Underwriting!DI108)</f>
        <v/>
      </c>
      <c r="CZ69" s="568" t="str">
        <f>IF(CZ$67="","",Underwriting!DJ108)</f>
        <v/>
      </c>
      <c r="DA69" s="568" t="str">
        <f>IF(DA$67="","",Underwriting!DK108)</f>
        <v/>
      </c>
      <c r="DB69" s="568" t="str">
        <f>IF(DB$67="","",Underwriting!DL108)</f>
        <v/>
      </c>
      <c r="DC69" s="568" t="str">
        <f>IF(DC$67="","",Underwriting!DM108)</f>
        <v/>
      </c>
      <c r="DD69" s="568" t="str">
        <f>IF(DD$67="","",Underwriting!DN108)</f>
        <v/>
      </c>
      <c r="DE69" s="568" t="str">
        <f>IF(DE$67="","",Underwriting!DO108)</f>
        <v/>
      </c>
      <c r="DF69" s="568" t="str">
        <f>IF(DF$67="","",Underwriting!DP108)</f>
        <v/>
      </c>
      <c r="DG69" s="568" t="str">
        <f>IF(DG$67="","",Underwriting!DQ108)</f>
        <v/>
      </c>
      <c r="DH69" s="568" t="str">
        <f>IF(DH$67="","",Underwriting!DR108)</f>
        <v/>
      </c>
      <c r="DI69" s="568" t="str">
        <f>IF(DI$67="","",Underwriting!DS108)</f>
        <v/>
      </c>
      <c r="DJ69" s="568" t="str">
        <f>IF(DJ$67="","",Underwriting!DT108)</f>
        <v/>
      </c>
      <c r="DK69" s="568" t="str">
        <f>IF(DK$67="","",Underwriting!DU108)</f>
        <v/>
      </c>
      <c r="DL69" s="568" t="str">
        <f>IF(DL$67="","",Underwriting!DV108)</f>
        <v/>
      </c>
      <c r="DM69" s="568" t="str">
        <f>IF(DM$67="","",Underwriting!DW108)</f>
        <v/>
      </c>
      <c r="DN69" s="568" t="str">
        <f>IF(DN$67="","",Underwriting!DX108)</f>
        <v/>
      </c>
      <c r="DO69" s="568" t="str">
        <f>IF(DO$67="","",Underwriting!DY108)</f>
        <v/>
      </c>
      <c r="DP69" s="568" t="str">
        <f>IF(DP$67="","",Underwriting!DZ108)</f>
        <v/>
      </c>
      <c r="DQ69" s="568" t="str">
        <f>IF(DQ$67="","",Underwriting!EA108)</f>
        <v/>
      </c>
      <c r="DR69" s="568" t="str">
        <f>IF(DR$67="","",Underwriting!EB108)</f>
        <v/>
      </c>
      <c r="DS69" s="568" t="str">
        <f>IF(DS$67="","",Underwriting!EC108)</f>
        <v/>
      </c>
      <c r="DT69" s="568" t="str">
        <f>IF(DT$67="","",Underwriting!ED108)</f>
        <v/>
      </c>
      <c r="DU69" s="568" t="str">
        <f>IF(DU$67="","",Underwriting!EE108)</f>
        <v/>
      </c>
      <c r="DV69" s="568" t="str">
        <f>IF(DV$67="","",Underwriting!EF108)</f>
        <v/>
      </c>
      <c r="DW69" s="568" t="str">
        <f>IF(DW$67="","",Underwriting!EG108)</f>
        <v/>
      </c>
      <c r="DX69" s="568" t="str">
        <f>IF(DX$67="","",Underwriting!EH108)</f>
        <v/>
      </c>
      <c r="DY69" s="568" t="str">
        <f>IF(DY$67="","",Underwriting!EI108)</f>
        <v/>
      </c>
      <c r="DZ69" s="568" t="str">
        <f>IF(DZ$67="","",Underwriting!EJ108)</f>
        <v/>
      </c>
      <c r="EA69" s="568" t="str">
        <f>IF(EA$67="","",Underwriting!EK108)</f>
        <v/>
      </c>
      <c r="EB69" s="568" t="str">
        <f>IF(EB$67="","",Underwriting!EL108)</f>
        <v/>
      </c>
      <c r="EC69" s="568" t="str">
        <f>IF(EC$67="","",Underwriting!EM108)</f>
        <v/>
      </c>
      <c r="ED69" s="568" t="str">
        <f>IF(ED$67="","",Underwriting!EN108)</f>
        <v/>
      </c>
      <c r="EE69" s="568" t="str">
        <f>IF(EE$67="","",Underwriting!EO108)</f>
        <v/>
      </c>
      <c r="EF69" s="568" t="str">
        <f>IF(EF$67="","",Underwriting!EP108)</f>
        <v/>
      </c>
      <c r="EG69" s="568" t="str">
        <f>IF(EG$67="","",Underwriting!EQ108)</f>
        <v/>
      </c>
      <c r="EH69" s="568" t="str">
        <f>IF(EH$67="","",Underwriting!ER108)</f>
        <v/>
      </c>
      <c r="EI69" s="568" t="str">
        <f>IF(EI$67="","",Underwriting!ES108)</f>
        <v/>
      </c>
    </row>
    <row r="70" spans="2:139" outlineLevel="1" x14ac:dyDescent="0.25">
      <c r="B70" s="621" t="s">
        <v>518</v>
      </c>
      <c r="C70" s="448"/>
      <c r="D70" s="448"/>
      <c r="E70" s="448"/>
      <c r="F70" s="448"/>
      <c r="G70" s="569">
        <f>IF(G$67="","",Underwriting!Q110)</f>
        <v>0</v>
      </c>
      <c r="H70" s="569">
        <f>IF(H$67="","",Underwriting!R110)</f>
        <v>0</v>
      </c>
      <c r="I70" s="569">
        <f>IF(I$67="","",Underwriting!S110)</f>
        <v>0</v>
      </c>
      <c r="J70" s="569">
        <f>IF(J$67="","",Underwriting!T110)</f>
        <v>0</v>
      </c>
      <c r="K70" s="569">
        <f>IF(K$67="","",Underwriting!U110)</f>
        <v>0</v>
      </c>
      <c r="L70" s="569">
        <f>IF(L$67="","",Underwriting!V110)</f>
        <v>0</v>
      </c>
      <c r="M70" s="569">
        <f>IF(M$67="","",Underwriting!W110)</f>
        <v>0</v>
      </c>
      <c r="N70" s="569">
        <f>IF(N$67="","",Underwriting!X110)</f>
        <v>0</v>
      </c>
      <c r="O70" s="569">
        <f>IF(O$67="","",Underwriting!Y110)</f>
        <v>0</v>
      </c>
      <c r="P70" s="569">
        <f>IF(P$67="","",Underwriting!Z110)</f>
        <v>0</v>
      </c>
      <c r="Q70" s="569">
        <f>IF(Q$67="","",Underwriting!AA110)</f>
        <v>0</v>
      </c>
      <c r="R70" s="569">
        <f>IF(R$67="","",Underwriting!AB110)</f>
        <v>0</v>
      </c>
      <c r="S70" s="569">
        <f>IF(S$67="","",Underwriting!AC110)</f>
        <v>0</v>
      </c>
      <c r="T70" s="569">
        <f>IF(T$67="","",Underwriting!AD110)</f>
        <v>0</v>
      </c>
      <c r="U70" s="569">
        <f>IF(U$67="","",Underwriting!AE110)</f>
        <v>0</v>
      </c>
      <c r="V70" s="569">
        <f>IF(V$67="","",Underwriting!AF110)</f>
        <v>0</v>
      </c>
      <c r="W70" s="569">
        <f>IF(W$67="","",Underwriting!AG110)</f>
        <v>0</v>
      </c>
      <c r="X70" s="569">
        <f>IF(X$67="","",Underwriting!AH110)</f>
        <v>0</v>
      </c>
      <c r="Y70" s="569">
        <f>IF(Y$67="","",Underwriting!AI110)</f>
        <v>0</v>
      </c>
      <c r="Z70" s="569">
        <f>IF(Z$67="","",Underwriting!AJ110)</f>
        <v>0</v>
      </c>
      <c r="AA70" s="569">
        <f>IF(AA$67="","",Underwriting!AK110)</f>
        <v>0</v>
      </c>
      <c r="AB70" s="569">
        <f>IF(AB$67="","",Underwriting!AL110)</f>
        <v>0</v>
      </c>
      <c r="AC70" s="569">
        <f>IF(AC$67="","",Underwriting!AM110)</f>
        <v>0</v>
      </c>
      <c r="AD70" s="569">
        <f>IF(AD$67="","",Underwriting!AN110)</f>
        <v>0</v>
      </c>
      <c r="AE70" s="569">
        <f>IF(AE$67="","",Underwriting!AO110)</f>
        <v>0</v>
      </c>
      <c r="AF70" s="569">
        <f>IF(AF$67="","",Underwriting!AP110)</f>
        <v>0</v>
      </c>
      <c r="AG70" s="569">
        <f>IF(AG$67="","",Underwriting!AQ110)</f>
        <v>0</v>
      </c>
      <c r="AH70" s="569">
        <f>IF(AH$67="","",Underwriting!AR110)</f>
        <v>0</v>
      </c>
      <c r="AI70" s="569">
        <f>IF(AI$67="","",Underwriting!AS110)</f>
        <v>0</v>
      </c>
      <c r="AJ70" s="569">
        <f>IF(AJ$67="","",Underwriting!AT110)</f>
        <v>0</v>
      </c>
      <c r="AK70" s="569">
        <f>IF(AK$67="","",Underwriting!AU110)</f>
        <v>0</v>
      </c>
      <c r="AL70" s="569">
        <f>IF(AL$67="","",Underwriting!AV110)</f>
        <v>0</v>
      </c>
      <c r="AM70" s="569">
        <f>IF(AM$67="","",Underwriting!AW110)</f>
        <v>0</v>
      </c>
      <c r="AN70" s="569">
        <f>IF(AN$67="","",Underwriting!AX110)</f>
        <v>0</v>
      </c>
      <c r="AO70" s="569">
        <f>IF(AO$67="","",Underwriting!AY110)</f>
        <v>0</v>
      </c>
      <c r="AP70" s="569">
        <f>IF(AP$67="","",Underwriting!AZ110)</f>
        <v>0</v>
      </c>
      <c r="AQ70" s="569">
        <f>IF(AQ$67="","",Underwriting!BA110)</f>
        <v>0</v>
      </c>
      <c r="AR70" s="569" t="str">
        <f>IF(AR$67="","",Underwriting!BB110)</f>
        <v/>
      </c>
      <c r="AS70" s="569" t="str">
        <f>IF(AS$67="","",Underwriting!BC110)</f>
        <v/>
      </c>
      <c r="AT70" s="569" t="str">
        <f>IF(AT$67="","",Underwriting!BD110)</f>
        <v/>
      </c>
      <c r="AU70" s="569" t="str">
        <f>IF(AU$67="","",Underwriting!BE110)</f>
        <v/>
      </c>
      <c r="AV70" s="569" t="str">
        <f>IF(AV$67="","",Underwriting!BF110)</f>
        <v/>
      </c>
      <c r="AW70" s="569" t="str">
        <f>IF(AW$67="","",Underwriting!BG110)</f>
        <v/>
      </c>
      <c r="AX70" s="569" t="str">
        <f>IF(AX$67="","",Underwriting!BH110)</f>
        <v/>
      </c>
      <c r="AY70" s="569" t="str">
        <f>IF(AY$67="","",Underwriting!BI110)</f>
        <v/>
      </c>
      <c r="AZ70" s="569" t="str">
        <f>IF(AZ$67="","",Underwriting!BJ110)</f>
        <v/>
      </c>
      <c r="BA70" s="569" t="str">
        <f>IF(BA$67="","",Underwriting!BK110)</f>
        <v/>
      </c>
      <c r="BB70" s="569" t="str">
        <f>IF(BB$67="","",Underwriting!BL110)</f>
        <v/>
      </c>
      <c r="BC70" s="569" t="str">
        <f>IF(BC$67="","",Underwriting!BM110)</f>
        <v/>
      </c>
      <c r="BD70" s="569" t="str">
        <f>IF(BD$67="","",Underwriting!BN110)</f>
        <v/>
      </c>
      <c r="BE70" s="569" t="str">
        <f>IF(BE$67="","",Underwriting!BO110)</f>
        <v/>
      </c>
      <c r="BF70" s="569" t="str">
        <f>IF(BF$67="","",Underwriting!BP110)</f>
        <v/>
      </c>
      <c r="BG70" s="569" t="str">
        <f>IF(BG$67="","",Underwriting!BQ110)</f>
        <v/>
      </c>
      <c r="BH70" s="569" t="str">
        <f>IF(BH$67="","",Underwriting!BR110)</f>
        <v/>
      </c>
      <c r="BI70" s="569" t="str">
        <f>IF(BI$67="","",Underwriting!BS110)</f>
        <v/>
      </c>
      <c r="BJ70" s="569" t="str">
        <f>IF(BJ$67="","",Underwriting!BT110)</f>
        <v/>
      </c>
      <c r="BK70" s="569" t="str">
        <f>IF(BK$67="","",Underwriting!BU110)</f>
        <v/>
      </c>
      <c r="BL70" s="569" t="str">
        <f>IF(BL$67="","",Underwriting!BV110)</f>
        <v/>
      </c>
      <c r="BM70" s="569" t="str">
        <f>IF(BM$67="","",Underwriting!BW110)</f>
        <v/>
      </c>
      <c r="BN70" s="569" t="str">
        <f>IF(BN$67="","",Underwriting!BX110)</f>
        <v/>
      </c>
      <c r="BO70" s="569" t="str">
        <f>IF(BO$67="","",Underwriting!BY110)</f>
        <v/>
      </c>
      <c r="BP70" s="569" t="str">
        <f>IF(BP$67="","",Underwriting!BZ110)</f>
        <v/>
      </c>
      <c r="BQ70" s="569" t="str">
        <f>IF(BQ$67="","",Underwriting!CA110)</f>
        <v/>
      </c>
      <c r="BR70" s="569" t="str">
        <f>IF(BR$67="","",Underwriting!CB110)</f>
        <v/>
      </c>
      <c r="BS70" s="569" t="str">
        <f>IF(BS$67="","",Underwriting!CC110)</f>
        <v/>
      </c>
      <c r="BT70" s="569" t="str">
        <f>IF(BT$67="","",Underwriting!CD110)</f>
        <v/>
      </c>
      <c r="BU70" s="569" t="str">
        <f>IF(BU$67="","",Underwriting!CE110)</f>
        <v/>
      </c>
      <c r="BV70" s="569" t="str">
        <f>IF(BV$67="","",Underwriting!CF110)</f>
        <v/>
      </c>
      <c r="BW70" s="569" t="str">
        <f>IF(BW$67="","",Underwriting!CG110)</f>
        <v/>
      </c>
      <c r="BX70" s="569" t="str">
        <f>IF(BX$67="","",Underwriting!CH110)</f>
        <v/>
      </c>
      <c r="BY70" s="569" t="str">
        <f>IF(BY$67="","",Underwriting!CI110)</f>
        <v/>
      </c>
      <c r="BZ70" s="569" t="str">
        <f>IF(BZ$67="","",Underwriting!CJ110)</f>
        <v/>
      </c>
      <c r="CA70" s="569" t="str">
        <f>IF(CA$67="","",Underwriting!CK110)</f>
        <v/>
      </c>
      <c r="CB70" s="569" t="str">
        <f>IF(CB$67="","",Underwriting!CL110)</f>
        <v/>
      </c>
      <c r="CC70" s="569" t="str">
        <f>IF(CC$67="","",Underwriting!CM110)</f>
        <v/>
      </c>
      <c r="CD70" s="569" t="str">
        <f>IF(CD$67="","",Underwriting!CN110)</f>
        <v/>
      </c>
      <c r="CE70" s="569" t="str">
        <f>IF(CE$67="","",Underwriting!CO110)</f>
        <v/>
      </c>
      <c r="CF70" s="569" t="str">
        <f>IF(CF$67="","",Underwriting!CP110)</f>
        <v/>
      </c>
      <c r="CG70" s="569" t="str">
        <f>IF(CG$67="","",Underwriting!CQ110)</f>
        <v/>
      </c>
      <c r="CH70" s="569" t="str">
        <f>IF(CH$67="","",Underwriting!CR110)</f>
        <v/>
      </c>
      <c r="CI70" s="569" t="str">
        <f>IF(CI$67="","",Underwriting!CS110)</f>
        <v/>
      </c>
      <c r="CJ70" s="569" t="str">
        <f>IF(CJ$67="","",Underwriting!CT110)</f>
        <v/>
      </c>
      <c r="CK70" s="569" t="str">
        <f>IF(CK$67="","",Underwriting!CU110)</f>
        <v/>
      </c>
      <c r="CL70" s="569" t="str">
        <f>IF(CL$67="","",Underwriting!CV110)</f>
        <v/>
      </c>
      <c r="CM70" s="569" t="str">
        <f>IF(CM$67="","",Underwriting!CW110)</f>
        <v/>
      </c>
      <c r="CN70" s="569" t="str">
        <f>IF(CN$67="","",Underwriting!CX110)</f>
        <v/>
      </c>
      <c r="CO70" s="569" t="str">
        <f>IF(CO$67="","",Underwriting!CY110)</f>
        <v/>
      </c>
      <c r="CP70" s="569" t="str">
        <f>IF(CP$67="","",Underwriting!CZ110)</f>
        <v/>
      </c>
      <c r="CQ70" s="569" t="str">
        <f>IF(CQ$67="","",Underwriting!DA110)</f>
        <v/>
      </c>
      <c r="CR70" s="569" t="str">
        <f>IF(CR$67="","",Underwriting!DB110)</f>
        <v/>
      </c>
      <c r="CS70" s="569" t="str">
        <f>IF(CS$67="","",Underwriting!DC110)</f>
        <v/>
      </c>
      <c r="CT70" s="569" t="str">
        <f>IF(CT$67="","",Underwriting!DD110)</f>
        <v/>
      </c>
      <c r="CU70" s="569" t="str">
        <f>IF(CU$67="","",Underwriting!DE110)</f>
        <v/>
      </c>
      <c r="CV70" s="569" t="str">
        <f>IF(CV$67="","",Underwriting!DF110)</f>
        <v/>
      </c>
      <c r="CW70" s="569" t="str">
        <f>IF(CW$67="","",Underwriting!DG110)</f>
        <v/>
      </c>
      <c r="CX70" s="569" t="str">
        <f>IF(CX$67="","",Underwriting!DH110)</f>
        <v/>
      </c>
      <c r="CY70" s="569" t="str">
        <f>IF(CY$67="","",Underwriting!DI110)</f>
        <v/>
      </c>
      <c r="CZ70" s="569" t="str">
        <f>IF(CZ$67="","",Underwriting!DJ110)</f>
        <v/>
      </c>
      <c r="DA70" s="569" t="str">
        <f>IF(DA$67="","",Underwriting!DK110)</f>
        <v/>
      </c>
      <c r="DB70" s="569" t="str">
        <f>IF(DB$67="","",Underwriting!DL110)</f>
        <v/>
      </c>
      <c r="DC70" s="569" t="str">
        <f>IF(DC$67="","",Underwriting!DM110)</f>
        <v/>
      </c>
      <c r="DD70" s="569" t="str">
        <f>IF(DD$67="","",Underwriting!DN110)</f>
        <v/>
      </c>
      <c r="DE70" s="569" t="str">
        <f>IF(DE$67="","",Underwriting!DO110)</f>
        <v/>
      </c>
      <c r="DF70" s="569" t="str">
        <f>IF(DF$67="","",Underwriting!DP110)</f>
        <v/>
      </c>
      <c r="DG70" s="569" t="str">
        <f>IF(DG$67="","",Underwriting!DQ110)</f>
        <v/>
      </c>
      <c r="DH70" s="569" t="str">
        <f>IF(DH$67="","",Underwriting!DR110)</f>
        <v/>
      </c>
      <c r="DI70" s="569" t="str">
        <f>IF(DI$67="","",Underwriting!DS110)</f>
        <v/>
      </c>
      <c r="DJ70" s="569" t="str">
        <f>IF(DJ$67="","",Underwriting!DT110)</f>
        <v/>
      </c>
      <c r="DK70" s="569" t="str">
        <f>IF(DK$67="","",Underwriting!DU110)</f>
        <v/>
      </c>
      <c r="DL70" s="569" t="str">
        <f>IF(DL$67="","",Underwriting!DV110)</f>
        <v/>
      </c>
      <c r="DM70" s="569" t="str">
        <f>IF(DM$67="","",Underwriting!DW110)</f>
        <v/>
      </c>
      <c r="DN70" s="569" t="str">
        <f>IF(DN$67="","",Underwriting!DX110)</f>
        <v/>
      </c>
      <c r="DO70" s="569" t="str">
        <f>IF(DO$67="","",Underwriting!DY110)</f>
        <v/>
      </c>
      <c r="DP70" s="569" t="str">
        <f>IF(DP$67="","",Underwriting!DZ110)</f>
        <v/>
      </c>
      <c r="DQ70" s="569" t="str">
        <f>IF(DQ$67="","",Underwriting!EA110)</f>
        <v/>
      </c>
      <c r="DR70" s="569" t="str">
        <f>IF(DR$67="","",Underwriting!EB110)</f>
        <v/>
      </c>
      <c r="DS70" s="569" t="str">
        <f>IF(DS$67="","",Underwriting!EC110)</f>
        <v/>
      </c>
      <c r="DT70" s="569" t="str">
        <f>IF(DT$67="","",Underwriting!ED110)</f>
        <v/>
      </c>
      <c r="DU70" s="569" t="str">
        <f>IF(DU$67="","",Underwriting!EE110)</f>
        <v/>
      </c>
      <c r="DV70" s="569" t="str">
        <f>IF(DV$67="","",Underwriting!EF110)</f>
        <v/>
      </c>
      <c r="DW70" s="569" t="str">
        <f>IF(DW$67="","",Underwriting!EG110)</f>
        <v/>
      </c>
      <c r="DX70" s="569" t="str">
        <f>IF(DX$67="","",Underwriting!EH110)</f>
        <v/>
      </c>
      <c r="DY70" s="569" t="str">
        <f>IF(DY$67="","",Underwriting!EI110)</f>
        <v/>
      </c>
      <c r="DZ70" s="569" t="str">
        <f>IF(DZ$67="","",Underwriting!EJ110)</f>
        <v/>
      </c>
      <c r="EA70" s="569" t="str">
        <f>IF(EA$67="","",Underwriting!EK110)</f>
        <v/>
      </c>
      <c r="EB70" s="569" t="str">
        <f>IF(EB$67="","",Underwriting!EL110)</f>
        <v/>
      </c>
      <c r="EC70" s="569" t="str">
        <f>IF(EC$67="","",Underwriting!EM110)</f>
        <v/>
      </c>
      <c r="ED70" s="569" t="str">
        <f>IF(ED$67="","",Underwriting!EN110)</f>
        <v/>
      </c>
      <c r="EE70" s="569" t="str">
        <f>IF(EE$67="","",Underwriting!EO110)</f>
        <v/>
      </c>
      <c r="EF70" s="569" t="str">
        <f>IF(EF$67="","",Underwriting!EP110)</f>
        <v/>
      </c>
      <c r="EG70" s="569" t="str">
        <f>IF(EG$67="","",Underwriting!EQ110)</f>
        <v/>
      </c>
      <c r="EH70" s="569" t="str">
        <f>IF(EH$67="","",Underwriting!ER110)</f>
        <v/>
      </c>
      <c r="EI70" s="569" t="str">
        <f>IF(EI$67="","",Underwriting!ES110)</f>
        <v/>
      </c>
    </row>
    <row r="71" spans="2:139" outlineLevel="1" x14ac:dyDescent="0.25">
      <c r="B71" s="448" t="s">
        <v>123</v>
      </c>
      <c r="C71" s="448"/>
      <c r="D71" s="448"/>
      <c r="E71" s="448"/>
      <c r="F71" s="448"/>
      <c r="G71" s="568">
        <f>IF(G$67="","",SUM(G68:G70))</f>
        <v>0</v>
      </c>
      <c r="H71" s="568">
        <f t="shared" ref="H71:BS71" ca="1" si="41">IF(H$67="","",SUM(H68:H70))</f>
        <v>0</v>
      </c>
      <c r="I71" s="568">
        <f t="shared" ca="1" si="41"/>
        <v>0</v>
      </c>
      <c r="J71" s="568">
        <f t="shared" ca="1" si="41"/>
        <v>0</v>
      </c>
      <c r="K71" s="568">
        <f t="shared" ca="1" si="41"/>
        <v>0</v>
      </c>
      <c r="L71" s="568">
        <f t="shared" ca="1" si="41"/>
        <v>0</v>
      </c>
      <c r="M71" s="568">
        <f t="shared" ca="1" si="41"/>
        <v>0</v>
      </c>
      <c r="N71" s="568">
        <f t="shared" ca="1" si="41"/>
        <v>0</v>
      </c>
      <c r="O71" s="568">
        <f t="shared" ca="1" si="41"/>
        <v>0</v>
      </c>
      <c r="P71" s="568">
        <f t="shared" ca="1" si="41"/>
        <v>0</v>
      </c>
      <c r="Q71" s="568">
        <f t="shared" ca="1" si="41"/>
        <v>0</v>
      </c>
      <c r="R71" s="568">
        <f t="shared" ca="1" si="41"/>
        <v>0</v>
      </c>
      <c r="S71" s="568">
        <f t="shared" ca="1" si="41"/>
        <v>7600</v>
      </c>
      <c r="T71" s="568">
        <f t="shared" ca="1" si="41"/>
        <v>19000</v>
      </c>
      <c r="U71" s="568">
        <f t="shared" ca="1" si="41"/>
        <v>30400</v>
      </c>
      <c r="V71" s="568">
        <f t="shared" ca="1" si="41"/>
        <v>30400</v>
      </c>
      <c r="W71" s="568">
        <f t="shared" ca="1" si="41"/>
        <v>30400</v>
      </c>
      <c r="X71" s="568">
        <f t="shared" ca="1" si="41"/>
        <v>30400</v>
      </c>
      <c r="Y71" s="568">
        <f t="shared" ca="1" si="41"/>
        <v>30400</v>
      </c>
      <c r="Z71" s="568">
        <f t="shared" ca="1" si="41"/>
        <v>30400</v>
      </c>
      <c r="AA71" s="568">
        <f t="shared" ca="1" si="41"/>
        <v>30400</v>
      </c>
      <c r="AB71" s="568">
        <f t="shared" ca="1" si="41"/>
        <v>30400</v>
      </c>
      <c r="AC71" s="568">
        <f t="shared" ca="1" si="41"/>
        <v>30400</v>
      </c>
      <c r="AD71" s="568">
        <f t="shared" ca="1" si="41"/>
        <v>30400</v>
      </c>
      <c r="AE71" s="568">
        <f t="shared" ca="1" si="41"/>
        <v>30628</v>
      </c>
      <c r="AF71" s="568">
        <f t="shared" ca="1" si="41"/>
        <v>30970</v>
      </c>
      <c r="AG71" s="568">
        <f t="shared" ca="1" si="41"/>
        <v>31312</v>
      </c>
      <c r="AH71" s="568">
        <f t="shared" ca="1" si="41"/>
        <v>31312</v>
      </c>
      <c r="AI71" s="568">
        <f t="shared" ca="1" si="41"/>
        <v>31312</v>
      </c>
      <c r="AJ71" s="568">
        <f t="shared" ca="1" si="41"/>
        <v>31312</v>
      </c>
      <c r="AK71" s="568">
        <f t="shared" ca="1" si="41"/>
        <v>31312</v>
      </c>
      <c r="AL71" s="568">
        <f t="shared" ca="1" si="41"/>
        <v>31312</v>
      </c>
      <c r="AM71" s="568">
        <f t="shared" ca="1" si="41"/>
        <v>31312</v>
      </c>
      <c r="AN71" s="568">
        <f t="shared" ca="1" si="41"/>
        <v>31312</v>
      </c>
      <c r="AO71" s="568">
        <f t="shared" ca="1" si="41"/>
        <v>31312</v>
      </c>
      <c r="AP71" s="568">
        <f t="shared" ca="1" si="41"/>
        <v>31312</v>
      </c>
      <c r="AQ71" s="568">
        <f t="shared" ca="1" si="41"/>
        <v>31546.84</v>
      </c>
      <c r="AR71" s="568" t="str">
        <f t="shared" si="41"/>
        <v/>
      </c>
      <c r="AS71" s="568" t="str">
        <f t="shared" si="41"/>
        <v/>
      </c>
      <c r="AT71" s="568" t="str">
        <f t="shared" si="41"/>
        <v/>
      </c>
      <c r="AU71" s="568" t="str">
        <f t="shared" si="41"/>
        <v/>
      </c>
      <c r="AV71" s="568" t="str">
        <f t="shared" si="41"/>
        <v/>
      </c>
      <c r="AW71" s="568" t="str">
        <f t="shared" si="41"/>
        <v/>
      </c>
      <c r="AX71" s="568" t="str">
        <f t="shared" si="41"/>
        <v/>
      </c>
      <c r="AY71" s="568" t="str">
        <f t="shared" si="41"/>
        <v/>
      </c>
      <c r="AZ71" s="568" t="str">
        <f t="shared" si="41"/>
        <v/>
      </c>
      <c r="BA71" s="568" t="str">
        <f t="shared" si="41"/>
        <v/>
      </c>
      <c r="BB71" s="568" t="str">
        <f t="shared" si="41"/>
        <v/>
      </c>
      <c r="BC71" s="568" t="str">
        <f t="shared" si="41"/>
        <v/>
      </c>
      <c r="BD71" s="568" t="str">
        <f t="shared" si="41"/>
        <v/>
      </c>
      <c r="BE71" s="568" t="str">
        <f t="shared" si="41"/>
        <v/>
      </c>
      <c r="BF71" s="568" t="str">
        <f t="shared" si="41"/>
        <v/>
      </c>
      <c r="BG71" s="568" t="str">
        <f t="shared" si="41"/>
        <v/>
      </c>
      <c r="BH71" s="568" t="str">
        <f t="shared" si="41"/>
        <v/>
      </c>
      <c r="BI71" s="568" t="str">
        <f t="shared" si="41"/>
        <v/>
      </c>
      <c r="BJ71" s="568" t="str">
        <f t="shared" si="41"/>
        <v/>
      </c>
      <c r="BK71" s="568" t="str">
        <f t="shared" si="41"/>
        <v/>
      </c>
      <c r="BL71" s="568" t="str">
        <f t="shared" si="41"/>
        <v/>
      </c>
      <c r="BM71" s="568" t="str">
        <f t="shared" si="41"/>
        <v/>
      </c>
      <c r="BN71" s="568" t="str">
        <f t="shared" si="41"/>
        <v/>
      </c>
      <c r="BO71" s="568" t="str">
        <f t="shared" si="41"/>
        <v/>
      </c>
      <c r="BP71" s="568" t="str">
        <f t="shared" si="41"/>
        <v/>
      </c>
      <c r="BQ71" s="568" t="str">
        <f t="shared" si="41"/>
        <v/>
      </c>
      <c r="BR71" s="568" t="str">
        <f t="shared" si="41"/>
        <v/>
      </c>
      <c r="BS71" s="568" t="str">
        <f t="shared" si="41"/>
        <v/>
      </c>
      <c r="BT71" s="568" t="str">
        <f t="shared" ref="BT71:EE71" si="42">IF(BT$67="","",SUM(BT68:BT70))</f>
        <v/>
      </c>
      <c r="BU71" s="568" t="str">
        <f t="shared" si="42"/>
        <v/>
      </c>
      <c r="BV71" s="568" t="str">
        <f t="shared" si="42"/>
        <v/>
      </c>
      <c r="BW71" s="568" t="str">
        <f t="shared" si="42"/>
        <v/>
      </c>
      <c r="BX71" s="568" t="str">
        <f t="shared" si="42"/>
        <v/>
      </c>
      <c r="BY71" s="568" t="str">
        <f t="shared" si="42"/>
        <v/>
      </c>
      <c r="BZ71" s="568" t="str">
        <f t="shared" si="42"/>
        <v/>
      </c>
      <c r="CA71" s="568" t="str">
        <f t="shared" si="42"/>
        <v/>
      </c>
      <c r="CB71" s="568" t="str">
        <f t="shared" si="42"/>
        <v/>
      </c>
      <c r="CC71" s="568" t="str">
        <f t="shared" si="42"/>
        <v/>
      </c>
      <c r="CD71" s="568" t="str">
        <f t="shared" si="42"/>
        <v/>
      </c>
      <c r="CE71" s="568" t="str">
        <f t="shared" si="42"/>
        <v/>
      </c>
      <c r="CF71" s="568" t="str">
        <f t="shared" si="42"/>
        <v/>
      </c>
      <c r="CG71" s="568" t="str">
        <f t="shared" si="42"/>
        <v/>
      </c>
      <c r="CH71" s="568" t="str">
        <f t="shared" si="42"/>
        <v/>
      </c>
      <c r="CI71" s="568" t="str">
        <f t="shared" si="42"/>
        <v/>
      </c>
      <c r="CJ71" s="568" t="str">
        <f t="shared" si="42"/>
        <v/>
      </c>
      <c r="CK71" s="568" t="str">
        <f t="shared" si="42"/>
        <v/>
      </c>
      <c r="CL71" s="568" t="str">
        <f t="shared" si="42"/>
        <v/>
      </c>
      <c r="CM71" s="568" t="str">
        <f t="shared" si="42"/>
        <v/>
      </c>
      <c r="CN71" s="568" t="str">
        <f t="shared" si="42"/>
        <v/>
      </c>
      <c r="CO71" s="568" t="str">
        <f t="shared" si="42"/>
        <v/>
      </c>
      <c r="CP71" s="568" t="str">
        <f t="shared" si="42"/>
        <v/>
      </c>
      <c r="CQ71" s="568" t="str">
        <f t="shared" si="42"/>
        <v/>
      </c>
      <c r="CR71" s="568" t="str">
        <f t="shared" si="42"/>
        <v/>
      </c>
      <c r="CS71" s="568" t="str">
        <f t="shared" si="42"/>
        <v/>
      </c>
      <c r="CT71" s="568" t="str">
        <f t="shared" si="42"/>
        <v/>
      </c>
      <c r="CU71" s="568" t="str">
        <f t="shared" si="42"/>
        <v/>
      </c>
      <c r="CV71" s="568" t="str">
        <f t="shared" si="42"/>
        <v/>
      </c>
      <c r="CW71" s="568" t="str">
        <f t="shared" si="42"/>
        <v/>
      </c>
      <c r="CX71" s="568" t="str">
        <f t="shared" si="42"/>
        <v/>
      </c>
      <c r="CY71" s="568" t="str">
        <f t="shared" si="42"/>
        <v/>
      </c>
      <c r="CZ71" s="568" t="str">
        <f t="shared" si="42"/>
        <v/>
      </c>
      <c r="DA71" s="568" t="str">
        <f t="shared" si="42"/>
        <v/>
      </c>
      <c r="DB71" s="568" t="str">
        <f t="shared" si="42"/>
        <v/>
      </c>
      <c r="DC71" s="568" t="str">
        <f t="shared" si="42"/>
        <v/>
      </c>
      <c r="DD71" s="568" t="str">
        <f t="shared" si="42"/>
        <v/>
      </c>
      <c r="DE71" s="568" t="str">
        <f t="shared" si="42"/>
        <v/>
      </c>
      <c r="DF71" s="568" t="str">
        <f t="shared" si="42"/>
        <v/>
      </c>
      <c r="DG71" s="568" t="str">
        <f t="shared" si="42"/>
        <v/>
      </c>
      <c r="DH71" s="568" t="str">
        <f t="shared" si="42"/>
        <v/>
      </c>
      <c r="DI71" s="568" t="str">
        <f t="shared" si="42"/>
        <v/>
      </c>
      <c r="DJ71" s="568" t="str">
        <f t="shared" si="42"/>
        <v/>
      </c>
      <c r="DK71" s="568" t="str">
        <f t="shared" si="42"/>
        <v/>
      </c>
      <c r="DL71" s="568" t="str">
        <f t="shared" si="42"/>
        <v/>
      </c>
      <c r="DM71" s="568" t="str">
        <f t="shared" si="42"/>
        <v/>
      </c>
      <c r="DN71" s="568" t="str">
        <f t="shared" si="42"/>
        <v/>
      </c>
      <c r="DO71" s="568" t="str">
        <f t="shared" si="42"/>
        <v/>
      </c>
      <c r="DP71" s="568" t="str">
        <f t="shared" si="42"/>
        <v/>
      </c>
      <c r="DQ71" s="568" t="str">
        <f t="shared" si="42"/>
        <v/>
      </c>
      <c r="DR71" s="568" t="str">
        <f t="shared" si="42"/>
        <v/>
      </c>
      <c r="DS71" s="568" t="str">
        <f t="shared" si="42"/>
        <v/>
      </c>
      <c r="DT71" s="568" t="str">
        <f t="shared" si="42"/>
        <v/>
      </c>
      <c r="DU71" s="568" t="str">
        <f t="shared" si="42"/>
        <v/>
      </c>
      <c r="DV71" s="568" t="str">
        <f t="shared" si="42"/>
        <v/>
      </c>
      <c r="DW71" s="568" t="str">
        <f t="shared" si="42"/>
        <v/>
      </c>
      <c r="DX71" s="568" t="str">
        <f t="shared" si="42"/>
        <v/>
      </c>
      <c r="DY71" s="568" t="str">
        <f t="shared" si="42"/>
        <v/>
      </c>
      <c r="DZ71" s="568" t="str">
        <f t="shared" si="42"/>
        <v/>
      </c>
      <c r="EA71" s="568" t="str">
        <f t="shared" si="42"/>
        <v/>
      </c>
      <c r="EB71" s="568" t="str">
        <f t="shared" si="42"/>
        <v/>
      </c>
      <c r="EC71" s="568" t="str">
        <f t="shared" si="42"/>
        <v/>
      </c>
      <c r="ED71" s="568" t="str">
        <f t="shared" si="42"/>
        <v/>
      </c>
      <c r="EE71" s="568" t="str">
        <f t="shared" si="42"/>
        <v/>
      </c>
      <c r="EF71" s="568" t="str">
        <f t="shared" ref="EF71:EI71" si="43">IF(EF$67="","",SUM(EF68:EF70))</f>
        <v/>
      </c>
      <c r="EG71" s="568" t="str">
        <f t="shared" si="43"/>
        <v/>
      </c>
      <c r="EH71" s="568" t="str">
        <f t="shared" si="43"/>
        <v/>
      </c>
      <c r="EI71" s="568" t="str">
        <f t="shared" si="43"/>
        <v/>
      </c>
    </row>
    <row r="72" spans="2:139" ht="16.5" outlineLevel="1" x14ac:dyDescent="0.35">
      <c r="B72" s="621" t="s">
        <v>516</v>
      </c>
      <c r="C72" s="448"/>
      <c r="D72" s="448"/>
      <c r="E72" s="448"/>
      <c r="F72" s="448"/>
      <c r="G72" s="570">
        <f>IF(G$67="","",Underwriting!Q112+Underwriting!Q113)</f>
        <v>0</v>
      </c>
      <c r="H72" s="570">
        <f ca="1">IF(H$67="","",Underwriting!R112+Underwriting!R113)</f>
        <v>0</v>
      </c>
      <c r="I72" s="570">
        <f ca="1">IF(I$67="","",Underwriting!S112+Underwriting!S113)</f>
        <v>0</v>
      </c>
      <c r="J72" s="570">
        <f ca="1">IF(J$67="","",Underwriting!T112+Underwriting!T113)</f>
        <v>0</v>
      </c>
      <c r="K72" s="570">
        <f ca="1">IF(K$67="","",Underwriting!U112+Underwriting!U113)</f>
        <v>0</v>
      </c>
      <c r="L72" s="570">
        <f ca="1">IF(L$67="","",Underwriting!V112+Underwriting!V113)</f>
        <v>0</v>
      </c>
      <c r="M72" s="570">
        <f ca="1">IF(M$67="","",Underwriting!W112+Underwriting!W113)</f>
        <v>0</v>
      </c>
      <c r="N72" s="570">
        <f ca="1">IF(N$67="","",Underwriting!X112+Underwriting!X113)</f>
        <v>0</v>
      </c>
      <c r="O72" s="570">
        <f ca="1">IF(O$67="","",Underwriting!Y112+Underwriting!Y113)</f>
        <v>0</v>
      </c>
      <c r="P72" s="570">
        <f ca="1">IF(P$67="","",Underwriting!Z112+Underwriting!Z113)</f>
        <v>0</v>
      </c>
      <c r="Q72" s="570">
        <f ca="1">IF(Q$67="","",Underwriting!AA112+Underwriting!AA113)</f>
        <v>0</v>
      </c>
      <c r="R72" s="570">
        <f ca="1">IF(R$67="","",Underwriting!AB112+Underwriting!AB113)</f>
        <v>0</v>
      </c>
      <c r="S72" s="570">
        <f ca="1">IF(S$67="","",Underwriting!AC112+Underwriting!AC113)</f>
        <v>-380</v>
      </c>
      <c r="T72" s="570">
        <f ca="1">IF(T$67="","",Underwriting!AD112+Underwriting!AD113)</f>
        <v>-950</v>
      </c>
      <c r="U72" s="570">
        <f ca="1">IF(U$67="","",Underwriting!AE112+Underwriting!AE113)</f>
        <v>-1520</v>
      </c>
      <c r="V72" s="570">
        <f ca="1">IF(V$67="","",Underwriting!AF112+Underwriting!AF113)</f>
        <v>-1520</v>
      </c>
      <c r="W72" s="570">
        <f ca="1">IF(W$67="","",Underwriting!AG112+Underwriting!AG113)</f>
        <v>-1520</v>
      </c>
      <c r="X72" s="570">
        <f ca="1">IF(X$67="","",Underwriting!AH112+Underwriting!AH113)</f>
        <v>-1520</v>
      </c>
      <c r="Y72" s="570">
        <f ca="1">IF(Y$67="","",Underwriting!AI112+Underwriting!AI113)</f>
        <v>-1520</v>
      </c>
      <c r="Z72" s="570">
        <f ca="1">IF(Z$67="","",Underwriting!AJ112+Underwriting!AJ113)</f>
        <v>-1520</v>
      </c>
      <c r="AA72" s="570">
        <f ca="1">IF(AA$67="","",Underwriting!AK112+Underwriting!AK113)</f>
        <v>-1520</v>
      </c>
      <c r="AB72" s="570">
        <f ca="1">IF(AB$67="","",Underwriting!AL112+Underwriting!AL113)</f>
        <v>-1520</v>
      </c>
      <c r="AC72" s="570">
        <f ca="1">IF(AC$67="","",Underwriting!AM112+Underwriting!AM113)</f>
        <v>-1520</v>
      </c>
      <c r="AD72" s="570">
        <f ca="1">IF(AD$67="","",Underwriting!AN112+Underwriting!AN113)</f>
        <v>-1520</v>
      </c>
      <c r="AE72" s="570">
        <f ca="1">IF(AE$67="","",Underwriting!AO112+Underwriting!AO113)</f>
        <v>-1531.4</v>
      </c>
      <c r="AF72" s="570">
        <f ca="1">IF(AF$67="","",Underwriting!AP112+Underwriting!AP113)</f>
        <v>-1548.5</v>
      </c>
      <c r="AG72" s="570">
        <f ca="1">IF(AG$67="","",Underwriting!AQ112+Underwriting!AQ113)</f>
        <v>-1565.6000000000001</v>
      </c>
      <c r="AH72" s="570">
        <f ca="1">IF(AH$67="","",Underwriting!AR112+Underwriting!AR113)</f>
        <v>-1565.6000000000001</v>
      </c>
      <c r="AI72" s="570">
        <f ca="1">IF(AI$67="","",Underwriting!AS112+Underwriting!AS113)</f>
        <v>-1565.6000000000001</v>
      </c>
      <c r="AJ72" s="570">
        <f ca="1">IF(AJ$67="","",Underwriting!AT112+Underwriting!AT113)</f>
        <v>-1565.6000000000001</v>
      </c>
      <c r="AK72" s="570">
        <f ca="1">IF(AK$67="","",Underwriting!AU112+Underwriting!AU113)</f>
        <v>-1565.6000000000001</v>
      </c>
      <c r="AL72" s="570">
        <f ca="1">IF(AL$67="","",Underwriting!AV112+Underwriting!AV113)</f>
        <v>-1565.6000000000001</v>
      </c>
      <c r="AM72" s="570">
        <f ca="1">IF(AM$67="","",Underwriting!AW112+Underwriting!AW113)</f>
        <v>-1565.6000000000001</v>
      </c>
      <c r="AN72" s="570">
        <f ca="1">IF(AN$67="","",Underwriting!AX112+Underwriting!AX113)</f>
        <v>-1565.6000000000001</v>
      </c>
      <c r="AO72" s="570">
        <f ca="1">IF(AO$67="","",Underwriting!AY112+Underwriting!AY113)</f>
        <v>-1565.6000000000001</v>
      </c>
      <c r="AP72" s="570">
        <f ca="1">IF(AP$67="","",Underwriting!AZ112+Underwriting!AZ113)</f>
        <v>-1565.6000000000001</v>
      </c>
      <c r="AQ72" s="570">
        <f ca="1">IF(AQ$67="","",Underwriting!BA112+Underwriting!BA113)</f>
        <v>-1577.3420000000001</v>
      </c>
      <c r="AR72" s="570" t="str">
        <f>IF(AR$67="","",Underwriting!BB112+Underwriting!BB113)</f>
        <v/>
      </c>
      <c r="AS72" s="570" t="str">
        <f>IF(AS$67="","",Underwriting!BC112+Underwriting!BC113)</f>
        <v/>
      </c>
      <c r="AT72" s="570" t="str">
        <f>IF(AT$67="","",Underwriting!BD112+Underwriting!BD113)</f>
        <v/>
      </c>
      <c r="AU72" s="570" t="str">
        <f>IF(AU$67="","",Underwriting!BE112+Underwriting!BE113)</f>
        <v/>
      </c>
      <c r="AV72" s="570" t="str">
        <f>IF(AV$67="","",Underwriting!BF112+Underwriting!BF113)</f>
        <v/>
      </c>
      <c r="AW72" s="570" t="str">
        <f>IF(AW$67="","",Underwriting!BG112+Underwriting!BG113)</f>
        <v/>
      </c>
      <c r="AX72" s="570" t="str">
        <f>IF(AX$67="","",Underwriting!BH112+Underwriting!BH113)</f>
        <v/>
      </c>
      <c r="AY72" s="570" t="str">
        <f>IF(AY$67="","",Underwriting!BI112+Underwriting!BI113)</f>
        <v/>
      </c>
      <c r="AZ72" s="570" t="str">
        <f>IF(AZ$67="","",Underwriting!BJ112+Underwriting!BJ113)</f>
        <v/>
      </c>
      <c r="BA72" s="570" t="str">
        <f>IF(BA$67="","",Underwriting!BK112+Underwriting!BK113)</f>
        <v/>
      </c>
      <c r="BB72" s="570" t="str">
        <f>IF(BB$67="","",Underwriting!BL112+Underwriting!BL113)</f>
        <v/>
      </c>
      <c r="BC72" s="570" t="str">
        <f>IF(BC$67="","",Underwriting!BM112+Underwriting!BM113)</f>
        <v/>
      </c>
      <c r="BD72" s="570" t="str">
        <f>IF(BD$67="","",Underwriting!BN112+Underwriting!BN113)</f>
        <v/>
      </c>
      <c r="BE72" s="570" t="str">
        <f>IF(BE$67="","",Underwriting!BO112+Underwriting!BO113)</f>
        <v/>
      </c>
      <c r="BF72" s="570" t="str">
        <f>IF(BF$67="","",Underwriting!BP112+Underwriting!BP113)</f>
        <v/>
      </c>
      <c r="BG72" s="570" t="str">
        <f>IF(BG$67="","",Underwriting!BQ112+Underwriting!BQ113)</f>
        <v/>
      </c>
      <c r="BH72" s="570" t="str">
        <f>IF(BH$67="","",Underwriting!BR112+Underwriting!BR113)</f>
        <v/>
      </c>
      <c r="BI72" s="570" t="str">
        <f>IF(BI$67="","",Underwriting!BS112+Underwriting!BS113)</f>
        <v/>
      </c>
      <c r="BJ72" s="570" t="str">
        <f>IF(BJ$67="","",Underwriting!BT112+Underwriting!BT113)</f>
        <v/>
      </c>
      <c r="BK72" s="570" t="str">
        <f>IF(BK$67="","",Underwriting!BU112+Underwriting!BU113)</f>
        <v/>
      </c>
      <c r="BL72" s="570" t="str">
        <f>IF(BL$67="","",Underwriting!BV112+Underwriting!BV113)</f>
        <v/>
      </c>
      <c r="BM72" s="570" t="str">
        <f>IF(BM$67="","",Underwriting!BW112+Underwriting!BW113)</f>
        <v/>
      </c>
      <c r="BN72" s="570" t="str">
        <f>IF(BN$67="","",Underwriting!BX112+Underwriting!BX113)</f>
        <v/>
      </c>
      <c r="BO72" s="570" t="str">
        <f>IF(BO$67="","",Underwriting!BY112+Underwriting!BY113)</f>
        <v/>
      </c>
      <c r="BP72" s="570" t="str">
        <f>IF(BP$67="","",Underwriting!BZ112+Underwriting!BZ113)</f>
        <v/>
      </c>
      <c r="BQ72" s="570" t="str">
        <f>IF(BQ$67="","",Underwriting!CA112+Underwriting!CA113)</f>
        <v/>
      </c>
      <c r="BR72" s="570" t="str">
        <f>IF(BR$67="","",Underwriting!CB112+Underwriting!CB113)</f>
        <v/>
      </c>
      <c r="BS72" s="570" t="str">
        <f>IF(BS$67="","",Underwriting!CC112+Underwriting!CC113)</f>
        <v/>
      </c>
      <c r="BT72" s="570" t="str">
        <f>IF(BT$67="","",Underwriting!CD112+Underwriting!CD113)</f>
        <v/>
      </c>
      <c r="BU72" s="570" t="str">
        <f>IF(BU$67="","",Underwriting!CE112+Underwriting!CE113)</f>
        <v/>
      </c>
      <c r="BV72" s="570" t="str">
        <f>IF(BV$67="","",Underwriting!CF112+Underwriting!CF113)</f>
        <v/>
      </c>
      <c r="BW72" s="570" t="str">
        <f>IF(BW$67="","",Underwriting!CG112+Underwriting!CG113)</f>
        <v/>
      </c>
      <c r="BX72" s="570" t="str">
        <f>IF(BX$67="","",Underwriting!CH112+Underwriting!CH113)</f>
        <v/>
      </c>
      <c r="BY72" s="570" t="str">
        <f>IF(BY$67="","",Underwriting!CI112+Underwriting!CI113)</f>
        <v/>
      </c>
      <c r="BZ72" s="570" t="str">
        <f>IF(BZ$67="","",Underwriting!CJ112+Underwriting!CJ113)</f>
        <v/>
      </c>
      <c r="CA72" s="570" t="str">
        <f>IF(CA$67="","",Underwriting!CK112+Underwriting!CK113)</f>
        <v/>
      </c>
      <c r="CB72" s="570" t="str">
        <f>IF(CB$67="","",Underwriting!CL112+Underwriting!CL113)</f>
        <v/>
      </c>
      <c r="CC72" s="570" t="str">
        <f>IF(CC$67="","",Underwriting!CM112+Underwriting!CM113)</f>
        <v/>
      </c>
      <c r="CD72" s="570" t="str">
        <f>IF(CD$67="","",Underwriting!CN112+Underwriting!CN113)</f>
        <v/>
      </c>
      <c r="CE72" s="570" t="str">
        <f>IF(CE$67="","",Underwriting!CO112+Underwriting!CO113)</f>
        <v/>
      </c>
      <c r="CF72" s="570" t="str">
        <f>IF(CF$67="","",Underwriting!CP112+Underwriting!CP113)</f>
        <v/>
      </c>
      <c r="CG72" s="570" t="str">
        <f>IF(CG$67="","",Underwriting!CQ112+Underwriting!CQ113)</f>
        <v/>
      </c>
      <c r="CH72" s="570" t="str">
        <f>IF(CH$67="","",Underwriting!CR112+Underwriting!CR113)</f>
        <v/>
      </c>
      <c r="CI72" s="570" t="str">
        <f>IF(CI$67="","",Underwriting!CS112+Underwriting!CS113)</f>
        <v/>
      </c>
      <c r="CJ72" s="570" t="str">
        <f>IF(CJ$67="","",Underwriting!CT112+Underwriting!CT113)</f>
        <v/>
      </c>
      <c r="CK72" s="570" t="str">
        <f>IF(CK$67="","",Underwriting!CU112+Underwriting!CU113)</f>
        <v/>
      </c>
      <c r="CL72" s="570" t="str">
        <f>IF(CL$67="","",Underwriting!CV112+Underwriting!CV113)</f>
        <v/>
      </c>
      <c r="CM72" s="570" t="str">
        <f>IF(CM$67="","",Underwriting!CW112+Underwriting!CW113)</f>
        <v/>
      </c>
      <c r="CN72" s="570" t="str">
        <f>IF(CN$67="","",Underwriting!CX112+Underwriting!CX113)</f>
        <v/>
      </c>
      <c r="CO72" s="570" t="str">
        <f>IF(CO$67="","",Underwriting!CY112+Underwriting!CY113)</f>
        <v/>
      </c>
      <c r="CP72" s="570" t="str">
        <f>IF(CP$67="","",Underwriting!CZ112+Underwriting!CZ113)</f>
        <v/>
      </c>
      <c r="CQ72" s="570" t="str">
        <f>IF(CQ$67="","",Underwriting!DA112+Underwriting!DA113)</f>
        <v/>
      </c>
      <c r="CR72" s="570" t="str">
        <f>IF(CR$67="","",Underwriting!DB112+Underwriting!DB113)</f>
        <v/>
      </c>
      <c r="CS72" s="570" t="str">
        <f>IF(CS$67="","",Underwriting!DC112+Underwriting!DC113)</f>
        <v/>
      </c>
      <c r="CT72" s="570" t="str">
        <f>IF(CT$67="","",Underwriting!DD112+Underwriting!DD113)</f>
        <v/>
      </c>
      <c r="CU72" s="570" t="str">
        <f>IF(CU$67="","",Underwriting!DE112+Underwriting!DE113)</f>
        <v/>
      </c>
      <c r="CV72" s="570" t="str">
        <f>IF(CV$67="","",Underwriting!DF112+Underwriting!DF113)</f>
        <v/>
      </c>
      <c r="CW72" s="570" t="str">
        <f>IF(CW$67="","",Underwriting!DG112+Underwriting!DG113)</f>
        <v/>
      </c>
      <c r="CX72" s="570" t="str">
        <f>IF(CX$67="","",Underwriting!DH112+Underwriting!DH113)</f>
        <v/>
      </c>
      <c r="CY72" s="570" t="str">
        <f>IF(CY$67="","",Underwriting!DI112+Underwriting!DI113)</f>
        <v/>
      </c>
      <c r="CZ72" s="570" t="str">
        <f>IF(CZ$67="","",Underwriting!DJ112+Underwriting!DJ113)</f>
        <v/>
      </c>
      <c r="DA72" s="570" t="str">
        <f>IF(DA$67="","",Underwriting!DK112+Underwriting!DK113)</f>
        <v/>
      </c>
      <c r="DB72" s="570" t="str">
        <f>IF(DB$67="","",Underwriting!DL112+Underwriting!DL113)</f>
        <v/>
      </c>
      <c r="DC72" s="570" t="str">
        <f>IF(DC$67="","",Underwriting!DM112+Underwriting!DM113)</f>
        <v/>
      </c>
      <c r="DD72" s="570" t="str">
        <f>IF(DD$67="","",Underwriting!DN112+Underwriting!DN113)</f>
        <v/>
      </c>
      <c r="DE72" s="570" t="str">
        <f>IF(DE$67="","",Underwriting!DO112+Underwriting!DO113)</f>
        <v/>
      </c>
      <c r="DF72" s="570" t="str">
        <f>IF(DF$67="","",Underwriting!DP112+Underwriting!DP113)</f>
        <v/>
      </c>
      <c r="DG72" s="570" t="str">
        <f>IF(DG$67="","",Underwriting!DQ112+Underwriting!DQ113)</f>
        <v/>
      </c>
      <c r="DH72" s="570" t="str">
        <f>IF(DH$67="","",Underwriting!DR112+Underwriting!DR113)</f>
        <v/>
      </c>
      <c r="DI72" s="570" t="str">
        <f>IF(DI$67="","",Underwriting!DS112+Underwriting!DS113)</f>
        <v/>
      </c>
      <c r="DJ72" s="570" t="str">
        <f>IF(DJ$67="","",Underwriting!DT112+Underwriting!DT113)</f>
        <v/>
      </c>
      <c r="DK72" s="570" t="str">
        <f>IF(DK$67="","",Underwriting!DU112+Underwriting!DU113)</f>
        <v/>
      </c>
      <c r="DL72" s="570" t="str">
        <f>IF(DL$67="","",Underwriting!DV112+Underwriting!DV113)</f>
        <v/>
      </c>
      <c r="DM72" s="570" t="str">
        <f>IF(DM$67="","",Underwriting!DW112+Underwriting!DW113)</f>
        <v/>
      </c>
      <c r="DN72" s="570" t="str">
        <f>IF(DN$67="","",Underwriting!DX112+Underwriting!DX113)</f>
        <v/>
      </c>
      <c r="DO72" s="570" t="str">
        <f>IF(DO$67="","",Underwriting!DY112+Underwriting!DY113)</f>
        <v/>
      </c>
      <c r="DP72" s="570" t="str">
        <f>IF(DP$67="","",Underwriting!DZ112+Underwriting!DZ113)</f>
        <v/>
      </c>
      <c r="DQ72" s="570" t="str">
        <f>IF(DQ$67="","",Underwriting!EA112+Underwriting!EA113)</f>
        <v/>
      </c>
      <c r="DR72" s="570" t="str">
        <f>IF(DR$67="","",Underwriting!EB112+Underwriting!EB113)</f>
        <v/>
      </c>
      <c r="DS72" s="570" t="str">
        <f>IF(DS$67="","",Underwriting!EC112+Underwriting!EC113)</f>
        <v/>
      </c>
      <c r="DT72" s="570" t="str">
        <f>IF(DT$67="","",Underwriting!ED112+Underwriting!ED113)</f>
        <v/>
      </c>
      <c r="DU72" s="570" t="str">
        <f>IF(DU$67="","",Underwriting!EE112+Underwriting!EE113)</f>
        <v/>
      </c>
      <c r="DV72" s="570" t="str">
        <f>IF(DV$67="","",Underwriting!EF112+Underwriting!EF113)</f>
        <v/>
      </c>
      <c r="DW72" s="570" t="str">
        <f>IF(DW$67="","",Underwriting!EG112+Underwriting!EG113)</f>
        <v/>
      </c>
      <c r="DX72" s="570" t="str">
        <f>IF(DX$67="","",Underwriting!EH112+Underwriting!EH113)</f>
        <v/>
      </c>
      <c r="DY72" s="570" t="str">
        <f>IF(DY$67="","",Underwriting!EI112+Underwriting!EI113)</f>
        <v/>
      </c>
      <c r="DZ72" s="570" t="str">
        <f>IF(DZ$67="","",Underwriting!EJ112+Underwriting!EJ113)</f>
        <v/>
      </c>
      <c r="EA72" s="570" t="str">
        <f>IF(EA$67="","",Underwriting!EK112+Underwriting!EK113)</f>
        <v/>
      </c>
      <c r="EB72" s="570" t="str">
        <f>IF(EB$67="","",Underwriting!EL112+Underwriting!EL113)</f>
        <v/>
      </c>
      <c r="EC72" s="570" t="str">
        <f>IF(EC$67="","",Underwriting!EM112+Underwriting!EM113)</f>
        <v/>
      </c>
      <c r="ED72" s="570" t="str">
        <f>IF(ED$67="","",Underwriting!EN112+Underwriting!EN113)</f>
        <v/>
      </c>
      <c r="EE72" s="570" t="str">
        <f>IF(EE$67="","",Underwriting!EO112+Underwriting!EO113)</f>
        <v/>
      </c>
      <c r="EF72" s="570" t="str">
        <f>IF(EF$67="","",Underwriting!EP112+Underwriting!EP113)</f>
        <v/>
      </c>
      <c r="EG72" s="570" t="str">
        <f>IF(EG$67="","",Underwriting!EQ112+Underwriting!EQ113)</f>
        <v/>
      </c>
      <c r="EH72" s="570" t="str">
        <f>IF(EH$67="","",Underwriting!ER112+Underwriting!ER113)</f>
        <v/>
      </c>
      <c r="EI72" s="570" t="str">
        <f>IF(EI$67="","",Underwriting!ES112+Underwriting!ES113)</f>
        <v/>
      </c>
    </row>
    <row r="73" spans="2:139" outlineLevel="1" x14ac:dyDescent="0.25">
      <c r="B73" s="448" t="s">
        <v>136</v>
      </c>
      <c r="C73" s="448"/>
      <c r="D73" s="448"/>
      <c r="E73" s="448"/>
      <c r="F73" s="448"/>
      <c r="G73" s="568">
        <f>IF(G$67="","",SUM(G71:G72))</f>
        <v>0</v>
      </c>
      <c r="H73" s="568">
        <f t="shared" ref="H73:BS73" ca="1" si="44">IF(H$67="","",SUM(H71:H72))</f>
        <v>0</v>
      </c>
      <c r="I73" s="568">
        <f t="shared" ca="1" si="44"/>
        <v>0</v>
      </c>
      <c r="J73" s="568">
        <f t="shared" ca="1" si="44"/>
        <v>0</v>
      </c>
      <c r="K73" s="568">
        <f t="shared" ca="1" si="44"/>
        <v>0</v>
      </c>
      <c r="L73" s="568">
        <f t="shared" ca="1" si="44"/>
        <v>0</v>
      </c>
      <c r="M73" s="568">
        <f t="shared" ca="1" si="44"/>
        <v>0</v>
      </c>
      <c r="N73" s="568">
        <f t="shared" ca="1" si="44"/>
        <v>0</v>
      </c>
      <c r="O73" s="568">
        <f t="shared" ca="1" si="44"/>
        <v>0</v>
      </c>
      <c r="P73" s="568">
        <f t="shared" ca="1" si="44"/>
        <v>0</v>
      </c>
      <c r="Q73" s="568">
        <f t="shared" ca="1" si="44"/>
        <v>0</v>
      </c>
      <c r="R73" s="568">
        <f t="shared" ca="1" si="44"/>
        <v>0</v>
      </c>
      <c r="S73" s="568">
        <f t="shared" ca="1" si="44"/>
        <v>7220</v>
      </c>
      <c r="T73" s="568">
        <f t="shared" ca="1" si="44"/>
        <v>18050</v>
      </c>
      <c r="U73" s="568">
        <f t="shared" ca="1" si="44"/>
        <v>28880</v>
      </c>
      <c r="V73" s="568">
        <f t="shared" ca="1" si="44"/>
        <v>28880</v>
      </c>
      <c r="W73" s="568">
        <f t="shared" ca="1" si="44"/>
        <v>28880</v>
      </c>
      <c r="X73" s="568">
        <f t="shared" ca="1" si="44"/>
        <v>28880</v>
      </c>
      <c r="Y73" s="568">
        <f t="shared" ca="1" si="44"/>
        <v>28880</v>
      </c>
      <c r="Z73" s="568">
        <f t="shared" ca="1" si="44"/>
        <v>28880</v>
      </c>
      <c r="AA73" s="568">
        <f t="shared" ca="1" si="44"/>
        <v>28880</v>
      </c>
      <c r="AB73" s="568">
        <f t="shared" ca="1" si="44"/>
        <v>28880</v>
      </c>
      <c r="AC73" s="568">
        <f t="shared" ca="1" si="44"/>
        <v>28880</v>
      </c>
      <c r="AD73" s="568">
        <f t="shared" ca="1" si="44"/>
        <v>28880</v>
      </c>
      <c r="AE73" s="568">
        <f t="shared" ca="1" si="44"/>
        <v>29096.6</v>
      </c>
      <c r="AF73" s="568">
        <f t="shared" ca="1" si="44"/>
        <v>29421.5</v>
      </c>
      <c r="AG73" s="568">
        <f t="shared" ca="1" si="44"/>
        <v>29746.400000000001</v>
      </c>
      <c r="AH73" s="568">
        <f t="shared" ca="1" si="44"/>
        <v>29746.400000000001</v>
      </c>
      <c r="AI73" s="568">
        <f t="shared" ca="1" si="44"/>
        <v>29746.400000000001</v>
      </c>
      <c r="AJ73" s="568">
        <f t="shared" ca="1" si="44"/>
        <v>29746.400000000001</v>
      </c>
      <c r="AK73" s="568">
        <f t="shared" ca="1" si="44"/>
        <v>29746.400000000001</v>
      </c>
      <c r="AL73" s="568">
        <f t="shared" ca="1" si="44"/>
        <v>29746.400000000001</v>
      </c>
      <c r="AM73" s="568">
        <f t="shared" ca="1" si="44"/>
        <v>29746.400000000001</v>
      </c>
      <c r="AN73" s="568">
        <f t="shared" ca="1" si="44"/>
        <v>29746.400000000001</v>
      </c>
      <c r="AO73" s="568">
        <f t="shared" ca="1" si="44"/>
        <v>29746.400000000001</v>
      </c>
      <c r="AP73" s="568">
        <f t="shared" ca="1" si="44"/>
        <v>29746.400000000001</v>
      </c>
      <c r="AQ73" s="568">
        <f t="shared" ca="1" si="44"/>
        <v>29969.498</v>
      </c>
      <c r="AR73" s="568" t="str">
        <f t="shared" si="44"/>
        <v/>
      </c>
      <c r="AS73" s="568" t="str">
        <f t="shared" si="44"/>
        <v/>
      </c>
      <c r="AT73" s="568" t="str">
        <f t="shared" si="44"/>
        <v/>
      </c>
      <c r="AU73" s="568" t="str">
        <f t="shared" si="44"/>
        <v/>
      </c>
      <c r="AV73" s="568" t="str">
        <f t="shared" si="44"/>
        <v/>
      </c>
      <c r="AW73" s="568" t="str">
        <f t="shared" si="44"/>
        <v/>
      </c>
      <c r="AX73" s="568" t="str">
        <f t="shared" si="44"/>
        <v/>
      </c>
      <c r="AY73" s="568" t="str">
        <f t="shared" si="44"/>
        <v/>
      </c>
      <c r="AZ73" s="568" t="str">
        <f t="shared" si="44"/>
        <v/>
      </c>
      <c r="BA73" s="568" t="str">
        <f t="shared" si="44"/>
        <v/>
      </c>
      <c r="BB73" s="568" t="str">
        <f t="shared" si="44"/>
        <v/>
      </c>
      <c r="BC73" s="568" t="str">
        <f t="shared" si="44"/>
        <v/>
      </c>
      <c r="BD73" s="568" t="str">
        <f t="shared" si="44"/>
        <v/>
      </c>
      <c r="BE73" s="568" t="str">
        <f t="shared" si="44"/>
        <v/>
      </c>
      <c r="BF73" s="568" t="str">
        <f t="shared" si="44"/>
        <v/>
      </c>
      <c r="BG73" s="568" t="str">
        <f t="shared" si="44"/>
        <v/>
      </c>
      <c r="BH73" s="568" t="str">
        <f t="shared" si="44"/>
        <v/>
      </c>
      <c r="BI73" s="568" t="str">
        <f t="shared" si="44"/>
        <v/>
      </c>
      <c r="BJ73" s="568" t="str">
        <f t="shared" si="44"/>
        <v/>
      </c>
      <c r="BK73" s="568" t="str">
        <f t="shared" si="44"/>
        <v/>
      </c>
      <c r="BL73" s="568" t="str">
        <f t="shared" si="44"/>
        <v/>
      </c>
      <c r="BM73" s="568" t="str">
        <f t="shared" si="44"/>
        <v/>
      </c>
      <c r="BN73" s="568" t="str">
        <f t="shared" si="44"/>
        <v/>
      </c>
      <c r="BO73" s="568" t="str">
        <f t="shared" si="44"/>
        <v/>
      </c>
      <c r="BP73" s="568" t="str">
        <f t="shared" si="44"/>
        <v/>
      </c>
      <c r="BQ73" s="568" t="str">
        <f t="shared" si="44"/>
        <v/>
      </c>
      <c r="BR73" s="568" t="str">
        <f t="shared" si="44"/>
        <v/>
      </c>
      <c r="BS73" s="568" t="str">
        <f t="shared" si="44"/>
        <v/>
      </c>
      <c r="BT73" s="568" t="str">
        <f t="shared" ref="BT73:EE73" si="45">IF(BT$67="","",SUM(BT71:BT72))</f>
        <v/>
      </c>
      <c r="BU73" s="568" t="str">
        <f t="shared" si="45"/>
        <v/>
      </c>
      <c r="BV73" s="568" t="str">
        <f t="shared" si="45"/>
        <v/>
      </c>
      <c r="BW73" s="568" t="str">
        <f t="shared" si="45"/>
        <v/>
      </c>
      <c r="BX73" s="568" t="str">
        <f t="shared" si="45"/>
        <v/>
      </c>
      <c r="BY73" s="568" t="str">
        <f t="shared" si="45"/>
        <v/>
      </c>
      <c r="BZ73" s="568" t="str">
        <f t="shared" si="45"/>
        <v/>
      </c>
      <c r="CA73" s="568" t="str">
        <f t="shared" si="45"/>
        <v/>
      </c>
      <c r="CB73" s="568" t="str">
        <f t="shared" si="45"/>
        <v/>
      </c>
      <c r="CC73" s="568" t="str">
        <f t="shared" si="45"/>
        <v/>
      </c>
      <c r="CD73" s="568" t="str">
        <f t="shared" si="45"/>
        <v/>
      </c>
      <c r="CE73" s="568" t="str">
        <f t="shared" si="45"/>
        <v/>
      </c>
      <c r="CF73" s="568" t="str">
        <f t="shared" si="45"/>
        <v/>
      </c>
      <c r="CG73" s="568" t="str">
        <f t="shared" si="45"/>
        <v/>
      </c>
      <c r="CH73" s="568" t="str">
        <f t="shared" si="45"/>
        <v/>
      </c>
      <c r="CI73" s="568" t="str">
        <f t="shared" si="45"/>
        <v/>
      </c>
      <c r="CJ73" s="568" t="str">
        <f t="shared" si="45"/>
        <v/>
      </c>
      <c r="CK73" s="568" t="str">
        <f t="shared" si="45"/>
        <v/>
      </c>
      <c r="CL73" s="568" t="str">
        <f t="shared" si="45"/>
        <v/>
      </c>
      <c r="CM73" s="568" t="str">
        <f t="shared" si="45"/>
        <v/>
      </c>
      <c r="CN73" s="568" t="str">
        <f t="shared" si="45"/>
        <v/>
      </c>
      <c r="CO73" s="568" t="str">
        <f t="shared" si="45"/>
        <v/>
      </c>
      <c r="CP73" s="568" t="str">
        <f t="shared" si="45"/>
        <v/>
      </c>
      <c r="CQ73" s="568" t="str">
        <f t="shared" si="45"/>
        <v/>
      </c>
      <c r="CR73" s="568" t="str">
        <f t="shared" si="45"/>
        <v/>
      </c>
      <c r="CS73" s="568" t="str">
        <f t="shared" si="45"/>
        <v/>
      </c>
      <c r="CT73" s="568" t="str">
        <f t="shared" si="45"/>
        <v/>
      </c>
      <c r="CU73" s="568" t="str">
        <f t="shared" si="45"/>
        <v/>
      </c>
      <c r="CV73" s="568" t="str">
        <f t="shared" si="45"/>
        <v/>
      </c>
      <c r="CW73" s="568" t="str">
        <f t="shared" si="45"/>
        <v/>
      </c>
      <c r="CX73" s="568" t="str">
        <f t="shared" si="45"/>
        <v/>
      </c>
      <c r="CY73" s="568" t="str">
        <f t="shared" si="45"/>
        <v/>
      </c>
      <c r="CZ73" s="568" t="str">
        <f t="shared" si="45"/>
        <v/>
      </c>
      <c r="DA73" s="568" t="str">
        <f t="shared" si="45"/>
        <v/>
      </c>
      <c r="DB73" s="568" t="str">
        <f t="shared" si="45"/>
        <v/>
      </c>
      <c r="DC73" s="568" t="str">
        <f t="shared" si="45"/>
        <v/>
      </c>
      <c r="DD73" s="568" t="str">
        <f t="shared" si="45"/>
        <v/>
      </c>
      <c r="DE73" s="568" t="str">
        <f t="shared" si="45"/>
        <v/>
      </c>
      <c r="DF73" s="568" t="str">
        <f t="shared" si="45"/>
        <v/>
      </c>
      <c r="DG73" s="568" t="str">
        <f t="shared" si="45"/>
        <v/>
      </c>
      <c r="DH73" s="568" t="str">
        <f t="shared" si="45"/>
        <v/>
      </c>
      <c r="DI73" s="568" t="str">
        <f t="shared" si="45"/>
        <v/>
      </c>
      <c r="DJ73" s="568" t="str">
        <f t="shared" si="45"/>
        <v/>
      </c>
      <c r="DK73" s="568" t="str">
        <f t="shared" si="45"/>
        <v/>
      </c>
      <c r="DL73" s="568" t="str">
        <f t="shared" si="45"/>
        <v/>
      </c>
      <c r="DM73" s="568" t="str">
        <f t="shared" si="45"/>
        <v/>
      </c>
      <c r="DN73" s="568" t="str">
        <f t="shared" si="45"/>
        <v/>
      </c>
      <c r="DO73" s="568" t="str">
        <f t="shared" si="45"/>
        <v/>
      </c>
      <c r="DP73" s="568" t="str">
        <f t="shared" si="45"/>
        <v/>
      </c>
      <c r="DQ73" s="568" t="str">
        <f t="shared" si="45"/>
        <v/>
      </c>
      <c r="DR73" s="568" t="str">
        <f t="shared" si="45"/>
        <v/>
      </c>
      <c r="DS73" s="568" t="str">
        <f t="shared" si="45"/>
        <v/>
      </c>
      <c r="DT73" s="568" t="str">
        <f t="shared" si="45"/>
        <v/>
      </c>
      <c r="DU73" s="568" t="str">
        <f t="shared" si="45"/>
        <v/>
      </c>
      <c r="DV73" s="568" t="str">
        <f t="shared" si="45"/>
        <v/>
      </c>
      <c r="DW73" s="568" t="str">
        <f t="shared" si="45"/>
        <v/>
      </c>
      <c r="DX73" s="568" t="str">
        <f t="shared" si="45"/>
        <v/>
      </c>
      <c r="DY73" s="568" t="str">
        <f t="shared" si="45"/>
        <v/>
      </c>
      <c r="DZ73" s="568" t="str">
        <f t="shared" si="45"/>
        <v/>
      </c>
      <c r="EA73" s="568" t="str">
        <f t="shared" si="45"/>
        <v/>
      </c>
      <c r="EB73" s="568" t="str">
        <f t="shared" si="45"/>
        <v/>
      </c>
      <c r="EC73" s="568" t="str">
        <f t="shared" si="45"/>
        <v/>
      </c>
      <c r="ED73" s="568" t="str">
        <f t="shared" si="45"/>
        <v/>
      </c>
      <c r="EE73" s="568" t="str">
        <f t="shared" si="45"/>
        <v/>
      </c>
      <c r="EF73" s="568" t="str">
        <f t="shared" ref="EF73:EI73" si="46">IF(EF$67="","",SUM(EF71:EF72))</f>
        <v/>
      </c>
      <c r="EG73" s="568" t="str">
        <f t="shared" si="46"/>
        <v/>
      </c>
      <c r="EH73" s="568" t="str">
        <f t="shared" si="46"/>
        <v/>
      </c>
      <c r="EI73" s="568" t="str">
        <f t="shared" si="46"/>
        <v/>
      </c>
    </row>
    <row r="74" spans="2:139" outlineLevel="1" x14ac:dyDescent="0.25">
      <c r="B74" s="448"/>
      <c r="C74" s="448"/>
      <c r="D74" s="448"/>
      <c r="E74" s="448"/>
      <c r="F74" s="448"/>
      <c r="G74" s="568"/>
      <c r="H74" s="568"/>
      <c r="I74" s="568"/>
      <c r="J74" s="568"/>
      <c r="K74" s="568"/>
      <c r="L74" s="568"/>
      <c r="M74" s="568"/>
      <c r="N74" s="568"/>
      <c r="O74" s="568"/>
      <c r="P74" s="568"/>
      <c r="Q74" s="568"/>
      <c r="R74" s="568"/>
      <c r="S74" s="568"/>
      <c r="T74" s="568"/>
      <c r="U74" s="568"/>
      <c r="V74" s="568"/>
      <c r="W74" s="568"/>
      <c r="X74" s="568"/>
      <c r="Y74" s="568"/>
      <c r="Z74" s="568"/>
      <c r="AA74" s="568"/>
      <c r="AB74" s="568"/>
      <c r="AC74" s="568"/>
      <c r="AD74" s="568"/>
      <c r="AE74" s="568"/>
      <c r="AF74" s="568"/>
      <c r="AG74" s="568"/>
      <c r="AH74" s="568"/>
      <c r="AI74" s="568"/>
      <c r="AJ74" s="568"/>
      <c r="AK74" s="568"/>
      <c r="AL74" s="568"/>
      <c r="AM74" s="568"/>
      <c r="AN74" s="568"/>
      <c r="AO74" s="568"/>
      <c r="AP74" s="568"/>
      <c r="AQ74" s="568"/>
      <c r="AR74" s="568"/>
      <c r="AS74" s="568"/>
      <c r="AT74" s="568"/>
      <c r="AU74" s="568"/>
      <c r="AV74" s="568"/>
      <c r="AW74" s="568"/>
      <c r="AX74" s="568"/>
      <c r="AY74" s="568"/>
      <c r="AZ74" s="568"/>
      <c r="BA74" s="568"/>
      <c r="BB74" s="568"/>
      <c r="BC74" s="568"/>
      <c r="BD74" s="568"/>
      <c r="BE74" s="568"/>
      <c r="BF74" s="568"/>
      <c r="BG74" s="568"/>
      <c r="BH74" s="568"/>
      <c r="BI74" s="568"/>
      <c r="BJ74" s="568"/>
      <c r="BK74" s="568"/>
      <c r="BL74" s="568"/>
      <c r="BM74" s="568"/>
      <c r="BN74" s="568"/>
      <c r="BO74" s="568"/>
      <c r="BP74" s="568"/>
      <c r="BQ74" s="568"/>
      <c r="BR74" s="568"/>
      <c r="BS74" s="568"/>
      <c r="BT74" s="568"/>
      <c r="BU74" s="568"/>
      <c r="BV74" s="568"/>
      <c r="BW74" s="568"/>
      <c r="BX74" s="568"/>
      <c r="BY74" s="568"/>
      <c r="BZ74" s="568"/>
      <c r="CA74" s="568"/>
      <c r="CB74" s="568"/>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8"/>
      <c r="DR74" s="568"/>
      <c r="DS74" s="568"/>
      <c r="DT74" s="568"/>
      <c r="DU74" s="568"/>
      <c r="DV74" s="568"/>
      <c r="DW74" s="568"/>
      <c r="DX74" s="568"/>
      <c r="DY74" s="568"/>
      <c r="DZ74" s="568"/>
      <c r="EA74" s="568"/>
      <c r="EB74" s="568"/>
      <c r="EC74" s="568"/>
      <c r="ED74" s="568"/>
      <c r="EE74" s="568"/>
      <c r="EF74" s="568"/>
      <c r="EG74" s="568"/>
      <c r="EH74" s="568"/>
      <c r="EI74" s="568"/>
    </row>
    <row r="75" spans="2:139" outlineLevel="1" x14ac:dyDescent="0.25">
      <c r="B75" s="448" t="s">
        <v>125</v>
      </c>
      <c r="C75" s="448"/>
      <c r="D75" s="448"/>
      <c r="E75" s="448"/>
      <c r="F75" s="448"/>
      <c r="G75" s="568"/>
      <c r="H75" s="568"/>
      <c r="I75" s="568"/>
      <c r="J75" s="568"/>
      <c r="K75" s="568"/>
      <c r="L75" s="568"/>
      <c r="M75" s="568"/>
      <c r="N75" s="568"/>
      <c r="O75" s="568"/>
      <c r="P75" s="568"/>
      <c r="Q75" s="568"/>
      <c r="R75" s="568"/>
      <c r="S75" s="568"/>
      <c r="T75" s="568"/>
      <c r="U75" s="568"/>
      <c r="V75" s="568"/>
      <c r="W75" s="568"/>
      <c r="X75" s="568"/>
      <c r="Y75" s="568"/>
      <c r="Z75" s="568"/>
      <c r="AA75" s="568"/>
      <c r="AB75" s="568"/>
      <c r="AC75" s="568"/>
      <c r="AD75" s="568"/>
      <c r="AE75" s="568"/>
      <c r="AF75" s="568"/>
      <c r="AG75" s="568"/>
      <c r="AH75" s="568"/>
      <c r="AI75" s="568"/>
      <c r="AJ75" s="568"/>
      <c r="AK75" s="568"/>
      <c r="AL75" s="568"/>
      <c r="AM75" s="568"/>
      <c r="AN75" s="568"/>
      <c r="AO75" s="568"/>
      <c r="AP75" s="568"/>
      <c r="AQ75" s="568"/>
      <c r="AR75" s="568"/>
      <c r="AS75" s="568"/>
      <c r="AT75" s="568"/>
      <c r="AU75" s="568"/>
      <c r="AV75" s="568"/>
      <c r="AW75" s="568"/>
      <c r="AX75" s="568"/>
      <c r="AY75" s="568"/>
      <c r="AZ75" s="568"/>
      <c r="BA75" s="568"/>
      <c r="BB75" s="568"/>
      <c r="BC75" s="568"/>
      <c r="BD75" s="568"/>
      <c r="BE75" s="568"/>
      <c r="BF75" s="568"/>
      <c r="BG75" s="568"/>
      <c r="BH75" s="568"/>
      <c r="BI75" s="568"/>
      <c r="BJ75" s="568"/>
      <c r="BK75" s="568"/>
      <c r="BL75" s="568"/>
      <c r="BM75" s="568"/>
      <c r="BN75" s="568"/>
      <c r="BO75" s="568"/>
      <c r="BP75" s="568"/>
      <c r="BQ75" s="568"/>
      <c r="BR75" s="568"/>
      <c r="BS75" s="568"/>
      <c r="BT75" s="568"/>
      <c r="BU75" s="568"/>
      <c r="BV75" s="568"/>
      <c r="BW75" s="568"/>
      <c r="BX75" s="568"/>
      <c r="BY75" s="568"/>
      <c r="BZ75" s="568"/>
      <c r="CA75" s="568"/>
      <c r="CB75" s="568"/>
      <c r="CC75" s="568"/>
      <c r="CD75" s="568"/>
      <c r="CE75" s="568"/>
      <c r="CF75" s="568"/>
      <c r="CG75" s="568"/>
      <c r="CH75" s="568"/>
      <c r="CI75" s="568"/>
      <c r="CJ75" s="568"/>
      <c r="CK75" s="568"/>
      <c r="CL75" s="568"/>
      <c r="CM75" s="568"/>
      <c r="CN75" s="568"/>
      <c r="CO75" s="568"/>
      <c r="CP75" s="568"/>
      <c r="CQ75" s="568"/>
      <c r="CR75" s="568"/>
      <c r="CS75" s="568"/>
      <c r="CT75" s="568"/>
      <c r="CU75" s="568"/>
      <c r="CV75" s="568"/>
      <c r="CW75" s="568"/>
      <c r="CX75" s="568"/>
      <c r="CY75" s="568"/>
      <c r="CZ75" s="568"/>
      <c r="DA75" s="568"/>
      <c r="DB75" s="568"/>
      <c r="DC75" s="568"/>
      <c r="DD75" s="568"/>
      <c r="DE75" s="568"/>
      <c r="DF75" s="568"/>
      <c r="DG75" s="568"/>
      <c r="DH75" s="568"/>
      <c r="DI75" s="568"/>
      <c r="DJ75" s="568"/>
      <c r="DK75" s="568"/>
      <c r="DL75" s="568"/>
      <c r="DM75" s="568"/>
      <c r="DN75" s="568"/>
      <c r="DO75" s="568"/>
      <c r="DP75" s="568"/>
      <c r="DQ75" s="568"/>
      <c r="DR75" s="568"/>
      <c r="DS75" s="568"/>
      <c r="DT75" s="568"/>
      <c r="DU75" s="568"/>
      <c r="DV75" s="568"/>
      <c r="DW75" s="568"/>
      <c r="DX75" s="568"/>
      <c r="DY75" s="568"/>
      <c r="DZ75" s="568"/>
      <c r="EA75" s="568"/>
      <c r="EB75" s="568"/>
      <c r="EC75" s="568"/>
      <c r="ED75" s="568"/>
      <c r="EE75" s="568"/>
      <c r="EF75" s="568"/>
      <c r="EG75" s="568"/>
      <c r="EH75" s="568"/>
      <c r="EI75" s="568"/>
    </row>
    <row r="76" spans="2:139" outlineLevel="1" x14ac:dyDescent="0.25">
      <c r="B76" s="621" t="s">
        <v>126</v>
      </c>
      <c r="C76" s="448"/>
      <c r="D76" s="448"/>
      <c r="E76" s="448"/>
      <c r="F76" s="448"/>
      <c r="G76" s="568">
        <f>IF(G$67="","",Underwriting!Q121)</f>
        <v>0</v>
      </c>
      <c r="H76" s="568">
        <f>IF(H$67="","",Underwriting!R121)</f>
        <v>0</v>
      </c>
      <c r="I76" s="568">
        <f>IF(I$67="","",Underwriting!S121)</f>
        <v>0</v>
      </c>
      <c r="J76" s="568">
        <f>IF(J$67="","",Underwriting!T121)</f>
        <v>0</v>
      </c>
      <c r="K76" s="568">
        <f>IF(K$67="","",Underwriting!U121)</f>
        <v>0</v>
      </c>
      <c r="L76" s="568">
        <f>IF(L$67="","",Underwriting!V121)</f>
        <v>0</v>
      </c>
      <c r="M76" s="568">
        <f>IF(M$67="","",Underwriting!W121)</f>
        <v>0</v>
      </c>
      <c r="N76" s="568">
        <f>IF(N$67="","",Underwriting!X121)</f>
        <v>0</v>
      </c>
      <c r="O76" s="568">
        <f>IF(O$67="","",Underwriting!Y121)</f>
        <v>0</v>
      </c>
      <c r="P76" s="568">
        <f>IF(P$67="","",Underwriting!Z121)</f>
        <v>0</v>
      </c>
      <c r="Q76" s="568">
        <f>IF(Q$67="","",Underwriting!AA121)</f>
        <v>0</v>
      </c>
      <c r="R76" s="568">
        <f>IF(R$67="","",Underwriting!AB121)</f>
        <v>0</v>
      </c>
      <c r="S76" s="568">
        <f>IF(S$67="","",Underwriting!AC121)</f>
        <v>169.27083333333334</v>
      </c>
      <c r="T76" s="568">
        <f>IF(T$67="","",Underwriting!AD121)</f>
        <v>188.80208333333334</v>
      </c>
      <c r="U76" s="568">
        <f>IF(U$67="","",Underwriting!AE121)</f>
        <v>208.33333333333334</v>
      </c>
      <c r="V76" s="568">
        <f>IF(V$67="","",Underwriting!AF121)</f>
        <v>208.33333333333334</v>
      </c>
      <c r="W76" s="568">
        <f>IF(W$67="","",Underwriting!AG121)</f>
        <v>208.33333333333334</v>
      </c>
      <c r="X76" s="568">
        <f>IF(X$67="","",Underwriting!AH121)</f>
        <v>208.33333333333334</v>
      </c>
      <c r="Y76" s="568">
        <f>IF(Y$67="","",Underwriting!AI121)</f>
        <v>208.33333333333334</v>
      </c>
      <c r="Z76" s="568">
        <f>IF(Z$67="","",Underwriting!AJ121)</f>
        <v>208.33333333333334</v>
      </c>
      <c r="AA76" s="568">
        <f>IF(AA$67="","",Underwriting!AK121)</f>
        <v>208.33333333333334</v>
      </c>
      <c r="AB76" s="568">
        <f>IF(AB$67="","",Underwriting!AL121)</f>
        <v>208.33333333333334</v>
      </c>
      <c r="AC76" s="568">
        <f>IF(AC$67="","",Underwriting!AM121)</f>
        <v>208.33333333333334</v>
      </c>
      <c r="AD76" s="568">
        <f>IF(AD$67="","",Underwriting!AN121)</f>
        <v>208.33333333333334</v>
      </c>
      <c r="AE76" s="568">
        <f>IF(AE$67="","",Underwriting!AO121)</f>
        <v>212.5</v>
      </c>
      <c r="AF76" s="568">
        <f>IF(AF$67="","",Underwriting!AP121)</f>
        <v>212.5</v>
      </c>
      <c r="AG76" s="568">
        <f>IF(AG$67="","",Underwriting!AQ121)</f>
        <v>212.5</v>
      </c>
      <c r="AH76" s="568">
        <f>IF(AH$67="","",Underwriting!AR121)</f>
        <v>212.5</v>
      </c>
      <c r="AI76" s="568">
        <f>IF(AI$67="","",Underwriting!AS121)</f>
        <v>212.5</v>
      </c>
      <c r="AJ76" s="568">
        <f>IF(AJ$67="","",Underwriting!AT121)</f>
        <v>212.5</v>
      </c>
      <c r="AK76" s="568">
        <f>IF(AK$67="","",Underwriting!AU121)</f>
        <v>212.5</v>
      </c>
      <c r="AL76" s="568">
        <f>IF(AL$67="","",Underwriting!AV121)</f>
        <v>212.5</v>
      </c>
      <c r="AM76" s="568">
        <f>IF(AM$67="","",Underwriting!AW121)</f>
        <v>212.5</v>
      </c>
      <c r="AN76" s="568">
        <f>IF(AN$67="","",Underwriting!AX121)</f>
        <v>212.5</v>
      </c>
      <c r="AO76" s="568">
        <f>IF(AO$67="","",Underwriting!AY121)</f>
        <v>212.5</v>
      </c>
      <c r="AP76" s="568">
        <f>IF(AP$67="","",Underwriting!AZ121)</f>
        <v>212.5</v>
      </c>
      <c r="AQ76" s="568">
        <f>IF(AQ$67="","",Underwriting!BA121)</f>
        <v>216.75</v>
      </c>
      <c r="AR76" s="568" t="str">
        <f>IF(AR$67="","",Underwriting!BB121)</f>
        <v/>
      </c>
      <c r="AS76" s="568" t="str">
        <f>IF(AS$67="","",Underwriting!BC121)</f>
        <v/>
      </c>
      <c r="AT76" s="568" t="str">
        <f>IF(AT$67="","",Underwriting!BD121)</f>
        <v/>
      </c>
      <c r="AU76" s="568" t="str">
        <f>IF(AU$67="","",Underwriting!BE121)</f>
        <v/>
      </c>
      <c r="AV76" s="568" t="str">
        <f>IF(AV$67="","",Underwriting!BF121)</f>
        <v/>
      </c>
      <c r="AW76" s="568" t="str">
        <f>IF(AW$67="","",Underwriting!BG121)</f>
        <v/>
      </c>
      <c r="AX76" s="568" t="str">
        <f>IF(AX$67="","",Underwriting!BH121)</f>
        <v/>
      </c>
      <c r="AY76" s="568" t="str">
        <f>IF(AY$67="","",Underwriting!BI121)</f>
        <v/>
      </c>
      <c r="AZ76" s="568" t="str">
        <f>IF(AZ$67="","",Underwriting!BJ121)</f>
        <v/>
      </c>
      <c r="BA76" s="568" t="str">
        <f>IF(BA$67="","",Underwriting!BK121)</f>
        <v/>
      </c>
      <c r="BB76" s="568" t="str">
        <f>IF(BB$67="","",Underwriting!BL121)</f>
        <v/>
      </c>
      <c r="BC76" s="568" t="str">
        <f>IF(BC$67="","",Underwriting!BM121)</f>
        <v/>
      </c>
      <c r="BD76" s="568" t="str">
        <f>IF(BD$67="","",Underwriting!BN121)</f>
        <v/>
      </c>
      <c r="BE76" s="568" t="str">
        <f>IF(BE$67="","",Underwriting!BO121)</f>
        <v/>
      </c>
      <c r="BF76" s="568" t="str">
        <f>IF(BF$67="","",Underwriting!BP121)</f>
        <v/>
      </c>
      <c r="BG76" s="568" t="str">
        <f>IF(BG$67="","",Underwriting!BQ121)</f>
        <v/>
      </c>
      <c r="BH76" s="568" t="str">
        <f>IF(BH$67="","",Underwriting!BR121)</f>
        <v/>
      </c>
      <c r="BI76" s="568" t="str">
        <f>IF(BI$67="","",Underwriting!BS121)</f>
        <v/>
      </c>
      <c r="BJ76" s="568" t="str">
        <f>IF(BJ$67="","",Underwriting!BT121)</f>
        <v/>
      </c>
      <c r="BK76" s="568" t="str">
        <f>IF(BK$67="","",Underwriting!BU121)</f>
        <v/>
      </c>
      <c r="BL76" s="568" t="str">
        <f>IF(BL$67="","",Underwriting!BV121)</f>
        <v/>
      </c>
      <c r="BM76" s="568" t="str">
        <f>IF(BM$67="","",Underwriting!BW121)</f>
        <v/>
      </c>
      <c r="BN76" s="568" t="str">
        <f>IF(BN$67="","",Underwriting!BX121)</f>
        <v/>
      </c>
      <c r="BO76" s="568" t="str">
        <f>IF(BO$67="","",Underwriting!BY121)</f>
        <v/>
      </c>
      <c r="BP76" s="568" t="str">
        <f>IF(BP$67="","",Underwriting!BZ121)</f>
        <v/>
      </c>
      <c r="BQ76" s="568" t="str">
        <f>IF(BQ$67="","",Underwriting!CA121)</f>
        <v/>
      </c>
      <c r="BR76" s="568" t="str">
        <f>IF(BR$67="","",Underwriting!CB121)</f>
        <v/>
      </c>
      <c r="BS76" s="568" t="str">
        <f>IF(BS$67="","",Underwriting!CC121)</f>
        <v/>
      </c>
      <c r="BT76" s="568" t="str">
        <f>IF(BT$67="","",Underwriting!CD121)</f>
        <v/>
      </c>
      <c r="BU76" s="568" t="str">
        <f>IF(BU$67="","",Underwriting!CE121)</f>
        <v/>
      </c>
      <c r="BV76" s="568" t="str">
        <f>IF(BV$67="","",Underwriting!CF121)</f>
        <v/>
      </c>
      <c r="BW76" s="568" t="str">
        <f>IF(BW$67="","",Underwriting!CG121)</f>
        <v/>
      </c>
      <c r="BX76" s="568" t="str">
        <f>IF(BX$67="","",Underwriting!CH121)</f>
        <v/>
      </c>
      <c r="BY76" s="568" t="str">
        <f>IF(BY$67="","",Underwriting!CI121)</f>
        <v/>
      </c>
      <c r="BZ76" s="568" t="str">
        <f>IF(BZ$67="","",Underwriting!CJ121)</f>
        <v/>
      </c>
      <c r="CA76" s="568" t="str">
        <f>IF(CA$67="","",Underwriting!CK121)</f>
        <v/>
      </c>
      <c r="CB76" s="568" t="str">
        <f>IF(CB$67="","",Underwriting!CL121)</f>
        <v/>
      </c>
      <c r="CC76" s="568" t="str">
        <f>IF(CC$67="","",Underwriting!CM121)</f>
        <v/>
      </c>
      <c r="CD76" s="568" t="str">
        <f>IF(CD$67="","",Underwriting!CN121)</f>
        <v/>
      </c>
      <c r="CE76" s="568" t="str">
        <f>IF(CE$67="","",Underwriting!CO121)</f>
        <v/>
      </c>
      <c r="CF76" s="568" t="str">
        <f>IF(CF$67="","",Underwriting!CP121)</f>
        <v/>
      </c>
      <c r="CG76" s="568" t="str">
        <f>IF(CG$67="","",Underwriting!CQ121)</f>
        <v/>
      </c>
      <c r="CH76" s="568" t="str">
        <f>IF(CH$67="","",Underwriting!CR121)</f>
        <v/>
      </c>
      <c r="CI76" s="568" t="str">
        <f>IF(CI$67="","",Underwriting!CS121)</f>
        <v/>
      </c>
      <c r="CJ76" s="568" t="str">
        <f>IF(CJ$67="","",Underwriting!CT121)</f>
        <v/>
      </c>
      <c r="CK76" s="568" t="str">
        <f>IF(CK$67="","",Underwriting!CU121)</f>
        <v/>
      </c>
      <c r="CL76" s="568" t="str">
        <f>IF(CL$67="","",Underwriting!CV121)</f>
        <v/>
      </c>
      <c r="CM76" s="568" t="str">
        <f>IF(CM$67="","",Underwriting!CW121)</f>
        <v/>
      </c>
      <c r="CN76" s="568" t="str">
        <f>IF(CN$67="","",Underwriting!CX121)</f>
        <v/>
      </c>
      <c r="CO76" s="568" t="str">
        <f>IF(CO$67="","",Underwriting!CY121)</f>
        <v/>
      </c>
      <c r="CP76" s="568" t="str">
        <f>IF(CP$67="","",Underwriting!CZ121)</f>
        <v/>
      </c>
      <c r="CQ76" s="568" t="str">
        <f>IF(CQ$67="","",Underwriting!DA121)</f>
        <v/>
      </c>
      <c r="CR76" s="568" t="str">
        <f>IF(CR$67="","",Underwriting!DB121)</f>
        <v/>
      </c>
      <c r="CS76" s="568" t="str">
        <f>IF(CS$67="","",Underwriting!DC121)</f>
        <v/>
      </c>
      <c r="CT76" s="568" t="str">
        <f>IF(CT$67="","",Underwriting!DD121)</f>
        <v/>
      </c>
      <c r="CU76" s="568" t="str">
        <f>IF(CU$67="","",Underwriting!DE121)</f>
        <v/>
      </c>
      <c r="CV76" s="568" t="str">
        <f>IF(CV$67="","",Underwriting!DF121)</f>
        <v/>
      </c>
      <c r="CW76" s="568" t="str">
        <f>IF(CW$67="","",Underwriting!DG121)</f>
        <v/>
      </c>
      <c r="CX76" s="568" t="str">
        <f>IF(CX$67="","",Underwriting!DH121)</f>
        <v/>
      </c>
      <c r="CY76" s="568" t="str">
        <f>IF(CY$67="","",Underwriting!DI121)</f>
        <v/>
      </c>
      <c r="CZ76" s="568" t="str">
        <f>IF(CZ$67="","",Underwriting!DJ121)</f>
        <v/>
      </c>
      <c r="DA76" s="568" t="str">
        <f>IF(DA$67="","",Underwriting!DK121)</f>
        <v/>
      </c>
      <c r="DB76" s="568" t="str">
        <f>IF(DB$67="","",Underwriting!DL121)</f>
        <v/>
      </c>
      <c r="DC76" s="568" t="str">
        <f>IF(DC$67="","",Underwriting!DM121)</f>
        <v/>
      </c>
      <c r="DD76" s="568" t="str">
        <f>IF(DD$67="","",Underwriting!DN121)</f>
        <v/>
      </c>
      <c r="DE76" s="568" t="str">
        <f>IF(DE$67="","",Underwriting!DO121)</f>
        <v/>
      </c>
      <c r="DF76" s="568" t="str">
        <f>IF(DF$67="","",Underwriting!DP121)</f>
        <v/>
      </c>
      <c r="DG76" s="568" t="str">
        <f>IF(DG$67="","",Underwriting!DQ121)</f>
        <v/>
      </c>
      <c r="DH76" s="568" t="str">
        <f>IF(DH$67="","",Underwriting!DR121)</f>
        <v/>
      </c>
      <c r="DI76" s="568" t="str">
        <f>IF(DI$67="","",Underwriting!DS121)</f>
        <v/>
      </c>
      <c r="DJ76" s="568" t="str">
        <f>IF(DJ$67="","",Underwriting!DT121)</f>
        <v/>
      </c>
      <c r="DK76" s="568" t="str">
        <f>IF(DK$67="","",Underwriting!DU121)</f>
        <v/>
      </c>
      <c r="DL76" s="568" t="str">
        <f>IF(DL$67="","",Underwriting!DV121)</f>
        <v/>
      </c>
      <c r="DM76" s="568" t="str">
        <f>IF(DM$67="","",Underwriting!DW121)</f>
        <v/>
      </c>
      <c r="DN76" s="568" t="str">
        <f>IF(DN$67="","",Underwriting!DX121)</f>
        <v/>
      </c>
      <c r="DO76" s="568" t="str">
        <f>IF(DO$67="","",Underwriting!DY121)</f>
        <v/>
      </c>
      <c r="DP76" s="568" t="str">
        <f>IF(DP$67="","",Underwriting!DZ121)</f>
        <v/>
      </c>
      <c r="DQ76" s="568" t="str">
        <f>IF(DQ$67="","",Underwriting!EA121)</f>
        <v/>
      </c>
      <c r="DR76" s="568" t="str">
        <f>IF(DR$67="","",Underwriting!EB121)</f>
        <v/>
      </c>
      <c r="DS76" s="568" t="str">
        <f>IF(DS$67="","",Underwriting!EC121)</f>
        <v/>
      </c>
      <c r="DT76" s="568" t="str">
        <f>IF(DT$67="","",Underwriting!ED121)</f>
        <v/>
      </c>
      <c r="DU76" s="568" t="str">
        <f>IF(DU$67="","",Underwriting!EE121)</f>
        <v/>
      </c>
      <c r="DV76" s="568" t="str">
        <f>IF(DV$67="","",Underwriting!EF121)</f>
        <v/>
      </c>
      <c r="DW76" s="568" t="str">
        <f>IF(DW$67="","",Underwriting!EG121)</f>
        <v/>
      </c>
      <c r="DX76" s="568" t="str">
        <f>IF(DX$67="","",Underwriting!EH121)</f>
        <v/>
      </c>
      <c r="DY76" s="568" t="str">
        <f>IF(DY$67="","",Underwriting!EI121)</f>
        <v/>
      </c>
      <c r="DZ76" s="568" t="str">
        <f>IF(DZ$67="","",Underwriting!EJ121)</f>
        <v/>
      </c>
      <c r="EA76" s="568" t="str">
        <f>IF(EA$67="","",Underwriting!EK121)</f>
        <v/>
      </c>
      <c r="EB76" s="568" t="str">
        <f>IF(EB$67="","",Underwriting!EL121)</f>
        <v/>
      </c>
      <c r="EC76" s="568" t="str">
        <f>IF(EC$67="","",Underwriting!EM121)</f>
        <v/>
      </c>
      <c r="ED76" s="568" t="str">
        <f>IF(ED$67="","",Underwriting!EN121)</f>
        <v/>
      </c>
      <c r="EE76" s="568" t="str">
        <f>IF(EE$67="","",Underwriting!EO121)</f>
        <v/>
      </c>
      <c r="EF76" s="568" t="str">
        <f>IF(EF$67="","",Underwriting!EP121)</f>
        <v/>
      </c>
      <c r="EG76" s="568" t="str">
        <f>IF(EG$67="","",Underwriting!EQ121)</f>
        <v/>
      </c>
      <c r="EH76" s="568" t="str">
        <f>IF(EH$67="","",Underwriting!ER121)</f>
        <v/>
      </c>
      <c r="EI76" s="568" t="str">
        <f>IF(EI$67="","",Underwriting!ES121)</f>
        <v/>
      </c>
    </row>
    <row r="77" spans="2:139" outlineLevel="1" x14ac:dyDescent="0.25">
      <c r="B77" s="621" t="s">
        <v>127</v>
      </c>
      <c r="C77" s="448"/>
      <c r="D77" s="448"/>
      <c r="E77" s="448"/>
      <c r="F77" s="448"/>
      <c r="G77" s="568">
        <f>IF(G$67="","",Underwriting!Q122)</f>
        <v>0</v>
      </c>
      <c r="H77" s="568">
        <f>IF(H$67="","",Underwriting!R122)</f>
        <v>0</v>
      </c>
      <c r="I77" s="568">
        <f>IF(I$67="","",Underwriting!S122)</f>
        <v>0</v>
      </c>
      <c r="J77" s="568">
        <f>IF(J$67="","",Underwriting!T122)</f>
        <v>0</v>
      </c>
      <c r="K77" s="568">
        <f>IF(K$67="","",Underwriting!U122)</f>
        <v>0</v>
      </c>
      <c r="L77" s="568">
        <f>IF(L$67="","",Underwriting!V122)</f>
        <v>0</v>
      </c>
      <c r="M77" s="568">
        <f>IF(M$67="","",Underwriting!W122)</f>
        <v>0</v>
      </c>
      <c r="N77" s="568">
        <f>IF(N$67="","",Underwriting!X122)</f>
        <v>0</v>
      </c>
      <c r="O77" s="568">
        <f>IF(O$67="","",Underwriting!Y122)</f>
        <v>0</v>
      </c>
      <c r="P77" s="568">
        <f>IF(P$67="","",Underwriting!Z122)</f>
        <v>0</v>
      </c>
      <c r="Q77" s="568">
        <f>IF(Q$67="","",Underwriting!AA122)</f>
        <v>0</v>
      </c>
      <c r="R77" s="568">
        <f>IF(R$67="","",Underwriting!AB122)</f>
        <v>0</v>
      </c>
      <c r="S77" s="568">
        <f>IF(S$67="","",Underwriting!AC122)</f>
        <v>0</v>
      </c>
      <c r="T77" s="568">
        <f>IF(T$67="","",Underwriting!AD122)</f>
        <v>0</v>
      </c>
      <c r="U77" s="568">
        <f>IF(U$67="","",Underwriting!AE122)</f>
        <v>0</v>
      </c>
      <c r="V77" s="568">
        <f>IF(V$67="","",Underwriting!AF122)</f>
        <v>0</v>
      </c>
      <c r="W77" s="568">
        <f>IF(W$67="","",Underwriting!AG122)</f>
        <v>0</v>
      </c>
      <c r="X77" s="568">
        <f>IF(X$67="","",Underwriting!AH122)</f>
        <v>0</v>
      </c>
      <c r="Y77" s="568">
        <f>IF(Y$67="","",Underwriting!AI122)</f>
        <v>0</v>
      </c>
      <c r="Z77" s="568">
        <f>IF(Z$67="","",Underwriting!AJ122)</f>
        <v>0</v>
      </c>
      <c r="AA77" s="568">
        <f>IF(AA$67="","",Underwriting!AK122)</f>
        <v>0</v>
      </c>
      <c r="AB77" s="568">
        <f>IF(AB$67="","",Underwriting!AL122)</f>
        <v>0</v>
      </c>
      <c r="AC77" s="568">
        <f>IF(AC$67="","",Underwriting!AM122)</f>
        <v>0</v>
      </c>
      <c r="AD77" s="568">
        <f>IF(AD$67="","",Underwriting!AN122)</f>
        <v>0</v>
      </c>
      <c r="AE77" s="568">
        <f>IF(AE$67="","",Underwriting!AO122)</f>
        <v>0</v>
      </c>
      <c r="AF77" s="568">
        <f>IF(AF$67="","",Underwriting!AP122)</f>
        <v>0</v>
      </c>
      <c r="AG77" s="568">
        <f>IF(AG$67="","",Underwriting!AQ122)</f>
        <v>0</v>
      </c>
      <c r="AH77" s="568">
        <f>IF(AH$67="","",Underwriting!AR122)</f>
        <v>0</v>
      </c>
      <c r="AI77" s="568">
        <f>IF(AI$67="","",Underwriting!AS122)</f>
        <v>0</v>
      </c>
      <c r="AJ77" s="568">
        <f>IF(AJ$67="","",Underwriting!AT122)</f>
        <v>0</v>
      </c>
      <c r="AK77" s="568">
        <f>IF(AK$67="","",Underwriting!AU122)</f>
        <v>0</v>
      </c>
      <c r="AL77" s="568">
        <f>IF(AL$67="","",Underwriting!AV122)</f>
        <v>0</v>
      </c>
      <c r="AM77" s="568">
        <f>IF(AM$67="","",Underwriting!AW122)</f>
        <v>0</v>
      </c>
      <c r="AN77" s="568">
        <f>IF(AN$67="","",Underwriting!AX122)</f>
        <v>0</v>
      </c>
      <c r="AO77" s="568">
        <f>IF(AO$67="","",Underwriting!AY122)</f>
        <v>0</v>
      </c>
      <c r="AP77" s="568">
        <f>IF(AP$67="","",Underwriting!AZ122)</f>
        <v>0</v>
      </c>
      <c r="AQ77" s="568">
        <f>IF(AQ$67="","",Underwriting!BA122)</f>
        <v>0</v>
      </c>
      <c r="AR77" s="568" t="str">
        <f>IF(AR$67="","",Underwriting!BB122)</f>
        <v/>
      </c>
      <c r="AS77" s="568" t="str">
        <f>IF(AS$67="","",Underwriting!BC122)</f>
        <v/>
      </c>
      <c r="AT77" s="568" t="str">
        <f>IF(AT$67="","",Underwriting!BD122)</f>
        <v/>
      </c>
      <c r="AU77" s="568" t="str">
        <f>IF(AU$67="","",Underwriting!BE122)</f>
        <v/>
      </c>
      <c r="AV77" s="568" t="str">
        <f>IF(AV$67="","",Underwriting!BF122)</f>
        <v/>
      </c>
      <c r="AW77" s="568" t="str">
        <f>IF(AW$67="","",Underwriting!BG122)</f>
        <v/>
      </c>
      <c r="AX77" s="568" t="str">
        <f>IF(AX$67="","",Underwriting!BH122)</f>
        <v/>
      </c>
      <c r="AY77" s="568" t="str">
        <f>IF(AY$67="","",Underwriting!BI122)</f>
        <v/>
      </c>
      <c r="AZ77" s="568" t="str">
        <f>IF(AZ$67="","",Underwriting!BJ122)</f>
        <v/>
      </c>
      <c r="BA77" s="568" t="str">
        <f>IF(BA$67="","",Underwriting!BK122)</f>
        <v/>
      </c>
      <c r="BB77" s="568" t="str">
        <f>IF(BB$67="","",Underwriting!BL122)</f>
        <v/>
      </c>
      <c r="BC77" s="568" t="str">
        <f>IF(BC$67="","",Underwriting!BM122)</f>
        <v/>
      </c>
      <c r="BD77" s="568" t="str">
        <f>IF(BD$67="","",Underwriting!BN122)</f>
        <v/>
      </c>
      <c r="BE77" s="568" t="str">
        <f>IF(BE$67="","",Underwriting!BO122)</f>
        <v/>
      </c>
      <c r="BF77" s="568" t="str">
        <f>IF(BF$67="","",Underwriting!BP122)</f>
        <v/>
      </c>
      <c r="BG77" s="568" t="str">
        <f>IF(BG$67="","",Underwriting!BQ122)</f>
        <v/>
      </c>
      <c r="BH77" s="568" t="str">
        <f>IF(BH$67="","",Underwriting!BR122)</f>
        <v/>
      </c>
      <c r="BI77" s="568" t="str">
        <f>IF(BI$67="","",Underwriting!BS122)</f>
        <v/>
      </c>
      <c r="BJ77" s="568" t="str">
        <f>IF(BJ$67="","",Underwriting!BT122)</f>
        <v/>
      </c>
      <c r="BK77" s="568" t="str">
        <f>IF(BK$67="","",Underwriting!BU122)</f>
        <v/>
      </c>
      <c r="BL77" s="568" t="str">
        <f>IF(BL$67="","",Underwriting!BV122)</f>
        <v/>
      </c>
      <c r="BM77" s="568" t="str">
        <f>IF(BM$67="","",Underwriting!BW122)</f>
        <v/>
      </c>
      <c r="BN77" s="568" t="str">
        <f>IF(BN$67="","",Underwriting!BX122)</f>
        <v/>
      </c>
      <c r="BO77" s="568" t="str">
        <f>IF(BO$67="","",Underwriting!BY122)</f>
        <v/>
      </c>
      <c r="BP77" s="568" t="str">
        <f>IF(BP$67="","",Underwriting!BZ122)</f>
        <v/>
      </c>
      <c r="BQ77" s="568" t="str">
        <f>IF(BQ$67="","",Underwriting!CA122)</f>
        <v/>
      </c>
      <c r="BR77" s="568" t="str">
        <f>IF(BR$67="","",Underwriting!CB122)</f>
        <v/>
      </c>
      <c r="BS77" s="568" t="str">
        <f>IF(BS$67="","",Underwriting!CC122)</f>
        <v/>
      </c>
      <c r="BT77" s="568" t="str">
        <f>IF(BT$67="","",Underwriting!CD122)</f>
        <v/>
      </c>
      <c r="BU77" s="568" t="str">
        <f>IF(BU$67="","",Underwriting!CE122)</f>
        <v/>
      </c>
      <c r="BV77" s="568" t="str">
        <f>IF(BV$67="","",Underwriting!CF122)</f>
        <v/>
      </c>
      <c r="BW77" s="568" t="str">
        <f>IF(BW$67="","",Underwriting!CG122)</f>
        <v/>
      </c>
      <c r="BX77" s="568" t="str">
        <f>IF(BX$67="","",Underwriting!CH122)</f>
        <v/>
      </c>
      <c r="BY77" s="568" t="str">
        <f>IF(BY$67="","",Underwriting!CI122)</f>
        <v/>
      </c>
      <c r="BZ77" s="568" t="str">
        <f>IF(BZ$67="","",Underwriting!CJ122)</f>
        <v/>
      </c>
      <c r="CA77" s="568" t="str">
        <f>IF(CA$67="","",Underwriting!CK122)</f>
        <v/>
      </c>
      <c r="CB77" s="568" t="str">
        <f>IF(CB$67="","",Underwriting!CL122)</f>
        <v/>
      </c>
      <c r="CC77" s="568" t="str">
        <f>IF(CC$67="","",Underwriting!CM122)</f>
        <v/>
      </c>
      <c r="CD77" s="568" t="str">
        <f>IF(CD$67="","",Underwriting!CN122)</f>
        <v/>
      </c>
      <c r="CE77" s="568" t="str">
        <f>IF(CE$67="","",Underwriting!CO122)</f>
        <v/>
      </c>
      <c r="CF77" s="568" t="str">
        <f>IF(CF$67="","",Underwriting!CP122)</f>
        <v/>
      </c>
      <c r="CG77" s="568" t="str">
        <f>IF(CG$67="","",Underwriting!CQ122)</f>
        <v/>
      </c>
      <c r="CH77" s="568" t="str">
        <f>IF(CH$67="","",Underwriting!CR122)</f>
        <v/>
      </c>
      <c r="CI77" s="568" t="str">
        <f>IF(CI$67="","",Underwriting!CS122)</f>
        <v/>
      </c>
      <c r="CJ77" s="568" t="str">
        <f>IF(CJ$67="","",Underwriting!CT122)</f>
        <v/>
      </c>
      <c r="CK77" s="568" t="str">
        <f>IF(CK$67="","",Underwriting!CU122)</f>
        <v/>
      </c>
      <c r="CL77" s="568" t="str">
        <f>IF(CL$67="","",Underwriting!CV122)</f>
        <v/>
      </c>
      <c r="CM77" s="568" t="str">
        <f>IF(CM$67="","",Underwriting!CW122)</f>
        <v/>
      </c>
      <c r="CN77" s="568" t="str">
        <f>IF(CN$67="","",Underwriting!CX122)</f>
        <v/>
      </c>
      <c r="CO77" s="568" t="str">
        <f>IF(CO$67="","",Underwriting!CY122)</f>
        <v/>
      </c>
      <c r="CP77" s="568" t="str">
        <f>IF(CP$67="","",Underwriting!CZ122)</f>
        <v/>
      </c>
      <c r="CQ77" s="568" t="str">
        <f>IF(CQ$67="","",Underwriting!DA122)</f>
        <v/>
      </c>
      <c r="CR77" s="568" t="str">
        <f>IF(CR$67="","",Underwriting!DB122)</f>
        <v/>
      </c>
      <c r="CS77" s="568" t="str">
        <f>IF(CS$67="","",Underwriting!DC122)</f>
        <v/>
      </c>
      <c r="CT77" s="568" t="str">
        <f>IF(CT$67="","",Underwriting!DD122)</f>
        <v/>
      </c>
      <c r="CU77" s="568" t="str">
        <f>IF(CU$67="","",Underwriting!DE122)</f>
        <v/>
      </c>
      <c r="CV77" s="568" t="str">
        <f>IF(CV$67="","",Underwriting!DF122)</f>
        <v/>
      </c>
      <c r="CW77" s="568" t="str">
        <f>IF(CW$67="","",Underwriting!DG122)</f>
        <v/>
      </c>
      <c r="CX77" s="568" t="str">
        <f>IF(CX$67="","",Underwriting!DH122)</f>
        <v/>
      </c>
      <c r="CY77" s="568" t="str">
        <f>IF(CY$67="","",Underwriting!DI122)</f>
        <v/>
      </c>
      <c r="CZ77" s="568" t="str">
        <f>IF(CZ$67="","",Underwriting!DJ122)</f>
        <v/>
      </c>
      <c r="DA77" s="568" t="str">
        <f>IF(DA$67="","",Underwriting!DK122)</f>
        <v/>
      </c>
      <c r="DB77" s="568" t="str">
        <f>IF(DB$67="","",Underwriting!DL122)</f>
        <v/>
      </c>
      <c r="DC77" s="568" t="str">
        <f>IF(DC$67="","",Underwriting!DM122)</f>
        <v/>
      </c>
      <c r="DD77" s="568" t="str">
        <f>IF(DD$67="","",Underwriting!DN122)</f>
        <v/>
      </c>
      <c r="DE77" s="568" t="str">
        <f>IF(DE$67="","",Underwriting!DO122)</f>
        <v/>
      </c>
      <c r="DF77" s="568" t="str">
        <f>IF(DF$67="","",Underwriting!DP122)</f>
        <v/>
      </c>
      <c r="DG77" s="568" t="str">
        <f>IF(DG$67="","",Underwriting!DQ122)</f>
        <v/>
      </c>
      <c r="DH77" s="568" t="str">
        <f>IF(DH$67="","",Underwriting!DR122)</f>
        <v/>
      </c>
      <c r="DI77" s="568" t="str">
        <f>IF(DI$67="","",Underwriting!DS122)</f>
        <v/>
      </c>
      <c r="DJ77" s="568" t="str">
        <f>IF(DJ$67="","",Underwriting!DT122)</f>
        <v/>
      </c>
      <c r="DK77" s="568" t="str">
        <f>IF(DK$67="","",Underwriting!DU122)</f>
        <v/>
      </c>
      <c r="DL77" s="568" t="str">
        <f>IF(DL$67="","",Underwriting!DV122)</f>
        <v/>
      </c>
      <c r="DM77" s="568" t="str">
        <f>IF(DM$67="","",Underwriting!DW122)</f>
        <v/>
      </c>
      <c r="DN77" s="568" t="str">
        <f>IF(DN$67="","",Underwriting!DX122)</f>
        <v/>
      </c>
      <c r="DO77" s="568" t="str">
        <f>IF(DO$67="","",Underwriting!DY122)</f>
        <v/>
      </c>
      <c r="DP77" s="568" t="str">
        <f>IF(DP$67="","",Underwriting!DZ122)</f>
        <v/>
      </c>
      <c r="DQ77" s="568" t="str">
        <f>IF(DQ$67="","",Underwriting!EA122)</f>
        <v/>
      </c>
      <c r="DR77" s="568" t="str">
        <f>IF(DR$67="","",Underwriting!EB122)</f>
        <v/>
      </c>
      <c r="DS77" s="568" t="str">
        <f>IF(DS$67="","",Underwriting!EC122)</f>
        <v/>
      </c>
      <c r="DT77" s="568" t="str">
        <f>IF(DT$67="","",Underwriting!ED122)</f>
        <v/>
      </c>
      <c r="DU77" s="568" t="str">
        <f>IF(DU$67="","",Underwriting!EE122)</f>
        <v/>
      </c>
      <c r="DV77" s="568" t="str">
        <f>IF(DV$67="","",Underwriting!EF122)</f>
        <v/>
      </c>
      <c r="DW77" s="568" t="str">
        <f>IF(DW$67="","",Underwriting!EG122)</f>
        <v/>
      </c>
      <c r="DX77" s="568" t="str">
        <f>IF(DX$67="","",Underwriting!EH122)</f>
        <v/>
      </c>
      <c r="DY77" s="568" t="str">
        <f>IF(DY$67="","",Underwriting!EI122)</f>
        <v/>
      </c>
      <c r="DZ77" s="568" t="str">
        <f>IF(DZ$67="","",Underwriting!EJ122)</f>
        <v/>
      </c>
      <c r="EA77" s="568" t="str">
        <f>IF(EA$67="","",Underwriting!EK122)</f>
        <v/>
      </c>
      <c r="EB77" s="568" t="str">
        <f>IF(EB$67="","",Underwriting!EL122)</f>
        <v/>
      </c>
      <c r="EC77" s="568" t="str">
        <f>IF(EC$67="","",Underwriting!EM122)</f>
        <v/>
      </c>
      <c r="ED77" s="568" t="str">
        <f>IF(ED$67="","",Underwriting!EN122)</f>
        <v/>
      </c>
      <c r="EE77" s="568" t="str">
        <f>IF(EE$67="","",Underwriting!EO122)</f>
        <v/>
      </c>
      <c r="EF77" s="568" t="str">
        <f>IF(EF$67="","",Underwriting!EP122)</f>
        <v/>
      </c>
      <c r="EG77" s="568" t="str">
        <f>IF(EG$67="","",Underwriting!EQ122)</f>
        <v/>
      </c>
      <c r="EH77" s="568" t="str">
        <f>IF(EH$67="","",Underwriting!ER122)</f>
        <v/>
      </c>
      <c r="EI77" s="568" t="str">
        <f>IF(EI$67="","",Underwriting!ES122)</f>
        <v/>
      </c>
    </row>
    <row r="78" spans="2:139" outlineLevel="1" x14ac:dyDescent="0.25">
      <c r="B78" s="621" t="s">
        <v>245</v>
      </c>
      <c r="C78" s="448"/>
      <c r="D78" s="448"/>
      <c r="E78" s="448"/>
      <c r="F78" s="448"/>
      <c r="G78" s="568">
        <f>IF(G$67="","",Underwriting!Q123)</f>
        <v>0</v>
      </c>
      <c r="H78" s="568">
        <f>IF(H$67="","",Underwriting!R123)</f>
        <v>0</v>
      </c>
      <c r="I78" s="568">
        <f>IF(I$67="","",Underwriting!S123)</f>
        <v>0</v>
      </c>
      <c r="J78" s="568">
        <f>IF(J$67="","",Underwriting!T123)</f>
        <v>0</v>
      </c>
      <c r="K78" s="568">
        <f>IF(K$67="","",Underwriting!U123)</f>
        <v>0</v>
      </c>
      <c r="L78" s="568">
        <f>IF(L$67="","",Underwriting!V123)</f>
        <v>0</v>
      </c>
      <c r="M78" s="568">
        <f>IF(M$67="","",Underwriting!W123)</f>
        <v>0</v>
      </c>
      <c r="N78" s="568">
        <f>IF(N$67="","",Underwriting!X123)</f>
        <v>0</v>
      </c>
      <c r="O78" s="568">
        <f>IF(O$67="","",Underwriting!Y123)</f>
        <v>0</v>
      </c>
      <c r="P78" s="568">
        <f>IF(P$67="","",Underwriting!Z123)</f>
        <v>0</v>
      </c>
      <c r="Q78" s="568">
        <f>IF(Q$67="","",Underwriting!AA123)</f>
        <v>0</v>
      </c>
      <c r="R78" s="568">
        <f>IF(R$67="","",Underwriting!AB123)</f>
        <v>0</v>
      </c>
      <c r="S78" s="568">
        <f>IF(S$67="","",Underwriting!AC123)</f>
        <v>169.27083333333334</v>
      </c>
      <c r="T78" s="568">
        <f>IF(T$67="","",Underwriting!AD123)</f>
        <v>188.80208333333334</v>
      </c>
      <c r="U78" s="568">
        <f>IF(U$67="","",Underwriting!AE123)</f>
        <v>208.33333333333334</v>
      </c>
      <c r="V78" s="568">
        <f>IF(V$67="","",Underwriting!AF123)</f>
        <v>208.33333333333334</v>
      </c>
      <c r="W78" s="568">
        <f>IF(W$67="","",Underwriting!AG123)</f>
        <v>208.33333333333334</v>
      </c>
      <c r="X78" s="568">
        <f>IF(X$67="","",Underwriting!AH123)</f>
        <v>208.33333333333334</v>
      </c>
      <c r="Y78" s="568">
        <f>IF(Y$67="","",Underwriting!AI123)</f>
        <v>208.33333333333334</v>
      </c>
      <c r="Z78" s="568">
        <f>IF(Z$67="","",Underwriting!AJ123)</f>
        <v>208.33333333333334</v>
      </c>
      <c r="AA78" s="568">
        <f>IF(AA$67="","",Underwriting!AK123)</f>
        <v>208.33333333333334</v>
      </c>
      <c r="AB78" s="568">
        <f>IF(AB$67="","",Underwriting!AL123)</f>
        <v>208.33333333333334</v>
      </c>
      <c r="AC78" s="568">
        <f>IF(AC$67="","",Underwriting!AM123)</f>
        <v>208.33333333333334</v>
      </c>
      <c r="AD78" s="568">
        <f>IF(AD$67="","",Underwriting!AN123)</f>
        <v>208.33333333333334</v>
      </c>
      <c r="AE78" s="568">
        <f>IF(AE$67="","",Underwriting!AO123)</f>
        <v>212.5</v>
      </c>
      <c r="AF78" s="568">
        <f>IF(AF$67="","",Underwriting!AP123)</f>
        <v>212.5</v>
      </c>
      <c r="AG78" s="568">
        <f>IF(AG$67="","",Underwriting!AQ123)</f>
        <v>212.5</v>
      </c>
      <c r="AH78" s="568">
        <f>IF(AH$67="","",Underwriting!AR123)</f>
        <v>212.5</v>
      </c>
      <c r="AI78" s="568">
        <f>IF(AI$67="","",Underwriting!AS123)</f>
        <v>212.5</v>
      </c>
      <c r="AJ78" s="568">
        <f>IF(AJ$67="","",Underwriting!AT123)</f>
        <v>212.5</v>
      </c>
      <c r="AK78" s="568">
        <f>IF(AK$67="","",Underwriting!AU123)</f>
        <v>212.5</v>
      </c>
      <c r="AL78" s="568">
        <f>IF(AL$67="","",Underwriting!AV123)</f>
        <v>212.5</v>
      </c>
      <c r="AM78" s="568">
        <f>IF(AM$67="","",Underwriting!AW123)</f>
        <v>212.5</v>
      </c>
      <c r="AN78" s="568">
        <f>IF(AN$67="","",Underwriting!AX123)</f>
        <v>212.5</v>
      </c>
      <c r="AO78" s="568">
        <f>IF(AO$67="","",Underwriting!AY123)</f>
        <v>212.5</v>
      </c>
      <c r="AP78" s="568">
        <f>IF(AP$67="","",Underwriting!AZ123)</f>
        <v>212.5</v>
      </c>
      <c r="AQ78" s="568">
        <f>IF(AQ$67="","",Underwriting!BA123)</f>
        <v>216.75</v>
      </c>
      <c r="AR78" s="568" t="str">
        <f>IF(AR$67="","",Underwriting!BB123)</f>
        <v/>
      </c>
      <c r="AS78" s="568" t="str">
        <f>IF(AS$67="","",Underwriting!BC123)</f>
        <v/>
      </c>
      <c r="AT78" s="568" t="str">
        <f>IF(AT$67="","",Underwriting!BD123)</f>
        <v/>
      </c>
      <c r="AU78" s="568" t="str">
        <f>IF(AU$67="","",Underwriting!BE123)</f>
        <v/>
      </c>
      <c r="AV78" s="568" t="str">
        <f>IF(AV$67="","",Underwriting!BF123)</f>
        <v/>
      </c>
      <c r="AW78" s="568" t="str">
        <f>IF(AW$67="","",Underwriting!BG123)</f>
        <v/>
      </c>
      <c r="AX78" s="568" t="str">
        <f>IF(AX$67="","",Underwriting!BH123)</f>
        <v/>
      </c>
      <c r="AY78" s="568" t="str">
        <f>IF(AY$67="","",Underwriting!BI123)</f>
        <v/>
      </c>
      <c r="AZ78" s="568" t="str">
        <f>IF(AZ$67="","",Underwriting!BJ123)</f>
        <v/>
      </c>
      <c r="BA78" s="568" t="str">
        <f>IF(BA$67="","",Underwriting!BK123)</f>
        <v/>
      </c>
      <c r="BB78" s="568" t="str">
        <f>IF(BB$67="","",Underwriting!BL123)</f>
        <v/>
      </c>
      <c r="BC78" s="568" t="str">
        <f>IF(BC$67="","",Underwriting!BM123)</f>
        <v/>
      </c>
      <c r="BD78" s="568" t="str">
        <f>IF(BD$67="","",Underwriting!BN123)</f>
        <v/>
      </c>
      <c r="BE78" s="568" t="str">
        <f>IF(BE$67="","",Underwriting!BO123)</f>
        <v/>
      </c>
      <c r="BF78" s="568" t="str">
        <f>IF(BF$67="","",Underwriting!BP123)</f>
        <v/>
      </c>
      <c r="BG78" s="568" t="str">
        <f>IF(BG$67="","",Underwriting!BQ123)</f>
        <v/>
      </c>
      <c r="BH78" s="568" t="str">
        <f>IF(BH$67="","",Underwriting!BR123)</f>
        <v/>
      </c>
      <c r="BI78" s="568" t="str">
        <f>IF(BI$67="","",Underwriting!BS123)</f>
        <v/>
      </c>
      <c r="BJ78" s="568" t="str">
        <f>IF(BJ$67="","",Underwriting!BT123)</f>
        <v/>
      </c>
      <c r="BK78" s="568" t="str">
        <f>IF(BK$67="","",Underwriting!BU123)</f>
        <v/>
      </c>
      <c r="BL78" s="568" t="str">
        <f>IF(BL$67="","",Underwriting!BV123)</f>
        <v/>
      </c>
      <c r="BM78" s="568" t="str">
        <f>IF(BM$67="","",Underwriting!BW123)</f>
        <v/>
      </c>
      <c r="BN78" s="568" t="str">
        <f>IF(BN$67="","",Underwriting!BX123)</f>
        <v/>
      </c>
      <c r="BO78" s="568" t="str">
        <f>IF(BO$67="","",Underwriting!BY123)</f>
        <v/>
      </c>
      <c r="BP78" s="568" t="str">
        <f>IF(BP$67="","",Underwriting!BZ123)</f>
        <v/>
      </c>
      <c r="BQ78" s="568" t="str">
        <f>IF(BQ$67="","",Underwriting!CA123)</f>
        <v/>
      </c>
      <c r="BR78" s="568" t="str">
        <f>IF(BR$67="","",Underwriting!CB123)</f>
        <v/>
      </c>
      <c r="BS78" s="568" t="str">
        <f>IF(BS$67="","",Underwriting!CC123)</f>
        <v/>
      </c>
      <c r="BT78" s="568" t="str">
        <f>IF(BT$67="","",Underwriting!CD123)</f>
        <v/>
      </c>
      <c r="BU78" s="568" t="str">
        <f>IF(BU$67="","",Underwriting!CE123)</f>
        <v/>
      </c>
      <c r="BV78" s="568" t="str">
        <f>IF(BV$67="","",Underwriting!CF123)</f>
        <v/>
      </c>
      <c r="BW78" s="568" t="str">
        <f>IF(BW$67="","",Underwriting!CG123)</f>
        <v/>
      </c>
      <c r="BX78" s="568" t="str">
        <f>IF(BX$67="","",Underwriting!CH123)</f>
        <v/>
      </c>
      <c r="BY78" s="568" t="str">
        <f>IF(BY$67="","",Underwriting!CI123)</f>
        <v/>
      </c>
      <c r="BZ78" s="568" t="str">
        <f>IF(BZ$67="","",Underwriting!CJ123)</f>
        <v/>
      </c>
      <c r="CA78" s="568" t="str">
        <f>IF(CA$67="","",Underwriting!CK123)</f>
        <v/>
      </c>
      <c r="CB78" s="568" t="str">
        <f>IF(CB$67="","",Underwriting!CL123)</f>
        <v/>
      </c>
      <c r="CC78" s="568" t="str">
        <f>IF(CC$67="","",Underwriting!CM123)</f>
        <v/>
      </c>
      <c r="CD78" s="568" t="str">
        <f>IF(CD$67="","",Underwriting!CN123)</f>
        <v/>
      </c>
      <c r="CE78" s="568" t="str">
        <f>IF(CE$67="","",Underwriting!CO123)</f>
        <v/>
      </c>
      <c r="CF78" s="568" t="str">
        <f>IF(CF$67="","",Underwriting!CP123)</f>
        <v/>
      </c>
      <c r="CG78" s="568" t="str">
        <f>IF(CG$67="","",Underwriting!CQ123)</f>
        <v/>
      </c>
      <c r="CH78" s="568" t="str">
        <f>IF(CH$67="","",Underwriting!CR123)</f>
        <v/>
      </c>
      <c r="CI78" s="568" t="str">
        <f>IF(CI$67="","",Underwriting!CS123)</f>
        <v/>
      </c>
      <c r="CJ78" s="568" t="str">
        <f>IF(CJ$67="","",Underwriting!CT123)</f>
        <v/>
      </c>
      <c r="CK78" s="568" t="str">
        <f>IF(CK$67="","",Underwriting!CU123)</f>
        <v/>
      </c>
      <c r="CL78" s="568" t="str">
        <f>IF(CL$67="","",Underwriting!CV123)</f>
        <v/>
      </c>
      <c r="CM78" s="568" t="str">
        <f>IF(CM$67="","",Underwriting!CW123)</f>
        <v/>
      </c>
      <c r="CN78" s="568" t="str">
        <f>IF(CN$67="","",Underwriting!CX123)</f>
        <v/>
      </c>
      <c r="CO78" s="568" t="str">
        <f>IF(CO$67="","",Underwriting!CY123)</f>
        <v/>
      </c>
      <c r="CP78" s="568" t="str">
        <f>IF(CP$67="","",Underwriting!CZ123)</f>
        <v/>
      </c>
      <c r="CQ78" s="568" t="str">
        <f>IF(CQ$67="","",Underwriting!DA123)</f>
        <v/>
      </c>
      <c r="CR78" s="568" t="str">
        <f>IF(CR$67="","",Underwriting!DB123)</f>
        <v/>
      </c>
      <c r="CS78" s="568" t="str">
        <f>IF(CS$67="","",Underwriting!DC123)</f>
        <v/>
      </c>
      <c r="CT78" s="568" t="str">
        <f>IF(CT$67="","",Underwriting!DD123)</f>
        <v/>
      </c>
      <c r="CU78" s="568" t="str">
        <f>IF(CU$67="","",Underwriting!DE123)</f>
        <v/>
      </c>
      <c r="CV78" s="568" t="str">
        <f>IF(CV$67="","",Underwriting!DF123)</f>
        <v/>
      </c>
      <c r="CW78" s="568" t="str">
        <f>IF(CW$67="","",Underwriting!DG123)</f>
        <v/>
      </c>
      <c r="CX78" s="568" t="str">
        <f>IF(CX$67="","",Underwriting!DH123)</f>
        <v/>
      </c>
      <c r="CY78" s="568" t="str">
        <f>IF(CY$67="","",Underwriting!DI123)</f>
        <v/>
      </c>
      <c r="CZ78" s="568" t="str">
        <f>IF(CZ$67="","",Underwriting!DJ123)</f>
        <v/>
      </c>
      <c r="DA78" s="568" t="str">
        <f>IF(DA$67="","",Underwriting!DK123)</f>
        <v/>
      </c>
      <c r="DB78" s="568" t="str">
        <f>IF(DB$67="","",Underwriting!DL123)</f>
        <v/>
      </c>
      <c r="DC78" s="568" t="str">
        <f>IF(DC$67="","",Underwriting!DM123)</f>
        <v/>
      </c>
      <c r="DD78" s="568" t="str">
        <f>IF(DD$67="","",Underwriting!DN123)</f>
        <v/>
      </c>
      <c r="DE78" s="568" t="str">
        <f>IF(DE$67="","",Underwriting!DO123)</f>
        <v/>
      </c>
      <c r="DF78" s="568" t="str">
        <f>IF(DF$67="","",Underwriting!DP123)</f>
        <v/>
      </c>
      <c r="DG78" s="568" t="str">
        <f>IF(DG$67="","",Underwriting!DQ123)</f>
        <v/>
      </c>
      <c r="DH78" s="568" t="str">
        <f>IF(DH$67="","",Underwriting!DR123)</f>
        <v/>
      </c>
      <c r="DI78" s="568" t="str">
        <f>IF(DI$67="","",Underwriting!DS123)</f>
        <v/>
      </c>
      <c r="DJ78" s="568" t="str">
        <f>IF(DJ$67="","",Underwriting!DT123)</f>
        <v/>
      </c>
      <c r="DK78" s="568" t="str">
        <f>IF(DK$67="","",Underwriting!DU123)</f>
        <v/>
      </c>
      <c r="DL78" s="568" t="str">
        <f>IF(DL$67="","",Underwriting!DV123)</f>
        <v/>
      </c>
      <c r="DM78" s="568" t="str">
        <f>IF(DM$67="","",Underwriting!DW123)</f>
        <v/>
      </c>
      <c r="DN78" s="568" t="str">
        <f>IF(DN$67="","",Underwriting!DX123)</f>
        <v/>
      </c>
      <c r="DO78" s="568" t="str">
        <f>IF(DO$67="","",Underwriting!DY123)</f>
        <v/>
      </c>
      <c r="DP78" s="568" t="str">
        <f>IF(DP$67="","",Underwriting!DZ123)</f>
        <v/>
      </c>
      <c r="DQ78" s="568" t="str">
        <f>IF(DQ$67="","",Underwriting!EA123)</f>
        <v/>
      </c>
      <c r="DR78" s="568" t="str">
        <f>IF(DR$67="","",Underwriting!EB123)</f>
        <v/>
      </c>
      <c r="DS78" s="568" t="str">
        <f>IF(DS$67="","",Underwriting!EC123)</f>
        <v/>
      </c>
      <c r="DT78" s="568" t="str">
        <f>IF(DT$67="","",Underwriting!ED123)</f>
        <v/>
      </c>
      <c r="DU78" s="568" t="str">
        <f>IF(DU$67="","",Underwriting!EE123)</f>
        <v/>
      </c>
      <c r="DV78" s="568" t="str">
        <f>IF(DV$67="","",Underwriting!EF123)</f>
        <v/>
      </c>
      <c r="DW78" s="568" t="str">
        <f>IF(DW$67="","",Underwriting!EG123)</f>
        <v/>
      </c>
      <c r="DX78" s="568" t="str">
        <f>IF(DX$67="","",Underwriting!EH123)</f>
        <v/>
      </c>
      <c r="DY78" s="568" t="str">
        <f>IF(DY$67="","",Underwriting!EI123)</f>
        <v/>
      </c>
      <c r="DZ78" s="568" t="str">
        <f>IF(DZ$67="","",Underwriting!EJ123)</f>
        <v/>
      </c>
      <c r="EA78" s="568" t="str">
        <f>IF(EA$67="","",Underwriting!EK123)</f>
        <v/>
      </c>
      <c r="EB78" s="568" t="str">
        <f>IF(EB$67="","",Underwriting!EL123)</f>
        <v/>
      </c>
      <c r="EC78" s="568" t="str">
        <f>IF(EC$67="","",Underwriting!EM123)</f>
        <v/>
      </c>
      <c r="ED78" s="568" t="str">
        <f>IF(ED$67="","",Underwriting!EN123)</f>
        <v/>
      </c>
      <c r="EE78" s="568" t="str">
        <f>IF(EE$67="","",Underwriting!EO123)</f>
        <v/>
      </c>
      <c r="EF78" s="568" t="str">
        <f>IF(EF$67="","",Underwriting!EP123)</f>
        <v/>
      </c>
      <c r="EG78" s="568" t="str">
        <f>IF(EG$67="","",Underwriting!EQ123)</f>
        <v/>
      </c>
      <c r="EH78" s="568" t="str">
        <f>IF(EH$67="","",Underwriting!ER123)</f>
        <v/>
      </c>
      <c r="EI78" s="568" t="str">
        <f>IF(EI$67="","",Underwriting!ES123)</f>
        <v/>
      </c>
    </row>
    <row r="79" spans="2:139" outlineLevel="1" x14ac:dyDescent="0.25">
      <c r="B79" s="621" t="s">
        <v>128</v>
      </c>
      <c r="C79" s="448"/>
      <c r="D79" s="448"/>
      <c r="E79" s="448"/>
      <c r="F79" s="448"/>
      <c r="G79" s="568">
        <f>IF(G$67="","",Underwriting!Q124)</f>
        <v>0</v>
      </c>
      <c r="H79" s="568">
        <f>IF(H$67="","",Underwriting!R124)</f>
        <v>0</v>
      </c>
      <c r="I79" s="568">
        <f>IF(I$67="","",Underwriting!S124)</f>
        <v>0</v>
      </c>
      <c r="J79" s="568">
        <f>IF(J$67="","",Underwriting!T124)</f>
        <v>0</v>
      </c>
      <c r="K79" s="568">
        <f>IF(K$67="","",Underwriting!U124)</f>
        <v>0</v>
      </c>
      <c r="L79" s="568">
        <f>IF(L$67="","",Underwriting!V124)</f>
        <v>0</v>
      </c>
      <c r="M79" s="568">
        <f>IF(M$67="","",Underwriting!W124)</f>
        <v>0</v>
      </c>
      <c r="N79" s="568">
        <f>IF(N$67="","",Underwriting!X124)</f>
        <v>0</v>
      </c>
      <c r="O79" s="568">
        <f>IF(O$67="","",Underwriting!Y124)</f>
        <v>0</v>
      </c>
      <c r="P79" s="568">
        <f>IF(P$67="","",Underwriting!Z124)</f>
        <v>0</v>
      </c>
      <c r="Q79" s="568">
        <f>IF(Q$67="","",Underwriting!AA124)</f>
        <v>0</v>
      </c>
      <c r="R79" s="568">
        <f>IF(R$67="","",Underwriting!AB124)</f>
        <v>0</v>
      </c>
      <c r="S79" s="568">
        <f>IF(S$67="","",Underwriting!AC124)</f>
        <v>416.66666666666669</v>
      </c>
      <c r="T79" s="568">
        <f>IF(T$67="","",Underwriting!AD124)</f>
        <v>416.66666666666669</v>
      </c>
      <c r="U79" s="568">
        <f>IF(U$67="","",Underwriting!AE124)</f>
        <v>416.66666666666669</v>
      </c>
      <c r="V79" s="568">
        <f>IF(V$67="","",Underwriting!AF124)</f>
        <v>416.66666666666669</v>
      </c>
      <c r="W79" s="568">
        <f>IF(W$67="","",Underwriting!AG124)</f>
        <v>416.66666666666669</v>
      </c>
      <c r="X79" s="568">
        <f>IF(X$67="","",Underwriting!AH124)</f>
        <v>416.66666666666669</v>
      </c>
      <c r="Y79" s="568">
        <f>IF(Y$67="","",Underwriting!AI124)</f>
        <v>416.66666666666669</v>
      </c>
      <c r="Z79" s="568">
        <f>IF(Z$67="","",Underwriting!AJ124)</f>
        <v>416.66666666666669</v>
      </c>
      <c r="AA79" s="568">
        <f>IF(AA$67="","",Underwriting!AK124)</f>
        <v>416.66666666666669</v>
      </c>
      <c r="AB79" s="568">
        <f>IF(AB$67="","",Underwriting!AL124)</f>
        <v>416.66666666666669</v>
      </c>
      <c r="AC79" s="568">
        <f>IF(AC$67="","",Underwriting!AM124)</f>
        <v>416.66666666666669</v>
      </c>
      <c r="AD79" s="568">
        <f>IF(AD$67="","",Underwriting!AN124)</f>
        <v>416.66666666666669</v>
      </c>
      <c r="AE79" s="568">
        <f>IF(AE$67="","",Underwriting!AO124)</f>
        <v>425</v>
      </c>
      <c r="AF79" s="568">
        <f>IF(AF$67="","",Underwriting!AP124)</f>
        <v>425</v>
      </c>
      <c r="AG79" s="568">
        <f>IF(AG$67="","",Underwriting!AQ124)</f>
        <v>425</v>
      </c>
      <c r="AH79" s="568">
        <f>IF(AH$67="","",Underwriting!AR124)</f>
        <v>425</v>
      </c>
      <c r="AI79" s="568">
        <f>IF(AI$67="","",Underwriting!AS124)</f>
        <v>425</v>
      </c>
      <c r="AJ79" s="568">
        <f>IF(AJ$67="","",Underwriting!AT124)</f>
        <v>425</v>
      </c>
      <c r="AK79" s="568">
        <f>IF(AK$67="","",Underwriting!AU124)</f>
        <v>425</v>
      </c>
      <c r="AL79" s="568">
        <f>IF(AL$67="","",Underwriting!AV124)</f>
        <v>425</v>
      </c>
      <c r="AM79" s="568">
        <f>IF(AM$67="","",Underwriting!AW124)</f>
        <v>425</v>
      </c>
      <c r="AN79" s="568">
        <f>IF(AN$67="","",Underwriting!AX124)</f>
        <v>425</v>
      </c>
      <c r="AO79" s="568">
        <f>IF(AO$67="","",Underwriting!AY124)</f>
        <v>425</v>
      </c>
      <c r="AP79" s="568">
        <f>IF(AP$67="","",Underwriting!AZ124)</f>
        <v>425</v>
      </c>
      <c r="AQ79" s="568">
        <f>IF(AQ$67="","",Underwriting!BA124)</f>
        <v>433.5</v>
      </c>
      <c r="AR79" s="568" t="str">
        <f>IF(AR$67="","",Underwriting!BB124)</f>
        <v/>
      </c>
      <c r="AS79" s="568" t="str">
        <f>IF(AS$67="","",Underwriting!BC124)</f>
        <v/>
      </c>
      <c r="AT79" s="568" t="str">
        <f>IF(AT$67="","",Underwriting!BD124)</f>
        <v/>
      </c>
      <c r="AU79" s="568" t="str">
        <f>IF(AU$67="","",Underwriting!BE124)</f>
        <v/>
      </c>
      <c r="AV79" s="568" t="str">
        <f>IF(AV$67="","",Underwriting!BF124)</f>
        <v/>
      </c>
      <c r="AW79" s="568" t="str">
        <f>IF(AW$67="","",Underwriting!BG124)</f>
        <v/>
      </c>
      <c r="AX79" s="568" t="str">
        <f>IF(AX$67="","",Underwriting!BH124)</f>
        <v/>
      </c>
      <c r="AY79" s="568" t="str">
        <f>IF(AY$67="","",Underwriting!BI124)</f>
        <v/>
      </c>
      <c r="AZ79" s="568" t="str">
        <f>IF(AZ$67="","",Underwriting!BJ124)</f>
        <v/>
      </c>
      <c r="BA79" s="568" t="str">
        <f>IF(BA$67="","",Underwriting!BK124)</f>
        <v/>
      </c>
      <c r="BB79" s="568" t="str">
        <f>IF(BB$67="","",Underwriting!BL124)</f>
        <v/>
      </c>
      <c r="BC79" s="568" t="str">
        <f>IF(BC$67="","",Underwriting!BM124)</f>
        <v/>
      </c>
      <c r="BD79" s="568" t="str">
        <f>IF(BD$67="","",Underwriting!BN124)</f>
        <v/>
      </c>
      <c r="BE79" s="568" t="str">
        <f>IF(BE$67="","",Underwriting!BO124)</f>
        <v/>
      </c>
      <c r="BF79" s="568" t="str">
        <f>IF(BF$67="","",Underwriting!BP124)</f>
        <v/>
      </c>
      <c r="BG79" s="568" t="str">
        <f>IF(BG$67="","",Underwriting!BQ124)</f>
        <v/>
      </c>
      <c r="BH79" s="568" t="str">
        <f>IF(BH$67="","",Underwriting!BR124)</f>
        <v/>
      </c>
      <c r="BI79" s="568" t="str">
        <f>IF(BI$67="","",Underwriting!BS124)</f>
        <v/>
      </c>
      <c r="BJ79" s="568" t="str">
        <f>IF(BJ$67="","",Underwriting!BT124)</f>
        <v/>
      </c>
      <c r="BK79" s="568" t="str">
        <f>IF(BK$67="","",Underwriting!BU124)</f>
        <v/>
      </c>
      <c r="BL79" s="568" t="str">
        <f>IF(BL$67="","",Underwriting!BV124)</f>
        <v/>
      </c>
      <c r="BM79" s="568" t="str">
        <f>IF(BM$67="","",Underwriting!BW124)</f>
        <v/>
      </c>
      <c r="BN79" s="568" t="str">
        <f>IF(BN$67="","",Underwriting!BX124)</f>
        <v/>
      </c>
      <c r="BO79" s="568" t="str">
        <f>IF(BO$67="","",Underwriting!BY124)</f>
        <v/>
      </c>
      <c r="BP79" s="568" t="str">
        <f>IF(BP$67="","",Underwriting!BZ124)</f>
        <v/>
      </c>
      <c r="BQ79" s="568" t="str">
        <f>IF(BQ$67="","",Underwriting!CA124)</f>
        <v/>
      </c>
      <c r="BR79" s="568" t="str">
        <f>IF(BR$67="","",Underwriting!CB124)</f>
        <v/>
      </c>
      <c r="BS79" s="568" t="str">
        <f>IF(BS$67="","",Underwriting!CC124)</f>
        <v/>
      </c>
      <c r="BT79" s="568" t="str">
        <f>IF(BT$67="","",Underwriting!CD124)</f>
        <v/>
      </c>
      <c r="BU79" s="568" t="str">
        <f>IF(BU$67="","",Underwriting!CE124)</f>
        <v/>
      </c>
      <c r="BV79" s="568" t="str">
        <f>IF(BV$67="","",Underwriting!CF124)</f>
        <v/>
      </c>
      <c r="BW79" s="568" t="str">
        <f>IF(BW$67="","",Underwriting!CG124)</f>
        <v/>
      </c>
      <c r="BX79" s="568" t="str">
        <f>IF(BX$67="","",Underwriting!CH124)</f>
        <v/>
      </c>
      <c r="BY79" s="568" t="str">
        <f>IF(BY$67="","",Underwriting!CI124)</f>
        <v/>
      </c>
      <c r="BZ79" s="568" t="str">
        <f>IF(BZ$67="","",Underwriting!CJ124)</f>
        <v/>
      </c>
      <c r="CA79" s="568" t="str">
        <f>IF(CA$67="","",Underwriting!CK124)</f>
        <v/>
      </c>
      <c r="CB79" s="568" t="str">
        <f>IF(CB$67="","",Underwriting!CL124)</f>
        <v/>
      </c>
      <c r="CC79" s="568" t="str">
        <f>IF(CC$67="","",Underwriting!CM124)</f>
        <v/>
      </c>
      <c r="CD79" s="568" t="str">
        <f>IF(CD$67="","",Underwriting!CN124)</f>
        <v/>
      </c>
      <c r="CE79" s="568" t="str">
        <f>IF(CE$67="","",Underwriting!CO124)</f>
        <v/>
      </c>
      <c r="CF79" s="568" t="str">
        <f>IF(CF$67="","",Underwriting!CP124)</f>
        <v/>
      </c>
      <c r="CG79" s="568" t="str">
        <f>IF(CG$67="","",Underwriting!CQ124)</f>
        <v/>
      </c>
      <c r="CH79" s="568" t="str">
        <f>IF(CH$67="","",Underwriting!CR124)</f>
        <v/>
      </c>
      <c r="CI79" s="568" t="str">
        <f>IF(CI$67="","",Underwriting!CS124)</f>
        <v/>
      </c>
      <c r="CJ79" s="568" t="str">
        <f>IF(CJ$67="","",Underwriting!CT124)</f>
        <v/>
      </c>
      <c r="CK79" s="568" t="str">
        <f>IF(CK$67="","",Underwriting!CU124)</f>
        <v/>
      </c>
      <c r="CL79" s="568" t="str">
        <f>IF(CL$67="","",Underwriting!CV124)</f>
        <v/>
      </c>
      <c r="CM79" s="568" t="str">
        <f>IF(CM$67="","",Underwriting!CW124)</f>
        <v/>
      </c>
      <c r="CN79" s="568" t="str">
        <f>IF(CN$67="","",Underwriting!CX124)</f>
        <v/>
      </c>
      <c r="CO79" s="568" t="str">
        <f>IF(CO$67="","",Underwriting!CY124)</f>
        <v/>
      </c>
      <c r="CP79" s="568" t="str">
        <f>IF(CP$67="","",Underwriting!CZ124)</f>
        <v/>
      </c>
      <c r="CQ79" s="568" t="str">
        <f>IF(CQ$67="","",Underwriting!DA124)</f>
        <v/>
      </c>
      <c r="CR79" s="568" t="str">
        <f>IF(CR$67="","",Underwriting!DB124)</f>
        <v/>
      </c>
      <c r="CS79" s="568" t="str">
        <f>IF(CS$67="","",Underwriting!DC124)</f>
        <v/>
      </c>
      <c r="CT79" s="568" t="str">
        <f>IF(CT$67="","",Underwriting!DD124)</f>
        <v/>
      </c>
      <c r="CU79" s="568" t="str">
        <f>IF(CU$67="","",Underwriting!DE124)</f>
        <v/>
      </c>
      <c r="CV79" s="568" t="str">
        <f>IF(CV$67="","",Underwriting!DF124)</f>
        <v/>
      </c>
      <c r="CW79" s="568" t="str">
        <f>IF(CW$67="","",Underwriting!DG124)</f>
        <v/>
      </c>
      <c r="CX79" s="568" t="str">
        <f>IF(CX$67="","",Underwriting!DH124)</f>
        <v/>
      </c>
      <c r="CY79" s="568" t="str">
        <f>IF(CY$67="","",Underwriting!DI124)</f>
        <v/>
      </c>
      <c r="CZ79" s="568" t="str">
        <f>IF(CZ$67="","",Underwriting!DJ124)</f>
        <v/>
      </c>
      <c r="DA79" s="568" t="str">
        <f>IF(DA$67="","",Underwriting!DK124)</f>
        <v/>
      </c>
      <c r="DB79" s="568" t="str">
        <f>IF(DB$67="","",Underwriting!DL124)</f>
        <v/>
      </c>
      <c r="DC79" s="568" t="str">
        <f>IF(DC$67="","",Underwriting!DM124)</f>
        <v/>
      </c>
      <c r="DD79" s="568" t="str">
        <f>IF(DD$67="","",Underwriting!DN124)</f>
        <v/>
      </c>
      <c r="DE79" s="568" t="str">
        <f>IF(DE$67="","",Underwriting!DO124)</f>
        <v/>
      </c>
      <c r="DF79" s="568" t="str">
        <f>IF(DF$67="","",Underwriting!DP124)</f>
        <v/>
      </c>
      <c r="DG79" s="568" t="str">
        <f>IF(DG$67="","",Underwriting!DQ124)</f>
        <v/>
      </c>
      <c r="DH79" s="568" t="str">
        <f>IF(DH$67="","",Underwriting!DR124)</f>
        <v/>
      </c>
      <c r="DI79" s="568" t="str">
        <f>IF(DI$67="","",Underwriting!DS124)</f>
        <v/>
      </c>
      <c r="DJ79" s="568" t="str">
        <f>IF(DJ$67="","",Underwriting!DT124)</f>
        <v/>
      </c>
      <c r="DK79" s="568" t="str">
        <f>IF(DK$67="","",Underwriting!DU124)</f>
        <v/>
      </c>
      <c r="DL79" s="568" t="str">
        <f>IF(DL$67="","",Underwriting!DV124)</f>
        <v/>
      </c>
      <c r="DM79" s="568" t="str">
        <f>IF(DM$67="","",Underwriting!DW124)</f>
        <v/>
      </c>
      <c r="DN79" s="568" t="str">
        <f>IF(DN$67="","",Underwriting!DX124)</f>
        <v/>
      </c>
      <c r="DO79" s="568" t="str">
        <f>IF(DO$67="","",Underwriting!DY124)</f>
        <v/>
      </c>
      <c r="DP79" s="568" t="str">
        <f>IF(DP$67="","",Underwriting!DZ124)</f>
        <v/>
      </c>
      <c r="DQ79" s="568" t="str">
        <f>IF(DQ$67="","",Underwriting!EA124)</f>
        <v/>
      </c>
      <c r="DR79" s="568" t="str">
        <f>IF(DR$67="","",Underwriting!EB124)</f>
        <v/>
      </c>
      <c r="DS79" s="568" t="str">
        <f>IF(DS$67="","",Underwriting!EC124)</f>
        <v/>
      </c>
      <c r="DT79" s="568" t="str">
        <f>IF(DT$67="","",Underwriting!ED124)</f>
        <v/>
      </c>
      <c r="DU79" s="568" t="str">
        <f>IF(DU$67="","",Underwriting!EE124)</f>
        <v/>
      </c>
      <c r="DV79" s="568" t="str">
        <f>IF(DV$67="","",Underwriting!EF124)</f>
        <v/>
      </c>
      <c r="DW79" s="568" t="str">
        <f>IF(DW$67="","",Underwriting!EG124)</f>
        <v/>
      </c>
      <c r="DX79" s="568" t="str">
        <f>IF(DX$67="","",Underwriting!EH124)</f>
        <v/>
      </c>
      <c r="DY79" s="568" t="str">
        <f>IF(DY$67="","",Underwriting!EI124)</f>
        <v/>
      </c>
      <c r="DZ79" s="568" t="str">
        <f>IF(DZ$67="","",Underwriting!EJ124)</f>
        <v/>
      </c>
      <c r="EA79" s="568" t="str">
        <f>IF(EA$67="","",Underwriting!EK124)</f>
        <v/>
      </c>
      <c r="EB79" s="568" t="str">
        <f>IF(EB$67="","",Underwriting!EL124)</f>
        <v/>
      </c>
      <c r="EC79" s="568" t="str">
        <f>IF(EC$67="","",Underwriting!EM124)</f>
        <v/>
      </c>
      <c r="ED79" s="568" t="str">
        <f>IF(ED$67="","",Underwriting!EN124)</f>
        <v/>
      </c>
      <c r="EE79" s="568" t="str">
        <f>IF(EE$67="","",Underwriting!EO124)</f>
        <v/>
      </c>
      <c r="EF79" s="568" t="str">
        <f>IF(EF$67="","",Underwriting!EP124)</f>
        <v/>
      </c>
      <c r="EG79" s="568" t="str">
        <f>IF(EG$67="","",Underwriting!EQ124)</f>
        <v/>
      </c>
      <c r="EH79" s="568" t="str">
        <f>IF(EH$67="","",Underwriting!ER124)</f>
        <v/>
      </c>
      <c r="EI79" s="568" t="str">
        <f>IF(EI$67="","",Underwriting!ES124)</f>
        <v/>
      </c>
    </row>
    <row r="80" spans="2:139" outlineLevel="1" x14ac:dyDescent="0.25">
      <c r="B80" s="621" t="s">
        <v>129</v>
      </c>
      <c r="C80" s="448"/>
      <c r="D80" s="448"/>
      <c r="E80" s="448"/>
      <c r="F80" s="448"/>
      <c r="G80" s="568">
        <f>IF(G$67="","",Underwriting!Q125)</f>
        <v>0</v>
      </c>
      <c r="H80" s="568">
        <f>IF(H$67="","",Underwriting!R125)</f>
        <v>0</v>
      </c>
      <c r="I80" s="568">
        <f>IF(I$67="","",Underwriting!S125)</f>
        <v>0</v>
      </c>
      <c r="J80" s="568">
        <f>IF(J$67="","",Underwriting!T125)</f>
        <v>0</v>
      </c>
      <c r="K80" s="568">
        <f>IF(K$67="","",Underwriting!U125)</f>
        <v>0</v>
      </c>
      <c r="L80" s="568">
        <f>IF(L$67="","",Underwriting!V125)</f>
        <v>0</v>
      </c>
      <c r="M80" s="568">
        <f>IF(M$67="","",Underwriting!W125)</f>
        <v>0</v>
      </c>
      <c r="N80" s="568">
        <f>IF(N$67="","",Underwriting!X125)</f>
        <v>0</v>
      </c>
      <c r="O80" s="568">
        <f>IF(O$67="","",Underwriting!Y125)</f>
        <v>0</v>
      </c>
      <c r="P80" s="568">
        <f>IF(P$67="","",Underwriting!Z125)</f>
        <v>0</v>
      </c>
      <c r="Q80" s="568">
        <f>IF(Q$67="","",Underwriting!AA125)</f>
        <v>0</v>
      </c>
      <c r="R80" s="568">
        <f>IF(R$67="","",Underwriting!AB125)</f>
        <v>0</v>
      </c>
      <c r="S80" s="568">
        <f>IF(S$67="","",Underwriting!AC125)</f>
        <v>260.41666666666669</v>
      </c>
      <c r="T80" s="568">
        <f>IF(T$67="","",Underwriting!AD125)</f>
        <v>338.54166666666669</v>
      </c>
      <c r="U80" s="568">
        <f>IF(U$67="","",Underwriting!AE125)</f>
        <v>416.66666666666669</v>
      </c>
      <c r="V80" s="568">
        <f>IF(V$67="","",Underwriting!AF125)</f>
        <v>416.66666666666669</v>
      </c>
      <c r="W80" s="568">
        <f>IF(W$67="","",Underwriting!AG125)</f>
        <v>416.66666666666669</v>
      </c>
      <c r="X80" s="568">
        <f>IF(X$67="","",Underwriting!AH125)</f>
        <v>416.66666666666669</v>
      </c>
      <c r="Y80" s="568">
        <f>IF(Y$67="","",Underwriting!AI125)</f>
        <v>416.66666666666669</v>
      </c>
      <c r="Z80" s="568">
        <f>IF(Z$67="","",Underwriting!AJ125)</f>
        <v>416.66666666666669</v>
      </c>
      <c r="AA80" s="568">
        <f>IF(AA$67="","",Underwriting!AK125)</f>
        <v>416.66666666666669</v>
      </c>
      <c r="AB80" s="568">
        <f>IF(AB$67="","",Underwriting!AL125)</f>
        <v>416.66666666666669</v>
      </c>
      <c r="AC80" s="568">
        <f>IF(AC$67="","",Underwriting!AM125)</f>
        <v>416.66666666666669</v>
      </c>
      <c r="AD80" s="568">
        <f>IF(AD$67="","",Underwriting!AN125)</f>
        <v>416.66666666666669</v>
      </c>
      <c r="AE80" s="568">
        <f>IF(AE$67="","",Underwriting!AO125)</f>
        <v>425</v>
      </c>
      <c r="AF80" s="568">
        <f>IF(AF$67="","",Underwriting!AP125)</f>
        <v>425</v>
      </c>
      <c r="AG80" s="568">
        <f>IF(AG$67="","",Underwriting!AQ125)</f>
        <v>425</v>
      </c>
      <c r="AH80" s="568">
        <f>IF(AH$67="","",Underwriting!AR125)</f>
        <v>425</v>
      </c>
      <c r="AI80" s="568">
        <f>IF(AI$67="","",Underwriting!AS125)</f>
        <v>425</v>
      </c>
      <c r="AJ80" s="568">
        <f>IF(AJ$67="","",Underwriting!AT125)</f>
        <v>425</v>
      </c>
      <c r="AK80" s="568">
        <f>IF(AK$67="","",Underwriting!AU125)</f>
        <v>425</v>
      </c>
      <c r="AL80" s="568">
        <f>IF(AL$67="","",Underwriting!AV125)</f>
        <v>425</v>
      </c>
      <c r="AM80" s="568">
        <f>IF(AM$67="","",Underwriting!AW125)</f>
        <v>425</v>
      </c>
      <c r="AN80" s="568">
        <f>IF(AN$67="","",Underwriting!AX125)</f>
        <v>425</v>
      </c>
      <c r="AO80" s="568">
        <f>IF(AO$67="","",Underwriting!AY125)</f>
        <v>425</v>
      </c>
      <c r="AP80" s="568">
        <f>IF(AP$67="","",Underwriting!AZ125)</f>
        <v>425</v>
      </c>
      <c r="AQ80" s="568">
        <f>IF(AQ$67="","",Underwriting!BA125)</f>
        <v>433.5</v>
      </c>
      <c r="AR80" s="568" t="str">
        <f>IF(AR$67="","",Underwriting!BB125)</f>
        <v/>
      </c>
      <c r="AS80" s="568" t="str">
        <f>IF(AS$67="","",Underwriting!BC125)</f>
        <v/>
      </c>
      <c r="AT80" s="568" t="str">
        <f>IF(AT$67="","",Underwriting!BD125)</f>
        <v/>
      </c>
      <c r="AU80" s="568" t="str">
        <f>IF(AU$67="","",Underwriting!BE125)</f>
        <v/>
      </c>
      <c r="AV80" s="568" t="str">
        <f>IF(AV$67="","",Underwriting!BF125)</f>
        <v/>
      </c>
      <c r="AW80" s="568" t="str">
        <f>IF(AW$67="","",Underwriting!BG125)</f>
        <v/>
      </c>
      <c r="AX80" s="568" t="str">
        <f>IF(AX$67="","",Underwriting!BH125)</f>
        <v/>
      </c>
      <c r="AY80" s="568" t="str">
        <f>IF(AY$67="","",Underwriting!BI125)</f>
        <v/>
      </c>
      <c r="AZ80" s="568" t="str">
        <f>IF(AZ$67="","",Underwriting!BJ125)</f>
        <v/>
      </c>
      <c r="BA80" s="568" t="str">
        <f>IF(BA$67="","",Underwriting!BK125)</f>
        <v/>
      </c>
      <c r="BB80" s="568" t="str">
        <f>IF(BB$67="","",Underwriting!BL125)</f>
        <v/>
      </c>
      <c r="BC80" s="568" t="str">
        <f>IF(BC$67="","",Underwriting!BM125)</f>
        <v/>
      </c>
      <c r="BD80" s="568" t="str">
        <f>IF(BD$67="","",Underwriting!BN125)</f>
        <v/>
      </c>
      <c r="BE80" s="568" t="str">
        <f>IF(BE$67="","",Underwriting!BO125)</f>
        <v/>
      </c>
      <c r="BF80" s="568" t="str">
        <f>IF(BF$67="","",Underwriting!BP125)</f>
        <v/>
      </c>
      <c r="BG80" s="568" t="str">
        <f>IF(BG$67="","",Underwriting!BQ125)</f>
        <v/>
      </c>
      <c r="BH80" s="568" t="str">
        <f>IF(BH$67="","",Underwriting!BR125)</f>
        <v/>
      </c>
      <c r="BI80" s="568" t="str">
        <f>IF(BI$67="","",Underwriting!BS125)</f>
        <v/>
      </c>
      <c r="BJ80" s="568" t="str">
        <f>IF(BJ$67="","",Underwriting!BT125)</f>
        <v/>
      </c>
      <c r="BK80" s="568" t="str">
        <f>IF(BK$67="","",Underwriting!BU125)</f>
        <v/>
      </c>
      <c r="BL80" s="568" t="str">
        <f>IF(BL$67="","",Underwriting!BV125)</f>
        <v/>
      </c>
      <c r="BM80" s="568" t="str">
        <f>IF(BM$67="","",Underwriting!BW125)</f>
        <v/>
      </c>
      <c r="BN80" s="568" t="str">
        <f>IF(BN$67="","",Underwriting!BX125)</f>
        <v/>
      </c>
      <c r="BO80" s="568" t="str">
        <f>IF(BO$67="","",Underwriting!BY125)</f>
        <v/>
      </c>
      <c r="BP80" s="568" t="str">
        <f>IF(BP$67="","",Underwriting!BZ125)</f>
        <v/>
      </c>
      <c r="BQ80" s="568" t="str">
        <f>IF(BQ$67="","",Underwriting!CA125)</f>
        <v/>
      </c>
      <c r="BR80" s="568" t="str">
        <f>IF(BR$67="","",Underwriting!CB125)</f>
        <v/>
      </c>
      <c r="BS80" s="568" t="str">
        <f>IF(BS$67="","",Underwriting!CC125)</f>
        <v/>
      </c>
      <c r="BT80" s="568" t="str">
        <f>IF(BT$67="","",Underwriting!CD125)</f>
        <v/>
      </c>
      <c r="BU80" s="568" t="str">
        <f>IF(BU$67="","",Underwriting!CE125)</f>
        <v/>
      </c>
      <c r="BV80" s="568" t="str">
        <f>IF(BV$67="","",Underwriting!CF125)</f>
        <v/>
      </c>
      <c r="BW80" s="568" t="str">
        <f>IF(BW$67="","",Underwriting!CG125)</f>
        <v/>
      </c>
      <c r="BX80" s="568" t="str">
        <f>IF(BX$67="","",Underwriting!CH125)</f>
        <v/>
      </c>
      <c r="BY80" s="568" t="str">
        <f>IF(BY$67="","",Underwriting!CI125)</f>
        <v/>
      </c>
      <c r="BZ80" s="568" t="str">
        <f>IF(BZ$67="","",Underwriting!CJ125)</f>
        <v/>
      </c>
      <c r="CA80" s="568" t="str">
        <f>IF(CA$67="","",Underwriting!CK125)</f>
        <v/>
      </c>
      <c r="CB80" s="568" t="str">
        <f>IF(CB$67="","",Underwriting!CL125)</f>
        <v/>
      </c>
      <c r="CC80" s="568" t="str">
        <f>IF(CC$67="","",Underwriting!CM125)</f>
        <v/>
      </c>
      <c r="CD80" s="568" t="str">
        <f>IF(CD$67="","",Underwriting!CN125)</f>
        <v/>
      </c>
      <c r="CE80" s="568" t="str">
        <f>IF(CE$67="","",Underwriting!CO125)</f>
        <v/>
      </c>
      <c r="CF80" s="568" t="str">
        <f>IF(CF$67="","",Underwriting!CP125)</f>
        <v/>
      </c>
      <c r="CG80" s="568" t="str">
        <f>IF(CG$67="","",Underwriting!CQ125)</f>
        <v/>
      </c>
      <c r="CH80" s="568" t="str">
        <f>IF(CH$67="","",Underwriting!CR125)</f>
        <v/>
      </c>
      <c r="CI80" s="568" t="str">
        <f>IF(CI$67="","",Underwriting!CS125)</f>
        <v/>
      </c>
      <c r="CJ80" s="568" t="str">
        <f>IF(CJ$67="","",Underwriting!CT125)</f>
        <v/>
      </c>
      <c r="CK80" s="568" t="str">
        <f>IF(CK$67="","",Underwriting!CU125)</f>
        <v/>
      </c>
      <c r="CL80" s="568" t="str">
        <f>IF(CL$67="","",Underwriting!CV125)</f>
        <v/>
      </c>
      <c r="CM80" s="568" t="str">
        <f>IF(CM$67="","",Underwriting!CW125)</f>
        <v/>
      </c>
      <c r="CN80" s="568" t="str">
        <f>IF(CN$67="","",Underwriting!CX125)</f>
        <v/>
      </c>
      <c r="CO80" s="568" t="str">
        <f>IF(CO$67="","",Underwriting!CY125)</f>
        <v/>
      </c>
      <c r="CP80" s="568" t="str">
        <f>IF(CP$67="","",Underwriting!CZ125)</f>
        <v/>
      </c>
      <c r="CQ80" s="568" t="str">
        <f>IF(CQ$67="","",Underwriting!DA125)</f>
        <v/>
      </c>
      <c r="CR80" s="568" t="str">
        <f>IF(CR$67="","",Underwriting!DB125)</f>
        <v/>
      </c>
      <c r="CS80" s="568" t="str">
        <f>IF(CS$67="","",Underwriting!DC125)</f>
        <v/>
      </c>
      <c r="CT80" s="568" t="str">
        <f>IF(CT$67="","",Underwriting!DD125)</f>
        <v/>
      </c>
      <c r="CU80" s="568" t="str">
        <f>IF(CU$67="","",Underwriting!DE125)</f>
        <v/>
      </c>
      <c r="CV80" s="568" t="str">
        <f>IF(CV$67="","",Underwriting!DF125)</f>
        <v/>
      </c>
      <c r="CW80" s="568" t="str">
        <f>IF(CW$67="","",Underwriting!DG125)</f>
        <v/>
      </c>
      <c r="CX80" s="568" t="str">
        <f>IF(CX$67="","",Underwriting!DH125)</f>
        <v/>
      </c>
      <c r="CY80" s="568" t="str">
        <f>IF(CY$67="","",Underwriting!DI125)</f>
        <v/>
      </c>
      <c r="CZ80" s="568" t="str">
        <f>IF(CZ$67="","",Underwriting!DJ125)</f>
        <v/>
      </c>
      <c r="DA80" s="568" t="str">
        <f>IF(DA$67="","",Underwriting!DK125)</f>
        <v/>
      </c>
      <c r="DB80" s="568" t="str">
        <f>IF(DB$67="","",Underwriting!DL125)</f>
        <v/>
      </c>
      <c r="DC80" s="568" t="str">
        <f>IF(DC$67="","",Underwriting!DM125)</f>
        <v/>
      </c>
      <c r="DD80" s="568" t="str">
        <f>IF(DD$67="","",Underwriting!DN125)</f>
        <v/>
      </c>
      <c r="DE80" s="568" t="str">
        <f>IF(DE$67="","",Underwriting!DO125)</f>
        <v/>
      </c>
      <c r="DF80" s="568" t="str">
        <f>IF(DF$67="","",Underwriting!DP125)</f>
        <v/>
      </c>
      <c r="DG80" s="568" t="str">
        <f>IF(DG$67="","",Underwriting!DQ125)</f>
        <v/>
      </c>
      <c r="DH80" s="568" t="str">
        <f>IF(DH$67="","",Underwriting!DR125)</f>
        <v/>
      </c>
      <c r="DI80" s="568" t="str">
        <f>IF(DI$67="","",Underwriting!DS125)</f>
        <v/>
      </c>
      <c r="DJ80" s="568" t="str">
        <f>IF(DJ$67="","",Underwriting!DT125)</f>
        <v/>
      </c>
      <c r="DK80" s="568" t="str">
        <f>IF(DK$67="","",Underwriting!DU125)</f>
        <v/>
      </c>
      <c r="DL80" s="568" t="str">
        <f>IF(DL$67="","",Underwriting!DV125)</f>
        <v/>
      </c>
      <c r="DM80" s="568" t="str">
        <f>IF(DM$67="","",Underwriting!DW125)</f>
        <v/>
      </c>
      <c r="DN80" s="568" t="str">
        <f>IF(DN$67="","",Underwriting!DX125)</f>
        <v/>
      </c>
      <c r="DO80" s="568" t="str">
        <f>IF(DO$67="","",Underwriting!DY125)</f>
        <v/>
      </c>
      <c r="DP80" s="568" t="str">
        <f>IF(DP$67="","",Underwriting!DZ125)</f>
        <v/>
      </c>
      <c r="DQ80" s="568" t="str">
        <f>IF(DQ$67="","",Underwriting!EA125)</f>
        <v/>
      </c>
      <c r="DR80" s="568" t="str">
        <f>IF(DR$67="","",Underwriting!EB125)</f>
        <v/>
      </c>
      <c r="DS80" s="568" t="str">
        <f>IF(DS$67="","",Underwriting!EC125)</f>
        <v/>
      </c>
      <c r="DT80" s="568" t="str">
        <f>IF(DT$67="","",Underwriting!ED125)</f>
        <v/>
      </c>
      <c r="DU80" s="568" t="str">
        <f>IF(DU$67="","",Underwriting!EE125)</f>
        <v/>
      </c>
      <c r="DV80" s="568" t="str">
        <f>IF(DV$67="","",Underwriting!EF125)</f>
        <v/>
      </c>
      <c r="DW80" s="568" t="str">
        <f>IF(DW$67="","",Underwriting!EG125)</f>
        <v/>
      </c>
      <c r="DX80" s="568" t="str">
        <f>IF(DX$67="","",Underwriting!EH125)</f>
        <v/>
      </c>
      <c r="DY80" s="568" t="str">
        <f>IF(DY$67="","",Underwriting!EI125)</f>
        <v/>
      </c>
      <c r="DZ80" s="568" t="str">
        <f>IF(DZ$67="","",Underwriting!EJ125)</f>
        <v/>
      </c>
      <c r="EA80" s="568" t="str">
        <f>IF(EA$67="","",Underwriting!EK125)</f>
        <v/>
      </c>
      <c r="EB80" s="568" t="str">
        <f>IF(EB$67="","",Underwriting!EL125)</f>
        <v/>
      </c>
      <c r="EC80" s="568" t="str">
        <f>IF(EC$67="","",Underwriting!EM125)</f>
        <v/>
      </c>
      <c r="ED80" s="568" t="str">
        <f>IF(ED$67="","",Underwriting!EN125)</f>
        <v/>
      </c>
      <c r="EE80" s="568" t="str">
        <f>IF(EE$67="","",Underwriting!EO125)</f>
        <v/>
      </c>
      <c r="EF80" s="568" t="str">
        <f>IF(EF$67="","",Underwriting!EP125)</f>
        <v/>
      </c>
      <c r="EG80" s="568" t="str">
        <f>IF(EG$67="","",Underwriting!EQ125)</f>
        <v/>
      </c>
      <c r="EH80" s="568" t="str">
        <f>IF(EH$67="","",Underwriting!ER125)</f>
        <v/>
      </c>
      <c r="EI80" s="568" t="str">
        <f>IF(EI$67="","",Underwriting!ES125)</f>
        <v/>
      </c>
    </row>
    <row r="81" spans="2:139" outlineLevel="1" x14ac:dyDescent="0.25">
      <c r="B81" s="621" t="s">
        <v>130</v>
      </c>
      <c r="C81" s="448"/>
      <c r="D81" s="448"/>
      <c r="E81" s="448"/>
      <c r="F81" s="448"/>
      <c r="G81" s="568">
        <f>IF(G$67="","",Underwriting!Q126)</f>
        <v>0</v>
      </c>
      <c r="H81" s="568">
        <f>IF(H$67="","",Underwriting!R126)</f>
        <v>0</v>
      </c>
      <c r="I81" s="568">
        <f>IF(I$67="","",Underwriting!S126)</f>
        <v>0</v>
      </c>
      <c r="J81" s="568">
        <f>IF(J$67="","",Underwriting!T126)</f>
        <v>0</v>
      </c>
      <c r="K81" s="568">
        <f>IF(K$67="","",Underwriting!U126)</f>
        <v>0</v>
      </c>
      <c r="L81" s="568">
        <f>IF(L$67="","",Underwriting!V126)</f>
        <v>0</v>
      </c>
      <c r="M81" s="568">
        <f>IF(M$67="","",Underwriting!W126)</f>
        <v>0</v>
      </c>
      <c r="N81" s="568">
        <f>IF(N$67="","",Underwriting!X126)</f>
        <v>0</v>
      </c>
      <c r="O81" s="568">
        <f>IF(O$67="","",Underwriting!Y126)</f>
        <v>0</v>
      </c>
      <c r="P81" s="568">
        <f>IF(P$67="","",Underwriting!Z126)</f>
        <v>0</v>
      </c>
      <c r="Q81" s="568">
        <f>IF(Q$67="","",Underwriting!AA126)</f>
        <v>0</v>
      </c>
      <c r="R81" s="568">
        <f>IF(R$67="","",Underwriting!AB126)</f>
        <v>0</v>
      </c>
      <c r="S81" s="568">
        <f>IF(S$67="","",Underwriting!AC126)</f>
        <v>104.16666666666666</v>
      </c>
      <c r="T81" s="568">
        <f>IF(T$67="","",Underwriting!AD126)</f>
        <v>135.41666666666666</v>
      </c>
      <c r="U81" s="568">
        <f>IF(U$67="","",Underwriting!AE126)</f>
        <v>166.66666666666666</v>
      </c>
      <c r="V81" s="568">
        <f>IF(V$67="","",Underwriting!AF126)</f>
        <v>166.66666666666666</v>
      </c>
      <c r="W81" s="568">
        <f>IF(W$67="","",Underwriting!AG126)</f>
        <v>166.66666666666666</v>
      </c>
      <c r="X81" s="568">
        <f>IF(X$67="","",Underwriting!AH126)</f>
        <v>166.66666666666666</v>
      </c>
      <c r="Y81" s="568">
        <f>IF(Y$67="","",Underwriting!AI126)</f>
        <v>166.66666666666666</v>
      </c>
      <c r="Z81" s="568">
        <f>IF(Z$67="","",Underwriting!AJ126)</f>
        <v>166.66666666666666</v>
      </c>
      <c r="AA81" s="568">
        <f>IF(AA$67="","",Underwriting!AK126)</f>
        <v>166.66666666666666</v>
      </c>
      <c r="AB81" s="568">
        <f>IF(AB$67="","",Underwriting!AL126)</f>
        <v>166.66666666666666</v>
      </c>
      <c r="AC81" s="568">
        <f>IF(AC$67="","",Underwriting!AM126)</f>
        <v>166.66666666666666</v>
      </c>
      <c r="AD81" s="568">
        <f>IF(AD$67="","",Underwriting!AN126)</f>
        <v>166.66666666666666</v>
      </c>
      <c r="AE81" s="568">
        <f>IF(AE$67="","",Underwriting!AO126)</f>
        <v>170</v>
      </c>
      <c r="AF81" s="568">
        <f>IF(AF$67="","",Underwriting!AP126)</f>
        <v>170</v>
      </c>
      <c r="AG81" s="568">
        <f>IF(AG$67="","",Underwriting!AQ126)</f>
        <v>170</v>
      </c>
      <c r="AH81" s="568">
        <f>IF(AH$67="","",Underwriting!AR126)</f>
        <v>170</v>
      </c>
      <c r="AI81" s="568">
        <f>IF(AI$67="","",Underwriting!AS126)</f>
        <v>170</v>
      </c>
      <c r="AJ81" s="568">
        <f>IF(AJ$67="","",Underwriting!AT126)</f>
        <v>170</v>
      </c>
      <c r="AK81" s="568">
        <f>IF(AK$67="","",Underwriting!AU126)</f>
        <v>170</v>
      </c>
      <c r="AL81" s="568">
        <f>IF(AL$67="","",Underwriting!AV126)</f>
        <v>170</v>
      </c>
      <c r="AM81" s="568">
        <f>IF(AM$67="","",Underwriting!AW126)</f>
        <v>170</v>
      </c>
      <c r="AN81" s="568">
        <f>IF(AN$67="","",Underwriting!AX126)</f>
        <v>170</v>
      </c>
      <c r="AO81" s="568">
        <f>IF(AO$67="","",Underwriting!AY126)</f>
        <v>170</v>
      </c>
      <c r="AP81" s="568">
        <f>IF(AP$67="","",Underwriting!AZ126)</f>
        <v>170</v>
      </c>
      <c r="AQ81" s="568">
        <f>IF(AQ$67="","",Underwriting!BA126)</f>
        <v>173.39999999999998</v>
      </c>
      <c r="AR81" s="568" t="str">
        <f>IF(AR$67="","",Underwriting!BB126)</f>
        <v/>
      </c>
      <c r="AS81" s="568" t="str">
        <f>IF(AS$67="","",Underwriting!BC126)</f>
        <v/>
      </c>
      <c r="AT81" s="568" t="str">
        <f>IF(AT$67="","",Underwriting!BD126)</f>
        <v/>
      </c>
      <c r="AU81" s="568" t="str">
        <f>IF(AU$67="","",Underwriting!BE126)</f>
        <v/>
      </c>
      <c r="AV81" s="568" t="str">
        <f>IF(AV$67="","",Underwriting!BF126)</f>
        <v/>
      </c>
      <c r="AW81" s="568" t="str">
        <f>IF(AW$67="","",Underwriting!BG126)</f>
        <v/>
      </c>
      <c r="AX81" s="568" t="str">
        <f>IF(AX$67="","",Underwriting!BH126)</f>
        <v/>
      </c>
      <c r="AY81" s="568" t="str">
        <f>IF(AY$67="","",Underwriting!BI126)</f>
        <v/>
      </c>
      <c r="AZ81" s="568" t="str">
        <f>IF(AZ$67="","",Underwriting!BJ126)</f>
        <v/>
      </c>
      <c r="BA81" s="568" t="str">
        <f>IF(BA$67="","",Underwriting!BK126)</f>
        <v/>
      </c>
      <c r="BB81" s="568" t="str">
        <f>IF(BB$67="","",Underwriting!BL126)</f>
        <v/>
      </c>
      <c r="BC81" s="568" t="str">
        <f>IF(BC$67="","",Underwriting!BM126)</f>
        <v/>
      </c>
      <c r="BD81" s="568" t="str">
        <f>IF(BD$67="","",Underwriting!BN126)</f>
        <v/>
      </c>
      <c r="BE81" s="568" t="str">
        <f>IF(BE$67="","",Underwriting!BO126)</f>
        <v/>
      </c>
      <c r="BF81" s="568" t="str">
        <f>IF(BF$67="","",Underwriting!BP126)</f>
        <v/>
      </c>
      <c r="BG81" s="568" t="str">
        <f>IF(BG$67="","",Underwriting!BQ126)</f>
        <v/>
      </c>
      <c r="BH81" s="568" t="str">
        <f>IF(BH$67="","",Underwriting!BR126)</f>
        <v/>
      </c>
      <c r="BI81" s="568" t="str">
        <f>IF(BI$67="","",Underwriting!BS126)</f>
        <v/>
      </c>
      <c r="BJ81" s="568" t="str">
        <f>IF(BJ$67="","",Underwriting!BT126)</f>
        <v/>
      </c>
      <c r="BK81" s="568" t="str">
        <f>IF(BK$67="","",Underwriting!BU126)</f>
        <v/>
      </c>
      <c r="BL81" s="568" t="str">
        <f>IF(BL$67="","",Underwriting!BV126)</f>
        <v/>
      </c>
      <c r="BM81" s="568" t="str">
        <f>IF(BM$67="","",Underwriting!BW126)</f>
        <v/>
      </c>
      <c r="BN81" s="568" t="str">
        <f>IF(BN$67="","",Underwriting!BX126)</f>
        <v/>
      </c>
      <c r="BO81" s="568" t="str">
        <f>IF(BO$67="","",Underwriting!BY126)</f>
        <v/>
      </c>
      <c r="BP81" s="568" t="str">
        <f>IF(BP$67="","",Underwriting!BZ126)</f>
        <v/>
      </c>
      <c r="BQ81" s="568" t="str">
        <f>IF(BQ$67="","",Underwriting!CA126)</f>
        <v/>
      </c>
      <c r="BR81" s="568" t="str">
        <f>IF(BR$67="","",Underwriting!CB126)</f>
        <v/>
      </c>
      <c r="BS81" s="568" t="str">
        <f>IF(BS$67="","",Underwriting!CC126)</f>
        <v/>
      </c>
      <c r="BT81" s="568" t="str">
        <f>IF(BT$67="","",Underwriting!CD126)</f>
        <v/>
      </c>
      <c r="BU81" s="568" t="str">
        <f>IF(BU$67="","",Underwriting!CE126)</f>
        <v/>
      </c>
      <c r="BV81" s="568" t="str">
        <f>IF(BV$67="","",Underwriting!CF126)</f>
        <v/>
      </c>
      <c r="BW81" s="568" t="str">
        <f>IF(BW$67="","",Underwriting!CG126)</f>
        <v/>
      </c>
      <c r="BX81" s="568" t="str">
        <f>IF(BX$67="","",Underwriting!CH126)</f>
        <v/>
      </c>
      <c r="BY81" s="568" t="str">
        <f>IF(BY$67="","",Underwriting!CI126)</f>
        <v/>
      </c>
      <c r="BZ81" s="568" t="str">
        <f>IF(BZ$67="","",Underwriting!CJ126)</f>
        <v/>
      </c>
      <c r="CA81" s="568" t="str">
        <f>IF(CA$67="","",Underwriting!CK126)</f>
        <v/>
      </c>
      <c r="CB81" s="568" t="str">
        <f>IF(CB$67="","",Underwriting!CL126)</f>
        <v/>
      </c>
      <c r="CC81" s="568" t="str">
        <f>IF(CC$67="","",Underwriting!CM126)</f>
        <v/>
      </c>
      <c r="CD81" s="568" t="str">
        <f>IF(CD$67="","",Underwriting!CN126)</f>
        <v/>
      </c>
      <c r="CE81" s="568" t="str">
        <f>IF(CE$67="","",Underwriting!CO126)</f>
        <v/>
      </c>
      <c r="CF81" s="568" t="str">
        <f>IF(CF$67="","",Underwriting!CP126)</f>
        <v/>
      </c>
      <c r="CG81" s="568" t="str">
        <f>IF(CG$67="","",Underwriting!CQ126)</f>
        <v/>
      </c>
      <c r="CH81" s="568" t="str">
        <f>IF(CH$67="","",Underwriting!CR126)</f>
        <v/>
      </c>
      <c r="CI81" s="568" t="str">
        <f>IF(CI$67="","",Underwriting!CS126)</f>
        <v/>
      </c>
      <c r="CJ81" s="568" t="str">
        <f>IF(CJ$67="","",Underwriting!CT126)</f>
        <v/>
      </c>
      <c r="CK81" s="568" t="str">
        <f>IF(CK$67="","",Underwriting!CU126)</f>
        <v/>
      </c>
      <c r="CL81" s="568" t="str">
        <f>IF(CL$67="","",Underwriting!CV126)</f>
        <v/>
      </c>
      <c r="CM81" s="568" t="str">
        <f>IF(CM$67="","",Underwriting!CW126)</f>
        <v/>
      </c>
      <c r="CN81" s="568" t="str">
        <f>IF(CN$67="","",Underwriting!CX126)</f>
        <v/>
      </c>
      <c r="CO81" s="568" t="str">
        <f>IF(CO$67="","",Underwriting!CY126)</f>
        <v/>
      </c>
      <c r="CP81" s="568" t="str">
        <f>IF(CP$67="","",Underwriting!CZ126)</f>
        <v/>
      </c>
      <c r="CQ81" s="568" t="str">
        <f>IF(CQ$67="","",Underwriting!DA126)</f>
        <v/>
      </c>
      <c r="CR81" s="568" t="str">
        <f>IF(CR$67="","",Underwriting!DB126)</f>
        <v/>
      </c>
      <c r="CS81" s="568" t="str">
        <f>IF(CS$67="","",Underwriting!DC126)</f>
        <v/>
      </c>
      <c r="CT81" s="568" t="str">
        <f>IF(CT$67="","",Underwriting!DD126)</f>
        <v/>
      </c>
      <c r="CU81" s="568" t="str">
        <f>IF(CU$67="","",Underwriting!DE126)</f>
        <v/>
      </c>
      <c r="CV81" s="568" t="str">
        <f>IF(CV$67="","",Underwriting!DF126)</f>
        <v/>
      </c>
      <c r="CW81" s="568" t="str">
        <f>IF(CW$67="","",Underwriting!DG126)</f>
        <v/>
      </c>
      <c r="CX81" s="568" t="str">
        <f>IF(CX$67="","",Underwriting!DH126)</f>
        <v/>
      </c>
      <c r="CY81" s="568" t="str">
        <f>IF(CY$67="","",Underwriting!DI126)</f>
        <v/>
      </c>
      <c r="CZ81" s="568" t="str">
        <f>IF(CZ$67="","",Underwriting!DJ126)</f>
        <v/>
      </c>
      <c r="DA81" s="568" t="str">
        <f>IF(DA$67="","",Underwriting!DK126)</f>
        <v/>
      </c>
      <c r="DB81" s="568" t="str">
        <f>IF(DB$67="","",Underwriting!DL126)</f>
        <v/>
      </c>
      <c r="DC81" s="568" t="str">
        <f>IF(DC$67="","",Underwriting!DM126)</f>
        <v/>
      </c>
      <c r="DD81" s="568" t="str">
        <f>IF(DD$67="","",Underwriting!DN126)</f>
        <v/>
      </c>
      <c r="DE81" s="568" t="str">
        <f>IF(DE$67="","",Underwriting!DO126)</f>
        <v/>
      </c>
      <c r="DF81" s="568" t="str">
        <f>IF(DF$67="","",Underwriting!DP126)</f>
        <v/>
      </c>
      <c r="DG81" s="568" t="str">
        <f>IF(DG$67="","",Underwriting!DQ126)</f>
        <v/>
      </c>
      <c r="DH81" s="568" t="str">
        <f>IF(DH$67="","",Underwriting!DR126)</f>
        <v/>
      </c>
      <c r="DI81" s="568" t="str">
        <f>IF(DI$67="","",Underwriting!DS126)</f>
        <v/>
      </c>
      <c r="DJ81" s="568" t="str">
        <f>IF(DJ$67="","",Underwriting!DT126)</f>
        <v/>
      </c>
      <c r="DK81" s="568" t="str">
        <f>IF(DK$67="","",Underwriting!DU126)</f>
        <v/>
      </c>
      <c r="DL81" s="568" t="str">
        <f>IF(DL$67="","",Underwriting!DV126)</f>
        <v/>
      </c>
      <c r="DM81" s="568" t="str">
        <f>IF(DM$67="","",Underwriting!DW126)</f>
        <v/>
      </c>
      <c r="DN81" s="568" t="str">
        <f>IF(DN$67="","",Underwriting!DX126)</f>
        <v/>
      </c>
      <c r="DO81" s="568" t="str">
        <f>IF(DO$67="","",Underwriting!DY126)</f>
        <v/>
      </c>
      <c r="DP81" s="568" t="str">
        <f>IF(DP$67="","",Underwriting!DZ126)</f>
        <v/>
      </c>
      <c r="DQ81" s="568" t="str">
        <f>IF(DQ$67="","",Underwriting!EA126)</f>
        <v/>
      </c>
      <c r="DR81" s="568" t="str">
        <f>IF(DR$67="","",Underwriting!EB126)</f>
        <v/>
      </c>
      <c r="DS81" s="568" t="str">
        <f>IF(DS$67="","",Underwriting!EC126)</f>
        <v/>
      </c>
      <c r="DT81" s="568" t="str">
        <f>IF(DT$67="","",Underwriting!ED126)</f>
        <v/>
      </c>
      <c r="DU81" s="568" t="str">
        <f>IF(DU$67="","",Underwriting!EE126)</f>
        <v/>
      </c>
      <c r="DV81" s="568" t="str">
        <f>IF(DV$67="","",Underwriting!EF126)</f>
        <v/>
      </c>
      <c r="DW81" s="568" t="str">
        <f>IF(DW$67="","",Underwriting!EG126)</f>
        <v/>
      </c>
      <c r="DX81" s="568" t="str">
        <f>IF(DX$67="","",Underwriting!EH126)</f>
        <v/>
      </c>
      <c r="DY81" s="568" t="str">
        <f>IF(DY$67="","",Underwriting!EI126)</f>
        <v/>
      </c>
      <c r="DZ81" s="568" t="str">
        <f>IF(DZ$67="","",Underwriting!EJ126)</f>
        <v/>
      </c>
      <c r="EA81" s="568" t="str">
        <f>IF(EA$67="","",Underwriting!EK126)</f>
        <v/>
      </c>
      <c r="EB81" s="568" t="str">
        <f>IF(EB$67="","",Underwriting!EL126)</f>
        <v/>
      </c>
      <c r="EC81" s="568" t="str">
        <f>IF(EC$67="","",Underwriting!EM126)</f>
        <v/>
      </c>
      <c r="ED81" s="568" t="str">
        <f>IF(ED$67="","",Underwriting!EN126)</f>
        <v/>
      </c>
      <c r="EE81" s="568" t="str">
        <f>IF(EE$67="","",Underwriting!EO126)</f>
        <v/>
      </c>
      <c r="EF81" s="568" t="str">
        <f>IF(EF$67="","",Underwriting!EP126)</f>
        <v/>
      </c>
      <c r="EG81" s="568" t="str">
        <f>IF(EG$67="","",Underwriting!EQ126)</f>
        <v/>
      </c>
      <c r="EH81" s="568" t="str">
        <f>IF(EH$67="","",Underwriting!ER126)</f>
        <v/>
      </c>
      <c r="EI81" s="568" t="str">
        <f>IF(EI$67="","",Underwriting!ES126)</f>
        <v/>
      </c>
    </row>
    <row r="82" spans="2:139" outlineLevel="1" x14ac:dyDescent="0.25">
      <c r="B82" s="621" t="s">
        <v>131</v>
      </c>
      <c r="C82" s="448"/>
      <c r="D82" s="448"/>
      <c r="E82" s="448"/>
      <c r="F82" s="448"/>
      <c r="G82" s="568">
        <f>IF(G$67="","",Underwriting!Q127)</f>
        <v>0</v>
      </c>
      <c r="H82" s="568">
        <f>IF(H$67="","",Underwriting!R127)</f>
        <v>0</v>
      </c>
      <c r="I82" s="568">
        <f>IF(I$67="","",Underwriting!S127)</f>
        <v>0</v>
      </c>
      <c r="J82" s="568">
        <f>IF(J$67="","",Underwriting!T127)</f>
        <v>0</v>
      </c>
      <c r="K82" s="568">
        <f>IF(K$67="","",Underwriting!U127)</f>
        <v>0</v>
      </c>
      <c r="L82" s="568">
        <f>IF(L$67="","",Underwriting!V127)</f>
        <v>0</v>
      </c>
      <c r="M82" s="568">
        <f>IF(M$67="","",Underwriting!W127)</f>
        <v>0</v>
      </c>
      <c r="N82" s="568">
        <f>IF(N$67="","",Underwriting!X127)</f>
        <v>0</v>
      </c>
      <c r="O82" s="568">
        <f>IF(O$67="","",Underwriting!Y127)</f>
        <v>0</v>
      </c>
      <c r="P82" s="568">
        <f>IF(P$67="","",Underwriting!Z127)</f>
        <v>0</v>
      </c>
      <c r="Q82" s="568">
        <f>IF(Q$67="","",Underwriting!AA127)</f>
        <v>0</v>
      </c>
      <c r="R82" s="568">
        <f>IF(R$67="","",Underwriting!AB127)</f>
        <v>0</v>
      </c>
      <c r="S82" s="568">
        <f>IF(S$67="","",Underwriting!AC127)</f>
        <v>135.41666666666666</v>
      </c>
      <c r="T82" s="568">
        <f>IF(T$67="","",Underwriting!AD127)</f>
        <v>151.04166666666666</v>
      </c>
      <c r="U82" s="568">
        <f>IF(U$67="","",Underwriting!AE127)</f>
        <v>166.66666666666666</v>
      </c>
      <c r="V82" s="568">
        <f>IF(V$67="","",Underwriting!AF127)</f>
        <v>166.66666666666666</v>
      </c>
      <c r="W82" s="568">
        <f>IF(W$67="","",Underwriting!AG127)</f>
        <v>166.66666666666666</v>
      </c>
      <c r="X82" s="568">
        <f>IF(X$67="","",Underwriting!AH127)</f>
        <v>166.66666666666666</v>
      </c>
      <c r="Y82" s="568">
        <f>IF(Y$67="","",Underwriting!AI127)</f>
        <v>166.66666666666666</v>
      </c>
      <c r="Z82" s="568">
        <f>IF(Z$67="","",Underwriting!AJ127)</f>
        <v>166.66666666666666</v>
      </c>
      <c r="AA82" s="568">
        <f>IF(AA$67="","",Underwriting!AK127)</f>
        <v>166.66666666666666</v>
      </c>
      <c r="AB82" s="568">
        <f>IF(AB$67="","",Underwriting!AL127)</f>
        <v>166.66666666666666</v>
      </c>
      <c r="AC82" s="568">
        <f>IF(AC$67="","",Underwriting!AM127)</f>
        <v>166.66666666666666</v>
      </c>
      <c r="AD82" s="568">
        <f>IF(AD$67="","",Underwriting!AN127)</f>
        <v>166.66666666666666</v>
      </c>
      <c r="AE82" s="568">
        <f>IF(AE$67="","",Underwriting!AO127)</f>
        <v>170</v>
      </c>
      <c r="AF82" s="568">
        <f>IF(AF$67="","",Underwriting!AP127)</f>
        <v>170</v>
      </c>
      <c r="AG82" s="568">
        <f>IF(AG$67="","",Underwriting!AQ127)</f>
        <v>170</v>
      </c>
      <c r="AH82" s="568">
        <f>IF(AH$67="","",Underwriting!AR127)</f>
        <v>170</v>
      </c>
      <c r="AI82" s="568">
        <f>IF(AI$67="","",Underwriting!AS127)</f>
        <v>170</v>
      </c>
      <c r="AJ82" s="568">
        <f>IF(AJ$67="","",Underwriting!AT127)</f>
        <v>170</v>
      </c>
      <c r="AK82" s="568">
        <f>IF(AK$67="","",Underwriting!AU127)</f>
        <v>170</v>
      </c>
      <c r="AL82" s="568">
        <f>IF(AL$67="","",Underwriting!AV127)</f>
        <v>170</v>
      </c>
      <c r="AM82" s="568">
        <f>IF(AM$67="","",Underwriting!AW127)</f>
        <v>170</v>
      </c>
      <c r="AN82" s="568">
        <f>IF(AN$67="","",Underwriting!AX127)</f>
        <v>170</v>
      </c>
      <c r="AO82" s="568">
        <f>IF(AO$67="","",Underwriting!AY127)</f>
        <v>170</v>
      </c>
      <c r="AP82" s="568">
        <f>IF(AP$67="","",Underwriting!AZ127)</f>
        <v>170</v>
      </c>
      <c r="AQ82" s="568">
        <f>IF(AQ$67="","",Underwriting!BA127)</f>
        <v>173.39999999999998</v>
      </c>
      <c r="AR82" s="568" t="str">
        <f>IF(AR$67="","",Underwriting!BB127)</f>
        <v/>
      </c>
      <c r="AS82" s="568" t="str">
        <f>IF(AS$67="","",Underwriting!BC127)</f>
        <v/>
      </c>
      <c r="AT82" s="568" t="str">
        <f>IF(AT$67="","",Underwriting!BD127)</f>
        <v/>
      </c>
      <c r="AU82" s="568" t="str">
        <f>IF(AU$67="","",Underwriting!BE127)</f>
        <v/>
      </c>
      <c r="AV82" s="568" t="str">
        <f>IF(AV$67="","",Underwriting!BF127)</f>
        <v/>
      </c>
      <c r="AW82" s="568" t="str">
        <f>IF(AW$67="","",Underwriting!BG127)</f>
        <v/>
      </c>
      <c r="AX82" s="568" t="str">
        <f>IF(AX$67="","",Underwriting!BH127)</f>
        <v/>
      </c>
      <c r="AY82" s="568" t="str">
        <f>IF(AY$67="","",Underwriting!BI127)</f>
        <v/>
      </c>
      <c r="AZ82" s="568" t="str">
        <f>IF(AZ$67="","",Underwriting!BJ127)</f>
        <v/>
      </c>
      <c r="BA82" s="568" t="str">
        <f>IF(BA$67="","",Underwriting!BK127)</f>
        <v/>
      </c>
      <c r="BB82" s="568" t="str">
        <f>IF(BB$67="","",Underwriting!BL127)</f>
        <v/>
      </c>
      <c r="BC82" s="568" t="str">
        <f>IF(BC$67="","",Underwriting!BM127)</f>
        <v/>
      </c>
      <c r="BD82" s="568" t="str">
        <f>IF(BD$67="","",Underwriting!BN127)</f>
        <v/>
      </c>
      <c r="BE82" s="568" t="str">
        <f>IF(BE$67="","",Underwriting!BO127)</f>
        <v/>
      </c>
      <c r="BF82" s="568" t="str">
        <f>IF(BF$67="","",Underwriting!BP127)</f>
        <v/>
      </c>
      <c r="BG82" s="568" t="str">
        <f>IF(BG$67="","",Underwriting!BQ127)</f>
        <v/>
      </c>
      <c r="BH82" s="568" t="str">
        <f>IF(BH$67="","",Underwriting!BR127)</f>
        <v/>
      </c>
      <c r="BI82" s="568" t="str">
        <f>IF(BI$67="","",Underwriting!BS127)</f>
        <v/>
      </c>
      <c r="BJ82" s="568" t="str">
        <f>IF(BJ$67="","",Underwriting!BT127)</f>
        <v/>
      </c>
      <c r="BK82" s="568" t="str">
        <f>IF(BK$67="","",Underwriting!BU127)</f>
        <v/>
      </c>
      <c r="BL82" s="568" t="str">
        <f>IF(BL$67="","",Underwriting!BV127)</f>
        <v/>
      </c>
      <c r="BM82" s="568" t="str">
        <f>IF(BM$67="","",Underwriting!BW127)</f>
        <v/>
      </c>
      <c r="BN82" s="568" t="str">
        <f>IF(BN$67="","",Underwriting!BX127)</f>
        <v/>
      </c>
      <c r="BO82" s="568" t="str">
        <f>IF(BO$67="","",Underwriting!BY127)</f>
        <v/>
      </c>
      <c r="BP82" s="568" t="str">
        <f>IF(BP$67="","",Underwriting!BZ127)</f>
        <v/>
      </c>
      <c r="BQ82" s="568" t="str">
        <f>IF(BQ$67="","",Underwriting!CA127)</f>
        <v/>
      </c>
      <c r="BR82" s="568" t="str">
        <f>IF(BR$67="","",Underwriting!CB127)</f>
        <v/>
      </c>
      <c r="BS82" s="568" t="str">
        <f>IF(BS$67="","",Underwriting!CC127)</f>
        <v/>
      </c>
      <c r="BT82" s="568" t="str">
        <f>IF(BT$67="","",Underwriting!CD127)</f>
        <v/>
      </c>
      <c r="BU82" s="568" t="str">
        <f>IF(BU$67="","",Underwriting!CE127)</f>
        <v/>
      </c>
      <c r="BV82" s="568" t="str">
        <f>IF(BV$67="","",Underwriting!CF127)</f>
        <v/>
      </c>
      <c r="BW82" s="568" t="str">
        <f>IF(BW$67="","",Underwriting!CG127)</f>
        <v/>
      </c>
      <c r="BX82" s="568" t="str">
        <f>IF(BX$67="","",Underwriting!CH127)</f>
        <v/>
      </c>
      <c r="BY82" s="568" t="str">
        <f>IF(BY$67="","",Underwriting!CI127)</f>
        <v/>
      </c>
      <c r="BZ82" s="568" t="str">
        <f>IF(BZ$67="","",Underwriting!CJ127)</f>
        <v/>
      </c>
      <c r="CA82" s="568" t="str">
        <f>IF(CA$67="","",Underwriting!CK127)</f>
        <v/>
      </c>
      <c r="CB82" s="568" t="str">
        <f>IF(CB$67="","",Underwriting!CL127)</f>
        <v/>
      </c>
      <c r="CC82" s="568" t="str">
        <f>IF(CC$67="","",Underwriting!CM127)</f>
        <v/>
      </c>
      <c r="CD82" s="568" t="str">
        <f>IF(CD$67="","",Underwriting!CN127)</f>
        <v/>
      </c>
      <c r="CE82" s="568" t="str">
        <f>IF(CE$67="","",Underwriting!CO127)</f>
        <v/>
      </c>
      <c r="CF82" s="568" t="str">
        <f>IF(CF$67="","",Underwriting!CP127)</f>
        <v/>
      </c>
      <c r="CG82" s="568" t="str">
        <f>IF(CG$67="","",Underwriting!CQ127)</f>
        <v/>
      </c>
      <c r="CH82" s="568" t="str">
        <f>IF(CH$67="","",Underwriting!CR127)</f>
        <v/>
      </c>
      <c r="CI82" s="568" t="str">
        <f>IF(CI$67="","",Underwriting!CS127)</f>
        <v/>
      </c>
      <c r="CJ82" s="568" t="str">
        <f>IF(CJ$67="","",Underwriting!CT127)</f>
        <v/>
      </c>
      <c r="CK82" s="568" t="str">
        <f>IF(CK$67="","",Underwriting!CU127)</f>
        <v/>
      </c>
      <c r="CL82" s="568" t="str">
        <f>IF(CL$67="","",Underwriting!CV127)</f>
        <v/>
      </c>
      <c r="CM82" s="568" t="str">
        <f>IF(CM$67="","",Underwriting!CW127)</f>
        <v/>
      </c>
      <c r="CN82" s="568" t="str">
        <f>IF(CN$67="","",Underwriting!CX127)</f>
        <v/>
      </c>
      <c r="CO82" s="568" t="str">
        <f>IF(CO$67="","",Underwriting!CY127)</f>
        <v/>
      </c>
      <c r="CP82" s="568" t="str">
        <f>IF(CP$67="","",Underwriting!CZ127)</f>
        <v/>
      </c>
      <c r="CQ82" s="568" t="str">
        <f>IF(CQ$67="","",Underwriting!DA127)</f>
        <v/>
      </c>
      <c r="CR82" s="568" t="str">
        <f>IF(CR$67="","",Underwriting!DB127)</f>
        <v/>
      </c>
      <c r="CS82" s="568" t="str">
        <f>IF(CS$67="","",Underwriting!DC127)</f>
        <v/>
      </c>
      <c r="CT82" s="568" t="str">
        <f>IF(CT$67="","",Underwriting!DD127)</f>
        <v/>
      </c>
      <c r="CU82" s="568" t="str">
        <f>IF(CU$67="","",Underwriting!DE127)</f>
        <v/>
      </c>
      <c r="CV82" s="568" t="str">
        <f>IF(CV$67="","",Underwriting!DF127)</f>
        <v/>
      </c>
      <c r="CW82" s="568" t="str">
        <f>IF(CW$67="","",Underwriting!DG127)</f>
        <v/>
      </c>
      <c r="CX82" s="568" t="str">
        <f>IF(CX$67="","",Underwriting!DH127)</f>
        <v/>
      </c>
      <c r="CY82" s="568" t="str">
        <f>IF(CY$67="","",Underwriting!DI127)</f>
        <v/>
      </c>
      <c r="CZ82" s="568" t="str">
        <f>IF(CZ$67="","",Underwriting!DJ127)</f>
        <v/>
      </c>
      <c r="DA82" s="568" t="str">
        <f>IF(DA$67="","",Underwriting!DK127)</f>
        <v/>
      </c>
      <c r="DB82" s="568" t="str">
        <f>IF(DB$67="","",Underwriting!DL127)</f>
        <v/>
      </c>
      <c r="DC82" s="568" t="str">
        <f>IF(DC$67="","",Underwriting!DM127)</f>
        <v/>
      </c>
      <c r="DD82" s="568" t="str">
        <f>IF(DD$67="","",Underwriting!DN127)</f>
        <v/>
      </c>
      <c r="DE82" s="568" t="str">
        <f>IF(DE$67="","",Underwriting!DO127)</f>
        <v/>
      </c>
      <c r="DF82" s="568" t="str">
        <f>IF(DF$67="","",Underwriting!DP127)</f>
        <v/>
      </c>
      <c r="DG82" s="568" t="str">
        <f>IF(DG$67="","",Underwriting!DQ127)</f>
        <v/>
      </c>
      <c r="DH82" s="568" t="str">
        <f>IF(DH$67="","",Underwriting!DR127)</f>
        <v/>
      </c>
      <c r="DI82" s="568" t="str">
        <f>IF(DI$67="","",Underwriting!DS127)</f>
        <v/>
      </c>
      <c r="DJ82" s="568" t="str">
        <f>IF(DJ$67="","",Underwriting!DT127)</f>
        <v/>
      </c>
      <c r="DK82" s="568" t="str">
        <f>IF(DK$67="","",Underwriting!DU127)</f>
        <v/>
      </c>
      <c r="DL82" s="568" t="str">
        <f>IF(DL$67="","",Underwriting!DV127)</f>
        <v/>
      </c>
      <c r="DM82" s="568" t="str">
        <f>IF(DM$67="","",Underwriting!DW127)</f>
        <v/>
      </c>
      <c r="DN82" s="568" t="str">
        <f>IF(DN$67="","",Underwriting!DX127)</f>
        <v/>
      </c>
      <c r="DO82" s="568" t="str">
        <f>IF(DO$67="","",Underwriting!DY127)</f>
        <v/>
      </c>
      <c r="DP82" s="568" t="str">
        <f>IF(DP$67="","",Underwriting!DZ127)</f>
        <v/>
      </c>
      <c r="DQ82" s="568" t="str">
        <f>IF(DQ$67="","",Underwriting!EA127)</f>
        <v/>
      </c>
      <c r="DR82" s="568" t="str">
        <f>IF(DR$67="","",Underwriting!EB127)</f>
        <v/>
      </c>
      <c r="DS82" s="568" t="str">
        <f>IF(DS$67="","",Underwriting!EC127)</f>
        <v/>
      </c>
      <c r="DT82" s="568" t="str">
        <f>IF(DT$67="","",Underwriting!ED127)</f>
        <v/>
      </c>
      <c r="DU82" s="568" t="str">
        <f>IF(DU$67="","",Underwriting!EE127)</f>
        <v/>
      </c>
      <c r="DV82" s="568" t="str">
        <f>IF(DV$67="","",Underwriting!EF127)</f>
        <v/>
      </c>
      <c r="DW82" s="568" t="str">
        <f>IF(DW$67="","",Underwriting!EG127)</f>
        <v/>
      </c>
      <c r="DX82" s="568" t="str">
        <f>IF(DX$67="","",Underwriting!EH127)</f>
        <v/>
      </c>
      <c r="DY82" s="568" t="str">
        <f>IF(DY$67="","",Underwriting!EI127)</f>
        <v/>
      </c>
      <c r="DZ82" s="568" t="str">
        <f>IF(DZ$67="","",Underwriting!EJ127)</f>
        <v/>
      </c>
      <c r="EA82" s="568" t="str">
        <f>IF(EA$67="","",Underwriting!EK127)</f>
        <v/>
      </c>
      <c r="EB82" s="568" t="str">
        <f>IF(EB$67="","",Underwriting!EL127)</f>
        <v/>
      </c>
      <c r="EC82" s="568" t="str">
        <f>IF(EC$67="","",Underwriting!EM127)</f>
        <v/>
      </c>
      <c r="ED82" s="568" t="str">
        <f>IF(ED$67="","",Underwriting!EN127)</f>
        <v/>
      </c>
      <c r="EE82" s="568" t="str">
        <f>IF(EE$67="","",Underwriting!EO127)</f>
        <v/>
      </c>
      <c r="EF82" s="568" t="str">
        <f>IF(EF$67="","",Underwriting!EP127)</f>
        <v/>
      </c>
      <c r="EG82" s="568" t="str">
        <f>IF(EG$67="","",Underwriting!EQ127)</f>
        <v/>
      </c>
      <c r="EH82" s="568" t="str">
        <f>IF(EH$67="","",Underwriting!ER127)</f>
        <v/>
      </c>
      <c r="EI82" s="568" t="str">
        <f>IF(EI$67="","",Underwriting!ES127)</f>
        <v/>
      </c>
    </row>
    <row r="83" spans="2:139" outlineLevel="1" x14ac:dyDescent="0.25">
      <c r="B83" s="621" t="s">
        <v>132</v>
      </c>
      <c r="C83" s="448"/>
      <c r="D83" s="448"/>
      <c r="E83" s="448"/>
      <c r="F83" s="448"/>
      <c r="G83" s="568">
        <f>IF(G$67="","",Underwriting!Q128)</f>
        <v>0</v>
      </c>
      <c r="H83" s="568">
        <f ca="1">IF(H$67="","",Underwriting!R128)</f>
        <v>0</v>
      </c>
      <c r="I83" s="568">
        <f ca="1">IF(I$67="","",Underwriting!S128)</f>
        <v>0</v>
      </c>
      <c r="J83" s="568">
        <f ca="1">IF(J$67="","",Underwriting!T128)</f>
        <v>0</v>
      </c>
      <c r="K83" s="568">
        <f ca="1">IF(K$67="","",Underwriting!U128)</f>
        <v>0</v>
      </c>
      <c r="L83" s="568">
        <f ca="1">IF(L$67="","",Underwriting!V128)</f>
        <v>0</v>
      </c>
      <c r="M83" s="568">
        <f ca="1">IF(M$67="","",Underwriting!W128)</f>
        <v>0</v>
      </c>
      <c r="N83" s="568">
        <f ca="1">IF(N$67="","",Underwriting!X128)</f>
        <v>0</v>
      </c>
      <c r="O83" s="568">
        <f ca="1">IF(O$67="","",Underwriting!Y128)</f>
        <v>0</v>
      </c>
      <c r="P83" s="568">
        <f ca="1">IF(P$67="","",Underwriting!Z128)</f>
        <v>0</v>
      </c>
      <c r="Q83" s="568">
        <f ca="1">IF(Q$67="","",Underwriting!AA128)</f>
        <v>0</v>
      </c>
      <c r="R83" s="568">
        <f ca="1">IF(R$67="","",Underwriting!AB128)</f>
        <v>0</v>
      </c>
      <c r="S83" s="568">
        <f ca="1">IF(S$67="","",Underwriting!AC128)</f>
        <v>361</v>
      </c>
      <c r="T83" s="568">
        <f ca="1">IF(T$67="","",Underwriting!AD128)</f>
        <v>902.5</v>
      </c>
      <c r="U83" s="568">
        <f ca="1">IF(U$67="","",Underwriting!AE128)</f>
        <v>1444</v>
      </c>
      <c r="V83" s="568">
        <f ca="1">IF(V$67="","",Underwriting!AF128)</f>
        <v>1444</v>
      </c>
      <c r="W83" s="568">
        <f ca="1">IF(W$67="","",Underwriting!AG128)</f>
        <v>1444</v>
      </c>
      <c r="X83" s="568">
        <f ca="1">IF(X$67="","",Underwriting!AH128)</f>
        <v>1444</v>
      </c>
      <c r="Y83" s="568">
        <f ca="1">IF(Y$67="","",Underwriting!AI128)</f>
        <v>1444</v>
      </c>
      <c r="Z83" s="568">
        <f ca="1">IF(Z$67="","",Underwriting!AJ128)</f>
        <v>1444</v>
      </c>
      <c r="AA83" s="568">
        <f ca="1">IF(AA$67="","",Underwriting!AK128)</f>
        <v>1444</v>
      </c>
      <c r="AB83" s="568">
        <f ca="1">IF(AB$67="","",Underwriting!AL128)</f>
        <v>1444</v>
      </c>
      <c r="AC83" s="568">
        <f ca="1">IF(AC$67="","",Underwriting!AM128)</f>
        <v>1444</v>
      </c>
      <c r="AD83" s="568">
        <f ca="1">IF(AD$67="","",Underwriting!AN128)</f>
        <v>1444</v>
      </c>
      <c r="AE83" s="568">
        <f ca="1">IF(AE$67="","",Underwriting!AO128)</f>
        <v>1454.83</v>
      </c>
      <c r="AF83" s="568">
        <f ca="1">IF(AF$67="","",Underwriting!AP128)</f>
        <v>1471.075</v>
      </c>
      <c r="AG83" s="568">
        <f ca="1">IF(AG$67="","",Underwriting!AQ128)</f>
        <v>1487.3200000000002</v>
      </c>
      <c r="AH83" s="568">
        <f ca="1">IF(AH$67="","",Underwriting!AR128)</f>
        <v>1487.3200000000002</v>
      </c>
      <c r="AI83" s="568">
        <f ca="1">IF(AI$67="","",Underwriting!AS128)</f>
        <v>1487.3200000000002</v>
      </c>
      <c r="AJ83" s="568">
        <f ca="1">IF(AJ$67="","",Underwriting!AT128)</f>
        <v>1487.3200000000002</v>
      </c>
      <c r="AK83" s="568">
        <f ca="1">IF(AK$67="","",Underwriting!AU128)</f>
        <v>1487.3200000000002</v>
      </c>
      <c r="AL83" s="568">
        <f ca="1">IF(AL$67="","",Underwriting!AV128)</f>
        <v>1487.3200000000002</v>
      </c>
      <c r="AM83" s="568">
        <f ca="1">IF(AM$67="","",Underwriting!AW128)</f>
        <v>1487.3200000000002</v>
      </c>
      <c r="AN83" s="568">
        <f ca="1">IF(AN$67="","",Underwriting!AX128)</f>
        <v>1487.3200000000002</v>
      </c>
      <c r="AO83" s="568">
        <f ca="1">IF(AO$67="","",Underwriting!AY128)</f>
        <v>1487.3200000000002</v>
      </c>
      <c r="AP83" s="568">
        <f ca="1">IF(AP$67="","",Underwriting!AZ128)</f>
        <v>1487.3200000000002</v>
      </c>
      <c r="AQ83" s="568">
        <f ca="1">IF(AQ$67="","",Underwriting!BA128)</f>
        <v>1498.4749000000002</v>
      </c>
      <c r="AR83" s="568" t="str">
        <f>IF(AR$67="","",Underwriting!BB128)</f>
        <v/>
      </c>
      <c r="AS83" s="568" t="str">
        <f>IF(AS$67="","",Underwriting!BC128)</f>
        <v/>
      </c>
      <c r="AT83" s="568" t="str">
        <f>IF(AT$67="","",Underwriting!BD128)</f>
        <v/>
      </c>
      <c r="AU83" s="568" t="str">
        <f>IF(AU$67="","",Underwriting!BE128)</f>
        <v/>
      </c>
      <c r="AV83" s="568" t="str">
        <f>IF(AV$67="","",Underwriting!BF128)</f>
        <v/>
      </c>
      <c r="AW83" s="568" t="str">
        <f>IF(AW$67="","",Underwriting!BG128)</f>
        <v/>
      </c>
      <c r="AX83" s="568" t="str">
        <f>IF(AX$67="","",Underwriting!BH128)</f>
        <v/>
      </c>
      <c r="AY83" s="568" t="str">
        <f>IF(AY$67="","",Underwriting!BI128)</f>
        <v/>
      </c>
      <c r="AZ83" s="568" t="str">
        <f>IF(AZ$67="","",Underwriting!BJ128)</f>
        <v/>
      </c>
      <c r="BA83" s="568" t="str">
        <f>IF(BA$67="","",Underwriting!BK128)</f>
        <v/>
      </c>
      <c r="BB83" s="568" t="str">
        <f>IF(BB$67="","",Underwriting!BL128)</f>
        <v/>
      </c>
      <c r="BC83" s="568" t="str">
        <f>IF(BC$67="","",Underwriting!BM128)</f>
        <v/>
      </c>
      <c r="BD83" s="568" t="str">
        <f>IF(BD$67="","",Underwriting!BN128)</f>
        <v/>
      </c>
      <c r="BE83" s="568" t="str">
        <f>IF(BE$67="","",Underwriting!BO128)</f>
        <v/>
      </c>
      <c r="BF83" s="568" t="str">
        <f>IF(BF$67="","",Underwriting!BP128)</f>
        <v/>
      </c>
      <c r="BG83" s="568" t="str">
        <f>IF(BG$67="","",Underwriting!BQ128)</f>
        <v/>
      </c>
      <c r="BH83" s="568" t="str">
        <f>IF(BH$67="","",Underwriting!BR128)</f>
        <v/>
      </c>
      <c r="BI83" s="568" t="str">
        <f>IF(BI$67="","",Underwriting!BS128)</f>
        <v/>
      </c>
      <c r="BJ83" s="568" t="str">
        <f>IF(BJ$67="","",Underwriting!BT128)</f>
        <v/>
      </c>
      <c r="BK83" s="568" t="str">
        <f>IF(BK$67="","",Underwriting!BU128)</f>
        <v/>
      </c>
      <c r="BL83" s="568" t="str">
        <f>IF(BL$67="","",Underwriting!BV128)</f>
        <v/>
      </c>
      <c r="BM83" s="568" t="str">
        <f>IF(BM$67="","",Underwriting!BW128)</f>
        <v/>
      </c>
      <c r="BN83" s="568" t="str">
        <f>IF(BN$67="","",Underwriting!BX128)</f>
        <v/>
      </c>
      <c r="BO83" s="568" t="str">
        <f>IF(BO$67="","",Underwriting!BY128)</f>
        <v/>
      </c>
      <c r="BP83" s="568" t="str">
        <f>IF(BP$67="","",Underwriting!BZ128)</f>
        <v/>
      </c>
      <c r="BQ83" s="568" t="str">
        <f>IF(BQ$67="","",Underwriting!CA128)</f>
        <v/>
      </c>
      <c r="BR83" s="568" t="str">
        <f>IF(BR$67="","",Underwriting!CB128)</f>
        <v/>
      </c>
      <c r="BS83" s="568" t="str">
        <f>IF(BS$67="","",Underwriting!CC128)</f>
        <v/>
      </c>
      <c r="BT83" s="568" t="str">
        <f>IF(BT$67="","",Underwriting!CD128)</f>
        <v/>
      </c>
      <c r="BU83" s="568" t="str">
        <f>IF(BU$67="","",Underwriting!CE128)</f>
        <v/>
      </c>
      <c r="BV83" s="568" t="str">
        <f>IF(BV$67="","",Underwriting!CF128)</f>
        <v/>
      </c>
      <c r="BW83" s="568" t="str">
        <f>IF(BW$67="","",Underwriting!CG128)</f>
        <v/>
      </c>
      <c r="BX83" s="568" t="str">
        <f>IF(BX$67="","",Underwriting!CH128)</f>
        <v/>
      </c>
      <c r="BY83" s="568" t="str">
        <f>IF(BY$67="","",Underwriting!CI128)</f>
        <v/>
      </c>
      <c r="BZ83" s="568" t="str">
        <f>IF(BZ$67="","",Underwriting!CJ128)</f>
        <v/>
      </c>
      <c r="CA83" s="568" t="str">
        <f>IF(CA$67="","",Underwriting!CK128)</f>
        <v/>
      </c>
      <c r="CB83" s="568" t="str">
        <f>IF(CB$67="","",Underwriting!CL128)</f>
        <v/>
      </c>
      <c r="CC83" s="568" t="str">
        <f>IF(CC$67="","",Underwriting!CM128)</f>
        <v/>
      </c>
      <c r="CD83" s="568" t="str">
        <f>IF(CD$67="","",Underwriting!CN128)</f>
        <v/>
      </c>
      <c r="CE83" s="568" t="str">
        <f>IF(CE$67="","",Underwriting!CO128)</f>
        <v/>
      </c>
      <c r="CF83" s="568" t="str">
        <f>IF(CF$67="","",Underwriting!CP128)</f>
        <v/>
      </c>
      <c r="CG83" s="568" t="str">
        <f>IF(CG$67="","",Underwriting!CQ128)</f>
        <v/>
      </c>
      <c r="CH83" s="568" t="str">
        <f>IF(CH$67="","",Underwriting!CR128)</f>
        <v/>
      </c>
      <c r="CI83" s="568" t="str">
        <f>IF(CI$67="","",Underwriting!CS128)</f>
        <v/>
      </c>
      <c r="CJ83" s="568" t="str">
        <f>IF(CJ$67="","",Underwriting!CT128)</f>
        <v/>
      </c>
      <c r="CK83" s="568" t="str">
        <f>IF(CK$67="","",Underwriting!CU128)</f>
        <v/>
      </c>
      <c r="CL83" s="568" t="str">
        <f>IF(CL$67="","",Underwriting!CV128)</f>
        <v/>
      </c>
      <c r="CM83" s="568" t="str">
        <f>IF(CM$67="","",Underwriting!CW128)</f>
        <v/>
      </c>
      <c r="CN83" s="568" t="str">
        <f>IF(CN$67="","",Underwriting!CX128)</f>
        <v/>
      </c>
      <c r="CO83" s="568" t="str">
        <f>IF(CO$67="","",Underwriting!CY128)</f>
        <v/>
      </c>
      <c r="CP83" s="568" t="str">
        <f>IF(CP$67="","",Underwriting!CZ128)</f>
        <v/>
      </c>
      <c r="CQ83" s="568" t="str">
        <f>IF(CQ$67="","",Underwriting!DA128)</f>
        <v/>
      </c>
      <c r="CR83" s="568" t="str">
        <f>IF(CR$67="","",Underwriting!DB128)</f>
        <v/>
      </c>
      <c r="CS83" s="568" t="str">
        <f>IF(CS$67="","",Underwriting!DC128)</f>
        <v/>
      </c>
      <c r="CT83" s="568" t="str">
        <f>IF(CT$67="","",Underwriting!DD128)</f>
        <v/>
      </c>
      <c r="CU83" s="568" t="str">
        <f>IF(CU$67="","",Underwriting!DE128)</f>
        <v/>
      </c>
      <c r="CV83" s="568" t="str">
        <f>IF(CV$67="","",Underwriting!DF128)</f>
        <v/>
      </c>
      <c r="CW83" s="568" t="str">
        <f>IF(CW$67="","",Underwriting!DG128)</f>
        <v/>
      </c>
      <c r="CX83" s="568" t="str">
        <f>IF(CX$67="","",Underwriting!DH128)</f>
        <v/>
      </c>
      <c r="CY83" s="568" t="str">
        <f>IF(CY$67="","",Underwriting!DI128)</f>
        <v/>
      </c>
      <c r="CZ83" s="568" t="str">
        <f>IF(CZ$67="","",Underwriting!DJ128)</f>
        <v/>
      </c>
      <c r="DA83" s="568" t="str">
        <f>IF(DA$67="","",Underwriting!DK128)</f>
        <v/>
      </c>
      <c r="DB83" s="568" t="str">
        <f>IF(DB$67="","",Underwriting!DL128)</f>
        <v/>
      </c>
      <c r="DC83" s="568" t="str">
        <f>IF(DC$67="","",Underwriting!DM128)</f>
        <v/>
      </c>
      <c r="DD83" s="568" t="str">
        <f>IF(DD$67="","",Underwriting!DN128)</f>
        <v/>
      </c>
      <c r="DE83" s="568" t="str">
        <f>IF(DE$67="","",Underwriting!DO128)</f>
        <v/>
      </c>
      <c r="DF83" s="568" t="str">
        <f>IF(DF$67="","",Underwriting!DP128)</f>
        <v/>
      </c>
      <c r="DG83" s="568" t="str">
        <f>IF(DG$67="","",Underwriting!DQ128)</f>
        <v/>
      </c>
      <c r="DH83" s="568" t="str">
        <f>IF(DH$67="","",Underwriting!DR128)</f>
        <v/>
      </c>
      <c r="DI83" s="568" t="str">
        <f>IF(DI$67="","",Underwriting!DS128)</f>
        <v/>
      </c>
      <c r="DJ83" s="568" t="str">
        <f>IF(DJ$67="","",Underwriting!DT128)</f>
        <v/>
      </c>
      <c r="DK83" s="568" t="str">
        <f>IF(DK$67="","",Underwriting!DU128)</f>
        <v/>
      </c>
      <c r="DL83" s="568" t="str">
        <f>IF(DL$67="","",Underwriting!DV128)</f>
        <v/>
      </c>
      <c r="DM83" s="568" t="str">
        <f>IF(DM$67="","",Underwriting!DW128)</f>
        <v/>
      </c>
      <c r="DN83" s="568" t="str">
        <f>IF(DN$67="","",Underwriting!DX128)</f>
        <v/>
      </c>
      <c r="DO83" s="568" t="str">
        <f>IF(DO$67="","",Underwriting!DY128)</f>
        <v/>
      </c>
      <c r="DP83" s="568" t="str">
        <f>IF(DP$67="","",Underwriting!DZ128)</f>
        <v/>
      </c>
      <c r="DQ83" s="568" t="str">
        <f>IF(DQ$67="","",Underwriting!EA128)</f>
        <v/>
      </c>
      <c r="DR83" s="568" t="str">
        <f>IF(DR$67="","",Underwriting!EB128)</f>
        <v/>
      </c>
      <c r="DS83" s="568" t="str">
        <f>IF(DS$67="","",Underwriting!EC128)</f>
        <v/>
      </c>
      <c r="DT83" s="568" t="str">
        <f>IF(DT$67="","",Underwriting!ED128)</f>
        <v/>
      </c>
      <c r="DU83" s="568" t="str">
        <f>IF(DU$67="","",Underwriting!EE128)</f>
        <v/>
      </c>
      <c r="DV83" s="568" t="str">
        <f>IF(DV$67="","",Underwriting!EF128)</f>
        <v/>
      </c>
      <c r="DW83" s="568" t="str">
        <f>IF(DW$67="","",Underwriting!EG128)</f>
        <v/>
      </c>
      <c r="DX83" s="568" t="str">
        <f>IF(DX$67="","",Underwriting!EH128)</f>
        <v/>
      </c>
      <c r="DY83" s="568" t="str">
        <f>IF(DY$67="","",Underwriting!EI128)</f>
        <v/>
      </c>
      <c r="DZ83" s="568" t="str">
        <f>IF(DZ$67="","",Underwriting!EJ128)</f>
        <v/>
      </c>
      <c r="EA83" s="568" t="str">
        <f>IF(EA$67="","",Underwriting!EK128)</f>
        <v/>
      </c>
      <c r="EB83" s="568" t="str">
        <f>IF(EB$67="","",Underwriting!EL128)</f>
        <v/>
      </c>
      <c r="EC83" s="568" t="str">
        <f>IF(EC$67="","",Underwriting!EM128)</f>
        <v/>
      </c>
      <c r="ED83" s="568" t="str">
        <f>IF(ED$67="","",Underwriting!EN128)</f>
        <v/>
      </c>
      <c r="EE83" s="568" t="str">
        <f>IF(EE$67="","",Underwriting!EO128)</f>
        <v/>
      </c>
      <c r="EF83" s="568" t="str">
        <f>IF(EF$67="","",Underwriting!EP128)</f>
        <v/>
      </c>
      <c r="EG83" s="568" t="str">
        <f>IF(EG$67="","",Underwriting!EQ128)</f>
        <v/>
      </c>
      <c r="EH83" s="568" t="str">
        <f>IF(EH$67="","",Underwriting!ER128)</f>
        <v/>
      </c>
      <c r="EI83" s="568" t="str">
        <f>IF(EI$67="","",Underwriting!ES128)</f>
        <v/>
      </c>
    </row>
    <row r="84" spans="2:139" outlineLevel="1" x14ac:dyDescent="0.25">
      <c r="B84" s="621" t="s">
        <v>133</v>
      </c>
      <c r="C84" s="448"/>
      <c r="D84" s="448"/>
      <c r="E84" s="448"/>
      <c r="F84" s="448"/>
      <c r="G84" s="568">
        <f>IF(G$67="","",Underwriting!Q129)</f>
        <v>0</v>
      </c>
      <c r="H84" s="568">
        <f>IF(H$67="","",Underwriting!R129)</f>
        <v>0</v>
      </c>
      <c r="I84" s="568">
        <f>IF(I$67="","",Underwriting!S129)</f>
        <v>0</v>
      </c>
      <c r="J84" s="568">
        <f>IF(J$67="","",Underwriting!T129)</f>
        <v>0</v>
      </c>
      <c r="K84" s="568">
        <f>IF(K$67="","",Underwriting!U129)</f>
        <v>0</v>
      </c>
      <c r="L84" s="568">
        <f>IF(L$67="","",Underwriting!V129)</f>
        <v>0</v>
      </c>
      <c r="M84" s="568">
        <f>IF(M$67="","",Underwriting!W129)</f>
        <v>0</v>
      </c>
      <c r="N84" s="568">
        <f>IF(N$67="","",Underwriting!X129)</f>
        <v>0</v>
      </c>
      <c r="O84" s="568">
        <f>IF(O$67="","",Underwriting!Y129)</f>
        <v>0</v>
      </c>
      <c r="P84" s="568">
        <f>IF(P$67="","",Underwriting!Z129)</f>
        <v>0</v>
      </c>
      <c r="Q84" s="568">
        <f>IF(Q$67="","",Underwriting!AA129)</f>
        <v>0</v>
      </c>
      <c r="R84" s="568">
        <f>IF(R$67="","",Underwriting!AB129)</f>
        <v>0</v>
      </c>
      <c r="S84" s="568">
        <f>IF(S$67="","",Underwriting!AC129)</f>
        <v>2666.6666666666665</v>
      </c>
      <c r="T84" s="568">
        <f>IF(T$67="","",Underwriting!AD129)</f>
        <v>2666.6666666666665</v>
      </c>
      <c r="U84" s="568">
        <f>IF(U$67="","",Underwriting!AE129)</f>
        <v>2666.6666666666665</v>
      </c>
      <c r="V84" s="568">
        <f>IF(V$67="","",Underwriting!AF129)</f>
        <v>2666.6666666666665</v>
      </c>
      <c r="W84" s="568">
        <f>IF(W$67="","",Underwriting!AG129)</f>
        <v>2666.6666666666665</v>
      </c>
      <c r="X84" s="568">
        <f>IF(X$67="","",Underwriting!AH129)</f>
        <v>2666.6666666666665</v>
      </c>
      <c r="Y84" s="568">
        <f>IF(Y$67="","",Underwriting!AI129)</f>
        <v>2666.6666666666665</v>
      </c>
      <c r="Z84" s="568">
        <f>IF(Z$67="","",Underwriting!AJ129)</f>
        <v>2666.6666666666665</v>
      </c>
      <c r="AA84" s="568">
        <f>IF(AA$67="","",Underwriting!AK129)</f>
        <v>2666.6666666666665</v>
      </c>
      <c r="AB84" s="568">
        <f>IF(AB$67="","",Underwriting!AL129)</f>
        <v>2666.6666666666665</v>
      </c>
      <c r="AC84" s="568">
        <f>IF(AC$67="","",Underwriting!AM129)</f>
        <v>2666.6666666666665</v>
      </c>
      <c r="AD84" s="568">
        <f>IF(AD$67="","",Underwriting!AN129)</f>
        <v>2666.6666666666665</v>
      </c>
      <c r="AE84" s="568">
        <f>IF(AE$67="","",Underwriting!AO129)</f>
        <v>2720</v>
      </c>
      <c r="AF84" s="568">
        <f>IF(AF$67="","",Underwriting!AP129)</f>
        <v>2720</v>
      </c>
      <c r="AG84" s="568">
        <f>IF(AG$67="","",Underwriting!AQ129)</f>
        <v>2720</v>
      </c>
      <c r="AH84" s="568">
        <f>IF(AH$67="","",Underwriting!AR129)</f>
        <v>2720</v>
      </c>
      <c r="AI84" s="568">
        <f>IF(AI$67="","",Underwriting!AS129)</f>
        <v>2720</v>
      </c>
      <c r="AJ84" s="568">
        <f>IF(AJ$67="","",Underwriting!AT129)</f>
        <v>2720</v>
      </c>
      <c r="AK84" s="568">
        <f>IF(AK$67="","",Underwriting!AU129)</f>
        <v>2720</v>
      </c>
      <c r="AL84" s="568">
        <f>IF(AL$67="","",Underwriting!AV129)</f>
        <v>2720</v>
      </c>
      <c r="AM84" s="568">
        <f>IF(AM$67="","",Underwriting!AW129)</f>
        <v>2720</v>
      </c>
      <c r="AN84" s="568">
        <f>IF(AN$67="","",Underwriting!AX129)</f>
        <v>2720</v>
      </c>
      <c r="AO84" s="568">
        <f>IF(AO$67="","",Underwriting!AY129)</f>
        <v>2720</v>
      </c>
      <c r="AP84" s="568">
        <f>IF(AP$67="","",Underwriting!AZ129)</f>
        <v>2720</v>
      </c>
      <c r="AQ84" s="568">
        <f>IF(AQ$67="","",Underwriting!BA129)</f>
        <v>2774.3999999999996</v>
      </c>
      <c r="AR84" s="568" t="str">
        <f>IF(AR$67="","",Underwriting!BB129)</f>
        <v/>
      </c>
      <c r="AS84" s="568" t="str">
        <f>IF(AS$67="","",Underwriting!BC129)</f>
        <v/>
      </c>
      <c r="AT84" s="568" t="str">
        <f>IF(AT$67="","",Underwriting!BD129)</f>
        <v/>
      </c>
      <c r="AU84" s="568" t="str">
        <f>IF(AU$67="","",Underwriting!BE129)</f>
        <v/>
      </c>
      <c r="AV84" s="568" t="str">
        <f>IF(AV$67="","",Underwriting!BF129)</f>
        <v/>
      </c>
      <c r="AW84" s="568" t="str">
        <f>IF(AW$67="","",Underwriting!BG129)</f>
        <v/>
      </c>
      <c r="AX84" s="568" t="str">
        <f>IF(AX$67="","",Underwriting!BH129)</f>
        <v/>
      </c>
      <c r="AY84" s="568" t="str">
        <f>IF(AY$67="","",Underwriting!BI129)</f>
        <v/>
      </c>
      <c r="AZ84" s="568" t="str">
        <f>IF(AZ$67="","",Underwriting!BJ129)</f>
        <v/>
      </c>
      <c r="BA84" s="568" t="str">
        <f>IF(BA$67="","",Underwriting!BK129)</f>
        <v/>
      </c>
      <c r="BB84" s="568" t="str">
        <f>IF(BB$67="","",Underwriting!BL129)</f>
        <v/>
      </c>
      <c r="BC84" s="568" t="str">
        <f>IF(BC$67="","",Underwriting!BM129)</f>
        <v/>
      </c>
      <c r="BD84" s="568" t="str">
        <f>IF(BD$67="","",Underwriting!BN129)</f>
        <v/>
      </c>
      <c r="BE84" s="568" t="str">
        <f>IF(BE$67="","",Underwriting!BO129)</f>
        <v/>
      </c>
      <c r="BF84" s="568" t="str">
        <f>IF(BF$67="","",Underwriting!BP129)</f>
        <v/>
      </c>
      <c r="BG84" s="568" t="str">
        <f>IF(BG$67="","",Underwriting!BQ129)</f>
        <v/>
      </c>
      <c r="BH84" s="568" t="str">
        <f>IF(BH$67="","",Underwriting!BR129)</f>
        <v/>
      </c>
      <c r="BI84" s="568" t="str">
        <f>IF(BI$67="","",Underwriting!BS129)</f>
        <v/>
      </c>
      <c r="BJ84" s="568" t="str">
        <f>IF(BJ$67="","",Underwriting!BT129)</f>
        <v/>
      </c>
      <c r="BK84" s="568" t="str">
        <f>IF(BK$67="","",Underwriting!BU129)</f>
        <v/>
      </c>
      <c r="BL84" s="568" t="str">
        <f>IF(BL$67="","",Underwriting!BV129)</f>
        <v/>
      </c>
      <c r="BM84" s="568" t="str">
        <f>IF(BM$67="","",Underwriting!BW129)</f>
        <v/>
      </c>
      <c r="BN84" s="568" t="str">
        <f>IF(BN$67="","",Underwriting!BX129)</f>
        <v/>
      </c>
      <c r="BO84" s="568" t="str">
        <f>IF(BO$67="","",Underwriting!BY129)</f>
        <v/>
      </c>
      <c r="BP84" s="568" t="str">
        <f>IF(BP$67="","",Underwriting!BZ129)</f>
        <v/>
      </c>
      <c r="BQ84" s="568" t="str">
        <f>IF(BQ$67="","",Underwriting!CA129)</f>
        <v/>
      </c>
      <c r="BR84" s="568" t="str">
        <f>IF(BR$67="","",Underwriting!CB129)</f>
        <v/>
      </c>
      <c r="BS84" s="568" t="str">
        <f>IF(BS$67="","",Underwriting!CC129)</f>
        <v/>
      </c>
      <c r="BT84" s="568" t="str">
        <f>IF(BT$67="","",Underwriting!CD129)</f>
        <v/>
      </c>
      <c r="BU84" s="568" t="str">
        <f>IF(BU$67="","",Underwriting!CE129)</f>
        <v/>
      </c>
      <c r="BV84" s="568" t="str">
        <f>IF(BV$67="","",Underwriting!CF129)</f>
        <v/>
      </c>
      <c r="BW84" s="568" t="str">
        <f>IF(BW$67="","",Underwriting!CG129)</f>
        <v/>
      </c>
      <c r="BX84" s="568" t="str">
        <f>IF(BX$67="","",Underwriting!CH129)</f>
        <v/>
      </c>
      <c r="BY84" s="568" t="str">
        <f>IF(BY$67="","",Underwriting!CI129)</f>
        <v/>
      </c>
      <c r="BZ84" s="568" t="str">
        <f>IF(BZ$67="","",Underwriting!CJ129)</f>
        <v/>
      </c>
      <c r="CA84" s="568" t="str">
        <f>IF(CA$67="","",Underwriting!CK129)</f>
        <v/>
      </c>
      <c r="CB84" s="568" t="str">
        <f>IF(CB$67="","",Underwriting!CL129)</f>
        <v/>
      </c>
      <c r="CC84" s="568" t="str">
        <f>IF(CC$67="","",Underwriting!CM129)</f>
        <v/>
      </c>
      <c r="CD84" s="568" t="str">
        <f>IF(CD$67="","",Underwriting!CN129)</f>
        <v/>
      </c>
      <c r="CE84" s="568" t="str">
        <f>IF(CE$67="","",Underwriting!CO129)</f>
        <v/>
      </c>
      <c r="CF84" s="568" t="str">
        <f>IF(CF$67="","",Underwriting!CP129)</f>
        <v/>
      </c>
      <c r="CG84" s="568" t="str">
        <f>IF(CG$67="","",Underwriting!CQ129)</f>
        <v/>
      </c>
      <c r="CH84" s="568" t="str">
        <f>IF(CH$67="","",Underwriting!CR129)</f>
        <v/>
      </c>
      <c r="CI84" s="568" t="str">
        <f>IF(CI$67="","",Underwriting!CS129)</f>
        <v/>
      </c>
      <c r="CJ84" s="568" t="str">
        <f>IF(CJ$67="","",Underwriting!CT129)</f>
        <v/>
      </c>
      <c r="CK84" s="568" t="str">
        <f>IF(CK$67="","",Underwriting!CU129)</f>
        <v/>
      </c>
      <c r="CL84" s="568" t="str">
        <f>IF(CL$67="","",Underwriting!CV129)</f>
        <v/>
      </c>
      <c r="CM84" s="568" t="str">
        <f>IF(CM$67="","",Underwriting!CW129)</f>
        <v/>
      </c>
      <c r="CN84" s="568" t="str">
        <f>IF(CN$67="","",Underwriting!CX129)</f>
        <v/>
      </c>
      <c r="CO84" s="568" t="str">
        <f>IF(CO$67="","",Underwriting!CY129)</f>
        <v/>
      </c>
      <c r="CP84" s="568" t="str">
        <f>IF(CP$67="","",Underwriting!CZ129)</f>
        <v/>
      </c>
      <c r="CQ84" s="568" t="str">
        <f>IF(CQ$67="","",Underwriting!DA129)</f>
        <v/>
      </c>
      <c r="CR84" s="568" t="str">
        <f>IF(CR$67="","",Underwriting!DB129)</f>
        <v/>
      </c>
      <c r="CS84" s="568" t="str">
        <f>IF(CS$67="","",Underwriting!DC129)</f>
        <v/>
      </c>
      <c r="CT84" s="568" t="str">
        <f>IF(CT$67="","",Underwriting!DD129)</f>
        <v/>
      </c>
      <c r="CU84" s="568" t="str">
        <f>IF(CU$67="","",Underwriting!DE129)</f>
        <v/>
      </c>
      <c r="CV84" s="568" t="str">
        <f>IF(CV$67="","",Underwriting!DF129)</f>
        <v/>
      </c>
      <c r="CW84" s="568" t="str">
        <f>IF(CW$67="","",Underwriting!DG129)</f>
        <v/>
      </c>
      <c r="CX84" s="568" t="str">
        <f>IF(CX$67="","",Underwriting!DH129)</f>
        <v/>
      </c>
      <c r="CY84" s="568" t="str">
        <f>IF(CY$67="","",Underwriting!DI129)</f>
        <v/>
      </c>
      <c r="CZ84" s="568" t="str">
        <f>IF(CZ$67="","",Underwriting!DJ129)</f>
        <v/>
      </c>
      <c r="DA84" s="568" t="str">
        <f>IF(DA$67="","",Underwriting!DK129)</f>
        <v/>
      </c>
      <c r="DB84" s="568" t="str">
        <f>IF(DB$67="","",Underwriting!DL129)</f>
        <v/>
      </c>
      <c r="DC84" s="568" t="str">
        <f>IF(DC$67="","",Underwriting!DM129)</f>
        <v/>
      </c>
      <c r="DD84" s="568" t="str">
        <f>IF(DD$67="","",Underwriting!DN129)</f>
        <v/>
      </c>
      <c r="DE84" s="568" t="str">
        <f>IF(DE$67="","",Underwriting!DO129)</f>
        <v/>
      </c>
      <c r="DF84" s="568" t="str">
        <f>IF(DF$67="","",Underwriting!DP129)</f>
        <v/>
      </c>
      <c r="DG84" s="568" t="str">
        <f>IF(DG$67="","",Underwriting!DQ129)</f>
        <v/>
      </c>
      <c r="DH84" s="568" t="str">
        <f>IF(DH$67="","",Underwriting!DR129)</f>
        <v/>
      </c>
      <c r="DI84" s="568" t="str">
        <f>IF(DI$67="","",Underwriting!DS129)</f>
        <v/>
      </c>
      <c r="DJ84" s="568" t="str">
        <f>IF(DJ$67="","",Underwriting!DT129)</f>
        <v/>
      </c>
      <c r="DK84" s="568" t="str">
        <f>IF(DK$67="","",Underwriting!DU129)</f>
        <v/>
      </c>
      <c r="DL84" s="568" t="str">
        <f>IF(DL$67="","",Underwriting!DV129)</f>
        <v/>
      </c>
      <c r="DM84" s="568" t="str">
        <f>IF(DM$67="","",Underwriting!DW129)</f>
        <v/>
      </c>
      <c r="DN84" s="568" t="str">
        <f>IF(DN$67="","",Underwriting!DX129)</f>
        <v/>
      </c>
      <c r="DO84" s="568" t="str">
        <f>IF(DO$67="","",Underwriting!DY129)</f>
        <v/>
      </c>
      <c r="DP84" s="568" t="str">
        <f>IF(DP$67="","",Underwriting!DZ129)</f>
        <v/>
      </c>
      <c r="DQ84" s="568" t="str">
        <f>IF(DQ$67="","",Underwriting!EA129)</f>
        <v/>
      </c>
      <c r="DR84" s="568" t="str">
        <f>IF(DR$67="","",Underwriting!EB129)</f>
        <v/>
      </c>
      <c r="DS84" s="568" t="str">
        <f>IF(DS$67="","",Underwriting!EC129)</f>
        <v/>
      </c>
      <c r="DT84" s="568" t="str">
        <f>IF(DT$67="","",Underwriting!ED129)</f>
        <v/>
      </c>
      <c r="DU84" s="568" t="str">
        <f>IF(DU$67="","",Underwriting!EE129)</f>
        <v/>
      </c>
      <c r="DV84" s="568" t="str">
        <f>IF(DV$67="","",Underwriting!EF129)</f>
        <v/>
      </c>
      <c r="DW84" s="568" t="str">
        <f>IF(DW$67="","",Underwriting!EG129)</f>
        <v/>
      </c>
      <c r="DX84" s="568" t="str">
        <f>IF(DX$67="","",Underwriting!EH129)</f>
        <v/>
      </c>
      <c r="DY84" s="568" t="str">
        <f>IF(DY$67="","",Underwriting!EI129)</f>
        <v/>
      </c>
      <c r="DZ84" s="568" t="str">
        <f>IF(DZ$67="","",Underwriting!EJ129)</f>
        <v/>
      </c>
      <c r="EA84" s="568" t="str">
        <f>IF(EA$67="","",Underwriting!EK129)</f>
        <v/>
      </c>
      <c r="EB84" s="568" t="str">
        <f>IF(EB$67="","",Underwriting!EL129)</f>
        <v/>
      </c>
      <c r="EC84" s="568" t="str">
        <f>IF(EC$67="","",Underwriting!EM129)</f>
        <v/>
      </c>
      <c r="ED84" s="568" t="str">
        <f>IF(ED$67="","",Underwriting!EN129)</f>
        <v/>
      </c>
      <c r="EE84" s="568" t="str">
        <f>IF(EE$67="","",Underwriting!EO129)</f>
        <v/>
      </c>
      <c r="EF84" s="568" t="str">
        <f>IF(EF$67="","",Underwriting!EP129)</f>
        <v/>
      </c>
      <c r="EG84" s="568" t="str">
        <f>IF(EG$67="","",Underwriting!EQ129)</f>
        <v/>
      </c>
      <c r="EH84" s="568" t="str">
        <f>IF(EH$67="","",Underwriting!ER129)</f>
        <v/>
      </c>
      <c r="EI84" s="568" t="str">
        <f>IF(EI$67="","",Underwriting!ES129)</f>
        <v/>
      </c>
    </row>
    <row r="85" spans="2:139" outlineLevel="1" x14ac:dyDescent="0.25">
      <c r="B85" s="621" t="s">
        <v>134</v>
      </c>
      <c r="C85" s="448"/>
      <c r="D85" s="448"/>
      <c r="E85" s="448"/>
      <c r="F85" s="448"/>
      <c r="G85" s="569">
        <f>IF(G$67="","",Underwriting!Q130)</f>
        <v>0</v>
      </c>
      <c r="H85" s="569">
        <f>IF(H$67="","",Underwriting!R130)</f>
        <v>0</v>
      </c>
      <c r="I85" s="569">
        <f>IF(I$67="","",Underwriting!S130)</f>
        <v>0</v>
      </c>
      <c r="J85" s="569">
        <f>IF(J$67="","",Underwriting!T130)</f>
        <v>0</v>
      </c>
      <c r="K85" s="569">
        <f>IF(K$67="","",Underwriting!U130)</f>
        <v>0</v>
      </c>
      <c r="L85" s="569">
        <f>IF(L$67="","",Underwriting!V130)</f>
        <v>0</v>
      </c>
      <c r="M85" s="569">
        <f>IF(M$67="","",Underwriting!W130)</f>
        <v>0</v>
      </c>
      <c r="N85" s="569">
        <f>IF(N$67="","",Underwriting!X130)</f>
        <v>0</v>
      </c>
      <c r="O85" s="569">
        <f>IF(O$67="","",Underwriting!Y130)</f>
        <v>0</v>
      </c>
      <c r="P85" s="569">
        <f>IF(P$67="","",Underwriting!Z130)</f>
        <v>0</v>
      </c>
      <c r="Q85" s="569">
        <f>IF(Q$67="","",Underwriting!AA130)</f>
        <v>0</v>
      </c>
      <c r="R85" s="569">
        <f>IF(R$67="","",Underwriting!AB130)</f>
        <v>0</v>
      </c>
      <c r="S85" s="569">
        <f>IF(S$67="","",Underwriting!AC130)</f>
        <v>2049.3066666666668</v>
      </c>
      <c r="T85" s="569">
        <f>IF(T$67="","",Underwriting!AD130)</f>
        <v>2049.3066666666668</v>
      </c>
      <c r="U85" s="569">
        <f>IF(U$67="","",Underwriting!AE130)</f>
        <v>2049.3066666666668</v>
      </c>
      <c r="V85" s="569">
        <f>IF(V$67="","",Underwriting!AF130)</f>
        <v>2049.3066666666668</v>
      </c>
      <c r="W85" s="569">
        <f>IF(W$67="","",Underwriting!AG130)</f>
        <v>2049.3066666666668</v>
      </c>
      <c r="X85" s="569">
        <f>IF(X$67="","",Underwriting!AH130)</f>
        <v>2049.3066666666668</v>
      </c>
      <c r="Y85" s="569">
        <f>IF(Y$67="","",Underwriting!AI130)</f>
        <v>2049.3066666666668</v>
      </c>
      <c r="Z85" s="569">
        <f>IF(Z$67="","",Underwriting!AJ130)</f>
        <v>2049.3066666666668</v>
      </c>
      <c r="AA85" s="569">
        <f>IF(AA$67="","",Underwriting!AK130)</f>
        <v>2049.3066666666668</v>
      </c>
      <c r="AB85" s="569">
        <f>IF(AB$67="","",Underwriting!AL130)</f>
        <v>2049.3066666666668</v>
      </c>
      <c r="AC85" s="569">
        <f>IF(AC$67="","",Underwriting!AM130)</f>
        <v>2049.3066666666668</v>
      </c>
      <c r="AD85" s="569">
        <f>IF(AD$67="","",Underwriting!AN130)</f>
        <v>2049.3066666666668</v>
      </c>
      <c r="AE85" s="569">
        <f>IF(AE$67="","",Underwriting!AO130)</f>
        <v>3135.4392000000003</v>
      </c>
      <c r="AF85" s="569">
        <f>IF(AF$67="","",Underwriting!AP130)</f>
        <v>3135.4392000000003</v>
      </c>
      <c r="AG85" s="569">
        <f>IF(AG$67="","",Underwriting!AQ130)</f>
        <v>3135.4392000000003</v>
      </c>
      <c r="AH85" s="569">
        <f>IF(AH$67="","",Underwriting!AR130)</f>
        <v>3135.4392000000003</v>
      </c>
      <c r="AI85" s="569">
        <f>IF(AI$67="","",Underwriting!AS130)</f>
        <v>3135.4392000000003</v>
      </c>
      <c r="AJ85" s="569">
        <f>IF(AJ$67="","",Underwriting!AT130)</f>
        <v>3135.4392000000003</v>
      </c>
      <c r="AK85" s="569">
        <f>IF(AK$67="","",Underwriting!AU130)</f>
        <v>3135.4392000000003</v>
      </c>
      <c r="AL85" s="569">
        <f>IF(AL$67="","",Underwriting!AV130)</f>
        <v>3135.4392000000003</v>
      </c>
      <c r="AM85" s="569">
        <f>IF(AM$67="","",Underwriting!AW130)</f>
        <v>3135.4392000000003</v>
      </c>
      <c r="AN85" s="569">
        <f>IF(AN$67="","",Underwriting!AX130)</f>
        <v>3135.4392000000003</v>
      </c>
      <c r="AO85" s="569">
        <f>IF(AO$67="","",Underwriting!AY130)</f>
        <v>3135.4392000000003</v>
      </c>
      <c r="AP85" s="569">
        <f>IF(AP$67="","",Underwriting!AZ130)</f>
        <v>3135.4392000000003</v>
      </c>
      <c r="AQ85" s="569">
        <f>IF(AQ$67="","",Underwriting!BA130)</f>
        <v>4264.1973120000002</v>
      </c>
      <c r="AR85" s="569" t="str">
        <f>IF(AR$67="","",Underwriting!BB130)</f>
        <v/>
      </c>
      <c r="AS85" s="569" t="str">
        <f>IF(AS$67="","",Underwriting!BC130)</f>
        <v/>
      </c>
      <c r="AT85" s="569" t="str">
        <f>IF(AT$67="","",Underwriting!BD130)</f>
        <v/>
      </c>
      <c r="AU85" s="569" t="str">
        <f>IF(AU$67="","",Underwriting!BE130)</f>
        <v/>
      </c>
      <c r="AV85" s="569" t="str">
        <f>IF(AV$67="","",Underwriting!BF130)</f>
        <v/>
      </c>
      <c r="AW85" s="569" t="str">
        <f>IF(AW$67="","",Underwriting!BG130)</f>
        <v/>
      </c>
      <c r="AX85" s="569" t="str">
        <f>IF(AX$67="","",Underwriting!BH130)</f>
        <v/>
      </c>
      <c r="AY85" s="569" t="str">
        <f>IF(AY$67="","",Underwriting!BI130)</f>
        <v/>
      </c>
      <c r="AZ85" s="569" t="str">
        <f>IF(AZ$67="","",Underwriting!BJ130)</f>
        <v/>
      </c>
      <c r="BA85" s="569" t="str">
        <f>IF(BA$67="","",Underwriting!BK130)</f>
        <v/>
      </c>
      <c r="BB85" s="569" t="str">
        <f>IF(BB$67="","",Underwriting!BL130)</f>
        <v/>
      </c>
      <c r="BC85" s="569" t="str">
        <f>IF(BC$67="","",Underwriting!BM130)</f>
        <v/>
      </c>
      <c r="BD85" s="569" t="str">
        <f>IF(BD$67="","",Underwriting!BN130)</f>
        <v/>
      </c>
      <c r="BE85" s="569" t="str">
        <f>IF(BE$67="","",Underwriting!BO130)</f>
        <v/>
      </c>
      <c r="BF85" s="569" t="str">
        <f>IF(BF$67="","",Underwriting!BP130)</f>
        <v/>
      </c>
      <c r="BG85" s="569" t="str">
        <f>IF(BG$67="","",Underwriting!BQ130)</f>
        <v/>
      </c>
      <c r="BH85" s="569" t="str">
        <f>IF(BH$67="","",Underwriting!BR130)</f>
        <v/>
      </c>
      <c r="BI85" s="569" t="str">
        <f>IF(BI$67="","",Underwriting!BS130)</f>
        <v/>
      </c>
      <c r="BJ85" s="569" t="str">
        <f>IF(BJ$67="","",Underwriting!BT130)</f>
        <v/>
      </c>
      <c r="BK85" s="569" t="str">
        <f>IF(BK$67="","",Underwriting!BU130)</f>
        <v/>
      </c>
      <c r="BL85" s="569" t="str">
        <f>IF(BL$67="","",Underwriting!BV130)</f>
        <v/>
      </c>
      <c r="BM85" s="569" t="str">
        <f>IF(BM$67="","",Underwriting!BW130)</f>
        <v/>
      </c>
      <c r="BN85" s="569" t="str">
        <f>IF(BN$67="","",Underwriting!BX130)</f>
        <v/>
      </c>
      <c r="BO85" s="569" t="str">
        <f>IF(BO$67="","",Underwriting!BY130)</f>
        <v/>
      </c>
      <c r="BP85" s="569" t="str">
        <f>IF(BP$67="","",Underwriting!BZ130)</f>
        <v/>
      </c>
      <c r="BQ85" s="569" t="str">
        <f>IF(BQ$67="","",Underwriting!CA130)</f>
        <v/>
      </c>
      <c r="BR85" s="569" t="str">
        <f>IF(BR$67="","",Underwriting!CB130)</f>
        <v/>
      </c>
      <c r="BS85" s="569" t="str">
        <f>IF(BS$67="","",Underwriting!CC130)</f>
        <v/>
      </c>
      <c r="BT85" s="569" t="str">
        <f>IF(BT$67="","",Underwriting!CD130)</f>
        <v/>
      </c>
      <c r="BU85" s="569" t="str">
        <f>IF(BU$67="","",Underwriting!CE130)</f>
        <v/>
      </c>
      <c r="BV85" s="569" t="str">
        <f>IF(BV$67="","",Underwriting!CF130)</f>
        <v/>
      </c>
      <c r="BW85" s="569" t="str">
        <f>IF(BW$67="","",Underwriting!CG130)</f>
        <v/>
      </c>
      <c r="BX85" s="569" t="str">
        <f>IF(BX$67="","",Underwriting!CH130)</f>
        <v/>
      </c>
      <c r="BY85" s="569" t="str">
        <f>IF(BY$67="","",Underwriting!CI130)</f>
        <v/>
      </c>
      <c r="BZ85" s="569" t="str">
        <f>IF(BZ$67="","",Underwriting!CJ130)</f>
        <v/>
      </c>
      <c r="CA85" s="569" t="str">
        <f>IF(CA$67="","",Underwriting!CK130)</f>
        <v/>
      </c>
      <c r="CB85" s="569" t="str">
        <f>IF(CB$67="","",Underwriting!CL130)</f>
        <v/>
      </c>
      <c r="CC85" s="569" t="str">
        <f>IF(CC$67="","",Underwriting!CM130)</f>
        <v/>
      </c>
      <c r="CD85" s="569" t="str">
        <f>IF(CD$67="","",Underwriting!CN130)</f>
        <v/>
      </c>
      <c r="CE85" s="569" t="str">
        <f>IF(CE$67="","",Underwriting!CO130)</f>
        <v/>
      </c>
      <c r="CF85" s="569" t="str">
        <f>IF(CF$67="","",Underwriting!CP130)</f>
        <v/>
      </c>
      <c r="CG85" s="569" t="str">
        <f>IF(CG$67="","",Underwriting!CQ130)</f>
        <v/>
      </c>
      <c r="CH85" s="569" t="str">
        <f>IF(CH$67="","",Underwriting!CR130)</f>
        <v/>
      </c>
      <c r="CI85" s="569" t="str">
        <f>IF(CI$67="","",Underwriting!CS130)</f>
        <v/>
      </c>
      <c r="CJ85" s="569" t="str">
        <f>IF(CJ$67="","",Underwriting!CT130)</f>
        <v/>
      </c>
      <c r="CK85" s="569" t="str">
        <f>IF(CK$67="","",Underwriting!CU130)</f>
        <v/>
      </c>
      <c r="CL85" s="569" t="str">
        <f>IF(CL$67="","",Underwriting!CV130)</f>
        <v/>
      </c>
      <c r="CM85" s="569" t="str">
        <f>IF(CM$67="","",Underwriting!CW130)</f>
        <v/>
      </c>
      <c r="CN85" s="569" t="str">
        <f>IF(CN$67="","",Underwriting!CX130)</f>
        <v/>
      </c>
      <c r="CO85" s="569" t="str">
        <f>IF(CO$67="","",Underwriting!CY130)</f>
        <v/>
      </c>
      <c r="CP85" s="569" t="str">
        <f>IF(CP$67="","",Underwriting!CZ130)</f>
        <v/>
      </c>
      <c r="CQ85" s="569" t="str">
        <f>IF(CQ$67="","",Underwriting!DA130)</f>
        <v/>
      </c>
      <c r="CR85" s="569" t="str">
        <f>IF(CR$67="","",Underwriting!DB130)</f>
        <v/>
      </c>
      <c r="CS85" s="569" t="str">
        <f>IF(CS$67="","",Underwriting!DC130)</f>
        <v/>
      </c>
      <c r="CT85" s="569" t="str">
        <f>IF(CT$67="","",Underwriting!DD130)</f>
        <v/>
      </c>
      <c r="CU85" s="569" t="str">
        <f>IF(CU$67="","",Underwriting!DE130)</f>
        <v/>
      </c>
      <c r="CV85" s="569" t="str">
        <f>IF(CV$67="","",Underwriting!DF130)</f>
        <v/>
      </c>
      <c r="CW85" s="569" t="str">
        <f>IF(CW$67="","",Underwriting!DG130)</f>
        <v/>
      </c>
      <c r="CX85" s="569" t="str">
        <f>IF(CX$67="","",Underwriting!DH130)</f>
        <v/>
      </c>
      <c r="CY85" s="569" t="str">
        <f>IF(CY$67="","",Underwriting!DI130)</f>
        <v/>
      </c>
      <c r="CZ85" s="569" t="str">
        <f>IF(CZ$67="","",Underwriting!DJ130)</f>
        <v/>
      </c>
      <c r="DA85" s="569" t="str">
        <f>IF(DA$67="","",Underwriting!DK130)</f>
        <v/>
      </c>
      <c r="DB85" s="569" t="str">
        <f>IF(DB$67="","",Underwriting!DL130)</f>
        <v/>
      </c>
      <c r="DC85" s="569" t="str">
        <f>IF(DC$67="","",Underwriting!DM130)</f>
        <v/>
      </c>
      <c r="DD85" s="569" t="str">
        <f>IF(DD$67="","",Underwriting!DN130)</f>
        <v/>
      </c>
      <c r="DE85" s="569" t="str">
        <f>IF(DE$67="","",Underwriting!DO130)</f>
        <v/>
      </c>
      <c r="DF85" s="569" t="str">
        <f>IF(DF$67="","",Underwriting!DP130)</f>
        <v/>
      </c>
      <c r="DG85" s="569" t="str">
        <f>IF(DG$67="","",Underwriting!DQ130)</f>
        <v/>
      </c>
      <c r="DH85" s="569" t="str">
        <f>IF(DH$67="","",Underwriting!DR130)</f>
        <v/>
      </c>
      <c r="DI85" s="569" t="str">
        <f>IF(DI$67="","",Underwriting!DS130)</f>
        <v/>
      </c>
      <c r="DJ85" s="569" t="str">
        <f>IF(DJ$67="","",Underwriting!DT130)</f>
        <v/>
      </c>
      <c r="DK85" s="569" t="str">
        <f>IF(DK$67="","",Underwriting!DU130)</f>
        <v/>
      </c>
      <c r="DL85" s="569" t="str">
        <f>IF(DL$67="","",Underwriting!DV130)</f>
        <v/>
      </c>
      <c r="DM85" s="569" t="str">
        <f>IF(DM$67="","",Underwriting!DW130)</f>
        <v/>
      </c>
      <c r="DN85" s="569" t="str">
        <f>IF(DN$67="","",Underwriting!DX130)</f>
        <v/>
      </c>
      <c r="DO85" s="569" t="str">
        <f>IF(DO$67="","",Underwriting!DY130)</f>
        <v/>
      </c>
      <c r="DP85" s="569" t="str">
        <f>IF(DP$67="","",Underwriting!DZ130)</f>
        <v/>
      </c>
      <c r="DQ85" s="569" t="str">
        <f>IF(DQ$67="","",Underwriting!EA130)</f>
        <v/>
      </c>
      <c r="DR85" s="569" t="str">
        <f>IF(DR$67="","",Underwriting!EB130)</f>
        <v/>
      </c>
      <c r="DS85" s="569" t="str">
        <f>IF(DS$67="","",Underwriting!EC130)</f>
        <v/>
      </c>
      <c r="DT85" s="569" t="str">
        <f>IF(DT$67="","",Underwriting!ED130)</f>
        <v/>
      </c>
      <c r="DU85" s="569" t="str">
        <f>IF(DU$67="","",Underwriting!EE130)</f>
        <v/>
      </c>
      <c r="DV85" s="569" t="str">
        <f>IF(DV$67="","",Underwriting!EF130)</f>
        <v/>
      </c>
      <c r="DW85" s="569" t="str">
        <f>IF(DW$67="","",Underwriting!EG130)</f>
        <v/>
      </c>
      <c r="DX85" s="569" t="str">
        <f>IF(DX$67="","",Underwriting!EH130)</f>
        <v/>
      </c>
      <c r="DY85" s="569" t="str">
        <f>IF(DY$67="","",Underwriting!EI130)</f>
        <v/>
      </c>
      <c r="DZ85" s="569" t="str">
        <f>IF(DZ$67="","",Underwriting!EJ130)</f>
        <v/>
      </c>
      <c r="EA85" s="569" t="str">
        <f>IF(EA$67="","",Underwriting!EK130)</f>
        <v/>
      </c>
      <c r="EB85" s="569" t="str">
        <f>IF(EB$67="","",Underwriting!EL130)</f>
        <v/>
      </c>
      <c r="EC85" s="569" t="str">
        <f>IF(EC$67="","",Underwriting!EM130)</f>
        <v/>
      </c>
      <c r="ED85" s="569" t="str">
        <f>IF(ED$67="","",Underwriting!EN130)</f>
        <v/>
      </c>
      <c r="EE85" s="569" t="str">
        <f>IF(EE$67="","",Underwriting!EO130)</f>
        <v/>
      </c>
      <c r="EF85" s="569" t="str">
        <f>IF(EF$67="","",Underwriting!EP130)</f>
        <v/>
      </c>
      <c r="EG85" s="569" t="str">
        <f>IF(EG$67="","",Underwriting!EQ130)</f>
        <v/>
      </c>
      <c r="EH85" s="569" t="str">
        <f>IF(EH$67="","",Underwriting!ER130)</f>
        <v/>
      </c>
      <c r="EI85" s="569" t="str">
        <f>IF(EI$67="","",Underwriting!ES130)</f>
        <v/>
      </c>
    </row>
    <row r="86" spans="2:139" outlineLevel="1" x14ac:dyDescent="0.25">
      <c r="B86" s="448" t="s">
        <v>135</v>
      </c>
      <c r="C86" s="448"/>
      <c r="D86" s="448"/>
      <c r="E86" s="448"/>
      <c r="F86" s="448"/>
      <c r="G86" s="568">
        <f>IF(G$67="","",SUM(G76:G85))</f>
        <v>0</v>
      </c>
      <c r="H86" s="568">
        <f t="shared" ref="H86:BS86" ca="1" si="47">IF(H$67="","",SUM(H76:H85))</f>
        <v>0</v>
      </c>
      <c r="I86" s="568">
        <f t="shared" ca="1" si="47"/>
        <v>0</v>
      </c>
      <c r="J86" s="568">
        <f t="shared" ca="1" si="47"/>
        <v>0</v>
      </c>
      <c r="K86" s="568">
        <f t="shared" ca="1" si="47"/>
        <v>0</v>
      </c>
      <c r="L86" s="568">
        <f t="shared" ca="1" si="47"/>
        <v>0</v>
      </c>
      <c r="M86" s="568">
        <f t="shared" ca="1" si="47"/>
        <v>0</v>
      </c>
      <c r="N86" s="568">
        <f t="shared" ca="1" si="47"/>
        <v>0</v>
      </c>
      <c r="O86" s="568">
        <f t="shared" ca="1" si="47"/>
        <v>0</v>
      </c>
      <c r="P86" s="568">
        <f t="shared" ca="1" si="47"/>
        <v>0</v>
      </c>
      <c r="Q86" s="568">
        <f t="shared" ca="1" si="47"/>
        <v>0</v>
      </c>
      <c r="R86" s="568">
        <f t="shared" ca="1" si="47"/>
        <v>0</v>
      </c>
      <c r="S86" s="568">
        <f t="shared" ca="1" si="47"/>
        <v>6332.1816666666673</v>
      </c>
      <c r="T86" s="568">
        <f t="shared" ca="1" si="47"/>
        <v>7037.7441666666673</v>
      </c>
      <c r="U86" s="568">
        <f t="shared" ca="1" si="47"/>
        <v>7743.3066666666673</v>
      </c>
      <c r="V86" s="568">
        <f t="shared" ca="1" si="47"/>
        <v>7743.3066666666673</v>
      </c>
      <c r="W86" s="568">
        <f t="shared" ca="1" si="47"/>
        <v>7743.3066666666673</v>
      </c>
      <c r="X86" s="568">
        <f t="shared" ca="1" si="47"/>
        <v>7743.3066666666673</v>
      </c>
      <c r="Y86" s="568">
        <f t="shared" ca="1" si="47"/>
        <v>7743.3066666666673</v>
      </c>
      <c r="Z86" s="568">
        <f t="shared" ca="1" si="47"/>
        <v>7743.3066666666673</v>
      </c>
      <c r="AA86" s="568">
        <f t="shared" ca="1" si="47"/>
        <v>7743.3066666666673</v>
      </c>
      <c r="AB86" s="568">
        <f t="shared" ca="1" si="47"/>
        <v>7743.3066666666673</v>
      </c>
      <c r="AC86" s="568">
        <f t="shared" ca="1" si="47"/>
        <v>7743.3066666666673</v>
      </c>
      <c r="AD86" s="568">
        <f t="shared" ca="1" si="47"/>
        <v>7743.3066666666673</v>
      </c>
      <c r="AE86" s="568">
        <f t="shared" ca="1" si="47"/>
        <v>8925.2692000000006</v>
      </c>
      <c r="AF86" s="568">
        <f t="shared" ca="1" si="47"/>
        <v>8941.5141999999996</v>
      </c>
      <c r="AG86" s="568">
        <f t="shared" ca="1" si="47"/>
        <v>8957.7592000000004</v>
      </c>
      <c r="AH86" s="568">
        <f t="shared" ca="1" si="47"/>
        <v>8957.7592000000004</v>
      </c>
      <c r="AI86" s="568">
        <f t="shared" ca="1" si="47"/>
        <v>8957.7592000000004</v>
      </c>
      <c r="AJ86" s="568">
        <f t="shared" ca="1" si="47"/>
        <v>8957.7592000000004</v>
      </c>
      <c r="AK86" s="568">
        <f t="shared" ca="1" si="47"/>
        <v>8957.7592000000004</v>
      </c>
      <c r="AL86" s="568">
        <f t="shared" ca="1" si="47"/>
        <v>8957.7592000000004</v>
      </c>
      <c r="AM86" s="568">
        <f t="shared" ca="1" si="47"/>
        <v>8957.7592000000004</v>
      </c>
      <c r="AN86" s="568">
        <f t="shared" ca="1" si="47"/>
        <v>8957.7592000000004</v>
      </c>
      <c r="AO86" s="568">
        <f t="shared" ca="1" si="47"/>
        <v>8957.7592000000004</v>
      </c>
      <c r="AP86" s="568">
        <f t="shared" ca="1" si="47"/>
        <v>8957.7592000000004</v>
      </c>
      <c r="AQ86" s="568">
        <f t="shared" ca="1" si="47"/>
        <v>10184.372212</v>
      </c>
      <c r="AR86" s="568" t="str">
        <f t="shared" si="47"/>
        <v/>
      </c>
      <c r="AS86" s="568" t="str">
        <f t="shared" si="47"/>
        <v/>
      </c>
      <c r="AT86" s="568" t="str">
        <f t="shared" si="47"/>
        <v/>
      </c>
      <c r="AU86" s="568" t="str">
        <f t="shared" si="47"/>
        <v/>
      </c>
      <c r="AV86" s="568" t="str">
        <f t="shared" si="47"/>
        <v/>
      </c>
      <c r="AW86" s="568" t="str">
        <f t="shared" si="47"/>
        <v/>
      </c>
      <c r="AX86" s="568" t="str">
        <f t="shared" si="47"/>
        <v/>
      </c>
      <c r="AY86" s="568" t="str">
        <f t="shared" si="47"/>
        <v/>
      </c>
      <c r="AZ86" s="568" t="str">
        <f t="shared" si="47"/>
        <v/>
      </c>
      <c r="BA86" s="568" t="str">
        <f t="shared" si="47"/>
        <v/>
      </c>
      <c r="BB86" s="568" t="str">
        <f t="shared" si="47"/>
        <v/>
      </c>
      <c r="BC86" s="568" t="str">
        <f t="shared" si="47"/>
        <v/>
      </c>
      <c r="BD86" s="568" t="str">
        <f t="shared" si="47"/>
        <v/>
      </c>
      <c r="BE86" s="568" t="str">
        <f t="shared" si="47"/>
        <v/>
      </c>
      <c r="BF86" s="568" t="str">
        <f t="shared" si="47"/>
        <v/>
      </c>
      <c r="BG86" s="568" t="str">
        <f t="shared" si="47"/>
        <v/>
      </c>
      <c r="BH86" s="568" t="str">
        <f t="shared" si="47"/>
        <v/>
      </c>
      <c r="BI86" s="568" t="str">
        <f t="shared" si="47"/>
        <v/>
      </c>
      <c r="BJ86" s="568" t="str">
        <f t="shared" si="47"/>
        <v/>
      </c>
      <c r="BK86" s="568" t="str">
        <f t="shared" si="47"/>
        <v/>
      </c>
      <c r="BL86" s="568" t="str">
        <f t="shared" si="47"/>
        <v/>
      </c>
      <c r="BM86" s="568" t="str">
        <f t="shared" si="47"/>
        <v/>
      </c>
      <c r="BN86" s="568" t="str">
        <f t="shared" si="47"/>
        <v/>
      </c>
      <c r="BO86" s="568" t="str">
        <f t="shared" si="47"/>
        <v/>
      </c>
      <c r="BP86" s="568" t="str">
        <f t="shared" si="47"/>
        <v/>
      </c>
      <c r="BQ86" s="568" t="str">
        <f t="shared" si="47"/>
        <v/>
      </c>
      <c r="BR86" s="568" t="str">
        <f t="shared" si="47"/>
        <v/>
      </c>
      <c r="BS86" s="568" t="str">
        <f t="shared" si="47"/>
        <v/>
      </c>
      <c r="BT86" s="568" t="str">
        <f t="shared" ref="BT86:EE86" si="48">IF(BT$67="","",SUM(BT76:BT85))</f>
        <v/>
      </c>
      <c r="BU86" s="568" t="str">
        <f t="shared" si="48"/>
        <v/>
      </c>
      <c r="BV86" s="568" t="str">
        <f t="shared" si="48"/>
        <v/>
      </c>
      <c r="BW86" s="568" t="str">
        <f t="shared" si="48"/>
        <v/>
      </c>
      <c r="BX86" s="568" t="str">
        <f t="shared" si="48"/>
        <v/>
      </c>
      <c r="BY86" s="568" t="str">
        <f t="shared" si="48"/>
        <v/>
      </c>
      <c r="BZ86" s="568" t="str">
        <f t="shared" si="48"/>
        <v/>
      </c>
      <c r="CA86" s="568" t="str">
        <f t="shared" si="48"/>
        <v/>
      </c>
      <c r="CB86" s="568" t="str">
        <f t="shared" si="48"/>
        <v/>
      </c>
      <c r="CC86" s="568" t="str">
        <f t="shared" si="48"/>
        <v/>
      </c>
      <c r="CD86" s="568" t="str">
        <f t="shared" si="48"/>
        <v/>
      </c>
      <c r="CE86" s="568" t="str">
        <f t="shared" si="48"/>
        <v/>
      </c>
      <c r="CF86" s="568" t="str">
        <f t="shared" si="48"/>
        <v/>
      </c>
      <c r="CG86" s="568" t="str">
        <f t="shared" si="48"/>
        <v/>
      </c>
      <c r="CH86" s="568" t="str">
        <f t="shared" si="48"/>
        <v/>
      </c>
      <c r="CI86" s="568" t="str">
        <f t="shared" si="48"/>
        <v/>
      </c>
      <c r="CJ86" s="568" t="str">
        <f t="shared" si="48"/>
        <v/>
      </c>
      <c r="CK86" s="568" t="str">
        <f t="shared" si="48"/>
        <v/>
      </c>
      <c r="CL86" s="568" t="str">
        <f t="shared" si="48"/>
        <v/>
      </c>
      <c r="CM86" s="568" t="str">
        <f t="shared" si="48"/>
        <v/>
      </c>
      <c r="CN86" s="568" t="str">
        <f t="shared" si="48"/>
        <v/>
      </c>
      <c r="CO86" s="568" t="str">
        <f t="shared" si="48"/>
        <v/>
      </c>
      <c r="CP86" s="568" t="str">
        <f t="shared" si="48"/>
        <v/>
      </c>
      <c r="CQ86" s="568" t="str">
        <f t="shared" si="48"/>
        <v/>
      </c>
      <c r="CR86" s="568" t="str">
        <f t="shared" si="48"/>
        <v/>
      </c>
      <c r="CS86" s="568" t="str">
        <f t="shared" si="48"/>
        <v/>
      </c>
      <c r="CT86" s="568" t="str">
        <f t="shared" si="48"/>
        <v/>
      </c>
      <c r="CU86" s="568" t="str">
        <f t="shared" si="48"/>
        <v/>
      </c>
      <c r="CV86" s="568" t="str">
        <f t="shared" si="48"/>
        <v/>
      </c>
      <c r="CW86" s="568" t="str">
        <f t="shared" si="48"/>
        <v/>
      </c>
      <c r="CX86" s="568" t="str">
        <f t="shared" si="48"/>
        <v/>
      </c>
      <c r="CY86" s="568" t="str">
        <f t="shared" si="48"/>
        <v/>
      </c>
      <c r="CZ86" s="568" t="str">
        <f t="shared" si="48"/>
        <v/>
      </c>
      <c r="DA86" s="568" t="str">
        <f t="shared" si="48"/>
        <v/>
      </c>
      <c r="DB86" s="568" t="str">
        <f t="shared" si="48"/>
        <v/>
      </c>
      <c r="DC86" s="568" t="str">
        <f t="shared" si="48"/>
        <v/>
      </c>
      <c r="DD86" s="568" t="str">
        <f t="shared" si="48"/>
        <v/>
      </c>
      <c r="DE86" s="568" t="str">
        <f t="shared" si="48"/>
        <v/>
      </c>
      <c r="DF86" s="568" t="str">
        <f t="shared" si="48"/>
        <v/>
      </c>
      <c r="DG86" s="568" t="str">
        <f t="shared" si="48"/>
        <v/>
      </c>
      <c r="DH86" s="568" t="str">
        <f t="shared" si="48"/>
        <v/>
      </c>
      <c r="DI86" s="568" t="str">
        <f t="shared" si="48"/>
        <v/>
      </c>
      <c r="DJ86" s="568" t="str">
        <f t="shared" si="48"/>
        <v/>
      </c>
      <c r="DK86" s="568" t="str">
        <f t="shared" si="48"/>
        <v/>
      </c>
      <c r="DL86" s="568" t="str">
        <f t="shared" si="48"/>
        <v/>
      </c>
      <c r="DM86" s="568" t="str">
        <f t="shared" si="48"/>
        <v/>
      </c>
      <c r="DN86" s="568" t="str">
        <f t="shared" si="48"/>
        <v/>
      </c>
      <c r="DO86" s="568" t="str">
        <f t="shared" si="48"/>
        <v/>
      </c>
      <c r="DP86" s="568" t="str">
        <f t="shared" si="48"/>
        <v/>
      </c>
      <c r="DQ86" s="568" t="str">
        <f t="shared" si="48"/>
        <v/>
      </c>
      <c r="DR86" s="568" t="str">
        <f t="shared" si="48"/>
        <v/>
      </c>
      <c r="DS86" s="568" t="str">
        <f t="shared" si="48"/>
        <v/>
      </c>
      <c r="DT86" s="568" t="str">
        <f t="shared" si="48"/>
        <v/>
      </c>
      <c r="DU86" s="568" t="str">
        <f t="shared" si="48"/>
        <v/>
      </c>
      <c r="DV86" s="568" t="str">
        <f t="shared" si="48"/>
        <v/>
      </c>
      <c r="DW86" s="568" t="str">
        <f t="shared" si="48"/>
        <v/>
      </c>
      <c r="DX86" s="568" t="str">
        <f t="shared" si="48"/>
        <v/>
      </c>
      <c r="DY86" s="568" t="str">
        <f t="shared" si="48"/>
        <v/>
      </c>
      <c r="DZ86" s="568" t="str">
        <f t="shared" si="48"/>
        <v/>
      </c>
      <c r="EA86" s="568" t="str">
        <f t="shared" si="48"/>
        <v/>
      </c>
      <c r="EB86" s="568" t="str">
        <f t="shared" si="48"/>
        <v/>
      </c>
      <c r="EC86" s="568" t="str">
        <f t="shared" si="48"/>
        <v/>
      </c>
      <c r="ED86" s="568" t="str">
        <f t="shared" si="48"/>
        <v/>
      </c>
      <c r="EE86" s="568" t="str">
        <f t="shared" si="48"/>
        <v/>
      </c>
      <c r="EF86" s="568" t="str">
        <f t="shared" ref="EF86:EI86" si="49">IF(EF$67="","",SUM(EF76:EF85))</f>
        <v/>
      </c>
      <c r="EG86" s="568" t="str">
        <f t="shared" si="49"/>
        <v/>
      </c>
      <c r="EH86" s="568" t="str">
        <f t="shared" si="49"/>
        <v/>
      </c>
      <c r="EI86" s="568" t="str">
        <f t="shared" si="49"/>
        <v/>
      </c>
    </row>
    <row r="87" spans="2:139" outlineLevel="1" x14ac:dyDescent="0.25">
      <c r="B87" s="448"/>
      <c r="C87" s="448"/>
      <c r="D87" s="448"/>
      <c r="E87" s="448"/>
      <c r="F87" s="448"/>
      <c r="G87" s="568"/>
      <c r="H87" s="568"/>
      <c r="I87" s="568"/>
      <c r="J87" s="568"/>
      <c r="K87" s="568"/>
      <c r="L87" s="568"/>
      <c r="M87" s="568"/>
      <c r="N87" s="568"/>
      <c r="O87" s="568"/>
      <c r="P87" s="568"/>
      <c r="Q87" s="568"/>
      <c r="R87" s="568"/>
      <c r="S87" s="568"/>
      <c r="T87" s="568"/>
      <c r="U87" s="568"/>
      <c r="V87" s="568"/>
      <c r="W87" s="568"/>
      <c r="X87" s="568"/>
      <c r="Y87" s="568"/>
      <c r="Z87" s="568"/>
      <c r="AA87" s="568"/>
      <c r="AB87" s="568"/>
      <c r="AC87" s="568"/>
      <c r="AD87" s="568"/>
      <c r="AE87" s="568"/>
      <c r="AF87" s="568"/>
      <c r="AG87" s="568"/>
      <c r="AH87" s="568"/>
      <c r="AI87" s="568"/>
      <c r="AJ87" s="568"/>
      <c r="AK87" s="568"/>
      <c r="AL87" s="568"/>
      <c r="AM87" s="568"/>
      <c r="AN87" s="568"/>
      <c r="AO87" s="568"/>
      <c r="AP87" s="568"/>
      <c r="AQ87" s="568"/>
      <c r="AR87" s="568"/>
      <c r="AS87" s="568"/>
      <c r="AT87" s="568"/>
      <c r="AU87" s="568"/>
      <c r="AV87" s="568"/>
      <c r="AW87" s="568"/>
      <c r="AX87" s="568"/>
      <c r="AY87" s="568"/>
      <c r="AZ87" s="568"/>
      <c r="BA87" s="568"/>
      <c r="BB87" s="568"/>
      <c r="BC87" s="568"/>
      <c r="BD87" s="568"/>
      <c r="BE87" s="568"/>
      <c r="BF87" s="568"/>
      <c r="BG87" s="568"/>
      <c r="BH87" s="568"/>
      <c r="BI87" s="568"/>
      <c r="BJ87" s="568"/>
      <c r="BK87" s="568"/>
      <c r="BL87" s="568"/>
      <c r="BM87" s="568"/>
      <c r="BN87" s="568"/>
      <c r="BO87" s="568"/>
      <c r="BP87" s="568"/>
      <c r="BQ87" s="568"/>
      <c r="BR87" s="568"/>
      <c r="BS87" s="568"/>
      <c r="BT87" s="568"/>
      <c r="BU87" s="568"/>
      <c r="BV87" s="568"/>
      <c r="BW87" s="568"/>
      <c r="BX87" s="568"/>
      <c r="BY87" s="568"/>
      <c r="BZ87" s="568"/>
      <c r="CA87" s="568"/>
      <c r="CB87" s="568"/>
      <c r="CC87" s="568"/>
      <c r="CD87" s="568"/>
      <c r="CE87" s="568"/>
      <c r="CF87" s="568"/>
      <c r="CG87" s="568"/>
      <c r="CH87" s="568"/>
      <c r="CI87" s="568"/>
      <c r="CJ87" s="568"/>
      <c r="CK87" s="568"/>
      <c r="CL87" s="568"/>
      <c r="CM87" s="568"/>
      <c r="CN87" s="568"/>
      <c r="CO87" s="568"/>
      <c r="CP87" s="568"/>
      <c r="CQ87" s="568"/>
      <c r="CR87" s="568"/>
      <c r="CS87" s="568"/>
      <c r="CT87" s="568"/>
      <c r="CU87" s="568"/>
      <c r="CV87" s="568"/>
      <c r="CW87" s="568"/>
      <c r="CX87" s="568"/>
      <c r="CY87" s="568"/>
      <c r="CZ87" s="568"/>
      <c r="DA87" s="568"/>
      <c r="DB87" s="568"/>
      <c r="DC87" s="568"/>
      <c r="DD87" s="568"/>
      <c r="DE87" s="568"/>
      <c r="DF87" s="568"/>
      <c r="DG87" s="568"/>
      <c r="DH87" s="568"/>
      <c r="DI87" s="568"/>
      <c r="DJ87" s="568"/>
      <c r="DK87" s="568"/>
      <c r="DL87" s="568"/>
      <c r="DM87" s="568"/>
      <c r="DN87" s="568"/>
      <c r="DO87" s="568"/>
      <c r="DP87" s="568"/>
      <c r="DQ87" s="568"/>
      <c r="DR87" s="568"/>
      <c r="DS87" s="568"/>
      <c r="DT87" s="568"/>
      <c r="DU87" s="568"/>
      <c r="DV87" s="568"/>
      <c r="DW87" s="568"/>
      <c r="DX87" s="568"/>
      <c r="DY87" s="568"/>
      <c r="DZ87" s="568"/>
      <c r="EA87" s="568"/>
      <c r="EB87" s="568"/>
      <c r="EC87" s="568"/>
      <c r="ED87" s="568"/>
      <c r="EE87" s="568"/>
      <c r="EF87" s="568"/>
      <c r="EG87" s="568"/>
      <c r="EH87" s="568"/>
      <c r="EI87" s="568"/>
    </row>
    <row r="88" spans="2:139" outlineLevel="1" x14ac:dyDescent="0.25">
      <c r="B88" s="448" t="s">
        <v>154</v>
      </c>
      <c r="C88" s="448"/>
      <c r="D88" s="448"/>
      <c r="E88" s="448"/>
      <c r="F88" s="448"/>
      <c r="G88" s="568">
        <f>IF(G$67="","",G73-G86)</f>
        <v>0</v>
      </c>
      <c r="H88" s="568">
        <f t="shared" ref="H88:BS88" ca="1" si="50">IF(H$67="","",H73-H86)</f>
        <v>0</v>
      </c>
      <c r="I88" s="568">
        <f t="shared" ca="1" si="50"/>
        <v>0</v>
      </c>
      <c r="J88" s="568">
        <f t="shared" ca="1" si="50"/>
        <v>0</v>
      </c>
      <c r="K88" s="568">
        <f t="shared" ca="1" si="50"/>
        <v>0</v>
      </c>
      <c r="L88" s="568">
        <f t="shared" ca="1" si="50"/>
        <v>0</v>
      </c>
      <c r="M88" s="568">
        <f t="shared" ca="1" si="50"/>
        <v>0</v>
      </c>
      <c r="N88" s="568">
        <f t="shared" ca="1" si="50"/>
        <v>0</v>
      </c>
      <c r="O88" s="568">
        <f t="shared" ca="1" si="50"/>
        <v>0</v>
      </c>
      <c r="P88" s="568">
        <f t="shared" ca="1" si="50"/>
        <v>0</v>
      </c>
      <c r="Q88" s="568">
        <f t="shared" ca="1" si="50"/>
        <v>0</v>
      </c>
      <c r="R88" s="568">
        <f t="shared" ca="1" si="50"/>
        <v>0</v>
      </c>
      <c r="S88" s="568">
        <f t="shared" ca="1" si="50"/>
        <v>887.8183333333327</v>
      </c>
      <c r="T88" s="568">
        <f t="shared" ca="1" si="50"/>
        <v>11012.255833333333</v>
      </c>
      <c r="U88" s="568">
        <f t="shared" ca="1" si="50"/>
        <v>21136.693333333333</v>
      </c>
      <c r="V88" s="568">
        <f t="shared" ca="1" si="50"/>
        <v>21136.693333333333</v>
      </c>
      <c r="W88" s="568">
        <f t="shared" ca="1" si="50"/>
        <v>21136.693333333333</v>
      </c>
      <c r="X88" s="568">
        <f t="shared" ca="1" si="50"/>
        <v>21136.693333333333</v>
      </c>
      <c r="Y88" s="568">
        <f t="shared" ca="1" si="50"/>
        <v>21136.693333333333</v>
      </c>
      <c r="Z88" s="568">
        <f t="shared" ca="1" si="50"/>
        <v>21136.693333333333</v>
      </c>
      <c r="AA88" s="568">
        <f t="shared" ca="1" si="50"/>
        <v>21136.693333333333</v>
      </c>
      <c r="AB88" s="568">
        <f t="shared" ca="1" si="50"/>
        <v>21136.693333333333</v>
      </c>
      <c r="AC88" s="568">
        <f t="shared" ca="1" si="50"/>
        <v>21136.693333333333</v>
      </c>
      <c r="AD88" s="568">
        <f t="shared" ca="1" si="50"/>
        <v>21136.693333333333</v>
      </c>
      <c r="AE88" s="568">
        <f t="shared" ca="1" si="50"/>
        <v>20171.330799999996</v>
      </c>
      <c r="AF88" s="568">
        <f t="shared" ca="1" si="50"/>
        <v>20479.985800000002</v>
      </c>
      <c r="AG88" s="568">
        <f t="shared" ca="1" si="50"/>
        <v>20788.640800000001</v>
      </c>
      <c r="AH88" s="568">
        <f t="shared" ca="1" si="50"/>
        <v>20788.640800000001</v>
      </c>
      <c r="AI88" s="568">
        <f t="shared" ca="1" si="50"/>
        <v>20788.640800000001</v>
      </c>
      <c r="AJ88" s="568">
        <f t="shared" ca="1" si="50"/>
        <v>20788.640800000001</v>
      </c>
      <c r="AK88" s="568">
        <f t="shared" ca="1" si="50"/>
        <v>20788.640800000001</v>
      </c>
      <c r="AL88" s="568">
        <f t="shared" ca="1" si="50"/>
        <v>20788.640800000001</v>
      </c>
      <c r="AM88" s="568">
        <f t="shared" ca="1" si="50"/>
        <v>20788.640800000001</v>
      </c>
      <c r="AN88" s="568">
        <f t="shared" ca="1" si="50"/>
        <v>20788.640800000001</v>
      </c>
      <c r="AO88" s="568">
        <f t="shared" ca="1" si="50"/>
        <v>20788.640800000001</v>
      </c>
      <c r="AP88" s="568">
        <f t="shared" ca="1" si="50"/>
        <v>20788.640800000001</v>
      </c>
      <c r="AQ88" s="568">
        <f t="shared" ca="1" si="50"/>
        <v>19785.125787999998</v>
      </c>
      <c r="AR88" s="568" t="str">
        <f t="shared" si="50"/>
        <v/>
      </c>
      <c r="AS88" s="568" t="str">
        <f t="shared" si="50"/>
        <v/>
      </c>
      <c r="AT88" s="568" t="str">
        <f t="shared" si="50"/>
        <v/>
      </c>
      <c r="AU88" s="568" t="str">
        <f t="shared" si="50"/>
        <v/>
      </c>
      <c r="AV88" s="568" t="str">
        <f t="shared" si="50"/>
        <v/>
      </c>
      <c r="AW88" s="568" t="str">
        <f t="shared" si="50"/>
        <v/>
      </c>
      <c r="AX88" s="568" t="str">
        <f t="shared" si="50"/>
        <v/>
      </c>
      <c r="AY88" s="568" t="str">
        <f t="shared" si="50"/>
        <v/>
      </c>
      <c r="AZ88" s="568" t="str">
        <f t="shared" si="50"/>
        <v/>
      </c>
      <c r="BA88" s="568" t="str">
        <f t="shared" si="50"/>
        <v/>
      </c>
      <c r="BB88" s="568" t="str">
        <f t="shared" si="50"/>
        <v/>
      </c>
      <c r="BC88" s="568" t="str">
        <f t="shared" si="50"/>
        <v/>
      </c>
      <c r="BD88" s="568" t="str">
        <f t="shared" si="50"/>
        <v/>
      </c>
      <c r="BE88" s="568" t="str">
        <f t="shared" si="50"/>
        <v/>
      </c>
      <c r="BF88" s="568" t="str">
        <f t="shared" si="50"/>
        <v/>
      </c>
      <c r="BG88" s="568" t="str">
        <f t="shared" si="50"/>
        <v/>
      </c>
      <c r="BH88" s="568" t="str">
        <f t="shared" si="50"/>
        <v/>
      </c>
      <c r="BI88" s="568" t="str">
        <f t="shared" si="50"/>
        <v/>
      </c>
      <c r="BJ88" s="568" t="str">
        <f t="shared" si="50"/>
        <v/>
      </c>
      <c r="BK88" s="568" t="str">
        <f t="shared" si="50"/>
        <v/>
      </c>
      <c r="BL88" s="568" t="str">
        <f t="shared" si="50"/>
        <v/>
      </c>
      <c r="BM88" s="568" t="str">
        <f t="shared" si="50"/>
        <v/>
      </c>
      <c r="BN88" s="568" t="str">
        <f t="shared" si="50"/>
        <v/>
      </c>
      <c r="BO88" s="568" t="str">
        <f t="shared" si="50"/>
        <v/>
      </c>
      <c r="BP88" s="568" t="str">
        <f t="shared" si="50"/>
        <v/>
      </c>
      <c r="BQ88" s="568" t="str">
        <f t="shared" si="50"/>
        <v/>
      </c>
      <c r="BR88" s="568" t="str">
        <f t="shared" si="50"/>
        <v/>
      </c>
      <c r="BS88" s="568" t="str">
        <f t="shared" si="50"/>
        <v/>
      </c>
      <c r="BT88" s="568" t="str">
        <f t="shared" ref="BT88:EE88" si="51">IF(BT$67="","",BT73-BT86)</f>
        <v/>
      </c>
      <c r="BU88" s="568" t="str">
        <f t="shared" si="51"/>
        <v/>
      </c>
      <c r="BV88" s="568" t="str">
        <f t="shared" si="51"/>
        <v/>
      </c>
      <c r="BW88" s="568" t="str">
        <f t="shared" si="51"/>
        <v/>
      </c>
      <c r="BX88" s="568" t="str">
        <f t="shared" si="51"/>
        <v/>
      </c>
      <c r="BY88" s="568" t="str">
        <f t="shared" si="51"/>
        <v/>
      </c>
      <c r="BZ88" s="568" t="str">
        <f t="shared" si="51"/>
        <v/>
      </c>
      <c r="CA88" s="568" t="str">
        <f t="shared" si="51"/>
        <v/>
      </c>
      <c r="CB88" s="568" t="str">
        <f t="shared" si="51"/>
        <v/>
      </c>
      <c r="CC88" s="568" t="str">
        <f t="shared" si="51"/>
        <v/>
      </c>
      <c r="CD88" s="568" t="str">
        <f t="shared" si="51"/>
        <v/>
      </c>
      <c r="CE88" s="568" t="str">
        <f t="shared" si="51"/>
        <v/>
      </c>
      <c r="CF88" s="568" t="str">
        <f t="shared" si="51"/>
        <v/>
      </c>
      <c r="CG88" s="568" t="str">
        <f t="shared" si="51"/>
        <v/>
      </c>
      <c r="CH88" s="568" t="str">
        <f t="shared" si="51"/>
        <v/>
      </c>
      <c r="CI88" s="568" t="str">
        <f t="shared" si="51"/>
        <v/>
      </c>
      <c r="CJ88" s="568" t="str">
        <f t="shared" si="51"/>
        <v/>
      </c>
      <c r="CK88" s="568" t="str">
        <f t="shared" si="51"/>
        <v/>
      </c>
      <c r="CL88" s="568" t="str">
        <f t="shared" si="51"/>
        <v/>
      </c>
      <c r="CM88" s="568" t="str">
        <f t="shared" si="51"/>
        <v/>
      </c>
      <c r="CN88" s="568" t="str">
        <f t="shared" si="51"/>
        <v/>
      </c>
      <c r="CO88" s="568" t="str">
        <f t="shared" si="51"/>
        <v/>
      </c>
      <c r="CP88" s="568" t="str">
        <f t="shared" si="51"/>
        <v/>
      </c>
      <c r="CQ88" s="568" t="str">
        <f t="shared" si="51"/>
        <v/>
      </c>
      <c r="CR88" s="568" t="str">
        <f t="shared" si="51"/>
        <v/>
      </c>
      <c r="CS88" s="568" t="str">
        <f t="shared" si="51"/>
        <v/>
      </c>
      <c r="CT88" s="568" t="str">
        <f t="shared" si="51"/>
        <v/>
      </c>
      <c r="CU88" s="568" t="str">
        <f t="shared" si="51"/>
        <v/>
      </c>
      <c r="CV88" s="568" t="str">
        <f t="shared" si="51"/>
        <v/>
      </c>
      <c r="CW88" s="568" t="str">
        <f t="shared" si="51"/>
        <v/>
      </c>
      <c r="CX88" s="568" t="str">
        <f t="shared" si="51"/>
        <v/>
      </c>
      <c r="CY88" s="568" t="str">
        <f t="shared" si="51"/>
        <v/>
      </c>
      <c r="CZ88" s="568" t="str">
        <f t="shared" si="51"/>
        <v/>
      </c>
      <c r="DA88" s="568" t="str">
        <f t="shared" si="51"/>
        <v/>
      </c>
      <c r="DB88" s="568" t="str">
        <f t="shared" si="51"/>
        <v/>
      </c>
      <c r="DC88" s="568" t="str">
        <f t="shared" si="51"/>
        <v/>
      </c>
      <c r="DD88" s="568" t="str">
        <f t="shared" si="51"/>
        <v/>
      </c>
      <c r="DE88" s="568" t="str">
        <f t="shared" si="51"/>
        <v/>
      </c>
      <c r="DF88" s="568" t="str">
        <f t="shared" si="51"/>
        <v/>
      </c>
      <c r="DG88" s="568" t="str">
        <f t="shared" si="51"/>
        <v/>
      </c>
      <c r="DH88" s="568" t="str">
        <f t="shared" si="51"/>
        <v/>
      </c>
      <c r="DI88" s="568" t="str">
        <f t="shared" si="51"/>
        <v/>
      </c>
      <c r="DJ88" s="568" t="str">
        <f t="shared" si="51"/>
        <v/>
      </c>
      <c r="DK88" s="568" t="str">
        <f t="shared" si="51"/>
        <v/>
      </c>
      <c r="DL88" s="568" t="str">
        <f t="shared" si="51"/>
        <v/>
      </c>
      <c r="DM88" s="568" t="str">
        <f t="shared" si="51"/>
        <v/>
      </c>
      <c r="DN88" s="568" t="str">
        <f t="shared" si="51"/>
        <v/>
      </c>
      <c r="DO88" s="568" t="str">
        <f t="shared" si="51"/>
        <v/>
      </c>
      <c r="DP88" s="568" t="str">
        <f t="shared" si="51"/>
        <v/>
      </c>
      <c r="DQ88" s="568" t="str">
        <f t="shared" si="51"/>
        <v/>
      </c>
      <c r="DR88" s="568" t="str">
        <f t="shared" si="51"/>
        <v/>
      </c>
      <c r="DS88" s="568" t="str">
        <f t="shared" si="51"/>
        <v/>
      </c>
      <c r="DT88" s="568" t="str">
        <f t="shared" si="51"/>
        <v/>
      </c>
      <c r="DU88" s="568" t="str">
        <f t="shared" si="51"/>
        <v/>
      </c>
      <c r="DV88" s="568" t="str">
        <f t="shared" si="51"/>
        <v/>
      </c>
      <c r="DW88" s="568" t="str">
        <f t="shared" si="51"/>
        <v/>
      </c>
      <c r="DX88" s="568" t="str">
        <f t="shared" si="51"/>
        <v/>
      </c>
      <c r="DY88" s="568" t="str">
        <f t="shared" si="51"/>
        <v/>
      </c>
      <c r="DZ88" s="568" t="str">
        <f t="shared" si="51"/>
        <v/>
      </c>
      <c r="EA88" s="568" t="str">
        <f t="shared" si="51"/>
        <v/>
      </c>
      <c r="EB88" s="568" t="str">
        <f t="shared" si="51"/>
        <v/>
      </c>
      <c r="EC88" s="568" t="str">
        <f t="shared" si="51"/>
        <v/>
      </c>
      <c r="ED88" s="568" t="str">
        <f t="shared" si="51"/>
        <v/>
      </c>
      <c r="EE88" s="568" t="str">
        <f t="shared" si="51"/>
        <v/>
      </c>
      <c r="EF88" s="568" t="str">
        <f t="shared" ref="EF88:EI88" si="52">IF(EF$67="","",EF73-EF86)</f>
        <v/>
      </c>
      <c r="EG88" s="568" t="str">
        <f t="shared" si="52"/>
        <v/>
      </c>
      <c r="EH88" s="568" t="str">
        <f t="shared" si="52"/>
        <v/>
      </c>
      <c r="EI88" s="568" t="str">
        <f t="shared" si="52"/>
        <v/>
      </c>
    </row>
    <row r="89" spans="2:139" outlineLevel="1" x14ac:dyDescent="0.25">
      <c r="B89" s="448"/>
      <c r="C89" s="448"/>
      <c r="D89" s="448"/>
      <c r="E89" s="448"/>
      <c r="F89" s="448"/>
      <c r="G89" s="568"/>
      <c r="H89" s="568"/>
      <c r="I89" s="568"/>
      <c r="J89" s="568"/>
      <c r="K89" s="568"/>
      <c r="L89" s="568"/>
      <c r="M89" s="568"/>
      <c r="N89" s="568"/>
      <c r="O89" s="568"/>
      <c r="P89" s="568"/>
      <c r="Q89" s="568"/>
      <c r="R89" s="568"/>
      <c r="S89" s="568"/>
      <c r="T89" s="568"/>
      <c r="U89" s="568"/>
      <c r="V89" s="568"/>
      <c r="W89" s="568"/>
      <c r="X89" s="568"/>
      <c r="Y89" s="568"/>
      <c r="Z89" s="568"/>
      <c r="AA89" s="568"/>
      <c r="AB89" s="568"/>
      <c r="AC89" s="568"/>
      <c r="AD89" s="568"/>
      <c r="AE89" s="568"/>
      <c r="AF89" s="568"/>
      <c r="AG89" s="568"/>
      <c r="AH89" s="568"/>
      <c r="AI89" s="568"/>
      <c r="AJ89" s="568"/>
      <c r="AK89" s="568"/>
      <c r="AL89" s="568"/>
      <c r="AM89" s="568"/>
      <c r="AN89" s="568"/>
      <c r="AO89" s="568"/>
      <c r="AP89" s="568"/>
      <c r="AQ89" s="568"/>
      <c r="AR89" s="568"/>
      <c r="AS89" s="568"/>
      <c r="AT89" s="568"/>
      <c r="AU89" s="568"/>
      <c r="AV89" s="568"/>
      <c r="AW89" s="568"/>
      <c r="AX89" s="568"/>
      <c r="AY89" s="568"/>
      <c r="AZ89" s="568"/>
      <c r="BA89" s="568"/>
      <c r="BB89" s="568"/>
      <c r="BC89" s="568"/>
      <c r="BD89" s="568"/>
      <c r="BE89" s="568"/>
      <c r="BF89" s="568"/>
      <c r="BG89" s="568"/>
      <c r="BH89" s="568"/>
      <c r="BI89" s="568"/>
      <c r="BJ89" s="568"/>
      <c r="BK89" s="568"/>
      <c r="BL89" s="568"/>
      <c r="BM89" s="568"/>
      <c r="BN89" s="568"/>
      <c r="BO89" s="568"/>
      <c r="BP89" s="568"/>
      <c r="BQ89" s="568"/>
      <c r="BR89" s="568"/>
      <c r="BS89" s="568"/>
      <c r="BT89" s="568"/>
      <c r="BU89" s="568"/>
      <c r="BV89" s="568"/>
      <c r="BW89" s="568"/>
      <c r="BX89" s="568"/>
      <c r="BY89" s="568"/>
      <c r="BZ89" s="568"/>
      <c r="CA89" s="568"/>
      <c r="CB89" s="568"/>
      <c r="CC89" s="568"/>
      <c r="CD89" s="568"/>
      <c r="CE89" s="568"/>
      <c r="CF89" s="568"/>
      <c r="CG89" s="568"/>
      <c r="CH89" s="568"/>
      <c r="CI89" s="568"/>
      <c r="CJ89" s="568"/>
      <c r="CK89" s="568"/>
      <c r="CL89" s="568"/>
      <c r="CM89" s="568"/>
      <c r="CN89" s="568"/>
      <c r="CO89" s="568"/>
      <c r="CP89" s="568"/>
      <c r="CQ89" s="568"/>
      <c r="CR89" s="568"/>
      <c r="CS89" s="568"/>
      <c r="CT89" s="568"/>
      <c r="CU89" s="568"/>
      <c r="CV89" s="568"/>
      <c r="CW89" s="568"/>
      <c r="CX89" s="568"/>
      <c r="CY89" s="568"/>
      <c r="CZ89" s="568"/>
      <c r="DA89" s="568"/>
      <c r="DB89" s="568"/>
      <c r="DC89" s="568"/>
      <c r="DD89" s="568"/>
      <c r="DE89" s="568"/>
      <c r="DF89" s="568"/>
      <c r="DG89" s="568"/>
      <c r="DH89" s="568"/>
      <c r="DI89" s="568"/>
      <c r="DJ89" s="568"/>
      <c r="DK89" s="568"/>
      <c r="DL89" s="568"/>
      <c r="DM89" s="568"/>
      <c r="DN89" s="568"/>
      <c r="DO89" s="568"/>
      <c r="DP89" s="568"/>
      <c r="DQ89" s="568"/>
      <c r="DR89" s="568"/>
      <c r="DS89" s="568"/>
      <c r="DT89" s="568"/>
      <c r="DU89" s="568"/>
      <c r="DV89" s="568"/>
      <c r="DW89" s="568"/>
      <c r="DX89" s="568"/>
      <c r="DY89" s="568"/>
      <c r="DZ89" s="568"/>
      <c r="EA89" s="568"/>
      <c r="EB89" s="568"/>
      <c r="EC89" s="568"/>
      <c r="ED89" s="568"/>
      <c r="EE89" s="568"/>
      <c r="EF89" s="568"/>
      <c r="EG89" s="568"/>
      <c r="EH89" s="568"/>
      <c r="EI89" s="568"/>
    </row>
    <row r="90" spans="2:139" outlineLevel="1" x14ac:dyDescent="0.25">
      <c r="B90" s="448" t="s">
        <v>151</v>
      </c>
      <c r="C90" s="448"/>
      <c r="D90" s="448"/>
      <c r="E90" s="448"/>
      <c r="F90" s="448"/>
      <c r="G90" s="568">
        <f>IF(G$67="","",Underwriting!Q139)</f>
        <v>0</v>
      </c>
      <c r="H90" s="568">
        <f>IF(H$67="","",Underwriting!R139)</f>
        <v>0</v>
      </c>
      <c r="I90" s="568">
        <f>IF(I$67="","",Underwriting!S139)</f>
        <v>0</v>
      </c>
      <c r="J90" s="568">
        <f>IF(J$67="","",Underwriting!T139)</f>
        <v>0</v>
      </c>
      <c r="K90" s="568">
        <f>IF(K$67="","",Underwriting!U139)</f>
        <v>0</v>
      </c>
      <c r="L90" s="568">
        <f>IF(L$67="","",Underwriting!V139)</f>
        <v>0</v>
      </c>
      <c r="M90" s="568">
        <f>IF(M$67="","",Underwriting!W139)</f>
        <v>0</v>
      </c>
      <c r="N90" s="568">
        <f>IF(N$67="","",Underwriting!X139)</f>
        <v>0</v>
      </c>
      <c r="O90" s="568">
        <f>IF(O$67="","",Underwriting!Y139)</f>
        <v>0</v>
      </c>
      <c r="P90" s="568">
        <f>IF(P$67="","",Underwriting!Z139)</f>
        <v>0</v>
      </c>
      <c r="Q90" s="568">
        <f>IF(Q$67="","",Underwriting!AA139)</f>
        <v>0</v>
      </c>
      <c r="R90" s="568">
        <f>IF(R$67="","",Underwriting!AB139)</f>
        <v>0</v>
      </c>
      <c r="S90" s="568">
        <f>IF(S$67="","",Underwriting!AC139)</f>
        <v>33.333333333333336</v>
      </c>
      <c r="T90" s="568">
        <f>IF(T$67="","",Underwriting!AD139)</f>
        <v>83.333333333333343</v>
      </c>
      <c r="U90" s="568">
        <f>IF(U$67="","",Underwriting!AE139)</f>
        <v>133.33333333333334</v>
      </c>
      <c r="V90" s="568">
        <f>IF(V$67="","",Underwriting!AF139)</f>
        <v>133.33333333333334</v>
      </c>
      <c r="W90" s="568">
        <f>IF(W$67="","",Underwriting!AG139)</f>
        <v>133.33333333333334</v>
      </c>
      <c r="X90" s="568">
        <f>IF(X$67="","",Underwriting!AH139)</f>
        <v>133.33333333333334</v>
      </c>
      <c r="Y90" s="568">
        <f>IF(Y$67="","",Underwriting!AI139)</f>
        <v>133.33333333333334</v>
      </c>
      <c r="Z90" s="568">
        <f>IF(Z$67="","",Underwriting!AJ139)</f>
        <v>133.33333333333334</v>
      </c>
      <c r="AA90" s="568">
        <f>IF(AA$67="","",Underwriting!AK139)</f>
        <v>133.33333333333334</v>
      </c>
      <c r="AB90" s="568">
        <f>IF(AB$67="","",Underwriting!AL139)</f>
        <v>133.33333333333334</v>
      </c>
      <c r="AC90" s="568">
        <f>IF(AC$67="","",Underwriting!AM139)</f>
        <v>133.33333333333334</v>
      </c>
      <c r="AD90" s="568">
        <f>IF(AD$67="","",Underwriting!AN139)</f>
        <v>133.33333333333334</v>
      </c>
      <c r="AE90" s="568">
        <f>IF(AE$67="","",Underwriting!AO139)</f>
        <v>136</v>
      </c>
      <c r="AF90" s="568">
        <f>IF(AF$67="","",Underwriting!AP139)</f>
        <v>136</v>
      </c>
      <c r="AG90" s="568">
        <f>IF(AG$67="","",Underwriting!AQ139)</f>
        <v>136</v>
      </c>
      <c r="AH90" s="568">
        <f>IF(AH$67="","",Underwriting!AR139)</f>
        <v>136</v>
      </c>
      <c r="AI90" s="568">
        <f>IF(AI$67="","",Underwriting!AS139)</f>
        <v>136</v>
      </c>
      <c r="AJ90" s="568">
        <f>IF(AJ$67="","",Underwriting!AT139)</f>
        <v>136</v>
      </c>
      <c r="AK90" s="568">
        <f>IF(AK$67="","",Underwriting!AU139)</f>
        <v>136</v>
      </c>
      <c r="AL90" s="568">
        <f>IF(AL$67="","",Underwriting!AV139)</f>
        <v>136</v>
      </c>
      <c r="AM90" s="568">
        <f>IF(AM$67="","",Underwriting!AW139)</f>
        <v>136</v>
      </c>
      <c r="AN90" s="568">
        <f>IF(AN$67="","",Underwriting!AX139)</f>
        <v>136</v>
      </c>
      <c r="AO90" s="568">
        <f>IF(AO$67="","",Underwriting!AY139)</f>
        <v>136</v>
      </c>
      <c r="AP90" s="568">
        <f>IF(AP$67="","",Underwriting!AZ139)</f>
        <v>136</v>
      </c>
      <c r="AQ90" s="568">
        <f>IF(AQ$67="","",Underwriting!BA139)</f>
        <v>138.72</v>
      </c>
      <c r="AR90" s="568" t="str">
        <f>IF(AR$67="","",Underwriting!BB139)</f>
        <v/>
      </c>
      <c r="AS90" s="568" t="str">
        <f>IF(AS$67="","",Underwriting!BC139)</f>
        <v/>
      </c>
      <c r="AT90" s="568" t="str">
        <f>IF(AT$67="","",Underwriting!BD139)</f>
        <v/>
      </c>
      <c r="AU90" s="568" t="str">
        <f>IF(AU$67="","",Underwriting!BE139)</f>
        <v/>
      </c>
      <c r="AV90" s="568" t="str">
        <f>IF(AV$67="","",Underwriting!BF139)</f>
        <v/>
      </c>
      <c r="AW90" s="568" t="str">
        <f>IF(AW$67="","",Underwriting!BG139)</f>
        <v/>
      </c>
      <c r="AX90" s="568" t="str">
        <f>IF(AX$67="","",Underwriting!BH139)</f>
        <v/>
      </c>
      <c r="AY90" s="568" t="str">
        <f>IF(AY$67="","",Underwriting!BI139)</f>
        <v/>
      </c>
      <c r="AZ90" s="568" t="str">
        <f>IF(AZ$67="","",Underwriting!BJ139)</f>
        <v/>
      </c>
      <c r="BA90" s="568" t="str">
        <f>IF(BA$67="","",Underwriting!BK139)</f>
        <v/>
      </c>
      <c r="BB90" s="568" t="str">
        <f>IF(BB$67="","",Underwriting!BL139)</f>
        <v/>
      </c>
      <c r="BC90" s="568" t="str">
        <f>IF(BC$67="","",Underwriting!BM139)</f>
        <v/>
      </c>
      <c r="BD90" s="568" t="str">
        <f>IF(BD$67="","",Underwriting!BN139)</f>
        <v/>
      </c>
      <c r="BE90" s="568" t="str">
        <f>IF(BE$67="","",Underwriting!BO139)</f>
        <v/>
      </c>
      <c r="BF90" s="568" t="str">
        <f>IF(BF$67="","",Underwriting!BP139)</f>
        <v/>
      </c>
      <c r="BG90" s="568" t="str">
        <f>IF(BG$67="","",Underwriting!BQ139)</f>
        <v/>
      </c>
      <c r="BH90" s="568" t="str">
        <f>IF(BH$67="","",Underwriting!BR139)</f>
        <v/>
      </c>
      <c r="BI90" s="568" t="str">
        <f>IF(BI$67="","",Underwriting!BS139)</f>
        <v/>
      </c>
      <c r="BJ90" s="568" t="str">
        <f>IF(BJ$67="","",Underwriting!BT139)</f>
        <v/>
      </c>
      <c r="BK90" s="568" t="str">
        <f>IF(BK$67="","",Underwriting!BU139)</f>
        <v/>
      </c>
      <c r="BL90" s="568" t="str">
        <f>IF(BL$67="","",Underwriting!BV139)</f>
        <v/>
      </c>
      <c r="BM90" s="568" t="str">
        <f>IF(BM$67="","",Underwriting!BW139)</f>
        <v/>
      </c>
      <c r="BN90" s="568" t="str">
        <f>IF(BN$67="","",Underwriting!BX139)</f>
        <v/>
      </c>
      <c r="BO90" s="568" t="str">
        <f>IF(BO$67="","",Underwriting!BY139)</f>
        <v/>
      </c>
      <c r="BP90" s="568" t="str">
        <f>IF(BP$67="","",Underwriting!BZ139)</f>
        <v/>
      </c>
      <c r="BQ90" s="568" t="str">
        <f>IF(BQ$67="","",Underwriting!CA139)</f>
        <v/>
      </c>
      <c r="BR90" s="568" t="str">
        <f>IF(BR$67="","",Underwriting!CB139)</f>
        <v/>
      </c>
      <c r="BS90" s="568" t="str">
        <f>IF(BS$67="","",Underwriting!CC139)</f>
        <v/>
      </c>
      <c r="BT90" s="568" t="str">
        <f>IF(BT$67="","",Underwriting!CD139)</f>
        <v/>
      </c>
      <c r="BU90" s="568" t="str">
        <f>IF(BU$67="","",Underwriting!CE139)</f>
        <v/>
      </c>
      <c r="BV90" s="568" t="str">
        <f>IF(BV$67="","",Underwriting!CF139)</f>
        <v/>
      </c>
      <c r="BW90" s="568" t="str">
        <f>IF(BW$67="","",Underwriting!CG139)</f>
        <v/>
      </c>
      <c r="BX90" s="568" t="str">
        <f>IF(BX$67="","",Underwriting!CH139)</f>
        <v/>
      </c>
      <c r="BY90" s="568" t="str">
        <f>IF(BY$67="","",Underwriting!CI139)</f>
        <v/>
      </c>
      <c r="BZ90" s="568" t="str">
        <f>IF(BZ$67="","",Underwriting!CJ139)</f>
        <v/>
      </c>
      <c r="CA90" s="568" t="str">
        <f>IF(CA$67="","",Underwriting!CK139)</f>
        <v/>
      </c>
      <c r="CB90" s="568" t="str">
        <f>IF(CB$67="","",Underwriting!CL139)</f>
        <v/>
      </c>
      <c r="CC90" s="568" t="str">
        <f>IF(CC$67="","",Underwriting!CM139)</f>
        <v/>
      </c>
      <c r="CD90" s="568" t="str">
        <f>IF(CD$67="","",Underwriting!CN139)</f>
        <v/>
      </c>
      <c r="CE90" s="568" t="str">
        <f>IF(CE$67="","",Underwriting!CO139)</f>
        <v/>
      </c>
      <c r="CF90" s="568" t="str">
        <f>IF(CF$67="","",Underwriting!CP139)</f>
        <v/>
      </c>
      <c r="CG90" s="568" t="str">
        <f>IF(CG$67="","",Underwriting!CQ139)</f>
        <v/>
      </c>
      <c r="CH90" s="568" t="str">
        <f>IF(CH$67="","",Underwriting!CR139)</f>
        <v/>
      </c>
      <c r="CI90" s="568" t="str">
        <f>IF(CI$67="","",Underwriting!CS139)</f>
        <v/>
      </c>
      <c r="CJ90" s="568" t="str">
        <f>IF(CJ$67="","",Underwriting!CT139)</f>
        <v/>
      </c>
      <c r="CK90" s="568" t="str">
        <f>IF(CK$67="","",Underwriting!CU139)</f>
        <v/>
      </c>
      <c r="CL90" s="568" t="str">
        <f>IF(CL$67="","",Underwriting!CV139)</f>
        <v/>
      </c>
      <c r="CM90" s="568" t="str">
        <f>IF(CM$67="","",Underwriting!CW139)</f>
        <v/>
      </c>
      <c r="CN90" s="568" t="str">
        <f>IF(CN$67="","",Underwriting!CX139)</f>
        <v/>
      </c>
      <c r="CO90" s="568" t="str">
        <f>IF(CO$67="","",Underwriting!CY139)</f>
        <v/>
      </c>
      <c r="CP90" s="568" t="str">
        <f>IF(CP$67="","",Underwriting!CZ139)</f>
        <v/>
      </c>
      <c r="CQ90" s="568" t="str">
        <f>IF(CQ$67="","",Underwriting!DA139)</f>
        <v/>
      </c>
      <c r="CR90" s="568" t="str">
        <f>IF(CR$67="","",Underwriting!DB139)</f>
        <v/>
      </c>
      <c r="CS90" s="568" t="str">
        <f>IF(CS$67="","",Underwriting!DC139)</f>
        <v/>
      </c>
      <c r="CT90" s="568" t="str">
        <f>IF(CT$67="","",Underwriting!DD139)</f>
        <v/>
      </c>
      <c r="CU90" s="568" t="str">
        <f>IF(CU$67="","",Underwriting!DE139)</f>
        <v/>
      </c>
      <c r="CV90" s="568" t="str">
        <f>IF(CV$67="","",Underwriting!DF139)</f>
        <v/>
      </c>
      <c r="CW90" s="568" t="str">
        <f>IF(CW$67="","",Underwriting!DG139)</f>
        <v/>
      </c>
      <c r="CX90" s="568" t="str">
        <f>IF(CX$67="","",Underwriting!DH139)</f>
        <v/>
      </c>
      <c r="CY90" s="568" t="str">
        <f>IF(CY$67="","",Underwriting!DI139)</f>
        <v/>
      </c>
      <c r="CZ90" s="568" t="str">
        <f>IF(CZ$67="","",Underwriting!DJ139)</f>
        <v/>
      </c>
      <c r="DA90" s="568" t="str">
        <f>IF(DA$67="","",Underwriting!DK139)</f>
        <v/>
      </c>
      <c r="DB90" s="568" t="str">
        <f>IF(DB$67="","",Underwriting!DL139)</f>
        <v/>
      </c>
      <c r="DC90" s="568" t="str">
        <f>IF(DC$67="","",Underwriting!DM139)</f>
        <v/>
      </c>
      <c r="DD90" s="568" t="str">
        <f>IF(DD$67="","",Underwriting!DN139)</f>
        <v/>
      </c>
      <c r="DE90" s="568" t="str">
        <f>IF(DE$67="","",Underwriting!DO139)</f>
        <v/>
      </c>
      <c r="DF90" s="568" t="str">
        <f>IF(DF$67="","",Underwriting!DP139)</f>
        <v/>
      </c>
      <c r="DG90" s="568" t="str">
        <f>IF(DG$67="","",Underwriting!DQ139)</f>
        <v/>
      </c>
      <c r="DH90" s="568" t="str">
        <f>IF(DH$67="","",Underwriting!DR139)</f>
        <v/>
      </c>
      <c r="DI90" s="568" t="str">
        <f>IF(DI$67="","",Underwriting!DS139)</f>
        <v/>
      </c>
      <c r="DJ90" s="568" t="str">
        <f>IF(DJ$67="","",Underwriting!DT139)</f>
        <v/>
      </c>
      <c r="DK90" s="568" t="str">
        <f>IF(DK$67="","",Underwriting!DU139)</f>
        <v/>
      </c>
      <c r="DL90" s="568" t="str">
        <f>IF(DL$67="","",Underwriting!DV139)</f>
        <v/>
      </c>
      <c r="DM90" s="568" t="str">
        <f>IF(DM$67="","",Underwriting!DW139)</f>
        <v/>
      </c>
      <c r="DN90" s="568" t="str">
        <f>IF(DN$67="","",Underwriting!DX139)</f>
        <v/>
      </c>
      <c r="DO90" s="568" t="str">
        <f>IF(DO$67="","",Underwriting!DY139)</f>
        <v/>
      </c>
      <c r="DP90" s="568" t="str">
        <f>IF(DP$67="","",Underwriting!DZ139)</f>
        <v/>
      </c>
      <c r="DQ90" s="568" t="str">
        <f>IF(DQ$67="","",Underwriting!EA139)</f>
        <v/>
      </c>
      <c r="DR90" s="568" t="str">
        <f>IF(DR$67="","",Underwriting!EB139)</f>
        <v/>
      </c>
      <c r="DS90" s="568" t="str">
        <f>IF(DS$67="","",Underwriting!EC139)</f>
        <v/>
      </c>
      <c r="DT90" s="568" t="str">
        <f>IF(DT$67="","",Underwriting!ED139)</f>
        <v/>
      </c>
      <c r="DU90" s="568" t="str">
        <f>IF(DU$67="","",Underwriting!EE139)</f>
        <v/>
      </c>
      <c r="DV90" s="568" t="str">
        <f>IF(DV$67="","",Underwriting!EF139)</f>
        <v/>
      </c>
      <c r="DW90" s="568" t="str">
        <f>IF(DW$67="","",Underwriting!EG139)</f>
        <v/>
      </c>
      <c r="DX90" s="568" t="str">
        <f>IF(DX$67="","",Underwriting!EH139)</f>
        <v/>
      </c>
      <c r="DY90" s="568" t="str">
        <f>IF(DY$67="","",Underwriting!EI139)</f>
        <v/>
      </c>
      <c r="DZ90" s="568" t="str">
        <f>IF(DZ$67="","",Underwriting!EJ139)</f>
        <v/>
      </c>
      <c r="EA90" s="568" t="str">
        <f>IF(EA$67="","",Underwriting!EK139)</f>
        <v/>
      </c>
      <c r="EB90" s="568" t="str">
        <f>IF(EB$67="","",Underwriting!EL139)</f>
        <v/>
      </c>
      <c r="EC90" s="568" t="str">
        <f>IF(EC$67="","",Underwriting!EM139)</f>
        <v/>
      </c>
      <c r="ED90" s="568" t="str">
        <f>IF(ED$67="","",Underwriting!EN139)</f>
        <v/>
      </c>
      <c r="EE90" s="568" t="str">
        <f>IF(EE$67="","",Underwriting!EO139)</f>
        <v/>
      </c>
      <c r="EF90" s="568" t="str">
        <f>IF(EF$67="","",Underwriting!EP139)</f>
        <v/>
      </c>
      <c r="EG90" s="568" t="str">
        <f>IF(EG$67="","",Underwriting!EQ139)</f>
        <v/>
      </c>
      <c r="EH90" s="568" t="str">
        <f>IF(EH$67="","",Underwriting!ER139)</f>
        <v/>
      </c>
      <c r="EI90" s="568" t="str">
        <f>IF(EI$67="","",Underwriting!ES139)</f>
        <v/>
      </c>
    </row>
    <row r="91" spans="2:139" outlineLevel="1" x14ac:dyDescent="0.25">
      <c r="B91" s="448"/>
      <c r="C91" s="448"/>
      <c r="D91" s="448"/>
      <c r="E91" s="448"/>
      <c r="F91" s="448"/>
      <c r="G91" s="568"/>
      <c r="H91" s="568"/>
      <c r="I91" s="568"/>
      <c r="J91" s="568"/>
      <c r="K91" s="568"/>
      <c r="L91" s="568"/>
      <c r="M91" s="568"/>
      <c r="N91" s="568"/>
      <c r="O91" s="568"/>
      <c r="P91" s="568"/>
      <c r="Q91" s="568"/>
      <c r="R91" s="568"/>
      <c r="S91" s="568"/>
      <c r="T91" s="568"/>
      <c r="U91" s="568"/>
      <c r="V91" s="568"/>
      <c r="W91" s="568"/>
      <c r="X91" s="568"/>
      <c r="Y91" s="568"/>
      <c r="Z91" s="568"/>
      <c r="AA91" s="568"/>
      <c r="AB91" s="568"/>
      <c r="AC91" s="568"/>
      <c r="AD91" s="568"/>
      <c r="AE91" s="568"/>
      <c r="AF91" s="568"/>
      <c r="AG91" s="568"/>
      <c r="AH91" s="568"/>
      <c r="AI91" s="568"/>
      <c r="AJ91" s="568"/>
      <c r="AK91" s="568"/>
      <c r="AL91" s="568"/>
      <c r="AM91" s="568"/>
      <c r="AN91" s="568"/>
      <c r="AO91" s="568"/>
      <c r="AP91" s="568"/>
      <c r="AQ91" s="568"/>
      <c r="AR91" s="568"/>
      <c r="AS91" s="568"/>
      <c r="AT91" s="568"/>
      <c r="AU91" s="568"/>
      <c r="AV91" s="568"/>
      <c r="AW91" s="568"/>
      <c r="AX91" s="568"/>
      <c r="AY91" s="568"/>
      <c r="AZ91" s="568"/>
      <c r="BA91" s="568"/>
      <c r="BB91" s="568"/>
      <c r="BC91" s="568"/>
      <c r="BD91" s="568"/>
      <c r="BE91" s="568"/>
      <c r="BF91" s="568"/>
      <c r="BG91" s="568"/>
      <c r="BH91" s="568"/>
      <c r="BI91" s="568"/>
      <c r="BJ91" s="568"/>
      <c r="BK91" s="568"/>
      <c r="BL91" s="568"/>
      <c r="BM91" s="568"/>
      <c r="BN91" s="568"/>
      <c r="BO91" s="568"/>
      <c r="BP91" s="568"/>
      <c r="BQ91" s="568"/>
      <c r="BR91" s="568"/>
      <c r="BS91" s="568"/>
      <c r="BT91" s="568"/>
      <c r="BU91" s="568"/>
      <c r="BV91" s="568"/>
      <c r="BW91" s="568"/>
      <c r="BX91" s="568"/>
      <c r="BY91" s="568"/>
      <c r="BZ91" s="568"/>
      <c r="CA91" s="568"/>
      <c r="CB91" s="568"/>
      <c r="CC91" s="568"/>
      <c r="CD91" s="568"/>
      <c r="CE91" s="568"/>
      <c r="CF91" s="568"/>
      <c r="CG91" s="568"/>
      <c r="CH91" s="568"/>
      <c r="CI91" s="568"/>
      <c r="CJ91" s="568"/>
      <c r="CK91" s="568"/>
      <c r="CL91" s="568"/>
      <c r="CM91" s="568"/>
      <c r="CN91" s="568"/>
      <c r="CO91" s="568"/>
      <c r="CP91" s="568"/>
      <c r="CQ91" s="568"/>
      <c r="CR91" s="568"/>
      <c r="CS91" s="568"/>
      <c r="CT91" s="568"/>
      <c r="CU91" s="568"/>
      <c r="CV91" s="568"/>
      <c r="CW91" s="568"/>
      <c r="CX91" s="568"/>
      <c r="CY91" s="568"/>
      <c r="CZ91" s="568"/>
      <c r="DA91" s="568"/>
      <c r="DB91" s="568"/>
      <c r="DC91" s="568"/>
      <c r="DD91" s="568"/>
      <c r="DE91" s="568"/>
      <c r="DF91" s="568"/>
      <c r="DG91" s="568"/>
      <c r="DH91" s="568"/>
      <c r="DI91" s="568"/>
      <c r="DJ91" s="568"/>
      <c r="DK91" s="568"/>
      <c r="DL91" s="568"/>
      <c r="DM91" s="568"/>
      <c r="DN91" s="568"/>
      <c r="DO91" s="568"/>
      <c r="DP91" s="568"/>
      <c r="DQ91" s="568"/>
      <c r="DR91" s="568"/>
      <c r="DS91" s="568"/>
      <c r="DT91" s="568"/>
      <c r="DU91" s="568"/>
      <c r="DV91" s="568"/>
      <c r="DW91" s="568"/>
      <c r="DX91" s="568"/>
      <c r="DY91" s="568"/>
      <c r="DZ91" s="568"/>
      <c r="EA91" s="568"/>
      <c r="EB91" s="568"/>
      <c r="EC91" s="568"/>
      <c r="ED91" s="568"/>
      <c r="EE91" s="568"/>
      <c r="EF91" s="568"/>
      <c r="EG91" s="568"/>
      <c r="EH91" s="568"/>
      <c r="EI91" s="568"/>
    </row>
    <row r="92" spans="2:139" outlineLevel="1" x14ac:dyDescent="0.25">
      <c r="B92" s="448" t="s">
        <v>155</v>
      </c>
      <c r="C92" s="448"/>
      <c r="D92" s="448"/>
      <c r="E92" s="448"/>
      <c r="F92" s="448"/>
      <c r="G92" s="568">
        <f>IF(G$67="","",G88-G90)</f>
        <v>0</v>
      </c>
      <c r="H92" s="568">
        <f t="shared" ref="H92:BS92" ca="1" si="53">IF(H$67="","",H88-H90)</f>
        <v>0</v>
      </c>
      <c r="I92" s="568">
        <f t="shared" ca="1" si="53"/>
        <v>0</v>
      </c>
      <c r="J92" s="568">
        <f t="shared" ca="1" si="53"/>
        <v>0</v>
      </c>
      <c r="K92" s="568">
        <f t="shared" ca="1" si="53"/>
        <v>0</v>
      </c>
      <c r="L92" s="568">
        <f t="shared" ca="1" si="53"/>
        <v>0</v>
      </c>
      <c r="M92" s="568">
        <f t="shared" ca="1" si="53"/>
        <v>0</v>
      </c>
      <c r="N92" s="568">
        <f t="shared" ca="1" si="53"/>
        <v>0</v>
      </c>
      <c r="O92" s="568">
        <f t="shared" ca="1" si="53"/>
        <v>0</v>
      </c>
      <c r="P92" s="568">
        <f t="shared" ca="1" si="53"/>
        <v>0</v>
      </c>
      <c r="Q92" s="568">
        <f t="shared" ca="1" si="53"/>
        <v>0</v>
      </c>
      <c r="R92" s="568">
        <f t="shared" ca="1" si="53"/>
        <v>0</v>
      </c>
      <c r="S92" s="568">
        <f t="shared" ca="1" si="53"/>
        <v>854.48499999999933</v>
      </c>
      <c r="T92" s="568">
        <f t="shared" ca="1" si="53"/>
        <v>10928.922499999999</v>
      </c>
      <c r="U92" s="568">
        <f t="shared" ca="1" si="53"/>
        <v>21003.360000000001</v>
      </c>
      <c r="V92" s="568">
        <f t="shared" ca="1" si="53"/>
        <v>21003.360000000001</v>
      </c>
      <c r="W92" s="568">
        <f t="shared" ca="1" si="53"/>
        <v>21003.360000000001</v>
      </c>
      <c r="X92" s="568">
        <f t="shared" ca="1" si="53"/>
        <v>21003.360000000001</v>
      </c>
      <c r="Y92" s="568">
        <f t="shared" ca="1" si="53"/>
        <v>21003.360000000001</v>
      </c>
      <c r="Z92" s="568">
        <f t="shared" ca="1" si="53"/>
        <v>21003.360000000001</v>
      </c>
      <c r="AA92" s="568">
        <f t="shared" ca="1" si="53"/>
        <v>21003.360000000001</v>
      </c>
      <c r="AB92" s="568">
        <f t="shared" ca="1" si="53"/>
        <v>21003.360000000001</v>
      </c>
      <c r="AC92" s="568">
        <f t="shared" ca="1" si="53"/>
        <v>21003.360000000001</v>
      </c>
      <c r="AD92" s="568">
        <f t="shared" ca="1" si="53"/>
        <v>21003.360000000001</v>
      </c>
      <c r="AE92" s="568">
        <f t="shared" ca="1" si="53"/>
        <v>20035.330799999996</v>
      </c>
      <c r="AF92" s="568">
        <f t="shared" ca="1" si="53"/>
        <v>20343.985800000002</v>
      </c>
      <c r="AG92" s="568">
        <f t="shared" ca="1" si="53"/>
        <v>20652.640800000001</v>
      </c>
      <c r="AH92" s="568">
        <f t="shared" ca="1" si="53"/>
        <v>20652.640800000001</v>
      </c>
      <c r="AI92" s="568">
        <f t="shared" ca="1" si="53"/>
        <v>20652.640800000001</v>
      </c>
      <c r="AJ92" s="568">
        <f t="shared" ca="1" si="53"/>
        <v>20652.640800000001</v>
      </c>
      <c r="AK92" s="568">
        <f t="shared" ca="1" si="53"/>
        <v>20652.640800000001</v>
      </c>
      <c r="AL92" s="568">
        <f t="shared" ca="1" si="53"/>
        <v>20652.640800000001</v>
      </c>
      <c r="AM92" s="568">
        <f t="shared" ca="1" si="53"/>
        <v>20652.640800000001</v>
      </c>
      <c r="AN92" s="568">
        <f t="shared" ca="1" si="53"/>
        <v>20652.640800000001</v>
      </c>
      <c r="AO92" s="568">
        <f t="shared" ca="1" si="53"/>
        <v>20652.640800000001</v>
      </c>
      <c r="AP92" s="568">
        <f t="shared" ca="1" si="53"/>
        <v>20652.640800000001</v>
      </c>
      <c r="AQ92" s="568">
        <f t="shared" ca="1" si="53"/>
        <v>19646.405787999996</v>
      </c>
      <c r="AR92" s="568" t="str">
        <f t="shared" si="53"/>
        <v/>
      </c>
      <c r="AS92" s="568" t="str">
        <f t="shared" si="53"/>
        <v/>
      </c>
      <c r="AT92" s="568" t="str">
        <f t="shared" si="53"/>
        <v/>
      </c>
      <c r="AU92" s="568" t="str">
        <f t="shared" si="53"/>
        <v/>
      </c>
      <c r="AV92" s="568" t="str">
        <f t="shared" si="53"/>
        <v/>
      </c>
      <c r="AW92" s="568" t="str">
        <f t="shared" si="53"/>
        <v/>
      </c>
      <c r="AX92" s="568" t="str">
        <f t="shared" si="53"/>
        <v/>
      </c>
      <c r="AY92" s="568" t="str">
        <f t="shared" si="53"/>
        <v/>
      </c>
      <c r="AZ92" s="568" t="str">
        <f t="shared" si="53"/>
        <v/>
      </c>
      <c r="BA92" s="568" t="str">
        <f t="shared" si="53"/>
        <v/>
      </c>
      <c r="BB92" s="568" t="str">
        <f t="shared" si="53"/>
        <v/>
      </c>
      <c r="BC92" s="568" t="str">
        <f t="shared" si="53"/>
        <v/>
      </c>
      <c r="BD92" s="568" t="str">
        <f t="shared" si="53"/>
        <v/>
      </c>
      <c r="BE92" s="568" t="str">
        <f t="shared" si="53"/>
        <v/>
      </c>
      <c r="BF92" s="568" t="str">
        <f t="shared" si="53"/>
        <v/>
      </c>
      <c r="BG92" s="568" t="str">
        <f t="shared" si="53"/>
        <v/>
      </c>
      <c r="BH92" s="568" t="str">
        <f t="shared" si="53"/>
        <v/>
      </c>
      <c r="BI92" s="568" t="str">
        <f t="shared" si="53"/>
        <v/>
      </c>
      <c r="BJ92" s="568" t="str">
        <f t="shared" si="53"/>
        <v/>
      </c>
      <c r="BK92" s="568" t="str">
        <f t="shared" si="53"/>
        <v/>
      </c>
      <c r="BL92" s="568" t="str">
        <f t="shared" si="53"/>
        <v/>
      </c>
      <c r="BM92" s="568" t="str">
        <f t="shared" si="53"/>
        <v/>
      </c>
      <c r="BN92" s="568" t="str">
        <f t="shared" si="53"/>
        <v/>
      </c>
      <c r="BO92" s="568" t="str">
        <f t="shared" si="53"/>
        <v/>
      </c>
      <c r="BP92" s="568" t="str">
        <f t="shared" si="53"/>
        <v/>
      </c>
      <c r="BQ92" s="568" t="str">
        <f t="shared" si="53"/>
        <v/>
      </c>
      <c r="BR92" s="568" t="str">
        <f t="shared" si="53"/>
        <v/>
      </c>
      <c r="BS92" s="568" t="str">
        <f t="shared" si="53"/>
        <v/>
      </c>
      <c r="BT92" s="568" t="str">
        <f t="shared" ref="BT92:EE92" si="54">IF(BT$67="","",BT88-BT90)</f>
        <v/>
      </c>
      <c r="BU92" s="568" t="str">
        <f t="shared" si="54"/>
        <v/>
      </c>
      <c r="BV92" s="568" t="str">
        <f t="shared" si="54"/>
        <v/>
      </c>
      <c r="BW92" s="568" t="str">
        <f t="shared" si="54"/>
        <v/>
      </c>
      <c r="BX92" s="568" t="str">
        <f t="shared" si="54"/>
        <v/>
      </c>
      <c r="BY92" s="568" t="str">
        <f t="shared" si="54"/>
        <v/>
      </c>
      <c r="BZ92" s="568" t="str">
        <f t="shared" si="54"/>
        <v/>
      </c>
      <c r="CA92" s="568" t="str">
        <f t="shared" si="54"/>
        <v/>
      </c>
      <c r="CB92" s="568" t="str">
        <f t="shared" si="54"/>
        <v/>
      </c>
      <c r="CC92" s="568" t="str">
        <f t="shared" si="54"/>
        <v/>
      </c>
      <c r="CD92" s="568" t="str">
        <f t="shared" si="54"/>
        <v/>
      </c>
      <c r="CE92" s="568" t="str">
        <f t="shared" si="54"/>
        <v/>
      </c>
      <c r="CF92" s="568" t="str">
        <f t="shared" si="54"/>
        <v/>
      </c>
      <c r="CG92" s="568" t="str">
        <f t="shared" si="54"/>
        <v/>
      </c>
      <c r="CH92" s="568" t="str">
        <f t="shared" si="54"/>
        <v/>
      </c>
      <c r="CI92" s="568" t="str">
        <f t="shared" si="54"/>
        <v/>
      </c>
      <c r="CJ92" s="568" t="str">
        <f t="shared" si="54"/>
        <v/>
      </c>
      <c r="CK92" s="568" t="str">
        <f t="shared" si="54"/>
        <v/>
      </c>
      <c r="CL92" s="568" t="str">
        <f t="shared" si="54"/>
        <v/>
      </c>
      <c r="CM92" s="568" t="str">
        <f t="shared" si="54"/>
        <v/>
      </c>
      <c r="CN92" s="568" t="str">
        <f t="shared" si="54"/>
        <v/>
      </c>
      <c r="CO92" s="568" t="str">
        <f t="shared" si="54"/>
        <v/>
      </c>
      <c r="CP92" s="568" t="str">
        <f t="shared" si="54"/>
        <v/>
      </c>
      <c r="CQ92" s="568" t="str">
        <f t="shared" si="54"/>
        <v/>
      </c>
      <c r="CR92" s="568" t="str">
        <f t="shared" si="54"/>
        <v/>
      </c>
      <c r="CS92" s="568" t="str">
        <f t="shared" si="54"/>
        <v/>
      </c>
      <c r="CT92" s="568" t="str">
        <f t="shared" si="54"/>
        <v/>
      </c>
      <c r="CU92" s="568" t="str">
        <f t="shared" si="54"/>
        <v/>
      </c>
      <c r="CV92" s="568" t="str">
        <f t="shared" si="54"/>
        <v/>
      </c>
      <c r="CW92" s="568" t="str">
        <f t="shared" si="54"/>
        <v/>
      </c>
      <c r="CX92" s="568" t="str">
        <f t="shared" si="54"/>
        <v/>
      </c>
      <c r="CY92" s="568" t="str">
        <f t="shared" si="54"/>
        <v/>
      </c>
      <c r="CZ92" s="568" t="str">
        <f t="shared" si="54"/>
        <v/>
      </c>
      <c r="DA92" s="568" t="str">
        <f t="shared" si="54"/>
        <v/>
      </c>
      <c r="DB92" s="568" t="str">
        <f t="shared" si="54"/>
        <v/>
      </c>
      <c r="DC92" s="568" t="str">
        <f t="shared" si="54"/>
        <v/>
      </c>
      <c r="DD92" s="568" t="str">
        <f t="shared" si="54"/>
        <v/>
      </c>
      <c r="DE92" s="568" t="str">
        <f t="shared" si="54"/>
        <v/>
      </c>
      <c r="DF92" s="568" t="str">
        <f t="shared" si="54"/>
        <v/>
      </c>
      <c r="DG92" s="568" t="str">
        <f t="shared" si="54"/>
        <v/>
      </c>
      <c r="DH92" s="568" t="str">
        <f t="shared" si="54"/>
        <v/>
      </c>
      <c r="DI92" s="568" t="str">
        <f t="shared" si="54"/>
        <v/>
      </c>
      <c r="DJ92" s="568" t="str">
        <f t="shared" si="54"/>
        <v/>
      </c>
      <c r="DK92" s="568" t="str">
        <f t="shared" si="54"/>
        <v/>
      </c>
      <c r="DL92" s="568" t="str">
        <f t="shared" si="54"/>
        <v/>
      </c>
      <c r="DM92" s="568" t="str">
        <f t="shared" si="54"/>
        <v/>
      </c>
      <c r="DN92" s="568" t="str">
        <f t="shared" si="54"/>
        <v/>
      </c>
      <c r="DO92" s="568" t="str">
        <f t="shared" si="54"/>
        <v/>
      </c>
      <c r="DP92" s="568" t="str">
        <f t="shared" si="54"/>
        <v/>
      </c>
      <c r="DQ92" s="568" t="str">
        <f t="shared" si="54"/>
        <v/>
      </c>
      <c r="DR92" s="568" t="str">
        <f t="shared" si="54"/>
        <v/>
      </c>
      <c r="DS92" s="568" t="str">
        <f t="shared" si="54"/>
        <v/>
      </c>
      <c r="DT92" s="568" t="str">
        <f t="shared" si="54"/>
        <v/>
      </c>
      <c r="DU92" s="568" t="str">
        <f t="shared" si="54"/>
        <v/>
      </c>
      <c r="DV92" s="568" t="str">
        <f t="shared" si="54"/>
        <v/>
      </c>
      <c r="DW92" s="568" t="str">
        <f t="shared" si="54"/>
        <v/>
      </c>
      <c r="DX92" s="568" t="str">
        <f t="shared" si="54"/>
        <v/>
      </c>
      <c r="DY92" s="568" t="str">
        <f t="shared" si="54"/>
        <v/>
      </c>
      <c r="DZ92" s="568" t="str">
        <f t="shared" si="54"/>
        <v/>
      </c>
      <c r="EA92" s="568" t="str">
        <f t="shared" si="54"/>
        <v/>
      </c>
      <c r="EB92" s="568" t="str">
        <f t="shared" si="54"/>
        <v/>
      </c>
      <c r="EC92" s="568" t="str">
        <f t="shared" si="54"/>
        <v/>
      </c>
      <c r="ED92" s="568" t="str">
        <f t="shared" si="54"/>
        <v/>
      </c>
      <c r="EE92" s="568" t="str">
        <f t="shared" si="54"/>
        <v/>
      </c>
      <c r="EF92" s="568" t="str">
        <f t="shared" ref="EF92:EI92" si="55">IF(EF$67="","",EF88-EF90)</f>
        <v/>
      </c>
      <c r="EG92" s="568" t="str">
        <f t="shared" si="55"/>
        <v/>
      </c>
      <c r="EH92" s="568" t="str">
        <f t="shared" si="55"/>
        <v/>
      </c>
      <c r="EI92" s="568" t="str">
        <f t="shared" si="55"/>
        <v/>
      </c>
    </row>
    <row r="93" spans="2:139" outlineLevel="1" x14ac:dyDescent="0.25">
      <c r="B93" s="448"/>
      <c r="C93" s="448"/>
      <c r="D93" s="448"/>
      <c r="E93" s="448"/>
      <c r="F93" s="448"/>
      <c r="G93" s="568"/>
      <c r="H93" s="568"/>
      <c r="I93" s="568"/>
      <c r="J93" s="568"/>
      <c r="K93" s="568"/>
      <c r="L93" s="568"/>
      <c r="M93" s="568"/>
      <c r="N93" s="568"/>
      <c r="O93" s="568"/>
      <c r="P93" s="568"/>
      <c r="Q93" s="568"/>
      <c r="R93" s="568"/>
      <c r="S93" s="568"/>
      <c r="T93" s="568"/>
      <c r="U93" s="568"/>
      <c r="V93" s="568"/>
      <c r="W93" s="568"/>
      <c r="X93" s="568"/>
      <c r="Y93" s="568"/>
      <c r="Z93" s="568"/>
      <c r="AA93" s="568"/>
      <c r="AB93" s="568"/>
      <c r="AC93" s="568"/>
      <c r="AD93" s="568"/>
      <c r="AE93" s="568"/>
      <c r="AF93" s="568"/>
      <c r="AG93" s="568"/>
      <c r="AH93" s="568"/>
      <c r="AI93" s="568"/>
      <c r="AJ93" s="568"/>
      <c r="AK93" s="568"/>
      <c r="AL93" s="568"/>
      <c r="AM93" s="568"/>
      <c r="AN93" s="568"/>
      <c r="AO93" s="568"/>
      <c r="AP93" s="568"/>
      <c r="AQ93" s="568"/>
      <c r="AR93" s="568"/>
      <c r="AS93" s="568"/>
      <c r="AT93" s="568"/>
      <c r="AU93" s="568"/>
      <c r="AV93" s="568"/>
      <c r="AW93" s="568"/>
      <c r="AX93" s="568"/>
      <c r="AY93" s="568"/>
      <c r="AZ93" s="568"/>
      <c r="BA93" s="568"/>
      <c r="BB93" s="568"/>
      <c r="BC93" s="568"/>
      <c r="BD93" s="568"/>
      <c r="BE93" s="568"/>
      <c r="BF93" s="568"/>
      <c r="BG93" s="568"/>
      <c r="BH93" s="568"/>
      <c r="BI93" s="568"/>
      <c r="BJ93" s="568"/>
      <c r="BK93" s="568"/>
      <c r="BL93" s="568"/>
      <c r="BM93" s="568"/>
      <c r="BN93" s="568"/>
      <c r="BO93" s="568"/>
      <c r="BP93" s="568"/>
      <c r="BQ93" s="568"/>
      <c r="BR93" s="568"/>
      <c r="BS93" s="568"/>
      <c r="BT93" s="568"/>
      <c r="BU93" s="568"/>
      <c r="BV93" s="568"/>
      <c r="BW93" s="568"/>
      <c r="BX93" s="568"/>
      <c r="BY93" s="568"/>
      <c r="BZ93" s="568"/>
      <c r="CA93" s="568"/>
      <c r="CB93" s="568"/>
      <c r="CC93" s="568"/>
      <c r="CD93" s="568"/>
      <c r="CE93" s="568"/>
      <c r="CF93" s="568"/>
      <c r="CG93" s="568"/>
      <c r="CH93" s="568"/>
      <c r="CI93" s="568"/>
      <c r="CJ93" s="568"/>
      <c r="CK93" s="568"/>
      <c r="CL93" s="568"/>
      <c r="CM93" s="568"/>
      <c r="CN93" s="568"/>
      <c r="CO93" s="568"/>
      <c r="CP93" s="568"/>
      <c r="CQ93" s="568"/>
      <c r="CR93" s="568"/>
      <c r="CS93" s="568"/>
      <c r="CT93" s="568"/>
      <c r="CU93" s="568"/>
      <c r="CV93" s="568"/>
      <c r="CW93" s="568"/>
      <c r="CX93" s="568"/>
      <c r="CY93" s="568"/>
      <c r="CZ93" s="568"/>
      <c r="DA93" s="568"/>
      <c r="DB93" s="568"/>
      <c r="DC93" s="568"/>
      <c r="DD93" s="568"/>
      <c r="DE93" s="568"/>
      <c r="DF93" s="568"/>
      <c r="DG93" s="568"/>
      <c r="DH93" s="568"/>
      <c r="DI93" s="568"/>
      <c r="DJ93" s="568"/>
      <c r="DK93" s="568"/>
      <c r="DL93" s="568"/>
      <c r="DM93" s="568"/>
      <c r="DN93" s="568"/>
      <c r="DO93" s="568"/>
      <c r="DP93" s="568"/>
      <c r="DQ93" s="568"/>
      <c r="DR93" s="568"/>
      <c r="DS93" s="568"/>
      <c r="DT93" s="568"/>
      <c r="DU93" s="568"/>
      <c r="DV93" s="568"/>
      <c r="DW93" s="568"/>
      <c r="DX93" s="568"/>
      <c r="DY93" s="568"/>
      <c r="DZ93" s="568"/>
      <c r="EA93" s="568"/>
      <c r="EB93" s="568"/>
      <c r="EC93" s="568"/>
      <c r="ED93" s="568"/>
      <c r="EE93" s="568"/>
      <c r="EF93" s="568"/>
      <c r="EG93" s="568"/>
      <c r="EH93" s="568"/>
      <c r="EI93" s="568"/>
    </row>
    <row r="94" spans="2:139" outlineLevel="1" x14ac:dyDescent="0.25">
      <c r="B94" s="448" t="s">
        <v>519</v>
      </c>
      <c r="C94" s="448"/>
      <c r="D94" s="448"/>
      <c r="E94" s="448"/>
      <c r="F94" s="448"/>
      <c r="G94" s="567">
        <f>+G67</f>
        <v>0</v>
      </c>
      <c r="H94" s="567">
        <f t="shared" ref="H94:BS94" si="56">+H67</f>
        <v>1</v>
      </c>
      <c r="I94" s="567">
        <f t="shared" si="56"/>
        <v>2</v>
      </c>
      <c r="J94" s="567">
        <f t="shared" si="56"/>
        <v>3</v>
      </c>
      <c r="K94" s="567">
        <f t="shared" si="56"/>
        <v>4</v>
      </c>
      <c r="L94" s="567">
        <f t="shared" si="56"/>
        <v>5</v>
      </c>
      <c r="M94" s="567">
        <f t="shared" si="56"/>
        <v>6</v>
      </c>
      <c r="N94" s="567">
        <f t="shared" si="56"/>
        <v>7</v>
      </c>
      <c r="O94" s="567">
        <f t="shared" si="56"/>
        <v>8</v>
      </c>
      <c r="P94" s="567">
        <f t="shared" si="56"/>
        <v>9</v>
      </c>
      <c r="Q94" s="567">
        <f t="shared" si="56"/>
        <v>10</v>
      </c>
      <c r="R94" s="567">
        <f t="shared" si="56"/>
        <v>11</v>
      </c>
      <c r="S94" s="567">
        <f t="shared" si="56"/>
        <v>12</v>
      </c>
      <c r="T94" s="567">
        <f t="shared" si="56"/>
        <v>13</v>
      </c>
      <c r="U94" s="567">
        <f t="shared" si="56"/>
        <v>14</v>
      </c>
      <c r="V94" s="567">
        <f t="shared" si="56"/>
        <v>15</v>
      </c>
      <c r="W94" s="567">
        <f t="shared" si="56"/>
        <v>16</v>
      </c>
      <c r="X94" s="567">
        <f t="shared" si="56"/>
        <v>17</v>
      </c>
      <c r="Y94" s="567">
        <f t="shared" si="56"/>
        <v>18</v>
      </c>
      <c r="Z94" s="567">
        <f t="shared" si="56"/>
        <v>19</v>
      </c>
      <c r="AA94" s="567">
        <f t="shared" si="56"/>
        <v>20</v>
      </c>
      <c r="AB94" s="567">
        <f t="shared" si="56"/>
        <v>21</v>
      </c>
      <c r="AC94" s="567">
        <f t="shared" si="56"/>
        <v>22</v>
      </c>
      <c r="AD94" s="567">
        <f t="shared" si="56"/>
        <v>23</v>
      </c>
      <c r="AE94" s="567">
        <f t="shared" si="56"/>
        <v>24</v>
      </c>
      <c r="AF94" s="567">
        <f t="shared" si="56"/>
        <v>25</v>
      </c>
      <c r="AG94" s="567">
        <f t="shared" si="56"/>
        <v>26</v>
      </c>
      <c r="AH94" s="567">
        <f t="shared" si="56"/>
        <v>27</v>
      </c>
      <c r="AI94" s="567">
        <f t="shared" si="56"/>
        <v>28</v>
      </c>
      <c r="AJ94" s="567">
        <f t="shared" si="56"/>
        <v>29</v>
      </c>
      <c r="AK94" s="567">
        <f t="shared" si="56"/>
        <v>30</v>
      </c>
      <c r="AL94" s="567">
        <f t="shared" si="56"/>
        <v>31</v>
      </c>
      <c r="AM94" s="567">
        <f t="shared" si="56"/>
        <v>32</v>
      </c>
      <c r="AN94" s="567">
        <f t="shared" si="56"/>
        <v>33</v>
      </c>
      <c r="AO94" s="567">
        <f t="shared" si="56"/>
        <v>34</v>
      </c>
      <c r="AP94" s="567">
        <f t="shared" si="56"/>
        <v>35</v>
      </c>
      <c r="AQ94" s="567">
        <f t="shared" si="56"/>
        <v>36</v>
      </c>
      <c r="AR94" s="567" t="str">
        <f t="shared" si="56"/>
        <v/>
      </c>
      <c r="AS94" s="567" t="str">
        <f t="shared" si="56"/>
        <v/>
      </c>
      <c r="AT94" s="567" t="str">
        <f t="shared" si="56"/>
        <v/>
      </c>
      <c r="AU94" s="567" t="str">
        <f t="shared" si="56"/>
        <v/>
      </c>
      <c r="AV94" s="567" t="str">
        <f t="shared" si="56"/>
        <v/>
      </c>
      <c r="AW94" s="567" t="str">
        <f t="shared" si="56"/>
        <v/>
      </c>
      <c r="AX94" s="567" t="str">
        <f t="shared" si="56"/>
        <v/>
      </c>
      <c r="AY94" s="567" t="str">
        <f t="shared" si="56"/>
        <v/>
      </c>
      <c r="AZ94" s="567" t="str">
        <f t="shared" si="56"/>
        <v/>
      </c>
      <c r="BA94" s="567" t="str">
        <f t="shared" si="56"/>
        <v/>
      </c>
      <c r="BB94" s="567" t="str">
        <f t="shared" si="56"/>
        <v/>
      </c>
      <c r="BC94" s="567" t="str">
        <f t="shared" si="56"/>
        <v/>
      </c>
      <c r="BD94" s="567" t="str">
        <f t="shared" si="56"/>
        <v/>
      </c>
      <c r="BE94" s="567" t="str">
        <f t="shared" si="56"/>
        <v/>
      </c>
      <c r="BF94" s="567" t="str">
        <f t="shared" si="56"/>
        <v/>
      </c>
      <c r="BG94" s="567" t="str">
        <f t="shared" si="56"/>
        <v/>
      </c>
      <c r="BH94" s="567" t="str">
        <f t="shared" si="56"/>
        <v/>
      </c>
      <c r="BI94" s="567" t="str">
        <f t="shared" si="56"/>
        <v/>
      </c>
      <c r="BJ94" s="567" t="str">
        <f t="shared" si="56"/>
        <v/>
      </c>
      <c r="BK94" s="567" t="str">
        <f t="shared" si="56"/>
        <v/>
      </c>
      <c r="BL94" s="567" t="str">
        <f t="shared" si="56"/>
        <v/>
      </c>
      <c r="BM94" s="567" t="str">
        <f t="shared" si="56"/>
        <v/>
      </c>
      <c r="BN94" s="567" t="str">
        <f t="shared" si="56"/>
        <v/>
      </c>
      <c r="BO94" s="567" t="str">
        <f t="shared" si="56"/>
        <v/>
      </c>
      <c r="BP94" s="567" t="str">
        <f t="shared" si="56"/>
        <v/>
      </c>
      <c r="BQ94" s="567" t="str">
        <f t="shared" si="56"/>
        <v/>
      </c>
      <c r="BR94" s="567" t="str">
        <f t="shared" si="56"/>
        <v/>
      </c>
      <c r="BS94" s="567" t="str">
        <f t="shared" si="56"/>
        <v/>
      </c>
      <c r="BT94" s="567" t="str">
        <f t="shared" ref="BT94:EE94" si="57">+BT67</f>
        <v/>
      </c>
      <c r="BU94" s="567" t="str">
        <f t="shared" si="57"/>
        <v/>
      </c>
      <c r="BV94" s="567" t="str">
        <f t="shared" si="57"/>
        <v/>
      </c>
      <c r="BW94" s="567" t="str">
        <f t="shared" si="57"/>
        <v/>
      </c>
      <c r="BX94" s="567" t="str">
        <f t="shared" si="57"/>
        <v/>
      </c>
      <c r="BY94" s="567" t="str">
        <f t="shared" si="57"/>
        <v/>
      </c>
      <c r="BZ94" s="567" t="str">
        <f t="shared" si="57"/>
        <v/>
      </c>
      <c r="CA94" s="567" t="str">
        <f t="shared" si="57"/>
        <v/>
      </c>
      <c r="CB94" s="567" t="str">
        <f t="shared" si="57"/>
        <v/>
      </c>
      <c r="CC94" s="567" t="str">
        <f t="shared" si="57"/>
        <v/>
      </c>
      <c r="CD94" s="567" t="str">
        <f t="shared" si="57"/>
        <v/>
      </c>
      <c r="CE94" s="567" t="str">
        <f t="shared" si="57"/>
        <v/>
      </c>
      <c r="CF94" s="567" t="str">
        <f t="shared" si="57"/>
        <v/>
      </c>
      <c r="CG94" s="567" t="str">
        <f t="shared" si="57"/>
        <v/>
      </c>
      <c r="CH94" s="567" t="str">
        <f t="shared" si="57"/>
        <v/>
      </c>
      <c r="CI94" s="567" t="str">
        <f t="shared" si="57"/>
        <v/>
      </c>
      <c r="CJ94" s="567" t="str">
        <f t="shared" si="57"/>
        <v/>
      </c>
      <c r="CK94" s="567" t="str">
        <f t="shared" si="57"/>
        <v/>
      </c>
      <c r="CL94" s="567" t="str">
        <f t="shared" si="57"/>
        <v/>
      </c>
      <c r="CM94" s="567" t="str">
        <f t="shared" si="57"/>
        <v/>
      </c>
      <c r="CN94" s="567" t="str">
        <f t="shared" si="57"/>
        <v/>
      </c>
      <c r="CO94" s="567" t="str">
        <f t="shared" si="57"/>
        <v/>
      </c>
      <c r="CP94" s="567" t="str">
        <f t="shared" si="57"/>
        <v/>
      </c>
      <c r="CQ94" s="567" t="str">
        <f t="shared" si="57"/>
        <v/>
      </c>
      <c r="CR94" s="567" t="str">
        <f t="shared" si="57"/>
        <v/>
      </c>
      <c r="CS94" s="567" t="str">
        <f t="shared" si="57"/>
        <v/>
      </c>
      <c r="CT94" s="567" t="str">
        <f t="shared" si="57"/>
        <v/>
      </c>
      <c r="CU94" s="567" t="str">
        <f t="shared" si="57"/>
        <v/>
      </c>
      <c r="CV94" s="567" t="str">
        <f t="shared" si="57"/>
        <v/>
      </c>
      <c r="CW94" s="567" t="str">
        <f t="shared" si="57"/>
        <v/>
      </c>
      <c r="CX94" s="567" t="str">
        <f t="shared" si="57"/>
        <v/>
      </c>
      <c r="CY94" s="567" t="str">
        <f t="shared" si="57"/>
        <v/>
      </c>
      <c r="CZ94" s="567" t="str">
        <f t="shared" si="57"/>
        <v/>
      </c>
      <c r="DA94" s="567" t="str">
        <f t="shared" si="57"/>
        <v/>
      </c>
      <c r="DB94" s="567" t="str">
        <f t="shared" si="57"/>
        <v/>
      </c>
      <c r="DC94" s="567" t="str">
        <f t="shared" si="57"/>
        <v/>
      </c>
      <c r="DD94" s="567" t="str">
        <f t="shared" si="57"/>
        <v/>
      </c>
      <c r="DE94" s="567" t="str">
        <f t="shared" si="57"/>
        <v/>
      </c>
      <c r="DF94" s="567" t="str">
        <f t="shared" si="57"/>
        <v/>
      </c>
      <c r="DG94" s="567" t="str">
        <f t="shared" si="57"/>
        <v/>
      </c>
      <c r="DH94" s="567" t="str">
        <f t="shared" si="57"/>
        <v/>
      </c>
      <c r="DI94" s="567" t="str">
        <f t="shared" si="57"/>
        <v/>
      </c>
      <c r="DJ94" s="567" t="str">
        <f t="shared" si="57"/>
        <v/>
      </c>
      <c r="DK94" s="567" t="str">
        <f t="shared" si="57"/>
        <v/>
      </c>
      <c r="DL94" s="567" t="str">
        <f t="shared" si="57"/>
        <v/>
      </c>
      <c r="DM94" s="567" t="str">
        <f t="shared" si="57"/>
        <v/>
      </c>
      <c r="DN94" s="567" t="str">
        <f t="shared" si="57"/>
        <v/>
      </c>
      <c r="DO94" s="567" t="str">
        <f t="shared" si="57"/>
        <v/>
      </c>
      <c r="DP94" s="567" t="str">
        <f t="shared" si="57"/>
        <v/>
      </c>
      <c r="DQ94" s="567" t="str">
        <f t="shared" si="57"/>
        <v/>
      </c>
      <c r="DR94" s="567" t="str">
        <f t="shared" si="57"/>
        <v/>
      </c>
      <c r="DS94" s="567" t="str">
        <f t="shared" si="57"/>
        <v/>
      </c>
      <c r="DT94" s="567" t="str">
        <f t="shared" si="57"/>
        <v/>
      </c>
      <c r="DU94" s="567" t="str">
        <f t="shared" si="57"/>
        <v/>
      </c>
      <c r="DV94" s="567" t="str">
        <f t="shared" si="57"/>
        <v/>
      </c>
      <c r="DW94" s="567" t="str">
        <f t="shared" si="57"/>
        <v/>
      </c>
      <c r="DX94" s="567" t="str">
        <f t="shared" si="57"/>
        <v/>
      </c>
      <c r="DY94" s="567" t="str">
        <f t="shared" si="57"/>
        <v/>
      </c>
      <c r="DZ94" s="567" t="str">
        <f t="shared" si="57"/>
        <v/>
      </c>
      <c r="EA94" s="567" t="str">
        <f t="shared" si="57"/>
        <v/>
      </c>
      <c r="EB94" s="567" t="str">
        <f t="shared" si="57"/>
        <v/>
      </c>
      <c r="EC94" s="567" t="str">
        <f t="shared" si="57"/>
        <v/>
      </c>
      <c r="ED94" s="567" t="str">
        <f t="shared" si="57"/>
        <v/>
      </c>
      <c r="EE94" s="567" t="str">
        <f t="shared" si="57"/>
        <v/>
      </c>
      <c r="EF94" s="567" t="str">
        <f t="shared" ref="EF94:EI94" si="58">+EF67</f>
        <v/>
      </c>
      <c r="EG94" s="567" t="str">
        <f t="shared" si="58"/>
        <v/>
      </c>
      <c r="EH94" s="567" t="str">
        <f t="shared" si="58"/>
        <v/>
      </c>
      <c r="EI94" s="567" t="str">
        <f t="shared" si="58"/>
        <v/>
      </c>
    </row>
    <row r="95" spans="2:139" outlineLevel="1" x14ac:dyDescent="0.25">
      <c r="B95" s="180"/>
      <c r="C95" s="448"/>
      <c r="D95" s="448"/>
      <c r="E95" s="448"/>
      <c r="F95" s="448"/>
      <c r="G95" s="568"/>
      <c r="H95" s="568"/>
      <c r="I95" s="568"/>
      <c r="J95" s="568"/>
      <c r="K95" s="568"/>
      <c r="L95" s="568"/>
      <c r="M95" s="568"/>
      <c r="N95" s="568"/>
      <c r="O95" s="568"/>
      <c r="P95" s="568"/>
      <c r="Q95" s="568"/>
      <c r="R95" s="568"/>
      <c r="S95" s="568"/>
      <c r="T95" s="568"/>
      <c r="U95" s="568"/>
      <c r="V95" s="568"/>
      <c r="W95" s="568"/>
      <c r="X95" s="568"/>
      <c r="Y95" s="568"/>
      <c r="Z95" s="568"/>
      <c r="AA95" s="568"/>
      <c r="AB95" s="568"/>
      <c r="AC95" s="568"/>
      <c r="AD95" s="568"/>
      <c r="AE95" s="568"/>
      <c r="AF95" s="568"/>
      <c r="AG95" s="568"/>
      <c r="AH95" s="568"/>
      <c r="AI95" s="568"/>
      <c r="AJ95" s="568"/>
      <c r="AK95" s="568"/>
      <c r="AL95" s="568"/>
      <c r="AM95" s="568"/>
      <c r="AN95" s="568"/>
      <c r="AO95" s="568"/>
      <c r="AP95" s="568"/>
      <c r="AQ95" s="568"/>
      <c r="AR95" s="568"/>
      <c r="AS95" s="568"/>
      <c r="AT95" s="568"/>
      <c r="AU95" s="568"/>
      <c r="AV95" s="568"/>
      <c r="AW95" s="568"/>
      <c r="AX95" s="568"/>
      <c r="AY95" s="568"/>
      <c r="AZ95" s="568"/>
      <c r="BA95" s="568"/>
      <c r="BB95" s="568"/>
      <c r="BC95" s="568"/>
      <c r="BD95" s="568"/>
      <c r="BE95" s="568"/>
      <c r="BF95" s="568"/>
      <c r="BG95" s="568"/>
      <c r="BH95" s="568"/>
      <c r="BI95" s="568"/>
      <c r="BJ95" s="568"/>
      <c r="BK95" s="568"/>
      <c r="BL95" s="568"/>
      <c r="BM95" s="568"/>
      <c r="BN95" s="568"/>
      <c r="BO95" s="568"/>
      <c r="BP95" s="568"/>
      <c r="BQ95" s="568"/>
      <c r="BR95" s="568"/>
      <c r="BS95" s="568"/>
      <c r="BT95" s="568"/>
      <c r="BU95" s="568"/>
      <c r="BV95" s="568"/>
      <c r="BW95" s="568"/>
      <c r="BX95" s="568"/>
      <c r="BY95" s="568"/>
      <c r="BZ95" s="568"/>
      <c r="CA95" s="568"/>
      <c r="CB95" s="568"/>
      <c r="CC95" s="568"/>
      <c r="CD95" s="568"/>
      <c r="CE95" s="568"/>
      <c r="CF95" s="568"/>
      <c r="CG95" s="568"/>
      <c r="CH95" s="568"/>
      <c r="CI95" s="568"/>
      <c r="CJ95" s="568"/>
      <c r="CK95" s="568"/>
      <c r="CL95" s="568"/>
      <c r="CM95" s="568"/>
      <c r="CN95" s="568"/>
      <c r="CO95" s="568"/>
      <c r="CP95" s="568"/>
      <c r="CQ95" s="568"/>
      <c r="CR95" s="568"/>
      <c r="CS95" s="568"/>
      <c r="CT95" s="568"/>
      <c r="CU95" s="568"/>
      <c r="CV95" s="568"/>
      <c r="CW95" s="568"/>
      <c r="CX95" s="568"/>
      <c r="CY95" s="568"/>
      <c r="CZ95" s="568"/>
      <c r="DA95" s="568"/>
      <c r="DB95" s="568"/>
      <c r="DC95" s="568"/>
      <c r="DD95" s="568"/>
      <c r="DE95" s="568"/>
      <c r="DF95" s="568"/>
      <c r="DG95" s="568"/>
      <c r="DH95" s="568"/>
      <c r="DI95" s="568"/>
      <c r="DJ95" s="568"/>
      <c r="DK95" s="568"/>
      <c r="DL95" s="568"/>
      <c r="DM95" s="568"/>
      <c r="DN95" s="568"/>
      <c r="DO95" s="568"/>
      <c r="DP95" s="568"/>
      <c r="DQ95" s="568"/>
      <c r="DR95" s="568"/>
      <c r="DS95" s="568"/>
      <c r="DT95" s="568"/>
      <c r="DU95" s="568"/>
      <c r="DV95" s="568"/>
      <c r="DW95" s="568"/>
      <c r="DX95" s="568"/>
      <c r="DY95" s="568"/>
      <c r="DZ95" s="568"/>
      <c r="EA95" s="568"/>
      <c r="EB95" s="568"/>
      <c r="EC95" s="568"/>
      <c r="ED95" s="568"/>
      <c r="EE95" s="568"/>
      <c r="EF95" s="568"/>
      <c r="EG95" s="568"/>
      <c r="EH95" s="568"/>
      <c r="EI95" s="568"/>
    </row>
    <row r="96" spans="2:139" outlineLevel="1" x14ac:dyDescent="0.25">
      <c r="B96" s="293" t="s">
        <v>178</v>
      </c>
      <c r="C96" s="448"/>
      <c r="D96" s="448"/>
      <c r="E96" s="448"/>
      <c r="F96" s="448"/>
      <c r="G96" s="568">
        <f ca="1">IF(G$94="","",Underwriting!Q215)</f>
        <v>-752002.85714285716</v>
      </c>
      <c r="H96" s="568">
        <f ca="1">IF(H$94="","",Underwriting!R215)</f>
        <v>-16840.908265539307</v>
      </c>
      <c r="I96" s="568">
        <f ca="1">IF(I$94="","",Underwriting!S215)</f>
        <v>-52504.923287438098</v>
      </c>
      <c r="J96" s="568">
        <f ca="1">IF(J$94="","",Underwriting!T215)</f>
        <v>-136519.80154125288</v>
      </c>
      <c r="K96" s="568">
        <f ca="1">IF(K$94="","",Underwriting!U215)</f>
        <v>-282437.29328717594</v>
      </c>
      <c r="L96" s="568">
        <f ca="1">IF(L$94="","",Underwriting!V215)</f>
        <v>-459629.91406893102</v>
      </c>
      <c r="M96" s="568">
        <f ca="1">IF(M$94="","",Underwriting!W215)</f>
        <v>-586584.30240680568</v>
      </c>
      <c r="N96" s="568">
        <f ca="1">IF(N$94="","",Underwriting!X215)</f>
        <v>-584581.44526394852</v>
      </c>
      <c r="O96" s="568">
        <f ca="1">IF(O$94="","",Underwriting!Y215)</f>
        <v>-457627.05692607397</v>
      </c>
      <c r="P96" s="568">
        <f ca="1">IF(P$94="","",Underwriting!Z215)</f>
        <v>-280434.43614431861</v>
      </c>
      <c r="Q96" s="568">
        <f ca="1">IF(Q$94="","",Underwriting!AA215)</f>
        <v>-134516.94439839578</v>
      </c>
      <c r="R96" s="568">
        <f ca="1">IF(R$94="","",Underwriting!AB215)</f>
        <v>-50502.066144580931</v>
      </c>
      <c r="S96" s="568">
        <f ca="1">IF(S$94="","",Underwriting!AC215)</f>
        <v>-13983.566122682214</v>
      </c>
      <c r="T96" s="568">
        <f ca="1">IF(T$94="","",Underwriting!AD215)</f>
        <v>-4271.0775000000012</v>
      </c>
      <c r="U96" s="568">
        <f ca="1">IF(U$94="","",Underwriting!AE215)</f>
        <v>5803.3600000000006</v>
      </c>
      <c r="V96" s="568">
        <f ca="1">IF(V$94="","",Underwriting!AF215)</f>
        <v>21003.360000000001</v>
      </c>
      <c r="W96" s="568">
        <f ca="1">IF(W$94="","",Underwriting!AG215)</f>
        <v>21003.360000000001</v>
      </c>
      <c r="X96" s="568">
        <f ca="1">IF(X$94="","",Underwriting!AH215)</f>
        <v>21003.360000000001</v>
      </c>
      <c r="Y96" s="568">
        <f ca="1">IF(Y$94="","",Underwriting!AI215)</f>
        <v>21003.360000000001</v>
      </c>
      <c r="Z96" s="568">
        <f ca="1">IF(Z$94="","",Underwriting!AJ215)</f>
        <v>21003.360000000001</v>
      </c>
      <c r="AA96" s="568">
        <f ca="1">IF(AA$94="","",Underwriting!AK215)</f>
        <v>21003.360000000001</v>
      </c>
      <c r="AB96" s="568">
        <f ca="1">IF(AB$94="","",Underwriting!AL215)</f>
        <v>21003.360000000001</v>
      </c>
      <c r="AC96" s="568">
        <f ca="1">IF(AC$94="","",Underwriting!AM215)</f>
        <v>21003.360000000001</v>
      </c>
      <c r="AD96" s="568">
        <f ca="1">IF(AD$94="","",Underwriting!AN215)</f>
        <v>21003.360000000001</v>
      </c>
      <c r="AE96" s="568">
        <f ca="1">IF(AE$94="","",Underwriting!AO215)</f>
        <v>20035.330799999996</v>
      </c>
      <c r="AF96" s="568">
        <f ca="1">IF(AF$94="","",Underwriting!AP215)</f>
        <v>20343.985800000002</v>
      </c>
      <c r="AG96" s="568">
        <f ca="1">IF(AG$94="","",Underwriting!AQ215)</f>
        <v>20652.640800000001</v>
      </c>
      <c r="AH96" s="568">
        <f ca="1">IF(AH$94="","",Underwriting!AR215)</f>
        <v>20652.640800000001</v>
      </c>
      <c r="AI96" s="568">
        <f ca="1">IF(AI$94="","",Underwriting!AS215)</f>
        <v>20652.640800000001</v>
      </c>
      <c r="AJ96" s="568">
        <f ca="1">IF(AJ$94="","",Underwriting!AT215)</f>
        <v>20652.640800000001</v>
      </c>
      <c r="AK96" s="568">
        <f ca="1">IF(AK$94="","",Underwriting!AU215)</f>
        <v>20652.640800000001</v>
      </c>
      <c r="AL96" s="568">
        <f ca="1">IF(AL$94="","",Underwriting!AV215)</f>
        <v>20652.640800000001</v>
      </c>
      <c r="AM96" s="568">
        <f ca="1">IF(AM$94="","",Underwriting!AW215)</f>
        <v>20652.640800000001</v>
      </c>
      <c r="AN96" s="568">
        <f ca="1">IF(AN$94="","",Underwriting!AX215)</f>
        <v>20652.640800000001</v>
      </c>
      <c r="AO96" s="568">
        <f ca="1">IF(AO$94="","",Underwriting!AY215)</f>
        <v>20652.640800000001</v>
      </c>
      <c r="AP96" s="568">
        <f ca="1">IF(AP$94="","",Underwriting!AZ215)</f>
        <v>20652.640800000001</v>
      </c>
      <c r="AQ96" s="568">
        <f ca="1">IF(AQ$94="","",Underwriting!BA215)</f>
        <v>4258070.4028103603</v>
      </c>
      <c r="AR96" s="568" t="str">
        <f>IF(AR$94="","",Underwriting!BB215)</f>
        <v/>
      </c>
      <c r="AS96" s="568" t="str">
        <f>IF(AS$94="","",Underwriting!BC215)</f>
        <v/>
      </c>
      <c r="AT96" s="568" t="str">
        <f>IF(AT$94="","",Underwriting!BD215)</f>
        <v/>
      </c>
      <c r="AU96" s="568" t="str">
        <f>IF(AU$94="","",Underwriting!BE215)</f>
        <v/>
      </c>
      <c r="AV96" s="568" t="str">
        <f>IF(AV$94="","",Underwriting!BF215)</f>
        <v/>
      </c>
      <c r="AW96" s="568" t="str">
        <f>IF(AW$94="","",Underwriting!BG215)</f>
        <v/>
      </c>
      <c r="AX96" s="568" t="str">
        <f>IF(AX$94="","",Underwriting!BH215)</f>
        <v/>
      </c>
      <c r="AY96" s="568" t="str">
        <f>IF(AY$94="","",Underwriting!BI215)</f>
        <v/>
      </c>
      <c r="AZ96" s="568" t="str">
        <f>IF(AZ$94="","",Underwriting!BJ215)</f>
        <v/>
      </c>
      <c r="BA96" s="568" t="str">
        <f>IF(BA$94="","",Underwriting!BK215)</f>
        <v/>
      </c>
      <c r="BB96" s="568" t="str">
        <f>IF(BB$94="","",Underwriting!BL215)</f>
        <v/>
      </c>
      <c r="BC96" s="568" t="str">
        <f>IF(BC$94="","",Underwriting!BM215)</f>
        <v/>
      </c>
      <c r="BD96" s="568" t="str">
        <f>IF(BD$94="","",Underwriting!BN215)</f>
        <v/>
      </c>
      <c r="BE96" s="568" t="str">
        <f>IF(BE$94="","",Underwriting!BO215)</f>
        <v/>
      </c>
      <c r="BF96" s="568" t="str">
        <f>IF(BF$94="","",Underwriting!BP215)</f>
        <v/>
      </c>
      <c r="BG96" s="568" t="str">
        <f>IF(BG$94="","",Underwriting!BQ215)</f>
        <v/>
      </c>
      <c r="BH96" s="568" t="str">
        <f>IF(BH$94="","",Underwriting!BR215)</f>
        <v/>
      </c>
      <c r="BI96" s="568" t="str">
        <f>IF(BI$94="","",Underwriting!BS215)</f>
        <v/>
      </c>
      <c r="BJ96" s="568" t="str">
        <f>IF(BJ$94="","",Underwriting!BT215)</f>
        <v/>
      </c>
      <c r="BK96" s="568" t="str">
        <f>IF(BK$94="","",Underwriting!BU215)</f>
        <v/>
      </c>
      <c r="BL96" s="568" t="str">
        <f>IF(BL$94="","",Underwriting!BV215)</f>
        <v/>
      </c>
      <c r="BM96" s="568" t="str">
        <f>IF(BM$94="","",Underwriting!BW215)</f>
        <v/>
      </c>
      <c r="BN96" s="568" t="str">
        <f>IF(BN$94="","",Underwriting!BX215)</f>
        <v/>
      </c>
      <c r="BO96" s="568" t="str">
        <f>IF(BO$94="","",Underwriting!BY215)</f>
        <v/>
      </c>
      <c r="BP96" s="568" t="str">
        <f>IF(BP$94="","",Underwriting!BZ215)</f>
        <v/>
      </c>
      <c r="BQ96" s="568" t="str">
        <f>IF(BQ$94="","",Underwriting!CA215)</f>
        <v/>
      </c>
      <c r="BR96" s="568" t="str">
        <f>IF(BR$94="","",Underwriting!CB215)</f>
        <v/>
      </c>
      <c r="BS96" s="568" t="str">
        <f>IF(BS$94="","",Underwriting!CC215)</f>
        <v/>
      </c>
      <c r="BT96" s="568" t="str">
        <f>IF(BT$94="","",Underwriting!CD215)</f>
        <v/>
      </c>
      <c r="BU96" s="568" t="str">
        <f>IF(BU$94="","",Underwriting!CE215)</f>
        <v/>
      </c>
      <c r="BV96" s="568" t="str">
        <f>IF(BV$94="","",Underwriting!CF215)</f>
        <v/>
      </c>
      <c r="BW96" s="568" t="str">
        <f>IF(BW$94="","",Underwriting!CG215)</f>
        <v/>
      </c>
      <c r="BX96" s="568" t="str">
        <f>IF(BX$94="","",Underwriting!CH215)</f>
        <v/>
      </c>
      <c r="BY96" s="568" t="str">
        <f>IF(BY$94="","",Underwriting!CI215)</f>
        <v/>
      </c>
      <c r="BZ96" s="568" t="str">
        <f>IF(BZ$94="","",Underwriting!CJ215)</f>
        <v/>
      </c>
      <c r="CA96" s="568" t="str">
        <f>IF(CA$94="","",Underwriting!CK215)</f>
        <v/>
      </c>
      <c r="CB96" s="568" t="str">
        <f>IF(CB$94="","",Underwriting!CL215)</f>
        <v/>
      </c>
      <c r="CC96" s="568" t="str">
        <f>IF(CC$94="","",Underwriting!CM215)</f>
        <v/>
      </c>
      <c r="CD96" s="568" t="str">
        <f>IF(CD$94="","",Underwriting!CN215)</f>
        <v/>
      </c>
      <c r="CE96" s="568" t="str">
        <f>IF(CE$94="","",Underwriting!CO215)</f>
        <v/>
      </c>
      <c r="CF96" s="568" t="str">
        <f>IF(CF$94="","",Underwriting!CP215)</f>
        <v/>
      </c>
      <c r="CG96" s="568" t="str">
        <f>IF(CG$94="","",Underwriting!CQ215)</f>
        <v/>
      </c>
      <c r="CH96" s="568" t="str">
        <f>IF(CH$94="","",Underwriting!CR215)</f>
        <v/>
      </c>
      <c r="CI96" s="568" t="str">
        <f>IF(CI$94="","",Underwriting!CS215)</f>
        <v/>
      </c>
      <c r="CJ96" s="568" t="str">
        <f>IF(CJ$94="","",Underwriting!CT215)</f>
        <v/>
      </c>
      <c r="CK96" s="568" t="str">
        <f>IF(CK$94="","",Underwriting!CU215)</f>
        <v/>
      </c>
      <c r="CL96" s="568" t="str">
        <f>IF(CL$94="","",Underwriting!CV215)</f>
        <v/>
      </c>
      <c r="CM96" s="568" t="str">
        <f>IF(CM$94="","",Underwriting!CW215)</f>
        <v/>
      </c>
      <c r="CN96" s="568" t="str">
        <f>IF(CN$94="","",Underwriting!CX215)</f>
        <v/>
      </c>
      <c r="CO96" s="568" t="str">
        <f>IF(CO$94="","",Underwriting!CY215)</f>
        <v/>
      </c>
      <c r="CP96" s="568" t="str">
        <f>IF(CP$94="","",Underwriting!CZ215)</f>
        <v/>
      </c>
      <c r="CQ96" s="568" t="str">
        <f>IF(CQ$94="","",Underwriting!DA215)</f>
        <v/>
      </c>
      <c r="CR96" s="568" t="str">
        <f>IF(CR$94="","",Underwriting!DB215)</f>
        <v/>
      </c>
      <c r="CS96" s="568" t="str">
        <f>IF(CS$94="","",Underwriting!DC215)</f>
        <v/>
      </c>
      <c r="CT96" s="568" t="str">
        <f>IF(CT$94="","",Underwriting!DD215)</f>
        <v/>
      </c>
      <c r="CU96" s="568" t="str">
        <f>IF(CU$94="","",Underwriting!DE215)</f>
        <v/>
      </c>
      <c r="CV96" s="568" t="str">
        <f>IF(CV$94="","",Underwriting!DF215)</f>
        <v/>
      </c>
      <c r="CW96" s="568" t="str">
        <f>IF(CW$94="","",Underwriting!DG215)</f>
        <v/>
      </c>
      <c r="CX96" s="568" t="str">
        <f>IF(CX$94="","",Underwriting!DH215)</f>
        <v/>
      </c>
      <c r="CY96" s="568" t="str">
        <f>IF(CY$94="","",Underwriting!DI215)</f>
        <v/>
      </c>
      <c r="CZ96" s="568" t="str">
        <f>IF(CZ$94="","",Underwriting!DJ215)</f>
        <v/>
      </c>
      <c r="DA96" s="568" t="str">
        <f>IF(DA$94="","",Underwriting!DK215)</f>
        <v/>
      </c>
      <c r="DB96" s="568" t="str">
        <f>IF(DB$94="","",Underwriting!DL215)</f>
        <v/>
      </c>
      <c r="DC96" s="568" t="str">
        <f>IF(DC$94="","",Underwriting!DM215)</f>
        <v/>
      </c>
      <c r="DD96" s="568" t="str">
        <f>IF(DD$94="","",Underwriting!DN215)</f>
        <v/>
      </c>
      <c r="DE96" s="568" t="str">
        <f>IF(DE$94="","",Underwriting!DO215)</f>
        <v/>
      </c>
      <c r="DF96" s="568" t="str">
        <f>IF(DF$94="","",Underwriting!DP215)</f>
        <v/>
      </c>
      <c r="DG96" s="568" t="str">
        <f>IF(DG$94="","",Underwriting!DQ215)</f>
        <v/>
      </c>
      <c r="DH96" s="568" t="str">
        <f>IF(DH$94="","",Underwriting!DR215)</f>
        <v/>
      </c>
      <c r="DI96" s="568" t="str">
        <f>IF(DI$94="","",Underwriting!DS215)</f>
        <v/>
      </c>
      <c r="DJ96" s="568" t="str">
        <f>IF(DJ$94="","",Underwriting!DT215)</f>
        <v/>
      </c>
      <c r="DK96" s="568" t="str">
        <f>IF(DK$94="","",Underwriting!DU215)</f>
        <v/>
      </c>
      <c r="DL96" s="568" t="str">
        <f>IF(DL$94="","",Underwriting!DV215)</f>
        <v/>
      </c>
      <c r="DM96" s="568" t="str">
        <f>IF(DM$94="","",Underwriting!DW215)</f>
        <v/>
      </c>
      <c r="DN96" s="568" t="str">
        <f>IF(DN$94="","",Underwriting!DX215)</f>
        <v/>
      </c>
      <c r="DO96" s="568" t="str">
        <f>IF(DO$94="","",Underwriting!DY215)</f>
        <v/>
      </c>
      <c r="DP96" s="568" t="str">
        <f>IF(DP$94="","",Underwriting!DZ215)</f>
        <v/>
      </c>
      <c r="DQ96" s="568" t="str">
        <f>IF(DQ$94="","",Underwriting!EA215)</f>
        <v/>
      </c>
      <c r="DR96" s="568" t="str">
        <f>IF(DR$94="","",Underwriting!EB215)</f>
        <v/>
      </c>
      <c r="DS96" s="568" t="str">
        <f>IF(DS$94="","",Underwriting!EC215)</f>
        <v/>
      </c>
      <c r="DT96" s="568" t="str">
        <f>IF(DT$94="","",Underwriting!ED215)</f>
        <v/>
      </c>
      <c r="DU96" s="568" t="str">
        <f>IF(DU$94="","",Underwriting!EE215)</f>
        <v/>
      </c>
      <c r="DV96" s="568" t="str">
        <f>IF(DV$94="","",Underwriting!EF215)</f>
        <v/>
      </c>
      <c r="DW96" s="568" t="str">
        <f>IF(DW$94="","",Underwriting!EG215)</f>
        <v/>
      </c>
      <c r="DX96" s="568" t="str">
        <f>IF(DX$94="","",Underwriting!EH215)</f>
        <v/>
      </c>
      <c r="DY96" s="568" t="str">
        <f>IF(DY$94="","",Underwriting!EI215)</f>
        <v/>
      </c>
      <c r="DZ96" s="568" t="str">
        <f>IF(DZ$94="","",Underwriting!EJ215)</f>
        <v/>
      </c>
      <c r="EA96" s="568" t="str">
        <f>IF(EA$94="","",Underwriting!EK215)</f>
        <v/>
      </c>
      <c r="EB96" s="568" t="str">
        <f>IF(EB$94="","",Underwriting!EL215)</f>
        <v/>
      </c>
      <c r="EC96" s="568" t="str">
        <f>IF(EC$94="","",Underwriting!EM215)</f>
        <v/>
      </c>
      <c r="ED96" s="568" t="str">
        <f>IF(ED$94="","",Underwriting!EN215)</f>
        <v/>
      </c>
      <c r="EE96" s="568" t="str">
        <f>IF(EE$94="","",Underwriting!EO215)</f>
        <v/>
      </c>
      <c r="EF96" s="568" t="str">
        <f>IF(EF$94="","",Underwriting!EP215)</f>
        <v/>
      </c>
      <c r="EG96" s="568" t="str">
        <f>IF(EG$94="","",Underwriting!EQ215)</f>
        <v/>
      </c>
      <c r="EH96" s="568" t="str">
        <f>IF(EH$94="","",Underwriting!ER215)</f>
        <v/>
      </c>
      <c r="EI96" s="568" t="str">
        <f>IF(EI$94="","",Underwriting!ES215)</f>
        <v/>
      </c>
    </row>
    <row r="97" spans="2:139" outlineLevel="1" x14ac:dyDescent="0.25">
      <c r="B97" s="293" t="s">
        <v>179</v>
      </c>
      <c r="C97" s="448"/>
      <c r="D97" s="448"/>
      <c r="E97" s="448"/>
      <c r="F97" s="448"/>
      <c r="G97" s="568">
        <f ca="1">IF(G$94="","",Underwriting!Q216)</f>
        <v>-822502.85714285716</v>
      </c>
      <c r="H97" s="568">
        <f ca="1">IF(H$94="","",Underwriting!R216)</f>
        <v>-16840.908265539307</v>
      </c>
      <c r="I97" s="568">
        <f ca="1">IF(I$94="","",Underwriting!S216)</f>
        <v>-52504.923287438098</v>
      </c>
      <c r="J97" s="568">
        <f ca="1">IF(J$94="","",Underwriting!T216)</f>
        <v>-136519.80154125288</v>
      </c>
      <c r="K97" s="568">
        <f ca="1">IF(K$94="","",Underwriting!U216)</f>
        <v>-282437.29328717594</v>
      </c>
      <c r="L97" s="568">
        <f ca="1">IF(L$94="","",Underwriting!V216)</f>
        <v>-304634.34859430767</v>
      </c>
      <c r="M97" s="568">
        <f ca="1">IF(M$94="","",Underwriting!W216)</f>
        <v>0</v>
      </c>
      <c r="N97" s="568">
        <f ca="1">IF(N$94="","",Underwriting!X216)</f>
        <v>0</v>
      </c>
      <c r="O97" s="568">
        <f ca="1">IF(O$94="","",Underwriting!Y216)</f>
        <v>0</v>
      </c>
      <c r="P97" s="568">
        <f ca="1">IF(P$94="","",Underwriting!Z216)</f>
        <v>0</v>
      </c>
      <c r="Q97" s="568">
        <f ca="1">IF(Q$94="","",Underwriting!AA216)</f>
        <v>0</v>
      </c>
      <c r="R97" s="568">
        <f ca="1">IF(R$94="","",Underwriting!AB216)</f>
        <v>0</v>
      </c>
      <c r="S97" s="568">
        <f ca="1">IF(S$94="","",Underwriting!AC216)</f>
        <v>854.48499999999933</v>
      </c>
      <c r="T97" s="568">
        <f ca="1">IF(T$94="","",Underwriting!AD216)</f>
        <v>10928.922499999999</v>
      </c>
      <c r="U97" s="568">
        <f ca="1">IF(U$94="","",Underwriting!AE216)</f>
        <v>21003.359999999404</v>
      </c>
      <c r="V97" s="568">
        <f ca="1">IF(V$94="","",Underwriting!AF216)</f>
        <v>4636.4932134679602</v>
      </c>
      <c r="W97" s="568">
        <f ca="1">IF(W$94="","",Underwriting!AG216)</f>
        <v>4636.4932134679602</v>
      </c>
      <c r="X97" s="568">
        <f ca="1">IF(X$94="","",Underwriting!AH216)</f>
        <v>4636.4932134679602</v>
      </c>
      <c r="Y97" s="568">
        <f ca="1">IF(Y$94="","",Underwriting!AI216)</f>
        <v>4636.4932134679602</v>
      </c>
      <c r="Z97" s="568">
        <f ca="1">IF(Z$94="","",Underwriting!AJ216)</f>
        <v>4636.4932134679602</v>
      </c>
      <c r="AA97" s="568">
        <f ca="1">IF(AA$94="","",Underwriting!AK216)</f>
        <v>4636.4932134679602</v>
      </c>
      <c r="AB97" s="568">
        <f ca="1">IF(AB$94="","",Underwriting!AL216)</f>
        <v>4636.4932134679602</v>
      </c>
      <c r="AC97" s="568">
        <f ca="1">IF(AC$94="","",Underwriting!AM216)</f>
        <v>4636.4932134679602</v>
      </c>
      <c r="AD97" s="568">
        <f ca="1">IF(AD$94="","",Underwriting!AN216)</f>
        <v>4636.4932134679602</v>
      </c>
      <c r="AE97" s="568">
        <f ca="1">IF(AE$94="","",Underwriting!AO216)</f>
        <v>3668.4640134679557</v>
      </c>
      <c r="AF97" s="568">
        <f ca="1">IF(AF$94="","",Underwriting!AP216)</f>
        <v>3977.1190134679618</v>
      </c>
      <c r="AG97" s="568">
        <f ca="1">IF(AG$94="","",Underwriting!AQ216)</f>
        <v>4285.7740134679607</v>
      </c>
      <c r="AH97" s="568">
        <f ca="1">IF(AH$94="","",Underwriting!AR216)</f>
        <v>4285.7740134679607</v>
      </c>
      <c r="AI97" s="568">
        <f ca="1">IF(AI$94="","",Underwriting!AS216)</f>
        <v>4285.7740134679607</v>
      </c>
      <c r="AJ97" s="568">
        <f ca="1">IF(AJ$94="","",Underwriting!AT216)</f>
        <v>4285.7740134679607</v>
      </c>
      <c r="AK97" s="568">
        <f ca="1">IF(AK$94="","",Underwriting!AU216)</f>
        <v>4285.7740134679607</v>
      </c>
      <c r="AL97" s="568">
        <f ca="1">IF(AL$94="","",Underwriting!AV216)</f>
        <v>4285.7740134679607</v>
      </c>
      <c r="AM97" s="568">
        <f ca="1">IF(AM$94="","",Underwriting!AW216)</f>
        <v>4285.7740134679607</v>
      </c>
      <c r="AN97" s="568">
        <f ca="1">IF(AN$94="","",Underwriting!AX216)</f>
        <v>4285.7740134679607</v>
      </c>
      <c r="AO97" s="568">
        <f ca="1">IF(AO$94="","",Underwriting!AY216)</f>
        <v>4285.7740134679607</v>
      </c>
      <c r="AP97" s="568">
        <f ca="1">IF(AP$94="","",Underwriting!AZ216)</f>
        <v>4285.7740134679607</v>
      </c>
      <c r="AQ97" s="568">
        <f ca="1">IF(AQ$94="","",Underwriting!BA216)</f>
        <v>1828828.3435941045</v>
      </c>
      <c r="AR97" s="568" t="str">
        <f>IF(AR$94="","",Underwriting!BB216)</f>
        <v/>
      </c>
      <c r="AS97" s="568" t="str">
        <f>IF(AS$94="","",Underwriting!BC216)</f>
        <v/>
      </c>
      <c r="AT97" s="568" t="str">
        <f>IF(AT$94="","",Underwriting!BD216)</f>
        <v/>
      </c>
      <c r="AU97" s="568" t="str">
        <f>IF(AU$94="","",Underwriting!BE216)</f>
        <v/>
      </c>
      <c r="AV97" s="568" t="str">
        <f>IF(AV$94="","",Underwriting!BF216)</f>
        <v/>
      </c>
      <c r="AW97" s="568" t="str">
        <f>IF(AW$94="","",Underwriting!BG216)</f>
        <v/>
      </c>
      <c r="AX97" s="568" t="str">
        <f>IF(AX$94="","",Underwriting!BH216)</f>
        <v/>
      </c>
      <c r="AY97" s="568" t="str">
        <f>IF(AY$94="","",Underwriting!BI216)</f>
        <v/>
      </c>
      <c r="AZ97" s="568" t="str">
        <f>IF(AZ$94="","",Underwriting!BJ216)</f>
        <v/>
      </c>
      <c r="BA97" s="568" t="str">
        <f>IF(BA$94="","",Underwriting!BK216)</f>
        <v/>
      </c>
      <c r="BB97" s="568" t="str">
        <f>IF(BB$94="","",Underwriting!BL216)</f>
        <v/>
      </c>
      <c r="BC97" s="568" t="str">
        <f>IF(BC$94="","",Underwriting!BM216)</f>
        <v/>
      </c>
      <c r="BD97" s="568" t="str">
        <f>IF(BD$94="","",Underwriting!BN216)</f>
        <v/>
      </c>
      <c r="BE97" s="568" t="str">
        <f>IF(BE$94="","",Underwriting!BO216)</f>
        <v/>
      </c>
      <c r="BF97" s="568" t="str">
        <f>IF(BF$94="","",Underwriting!BP216)</f>
        <v/>
      </c>
      <c r="BG97" s="568" t="str">
        <f>IF(BG$94="","",Underwriting!BQ216)</f>
        <v/>
      </c>
      <c r="BH97" s="568" t="str">
        <f>IF(BH$94="","",Underwriting!BR216)</f>
        <v/>
      </c>
      <c r="BI97" s="568" t="str">
        <f>IF(BI$94="","",Underwriting!BS216)</f>
        <v/>
      </c>
      <c r="BJ97" s="568" t="str">
        <f>IF(BJ$94="","",Underwriting!BT216)</f>
        <v/>
      </c>
      <c r="BK97" s="568" t="str">
        <f>IF(BK$94="","",Underwriting!BU216)</f>
        <v/>
      </c>
      <c r="BL97" s="568" t="str">
        <f>IF(BL$94="","",Underwriting!BV216)</f>
        <v/>
      </c>
      <c r="BM97" s="568" t="str">
        <f>IF(BM$94="","",Underwriting!BW216)</f>
        <v/>
      </c>
      <c r="BN97" s="568" t="str">
        <f>IF(BN$94="","",Underwriting!BX216)</f>
        <v/>
      </c>
      <c r="BO97" s="568" t="str">
        <f>IF(BO$94="","",Underwriting!BY216)</f>
        <v/>
      </c>
      <c r="BP97" s="568" t="str">
        <f>IF(BP$94="","",Underwriting!BZ216)</f>
        <v/>
      </c>
      <c r="BQ97" s="568" t="str">
        <f>IF(BQ$94="","",Underwriting!CA216)</f>
        <v/>
      </c>
      <c r="BR97" s="568" t="str">
        <f>IF(BR$94="","",Underwriting!CB216)</f>
        <v/>
      </c>
      <c r="BS97" s="568" t="str">
        <f>IF(BS$94="","",Underwriting!CC216)</f>
        <v/>
      </c>
      <c r="BT97" s="568" t="str">
        <f>IF(BT$94="","",Underwriting!CD216)</f>
        <v/>
      </c>
      <c r="BU97" s="568" t="str">
        <f>IF(BU$94="","",Underwriting!CE216)</f>
        <v/>
      </c>
      <c r="BV97" s="568" t="str">
        <f>IF(BV$94="","",Underwriting!CF216)</f>
        <v/>
      </c>
      <c r="BW97" s="568" t="str">
        <f>IF(BW$94="","",Underwriting!CG216)</f>
        <v/>
      </c>
      <c r="BX97" s="568" t="str">
        <f>IF(BX$94="","",Underwriting!CH216)</f>
        <v/>
      </c>
      <c r="BY97" s="568" t="str">
        <f>IF(BY$94="","",Underwriting!CI216)</f>
        <v/>
      </c>
      <c r="BZ97" s="568" t="str">
        <f>IF(BZ$94="","",Underwriting!CJ216)</f>
        <v/>
      </c>
      <c r="CA97" s="568" t="str">
        <f>IF(CA$94="","",Underwriting!CK216)</f>
        <v/>
      </c>
      <c r="CB97" s="568" t="str">
        <f>IF(CB$94="","",Underwriting!CL216)</f>
        <v/>
      </c>
      <c r="CC97" s="568" t="str">
        <f>IF(CC$94="","",Underwriting!CM216)</f>
        <v/>
      </c>
      <c r="CD97" s="568" t="str">
        <f>IF(CD$94="","",Underwriting!CN216)</f>
        <v/>
      </c>
      <c r="CE97" s="568" t="str">
        <f>IF(CE$94="","",Underwriting!CO216)</f>
        <v/>
      </c>
      <c r="CF97" s="568" t="str">
        <f>IF(CF$94="","",Underwriting!CP216)</f>
        <v/>
      </c>
      <c r="CG97" s="568" t="str">
        <f>IF(CG$94="","",Underwriting!CQ216)</f>
        <v/>
      </c>
      <c r="CH97" s="568" t="str">
        <f>IF(CH$94="","",Underwriting!CR216)</f>
        <v/>
      </c>
      <c r="CI97" s="568" t="str">
        <f>IF(CI$94="","",Underwriting!CS216)</f>
        <v/>
      </c>
      <c r="CJ97" s="568" t="str">
        <f>IF(CJ$94="","",Underwriting!CT216)</f>
        <v/>
      </c>
      <c r="CK97" s="568" t="str">
        <f>IF(CK$94="","",Underwriting!CU216)</f>
        <v/>
      </c>
      <c r="CL97" s="568" t="str">
        <f>IF(CL$94="","",Underwriting!CV216)</f>
        <v/>
      </c>
      <c r="CM97" s="568" t="str">
        <f>IF(CM$94="","",Underwriting!CW216)</f>
        <v/>
      </c>
      <c r="CN97" s="568" t="str">
        <f>IF(CN$94="","",Underwriting!CX216)</f>
        <v/>
      </c>
      <c r="CO97" s="568" t="str">
        <f>IF(CO$94="","",Underwriting!CY216)</f>
        <v/>
      </c>
      <c r="CP97" s="568" t="str">
        <f>IF(CP$94="","",Underwriting!CZ216)</f>
        <v/>
      </c>
      <c r="CQ97" s="568" t="str">
        <f>IF(CQ$94="","",Underwriting!DA216)</f>
        <v/>
      </c>
      <c r="CR97" s="568" t="str">
        <f>IF(CR$94="","",Underwriting!DB216)</f>
        <v/>
      </c>
      <c r="CS97" s="568" t="str">
        <f>IF(CS$94="","",Underwriting!DC216)</f>
        <v/>
      </c>
      <c r="CT97" s="568" t="str">
        <f>IF(CT$94="","",Underwriting!DD216)</f>
        <v/>
      </c>
      <c r="CU97" s="568" t="str">
        <f>IF(CU$94="","",Underwriting!DE216)</f>
        <v/>
      </c>
      <c r="CV97" s="568" t="str">
        <f>IF(CV$94="","",Underwriting!DF216)</f>
        <v/>
      </c>
      <c r="CW97" s="568" t="str">
        <f>IF(CW$94="","",Underwriting!DG216)</f>
        <v/>
      </c>
      <c r="CX97" s="568" t="str">
        <f>IF(CX$94="","",Underwriting!DH216)</f>
        <v/>
      </c>
      <c r="CY97" s="568" t="str">
        <f>IF(CY$94="","",Underwriting!DI216)</f>
        <v/>
      </c>
      <c r="CZ97" s="568" t="str">
        <f>IF(CZ$94="","",Underwriting!DJ216)</f>
        <v/>
      </c>
      <c r="DA97" s="568" t="str">
        <f>IF(DA$94="","",Underwriting!DK216)</f>
        <v/>
      </c>
      <c r="DB97" s="568" t="str">
        <f>IF(DB$94="","",Underwriting!DL216)</f>
        <v/>
      </c>
      <c r="DC97" s="568" t="str">
        <f>IF(DC$94="","",Underwriting!DM216)</f>
        <v/>
      </c>
      <c r="DD97" s="568" t="str">
        <f>IF(DD$94="","",Underwriting!DN216)</f>
        <v/>
      </c>
      <c r="DE97" s="568" t="str">
        <f>IF(DE$94="","",Underwriting!DO216)</f>
        <v/>
      </c>
      <c r="DF97" s="568" t="str">
        <f>IF(DF$94="","",Underwriting!DP216)</f>
        <v/>
      </c>
      <c r="DG97" s="568" t="str">
        <f>IF(DG$94="","",Underwriting!DQ216)</f>
        <v/>
      </c>
      <c r="DH97" s="568" t="str">
        <f>IF(DH$94="","",Underwriting!DR216)</f>
        <v/>
      </c>
      <c r="DI97" s="568" t="str">
        <f>IF(DI$94="","",Underwriting!DS216)</f>
        <v/>
      </c>
      <c r="DJ97" s="568" t="str">
        <f>IF(DJ$94="","",Underwriting!DT216)</f>
        <v/>
      </c>
      <c r="DK97" s="568" t="str">
        <f>IF(DK$94="","",Underwriting!DU216)</f>
        <v/>
      </c>
      <c r="DL97" s="568" t="str">
        <f>IF(DL$94="","",Underwriting!DV216)</f>
        <v/>
      </c>
      <c r="DM97" s="568" t="str">
        <f>IF(DM$94="","",Underwriting!DW216)</f>
        <v/>
      </c>
      <c r="DN97" s="568" t="str">
        <f>IF(DN$94="","",Underwriting!DX216)</f>
        <v/>
      </c>
      <c r="DO97" s="568" t="str">
        <f>IF(DO$94="","",Underwriting!DY216)</f>
        <v/>
      </c>
      <c r="DP97" s="568" t="str">
        <f>IF(DP$94="","",Underwriting!DZ216)</f>
        <v/>
      </c>
      <c r="DQ97" s="568" t="str">
        <f>IF(DQ$94="","",Underwriting!EA216)</f>
        <v/>
      </c>
      <c r="DR97" s="568" t="str">
        <f>IF(DR$94="","",Underwriting!EB216)</f>
        <v/>
      </c>
      <c r="DS97" s="568" t="str">
        <f>IF(DS$94="","",Underwriting!EC216)</f>
        <v/>
      </c>
      <c r="DT97" s="568" t="str">
        <f>IF(DT$94="","",Underwriting!ED216)</f>
        <v/>
      </c>
      <c r="DU97" s="568" t="str">
        <f>IF(DU$94="","",Underwriting!EE216)</f>
        <v/>
      </c>
      <c r="DV97" s="568" t="str">
        <f>IF(DV$94="","",Underwriting!EF216)</f>
        <v/>
      </c>
      <c r="DW97" s="568" t="str">
        <f>IF(DW$94="","",Underwriting!EG216)</f>
        <v/>
      </c>
      <c r="DX97" s="568" t="str">
        <f>IF(DX$94="","",Underwriting!EH216)</f>
        <v/>
      </c>
      <c r="DY97" s="568" t="str">
        <f>IF(DY$94="","",Underwriting!EI216)</f>
        <v/>
      </c>
      <c r="DZ97" s="568" t="str">
        <f>IF(DZ$94="","",Underwriting!EJ216)</f>
        <v/>
      </c>
      <c r="EA97" s="568" t="str">
        <f>IF(EA$94="","",Underwriting!EK216)</f>
        <v/>
      </c>
      <c r="EB97" s="568" t="str">
        <f>IF(EB$94="","",Underwriting!EL216)</f>
        <v/>
      </c>
      <c r="EC97" s="568" t="str">
        <f>IF(EC$94="","",Underwriting!EM216)</f>
        <v/>
      </c>
      <c r="ED97" s="568" t="str">
        <f>IF(ED$94="","",Underwriting!EN216)</f>
        <v/>
      </c>
      <c r="EE97" s="568" t="str">
        <f>IF(EE$94="","",Underwriting!EO216)</f>
        <v/>
      </c>
      <c r="EF97" s="568" t="str">
        <f>IF(EF$94="","",Underwriting!EP216)</f>
        <v/>
      </c>
      <c r="EG97" s="568" t="str">
        <f>IF(EG$94="","",Underwriting!EQ216)</f>
        <v/>
      </c>
      <c r="EH97" s="568" t="str">
        <f>IF(EH$94="","",Underwriting!ER216)</f>
        <v/>
      </c>
      <c r="EI97" s="568" t="str">
        <f>IF(EI$94="","",Underwriting!ES216)</f>
        <v/>
      </c>
    </row>
    <row r="98" spans="2:139" outlineLevel="1" x14ac:dyDescent="0.25"/>
    <row r="99" spans="2:139" outlineLevel="1" x14ac:dyDescent="0.25"/>
    <row r="100" spans="2:139" outlineLevel="1" x14ac:dyDescent="0.25"/>
    <row r="101" spans="2:139" outlineLevel="1" x14ac:dyDescent="0.25"/>
    <row r="102" spans="2:139" outlineLevel="1" x14ac:dyDescent="0.25"/>
    <row r="103" spans="2:139" outlineLevel="1" x14ac:dyDescent="0.25"/>
    <row r="104" spans="2:139" outlineLevel="1" x14ac:dyDescent="0.25"/>
    <row r="105" spans="2:139" outlineLevel="1" x14ac:dyDescent="0.25"/>
    <row r="106" spans="2:139" outlineLevel="1" x14ac:dyDescent="0.25"/>
    <row r="107" spans="2:139" outlineLevel="1" x14ac:dyDescent="0.25"/>
    <row r="108" spans="2:139" outlineLevel="1" x14ac:dyDescent="0.25"/>
    <row r="109" spans="2:139" outlineLevel="1" x14ac:dyDescent="0.25"/>
    <row r="110" spans="2:139" outlineLevel="1" x14ac:dyDescent="0.25"/>
    <row r="111" spans="2:139" outlineLevel="1" x14ac:dyDescent="0.25"/>
    <row r="112" spans="2:139" outlineLevel="1" x14ac:dyDescent="0.25"/>
    <row r="113" s="151" customFormat="1" outlineLevel="1" x14ac:dyDescent="0.25"/>
    <row r="114" s="151" customFormat="1" outlineLevel="1" x14ac:dyDescent="0.25"/>
    <row r="115" s="151" customFormat="1" outlineLevel="1" x14ac:dyDescent="0.25"/>
    <row r="116" s="151" customFormat="1" outlineLevel="1" x14ac:dyDescent="0.25"/>
    <row r="117" s="151" customFormat="1" outlineLevel="1" x14ac:dyDescent="0.25"/>
    <row r="118" s="151" customFormat="1" outlineLevel="1" x14ac:dyDescent="0.25"/>
    <row r="119" s="151" customFormat="1" outlineLevel="1" x14ac:dyDescent="0.25"/>
    <row r="120" s="151" customFormat="1" outlineLevel="1" x14ac:dyDescent="0.25"/>
    <row r="121" s="151" customFormat="1" outlineLevel="1" x14ac:dyDescent="0.25"/>
    <row r="122" s="151" customFormat="1" hidden="1" x14ac:dyDescent="0.25"/>
  </sheetData>
  <conditionalFormatting sqref="H35">
    <cfRule type="expression" dxfId="6" priority="6">
      <formula>$B$36=""</formula>
    </cfRule>
  </conditionalFormatting>
  <conditionalFormatting sqref="H34">
    <cfRule type="expression" dxfId="5" priority="5">
      <formula>$B$36=""</formula>
    </cfRule>
  </conditionalFormatting>
  <conditionalFormatting sqref="G35">
    <cfRule type="expression" dxfId="4" priority="4">
      <formula>$B$36=""</formula>
    </cfRule>
  </conditionalFormatting>
  <conditionalFormatting sqref="G34">
    <cfRule type="expression" dxfId="3" priority="3">
      <formula>$B$36=""</formula>
    </cfRule>
  </conditionalFormatting>
  <conditionalFormatting sqref="B5:B6">
    <cfRule type="expression" dxfId="2" priority="2">
      <formula>B5="Incomplete"</formula>
    </cfRule>
  </conditionalFormatting>
  <conditionalFormatting sqref="G5:R51">
    <cfRule type="expression" dxfId="1" priority="1">
      <formula>G$4="EXIT"</formula>
    </cfRule>
  </conditionalFormatting>
  <printOptions horizontalCentered="1"/>
  <pageMargins left="0.25" right="0.25" top="0.5" bottom="0.5" header="0.3" footer="0.3"/>
  <pageSetup scale="60"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FBFC-9930-4AD7-906E-67DF7A8AC28E}">
  <sheetPr>
    <tabColor rgb="FF002060"/>
  </sheetPr>
  <dimension ref="B1:XFD32"/>
  <sheetViews>
    <sheetView showGridLines="0" zoomScaleNormal="100" workbookViewId="0">
      <selection activeCell="B1" sqref="B1:B1048576"/>
    </sheetView>
  </sheetViews>
  <sheetFormatPr defaultRowHeight="15" x14ac:dyDescent="0.25"/>
  <cols>
    <col min="1" max="1" width="0.875" style="151" customWidth="1"/>
    <col min="2" max="2" width="23.875" style="151" customWidth="1"/>
    <col min="3" max="6" width="18.625" style="151" customWidth="1"/>
    <col min="7" max="7" width="35" style="151" customWidth="1"/>
    <col min="8" max="16384" width="9" style="151"/>
  </cols>
  <sheetData>
    <row r="1" spans="2:6 16384:16384" ht="4.5" customHeight="1" x14ac:dyDescent="0.25"/>
    <row r="2" spans="2:6 16384:16384" s="150" customFormat="1" x14ac:dyDescent="0.25">
      <c r="B2" s="669" t="s">
        <v>877</v>
      </c>
      <c r="C2" s="670"/>
      <c r="D2" s="670"/>
      <c r="E2" s="670"/>
      <c r="F2" s="671"/>
    </row>
    <row r="3" spans="2:6 16384:16384" x14ac:dyDescent="0.25">
      <c r="B3" s="662" t="s">
        <v>878</v>
      </c>
      <c r="C3" s="661" t="s">
        <v>44</v>
      </c>
      <c r="D3" s="661" t="s">
        <v>893</v>
      </c>
      <c r="E3" s="661" t="s">
        <v>219</v>
      </c>
      <c r="F3" s="661" t="s">
        <v>894</v>
      </c>
    </row>
    <row r="4" spans="2:6 16384:16384" x14ac:dyDescent="0.25">
      <c r="B4" s="651" t="s">
        <v>879</v>
      </c>
      <c r="C4" s="643">
        <f>Underwriting!I31</f>
        <v>500000</v>
      </c>
      <c r="D4" s="644">
        <f>C4/C$7</f>
        <v>0.13022800318798153</v>
      </c>
      <c r="E4" s="643">
        <f>C4/Units</f>
        <v>31250</v>
      </c>
      <c r="F4" s="672">
        <f>C4/Underwriting!$E$18</f>
        <v>24.54590083456063</v>
      </c>
    </row>
    <row r="5" spans="2:6 16384:16384" x14ac:dyDescent="0.25">
      <c r="B5" s="651" t="s">
        <v>24</v>
      </c>
      <c r="C5" s="643">
        <f>Underwriting!I38</f>
        <v>3045000</v>
      </c>
      <c r="D5" s="644">
        <f>C5/C$7</f>
        <v>0.79308853941480739</v>
      </c>
      <c r="E5" s="643">
        <f>C5/Units</f>
        <v>190312.5</v>
      </c>
      <c r="F5" s="672">
        <f>C5/Underwriting!$E$18</f>
        <v>149.48453608247422</v>
      </c>
    </row>
    <row r="6" spans="2:6 16384:16384" x14ac:dyDescent="0.25">
      <c r="B6" s="651" t="s">
        <v>25</v>
      </c>
      <c r="C6" s="643">
        <f>Underwriting!I49</f>
        <v>294420</v>
      </c>
      <c r="D6" s="644">
        <f>C6/C$7</f>
        <v>7.6683457397211038E-2</v>
      </c>
      <c r="E6" s="643">
        <f>C6/Units</f>
        <v>18401.25</v>
      </c>
      <c r="F6" s="672">
        <f>C6/Underwriting!$E$18</f>
        <v>14.453608247422681</v>
      </c>
    </row>
    <row r="7" spans="2:6 16384:16384" x14ac:dyDescent="0.25">
      <c r="B7" s="676" t="s">
        <v>880</v>
      </c>
      <c r="C7" s="667">
        <f>SUM(C4:C6)</f>
        <v>3839420</v>
      </c>
      <c r="D7" s="668">
        <f t="shared" ref="D7:F7" si="0">SUM(D4:D6)</f>
        <v>1</v>
      </c>
      <c r="E7" s="667">
        <f t="shared" si="0"/>
        <v>239963.75</v>
      </c>
      <c r="F7" s="673">
        <f t="shared" si="0"/>
        <v>188.48404516445754</v>
      </c>
    </row>
    <row r="8" spans="2:6 16384:16384" x14ac:dyDescent="0.25">
      <c r="B8" s="651"/>
      <c r="C8" s="650"/>
      <c r="D8" s="651"/>
      <c r="E8" s="651"/>
      <c r="F8" s="651"/>
    </row>
    <row r="9" spans="2:6 16384:16384" x14ac:dyDescent="0.25">
      <c r="B9" s="655" t="s">
        <v>881</v>
      </c>
      <c r="C9" s="656" t="s">
        <v>895</v>
      </c>
      <c r="D9" s="656" t="s">
        <v>896</v>
      </c>
      <c r="E9" s="656" t="s">
        <v>897</v>
      </c>
      <c r="F9" s="656" t="s">
        <v>898</v>
      </c>
    </row>
    <row r="10" spans="2:6 16384:16384" x14ac:dyDescent="0.25">
      <c r="B10" s="651" t="s">
        <v>882</v>
      </c>
      <c r="C10" s="665">
        <f>Units</f>
        <v>16</v>
      </c>
      <c r="D10" s="666">
        <f>Units_SF_M2</f>
        <v>16296</v>
      </c>
      <c r="E10" s="643">
        <f>Underwriting!H99</f>
        <v>1900</v>
      </c>
      <c r="F10" s="672">
        <f>Underwriting!G99</f>
        <v>1.8654884634266076</v>
      </c>
    </row>
    <row r="11" spans="2:6 16384:16384" x14ac:dyDescent="0.25">
      <c r="B11" s="654" t="s">
        <v>883</v>
      </c>
      <c r="C11" s="658" t="s">
        <v>861</v>
      </c>
      <c r="D11" s="658" t="s">
        <v>861</v>
      </c>
      <c r="E11" s="658" t="s">
        <v>861</v>
      </c>
      <c r="F11" s="658" t="s">
        <v>861</v>
      </c>
    </row>
    <row r="12" spans="2:6 16384:16384" x14ac:dyDescent="0.25">
      <c r="B12" s="652" t="s">
        <v>68</v>
      </c>
      <c r="C12" s="663">
        <f>SUM(C10:C11)</f>
        <v>16</v>
      </c>
      <c r="D12" s="663">
        <f>SUM(D10:D11)</f>
        <v>16296</v>
      </c>
      <c r="E12" s="653">
        <f>SUM(E10:E11)</f>
        <v>1900</v>
      </c>
      <c r="F12" s="664">
        <f t="shared" ref="F12" si="1">SUM(F10:F11)</f>
        <v>1.8654884634266076</v>
      </c>
      <c r="XFD12" s="560" t="s">
        <v>904</v>
      </c>
    </row>
    <row r="13" spans="2:6 16384:16384" x14ac:dyDescent="0.25">
      <c r="B13" s="651"/>
      <c r="C13" s="650"/>
      <c r="D13" s="651"/>
      <c r="E13" s="651"/>
      <c r="F13" s="651"/>
    </row>
    <row r="14" spans="2:6 16384:16384" x14ac:dyDescent="0.25">
      <c r="B14" s="662" t="s">
        <v>884</v>
      </c>
      <c r="C14" s="661"/>
      <c r="D14" s="661"/>
      <c r="E14" s="662" t="s">
        <v>899</v>
      </c>
      <c r="F14" s="661"/>
    </row>
    <row r="15" spans="2:6 16384:16384" x14ac:dyDescent="0.25">
      <c r="B15" s="651" t="s">
        <v>885</v>
      </c>
      <c r="C15" s="660">
        <f ca="1">Underwriting!D83</f>
        <v>0.60913733580646801</v>
      </c>
      <c r="D15" s="651"/>
      <c r="E15" s="651" t="s">
        <v>900</v>
      </c>
      <c r="F15" s="674">
        <f>Timing_Analysis_End_Month/12</f>
        <v>3</v>
      </c>
    </row>
    <row r="16" spans="2:6 16384:16384" x14ac:dyDescent="0.25">
      <c r="B16" s="651" t="s">
        <v>886</v>
      </c>
      <c r="C16" s="650">
        <f>Stabilization_1st_Month</f>
        <v>14</v>
      </c>
      <c r="D16" s="651"/>
      <c r="E16" s="659">
        <f>F15+1</f>
        <v>4</v>
      </c>
      <c r="F16" s="643">
        <f ca="1">Underwriting!I181</f>
        <v>244097.71710599982</v>
      </c>
    </row>
    <row r="17" spans="2:6" x14ac:dyDescent="0.25">
      <c r="B17" s="651" t="s">
        <v>887</v>
      </c>
      <c r="C17" s="643">
        <f ca="1">Underwriting!H181</f>
        <v>229352.91819999999</v>
      </c>
      <c r="D17" s="651"/>
      <c r="E17" s="651" t="s">
        <v>901</v>
      </c>
      <c r="F17" s="643">
        <f ca="1">Valuation_Reversion</f>
        <v>4438140.3110181782</v>
      </c>
    </row>
    <row r="18" spans="2:6" x14ac:dyDescent="0.25">
      <c r="B18" s="651" t="s">
        <v>906</v>
      </c>
      <c r="C18" s="644">
        <f ca="1">Underwriting!I219</f>
        <v>6.0441125354287951E-2</v>
      </c>
      <c r="D18" s="651"/>
      <c r="E18" s="651" t="s">
        <v>433</v>
      </c>
      <c r="F18" s="644">
        <f>Underwriting!I192</f>
        <v>5.5E-2</v>
      </c>
    </row>
    <row r="19" spans="2:6" x14ac:dyDescent="0.25">
      <c r="B19" s="651" t="s">
        <v>888</v>
      </c>
      <c r="C19" s="644">
        <f>Underwriting!H192</f>
        <v>5.5E-2</v>
      </c>
      <c r="D19" s="651"/>
      <c r="E19" s="651" t="s">
        <v>902</v>
      </c>
      <c r="F19" s="644">
        <f ca="1">Underwriting!H216</f>
        <v>7.1340659260749825E-2</v>
      </c>
    </row>
    <row r="20" spans="2:6" x14ac:dyDescent="0.25">
      <c r="B20" s="651" t="s">
        <v>174</v>
      </c>
      <c r="C20" s="643">
        <f ca="1">Valuation_Trended</f>
        <v>4170053.0581818181</v>
      </c>
      <c r="D20" s="651"/>
      <c r="E20" s="651" t="s">
        <v>903</v>
      </c>
      <c r="F20" s="675">
        <f ca="1">Underwriting!G216</f>
        <v>1.2094826879251515</v>
      </c>
    </row>
    <row r="21" spans="2:6" x14ac:dyDescent="0.25">
      <c r="B21" s="654"/>
      <c r="C21" s="658"/>
      <c r="D21" s="654"/>
      <c r="E21" s="654"/>
      <c r="F21" s="654"/>
    </row>
    <row r="22" spans="2:6" x14ac:dyDescent="0.25">
      <c r="B22" s="655" t="s">
        <v>889</v>
      </c>
      <c r="C22" s="656"/>
      <c r="D22" s="656"/>
      <c r="E22" s="656"/>
      <c r="F22" s="656"/>
    </row>
    <row r="23" spans="2:6" x14ac:dyDescent="0.25">
      <c r="B23" s="677" t="s">
        <v>890</v>
      </c>
      <c r="C23" s="657" t="s">
        <v>44</v>
      </c>
      <c r="D23" s="657" t="s">
        <v>893</v>
      </c>
      <c r="E23" s="657" t="s">
        <v>219</v>
      </c>
      <c r="F23" s="657" t="s">
        <v>894</v>
      </c>
    </row>
    <row r="24" spans="2:6" x14ac:dyDescent="0.25">
      <c r="B24" s="651" t="s">
        <v>59</v>
      </c>
      <c r="C24" s="643">
        <f>Equity_Total</f>
        <v>1615440.1321185711</v>
      </c>
      <c r="D24" s="644">
        <f ca="1">C24/C$26</f>
        <v>0.39999972423062907</v>
      </c>
      <c r="E24" s="643">
        <f>C24/Units</f>
        <v>100965.00825741069</v>
      </c>
      <c r="F24" s="643">
        <f>C24/Underwriting!$E$18</f>
        <v>79.304866574303929</v>
      </c>
    </row>
    <row r="25" spans="2:6" x14ac:dyDescent="0.25">
      <c r="B25" s="651" t="s">
        <v>891</v>
      </c>
      <c r="C25" s="643">
        <f ca="1">Debt_Total</f>
        <v>2423162.9824854573</v>
      </c>
      <c r="D25" s="644">
        <f ca="1">C25/C$26</f>
        <v>0.60000027576937087</v>
      </c>
      <c r="E25" s="643">
        <f ca="1">C25/Units</f>
        <v>151447.68640534108</v>
      </c>
      <c r="F25" s="643">
        <f ca="1">C25/Underwriting!$E$18</f>
        <v>118.95743654813242</v>
      </c>
    </row>
    <row r="26" spans="2:6" x14ac:dyDescent="0.25">
      <c r="B26" s="678" t="s">
        <v>68</v>
      </c>
      <c r="C26" s="641">
        <f ca="1">SUM(C24:C25)</f>
        <v>4038603.1146040284</v>
      </c>
      <c r="D26" s="642">
        <f ca="1">SUM(D24:D25)</f>
        <v>1</v>
      </c>
      <c r="E26" s="641">
        <f ca="1">SUM(E24:E25)</f>
        <v>252412.69466275178</v>
      </c>
      <c r="F26" s="641">
        <f ca="1">SUM(F24:F25)</f>
        <v>198.26230312243635</v>
      </c>
    </row>
    <row r="27" spans="2:6" x14ac:dyDescent="0.25">
      <c r="B27" s="651"/>
      <c r="C27" s="650"/>
      <c r="D27" s="651"/>
      <c r="E27" s="651"/>
      <c r="F27" s="651"/>
    </row>
    <row r="28" spans="2:6" x14ac:dyDescent="0.25">
      <c r="B28" s="676" t="s">
        <v>892</v>
      </c>
      <c r="C28" s="649" t="s">
        <v>44</v>
      </c>
      <c r="D28" s="649" t="s">
        <v>893</v>
      </c>
      <c r="E28" s="649" t="s">
        <v>219</v>
      </c>
      <c r="F28" s="649" t="s">
        <v>894</v>
      </c>
    </row>
    <row r="29" spans="2:6" x14ac:dyDescent="0.25">
      <c r="B29" s="651" t="s">
        <v>879</v>
      </c>
      <c r="C29" s="643">
        <f>Land_Value</f>
        <v>500000</v>
      </c>
      <c r="D29" s="644">
        <f>C29/C$32</f>
        <v>0.13022800318798153</v>
      </c>
      <c r="E29" s="643">
        <f>C29/Units</f>
        <v>31250</v>
      </c>
      <c r="F29" s="643">
        <f>C29/Underwriting!$E$18</f>
        <v>24.54590083456063</v>
      </c>
    </row>
    <row r="30" spans="2:6" x14ac:dyDescent="0.25">
      <c r="B30" s="654" t="s">
        <v>24</v>
      </c>
      <c r="C30" s="645">
        <f>Underwriting!I38</f>
        <v>3045000</v>
      </c>
      <c r="D30" s="646">
        <f t="shared" ref="D30:D31" si="2">C30/C$32</f>
        <v>0.79308853941480739</v>
      </c>
      <c r="E30" s="645">
        <f>C30/Units</f>
        <v>190312.5</v>
      </c>
      <c r="F30" s="645">
        <f>C30/Underwriting!$E$18</f>
        <v>149.48453608247422</v>
      </c>
    </row>
    <row r="31" spans="2:6" x14ac:dyDescent="0.25">
      <c r="B31" s="651" t="s">
        <v>25</v>
      </c>
      <c r="C31" s="643">
        <f>Underwriting!I49</f>
        <v>294420</v>
      </c>
      <c r="D31" s="644">
        <f t="shared" si="2"/>
        <v>7.6683457397211038E-2</v>
      </c>
      <c r="E31" s="643">
        <f>C31/Units</f>
        <v>18401.25</v>
      </c>
      <c r="F31" s="643">
        <f>C31/Underwriting!$E$18</f>
        <v>14.453608247422681</v>
      </c>
    </row>
    <row r="32" spans="2:6" x14ac:dyDescent="0.25">
      <c r="B32" s="678" t="s">
        <v>68</v>
      </c>
      <c r="C32" s="641">
        <f>SUM(C29:C31)</f>
        <v>3839420</v>
      </c>
      <c r="D32" s="642">
        <f>SUM(D29:D31)</f>
        <v>1</v>
      </c>
      <c r="E32" s="641">
        <f>SUM(E29:E31)</f>
        <v>239963.75</v>
      </c>
      <c r="F32" s="641">
        <f>SUM(F29:F31)</f>
        <v>188.48404516445754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D7005-51D6-4202-BF6F-99D020E6F890}">
  <sheetPr>
    <tabColor rgb="FF002060"/>
  </sheetPr>
  <dimension ref="B1:F28"/>
  <sheetViews>
    <sheetView showGridLines="0" zoomScaleNormal="100" workbookViewId="0">
      <selection activeCell="D25" sqref="D25"/>
    </sheetView>
  </sheetViews>
  <sheetFormatPr defaultRowHeight="14.25" x14ac:dyDescent="0.2"/>
  <cols>
    <col min="1" max="1" width="0.875" customWidth="1"/>
    <col min="2" max="2" width="26.75" bestFit="1" customWidth="1"/>
    <col min="3" max="6" width="13.125" customWidth="1"/>
  </cols>
  <sheetData>
    <row r="1" spans="2:6" ht="4.5" customHeight="1" x14ac:dyDescent="0.2"/>
    <row r="2" spans="2:6" ht="15" x14ac:dyDescent="0.25">
      <c r="B2" s="638" t="s">
        <v>907</v>
      </c>
      <c r="C2" s="639"/>
      <c r="D2" s="639"/>
      <c r="E2" s="639"/>
      <c r="F2" s="640"/>
    </row>
    <row r="3" spans="2:6" ht="15" x14ac:dyDescent="0.25">
      <c r="B3" s="678"/>
      <c r="C3" s="641" t="s">
        <v>44</v>
      </c>
      <c r="D3" s="642" t="s">
        <v>893</v>
      </c>
      <c r="E3" s="641" t="s">
        <v>908</v>
      </c>
      <c r="F3" s="641" t="s">
        <v>894</v>
      </c>
    </row>
    <row r="4" spans="2:6" ht="15" x14ac:dyDescent="0.25">
      <c r="B4" s="654" t="s">
        <v>910</v>
      </c>
      <c r="C4" s="645">
        <f>Land_Value</f>
        <v>500000</v>
      </c>
      <c r="D4" s="646">
        <f ca="1">C4/$C$28</f>
        <v>0.12380518357744676</v>
      </c>
      <c r="E4" s="645">
        <f>C4/Units</f>
        <v>31250</v>
      </c>
      <c r="F4" s="679">
        <f>C4/Underwriting!$E$18</f>
        <v>24.54590083456063</v>
      </c>
    </row>
    <row r="5" spans="2:6" ht="15" x14ac:dyDescent="0.25">
      <c r="B5" s="654" t="s">
        <v>911</v>
      </c>
      <c r="C5" s="645">
        <f>Underwriting!I29</f>
        <v>0</v>
      </c>
      <c r="D5" s="646">
        <f ca="1">C5/$C$28</f>
        <v>0</v>
      </c>
      <c r="E5" s="645">
        <f>C5/Units</f>
        <v>0</v>
      </c>
      <c r="F5" s="679">
        <f>C5/Underwriting!$E$18</f>
        <v>0</v>
      </c>
    </row>
    <row r="6" spans="2:6" ht="15" x14ac:dyDescent="0.25">
      <c r="B6" s="681" t="s">
        <v>909</v>
      </c>
      <c r="C6" s="647">
        <f>SUM(C4:C5)</f>
        <v>500000</v>
      </c>
      <c r="D6" s="648">
        <f ca="1">SUM(D4:D5)</f>
        <v>0.12380518357744676</v>
      </c>
      <c r="E6" s="647">
        <f>SUM(E4:E5)</f>
        <v>31250</v>
      </c>
      <c r="F6" s="680">
        <f>SUM(F4:F5)</f>
        <v>24.54590083456063</v>
      </c>
    </row>
    <row r="7" spans="2:6" ht="15" x14ac:dyDescent="0.25">
      <c r="B7" s="678"/>
      <c r="C7" s="641"/>
      <c r="D7" s="642"/>
      <c r="E7" s="641"/>
      <c r="F7" s="641"/>
    </row>
    <row r="8" spans="2:6" ht="15" x14ac:dyDescent="0.25">
      <c r="B8" s="678" t="s">
        <v>24</v>
      </c>
      <c r="C8" s="641"/>
      <c r="D8" s="642"/>
      <c r="E8" s="641"/>
      <c r="F8" s="641"/>
    </row>
    <row r="9" spans="2:6" ht="15" x14ac:dyDescent="0.25">
      <c r="B9" s="654" t="str">
        <f>Underwriting!B34</f>
        <v>Construction Costs</v>
      </c>
      <c r="C9" s="645">
        <f>Underwriting!I34</f>
        <v>2400000</v>
      </c>
      <c r="D9" s="646">
        <f ca="1">C9/$C$28</f>
        <v>0.59426488117174447</v>
      </c>
      <c r="E9" s="645">
        <f>C9/Units</f>
        <v>150000</v>
      </c>
      <c r="F9" s="679">
        <f>C9/Underwriting!$E$18</f>
        <v>117.82032400589101</v>
      </c>
    </row>
    <row r="10" spans="2:6" ht="15" x14ac:dyDescent="0.25">
      <c r="B10" s="654" t="str">
        <f>Underwriting!B35</f>
        <v>Utility Contractor</v>
      </c>
      <c r="C10" s="645">
        <f>Underwriting!I35</f>
        <v>500000</v>
      </c>
      <c r="D10" s="646">
        <f ca="1">C10/$C$28</f>
        <v>0.12380518357744676</v>
      </c>
      <c r="E10" s="645">
        <f>C10/Units</f>
        <v>31250</v>
      </c>
      <c r="F10" s="679">
        <f>C10/Underwriting!$E$18</f>
        <v>24.54590083456063</v>
      </c>
    </row>
    <row r="11" spans="2:6" ht="15" x14ac:dyDescent="0.25">
      <c r="B11" s="654" t="str">
        <f>Underwriting!B36</f>
        <v>Contingency</v>
      </c>
      <c r="C11" s="645">
        <f>Underwriting!I36</f>
        <v>145000</v>
      </c>
      <c r="D11" s="646">
        <f ca="1">C11/$C$28</f>
        <v>3.5903503237459562E-2</v>
      </c>
      <c r="E11" s="645">
        <f>C11/Units</f>
        <v>9062.5</v>
      </c>
      <c r="F11" s="679">
        <f>C11/Underwriting!$E$18</f>
        <v>7.1183112420225818</v>
      </c>
    </row>
    <row r="12" spans="2:6" ht="15" x14ac:dyDescent="0.25">
      <c r="B12" s="681" t="s">
        <v>34</v>
      </c>
      <c r="C12" s="647">
        <f>SUM(C9:C11)</f>
        <v>3045000</v>
      </c>
      <c r="D12" s="648">
        <f t="shared" ref="D12:F12" ca="1" si="0">SUM(D9:D11)</f>
        <v>0.75397356798665083</v>
      </c>
      <c r="E12" s="647">
        <f t="shared" si="0"/>
        <v>190312.5</v>
      </c>
      <c r="F12" s="680">
        <f t="shared" si="0"/>
        <v>149.48453608247422</v>
      </c>
    </row>
    <row r="13" spans="2:6" ht="15" x14ac:dyDescent="0.25">
      <c r="B13" s="678"/>
      <c r="C13" s="641"/>
      <c r="D13" s="642"/>
      <c r="E13" s="641"/>
      <c r="F13" s="641"/>
    </row>
    <row r="14" spans="2:6" ht="15" x14ac:dyDescent="0.25">
      <c r="B14" s="678" t="s">
        <v>25</v>
      </c>
      <c r="C14" s="641"/>
      <c r="D14" s="642"/>
      <c r="E14" s="641"/>
      <c r="F14" s="641"/>
    </row>
    <row r="15" spans="2:6" ht="15" x14ac:dyDescent="0.25">
      <c r="B15" s="654" t="str">
        <f>Underwriting!B41</f>
        <v>Architecture &amp; Engineering</v>
      </c>
      <c r="C15" s="645">
        <f>Underwriting!I41</f>
        <v>100000</v>
      </c>
      <c r="D15" s="646">
        <f t="shared" ref="D15:D20" ca="1" si="1">C15/$C$28</f>
        <v>2.4761036715489352E-2</v>
      </c>
      <c r="E15" s="645">
        <f t="shared" ref="E15:E20" si="2">C15/Units</f>
        <v>6250</v>
      </c>
      <c r="F15" s="679">
        <f>C15/Underwriting!$E$18</f>
        <v>4.909180166912126</v>
      </c>
    </row>
    <row r="16" spans="2:6" ht="15" x14ac:dyDescent="0.25">
      <c r="B16" s="654" t="str">
        <f>Underwriting!B42</f>
        <v>Impact Fees</v>
      </c>
      <c r="C16" s="645">
        <f>Underwriting!I42</f>
        <v>150000</v>
      </c>
      <c r="D16" s="646">
        <f t="shared" ca="1" si="1"/>
        <v>3.714155507323403E-2</v>
      </c>
      <c r="E16" s="645">
        <f t="shared" si="2"/>
        <v>9375</v>
      </c>
      <c r="F16" s="679">
        <f>C16/Underwriting!$E$18</f>
        <v>7.3637702503681881</v>
      </c>
    </row>
    <row r="17" spans="2:6" ht="15" x14ac:dyDescent="0.25">
      <c r="B17" s="654" t="str">
        <f>Underwriting!B43</f>
        <v>Leasing Commissions</v>
      </c>
      <c r="C17" s="645">
        <f>Underwriting!I43</f>
        <v>30400</v>
      </c>
      <c r="D17" s="646">
        <f t="shared" ca="1" si="1"/>
        <v>7.5273551615087633E-3</v>
      </c>
      <c r="E17" s="645">
        <f t="shared" si="2"/>
        <v>1900</v>
      </c>
      <c r="F17" s="679">
        <f>C17/Underwriting!$E$18</f>
        <v>1.4923907707412862</v>
      </c>
    </row>
    <row r="18" spans="2:6" ht="15" x14ac:dyDescent="0.25">
      <c r="B18" s="654" t="str">
        <f>Underwriting!B44</f>
        <v>Legal &amp; Development</v>
      </c>
      <c r="C18" s="645">
        <f>Underwriting!I44</f>
        <v>0</v>
      </c>
      <c r="D18" s="646">
        <f t="shared" ca="1" si="1"/>
        <v>0</v>
      </c>
      <c r="E18" s="645">
        <f t="shared" si="2"/>
        <v>0</v>
      </c>
      <c r="F18" s="679">
        <f>C18/Underwriting!$E$18</f>
        <v>0</v>
      </c>
    </row>
    <row r="19" spans="2:6" ht="15" x14ac:dyDescent="0.25">
      <c r="B19" s="654" t="str">
        <f>Underwriting!B45</f>
        <v>Marketing and Leasing</v>
      </c>
      <c r="C19" s="645">
        <f>Underwriting!I45</f>
        <v>0</v>
      </c>
      <c r="D19" s="646">
        <f t="shared" ca="1" si="1"/>
        <v>0</v>
      </c>
      <c r="E19" s="645">
        <f t="shared" si="2"/>
        <v>0</v>
      </c>
      <c r="F19" s="679">
        <f>C19/Underwriting!$E$18</f>
        <v>0</v>
      </c>
    </row>
    <row r="20" spans="2:6" ht="15" x14ac:dyDescent="0.25">
      <c r="B20" s="654" t="str">
        <f>Underwriting!B46</f>
        <v>Contingency</v>
      </c>
      <c r="C20" s="645">
        <f>Underwriting!I46</f>
        <v>14020</v>
      </c>
      <c r="D20" s="646">
        <f t="shared" ca="1" si="1"/>
        <v>3.4714973475116072E-3</v>
      </c>
      <c r="E20" s="645">
        <f t="shared" si="2"/>
        <v>876.25</v>
      </c>
      <c r="F20" s="679">
        <f>C20/Underwriting!$E$18</f>
        <v>0.68826705940108002</v>
      </c>
    </row>
    <row r="21" spans="2:6" ht="15" x14ac:dyDescent="0.25">
      <c r="B21" s="681" t="s">
        <v>35</v>
      </c>
      <c r="C21" s="647">
        <f>SUM(C15:C20)</f>
        <v>294420</v>
      </c>
      <c r="D21" s="648">
        <f ca="1">SUM(D15:D20)</f>
        <v>7.2901444297743756E-2</v>
      </c>
      <c r="E21" s="647">
        <f>SUM(E15:E20)</f>
        <v>18401.25</v>
      </c>
      <c r="F21" s="680">
        <f>SUM(F15:F20)</f>
        <v>14.453608247422679</v>
      </c>
    </row>
    <row r="22" spans="2:6" ht="15" x14ac:dyDescent="0.25">
      <c r="B22" s="678"/>
      <c r="C22" s="641"/>
      <c r="D22" s="642"/>
      <c r="E22" s="641"/>
      <c r="F22" s="641"/>
    </row>
    <row r="23" spans="2:6" ht="15" x14ac:dyDescent="0.25">
      <c r="B23" s="678" t="s">
        <v>36</v>
      </c>
      <c r="C23" s="641"/>
      <c r="D23" s="642"/>
      <c r="E23" s="641"/>
      <c r="F23" s="641"/>
    </row>
    <row r="24" spans="2:6" ht="15" x14ac:dyDescent="0.25">
      <c r="B24" s="654" t="str">
        <f>Underwriting!B54</f>
        <v>Capitalized Construction Interest</v>
      </c>
      <c r="C24" s="645">
        <f ca="1">Underwriting!I54</f>
        <v>128683.11460402847</v>
      </c>
      <c r="D24" s="646">
        <f t="shared" ref="D24:D25" ca="1" si="3">C24/$C$28</f>
        <v>3.1863273253738729E-2</v>
      </c>
      <c r="E24" s="645">
        <f ca="1">C24/Units</f>
        <v>8042.6946627517791</v>
      </c>
      <c r="F24" s="679">
        <f ca="1">C24/Underwriting!$E$18</f>
        <v>6.3172859403057666</v>
      </c>
    </row>
    <row r="25" spans="2:6" ht="15" x14ac:dyDescent="0.25">
      <c r="B25" s="654" t="str">
        <f>Underwriting!B55</f>
        <v>Financing Fees</v>
      </c>
      <c r="C25" s="645">
        <f>Underwriting!I55</f>
        <v>70500</v>
      </c>
      <c r="D25" s="646">
        <f t="shared" ca="1" si="3"/>
        <v>1.7456530884419993E-2</v>
      </c>
      <c r="E25" s="645">
        <f>C25/Units</f>
        <v>4406.25</v>
      </c>
      <c r="F25" s="679">
        <f>C25/Underwriting!$E$18</f>
        <v>3.4609720176730487</v>
      </c>
    </row>
    <row r="26" spans="2:6" ht="15" x14ac:dyDescent="0.25">
      <c r="B26" s="681" t="s">
        <v>37</v>
      </c>
      <c r="C26" s="647">
        <f ca="1">SUM(C24:C25)</f>
        <v>199183.11460402847</v>
      </c>
      <c r="D26" s="648">
        <f ca="1">SUM(D24:D25)</f>
        <v>4.9319804138158722E-2</v>
      </c>
      <c r="E26" s="647">
        <f ca="1">SUM(E24:E25)</f>
        <v>12448.944662751779</v>
      </c>
      <c r="F26" s="680">
        <f ca="1">SUM(F24:F25)</f>
        <v>9.7782579579788163</v>
      </c>
    </row>
    <row r="27" spans="2:6" ht="15" x14ac:dyDescent="0.25">
      <c r="B27" s="678"/>
      <c r="C27" s="641"/>
      <c r="D27" s="642"/>
      <c r="E27" s="641"/>
      <c r="F27" s="641"/>
    </row>
    <row r="28" spans="2:6" ht="15" x14ac:dyDescent="0.25">
      <c r="B28" s="681" t="s">
        <v>880</v>
      </c>
      <c r="C28" s="647">
        <f ca="1">C6+C12+C21+C26</f>
        <v>4038603.1146040284</v>
      </c>
      <c r="D28" s="648">
        <f t="shared" ref="D28:F28" ca="1" si="4">D6+D12+D21+D26</f>
        <v>1</v>
      </c>
      <c r="E28" s="647">
        <f t="shared" ca="1" si="4"/>
        <v>252412.69466275178</v>
      </c>
      <c r="F28" s="647">
        <f t="shared" ca="1" si="4"/>
        <v>198.26230312243635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5287-29B8-4412-98C1-20A5FD78943A}">
  <sheetPr>
    <tabColor rgb="FF002060"/>
  </sheetPr>
  <dimension ref="B1:I6"/>
  <sheetViews>
    <sheetView showGridLines="0" workbookViewId="0">
      <selection activeCell="H3" sqref="H3"/>
    </sheetView>
  </sheetViews>
  <sheetFormatPr defaultRowHeight="14.25" x14ac:dyDescent="0.2"/>
  <cols>
    <col min="1" max="1" width="0.875" customWidth="1"/>
    <col min="2" max="2" width="13.875" customWidth="1"/>
    <col min="3" max="3" width="7.625" customWidth="1"/>
    <col min="4" max="4" width="7.75" bestFit="1" customWidth="1"/>
    <col min="5" max="9" width="13.125" customWidth="1"/>
  </cols>
  <sheetData>
    <row r="1" spans="2:9" ht="4.5" customHeight="1" x14ac:dyDescent="0.2"/>
    <row r="2" spans="2:9" ht="15" x14ac:dyDescent="0.25">
      <c r="B2" s="682" t="s">
        <v>912</v>
      </c>
      <c r="C2" s="547"/>
      <c r="D2" s="547"/>
      <c r="E2" s="547"/>
      <c r="F2" s="547"/>
      <c r="G2" s="547"/>
      <c r="H2" s="547"/>
      <c r="I2" s="547"/>
    </row>
    <row r="3" spans="2:9" ht="15" x14ac:dyDescent="0.25">
      <c r="B3" s="681" t="s">
        <v>913</v>
      </c>
      <c r="C3" s="647" t="s">
        <v>13</v>
      </c>
      <c r="D3" s="648" t="s">
        <v>914</v>
      </c>
      <c r="E3" s="647" t="s">
        <v>915</v>
      </c>
      <c r="F3" s="680" t="s">
        <v>916</v>
      </c>
      <c r="G3" s="683" t="s">
        <v>917</v>
      </c>
      <c r="H3" s="683" t="s">
        <v>918</v>
      </c>
      <c r="I3" s="683" t="s">
        <v>919</v>
      </c>
    </row>
    <row r="4" spans="2:9" ht="15" x14ac:dyDescent="0.25">
      <c r="B4" s="684" t="str">
        <f>Underwriting!B96</f>
        <v>2 BR / 2 BATH</v>
      </c>
      <c r="C4" s="685">
        <f>Underwriting!C96</f>
        <v>12</v>
      </c>
      <c r="D4" s="685">
        <f>Underwriting!D96</f>
        <v>1014</v>
      </c>
      <c r="E4" s="687">
        <f>C4/$C$6</f>
        <v>0.75</v>
      </c>
      <c r="F4" s="645">
        <f>Underwriting!H96</f>
        <v>1900</v>
      </c>
      <c r="G4" s="679">
        <f>'Unit Mix - Rent Roll'!F4/'Unit Mix - Rent Roll'!D4</f>
        <v>1.873767258382643</v>
      </c>
      <c r="H4" s="645">
        <f>F4*C4</f>
        <v>22800</v>
      </c>
      <c r="I4" s="645">
        <f>F4*C4*12</f>
        <v>273600</v>
      </c>
    </row>
    <row r="5" spans="2:9" ht="15" x14ac:dyDescent="0.25">
      <c r="B5" s="684" t="str">
        <f>Underwriting!B97</f>
        <v>2 BR + / 2 BATH</v>
      </c>
      <c r="C5" s="685">
        <f>Underwriting!C97</f>
        <v>4</v>
      </c>
      <c r="D5" s="685">
        <f>Underwriting!D97</f>
        <v>1032</v>
      </c>
      <c r="E5" s="687">
        <f>C5/$C$6</f>
        <v>0.25</v>
      </c>
      <c r="F5" s="645">
        <f>Underwriting!H97</f>
        <v>1900</v>
      </c>
      <c r="G5" s="679">
        <f>'Unit Mix - Rent Roll'!F5/'Unit Mix - Rent Roll'!D5</f>
        <v>1.8410852713178294</v>
      </c>
      <c r="H5" s="645">
        <f>F5*C5</f>
        <v>7600</v>
      </c>
      <c r="I5" s="645">
        <f>F5*C5*12</f>
        <v>91200</v>
      </c>
    </row>
    <row r="6" spans="2:9" ht="15" x14ac:dyDescent="0.25">
      <c r="B6" s="681" t="s">
        <v>909</v>
      </c>
      <c r="C6" s="686">
        <f>SUM(C4:C5)</f>
        <v>16</v>
      </c>
      <c r="D6" s="689">
        <f>SUM(D4:D5)</f>
        <v>2046</v>
      </c>
      <c r="E6" s="688">
        <f>SUM(E4:E5)</f>
        <v>1</v>
      </c>
      <c r="F6" s="647">
        <f>SUM(F4:F5)</f>
        <v>3800</v>
      </c>
      <c r="G6" s="680">
        <f>'Unit Mix - Rent Roll'!F6/'Unit Mix - Rent Roll'!D6</f>
        <v>1.8572825024437927</v>
      </c>
      <c r="H6" s="647">
        <f>SUM(H4:H5)</f>
        <v>30400</v>
      </c>
      <c r="I6" s="647">
        <f>SUM(I4:I5)</f>
        <v>364800</v>
      </c>
    </row>
  </sheetData>
  <pageMargins left="0.7" right="0.7" top="0.75" bottom="0.75" header="0.3" footer="0.3"/>
  <ignoredErrors>
    <ignoredError sqref="G6"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tint="0.59999389629810485"/>
  </sheetPr>
  <dimension ref="A2:JZ45"/>
  <sheetViews>
    <sheetView showGridLines="0" workbookViewId="0">
      <pane xSplit="9" ySplit="6" topLeftCell="J7" activePane="bottomRight" state="frozen"/>
      <selection pane="topRight" activeCell="J1" sqref="J1"/>
      <selection pane="bottomLeft" activeCell="A7" sqref="A7"/>
      <selection pane="bottomRight" activeCell="L15" sqref="L15"/>
    </sheetView>
  </sheetViews>
  <sheetFormatPr defaultColWidth="0" defaultRowHeight="14.25" customHeight="1" zeroHeight="1" x14ac:dyDescent="0.2"/>
  <cols>
    <col min="1" max="1" width="0.875" style="97" customWidth="1"/>
    <col min="2" max="2" width="8.625" style="4" customWidth="1"/>
    <col min="3" max="4" width="13.375" style="4" customWidth="1"/>
    <col min="5" max="5" width="11.125" style="4" bestFit="1" customWidth="1"/>
    <col min="6" max="6" width="10.125" style="4" bestFit="1" customWidth="1"/>
    <col min="7" max="7" width="13" style="4" bestFit="1" customWidth="1"/>
    <col min="8" max="8" width="8.5" style="4" bestFit="1" customWidth="1"/>
    <col min="9" max="9" width="13" style="4" customWidth="1"/>
    <col min="10" max="10" width="0.875" customWidth="1"/>
    <col min="11" max="283" width="9" customWidth="1"/>
    <col min="284" max="284" width="1.625" customWidth="1"/>
    <col min="285" max="286" width="0" hidden="1" customWidth="1"/>
    <col min="287" max="16384" width="9" hidden="1"/>
  </cols>
  <sheetData>
    <row r="2" spans="1:283" s="6" customFormat="1" ht="15.75" x14ac:dyDescent="0.25">
      <c r="A2" s="97"/>
      <c r="B2" s="5" t="str">
        <f>UPPER(Investment_Name)</f>
        <v>16TH TERRACE</v>
      </c>
      <c r="C2"/>
      <c r="D2"/>
      <c r="E2"/>
      <c r="F2"/>
      <c r="G2"/>
      <c r="H2"/>
      <c r="I2" s="132" t="s">
        <v>457</v>
      </c>
      <c r="K2" s="8">
        <f>Underwriting!Q2</f>
        <v>0</v>
      </c>
      <c r="L2" s="8">
        <f>Underwriting!R2</f>
        <v>1</v>
      </c>
      <c r="M2" s="8">
        <f>Underwriting!S2</f>
        <v>1</v>
      </c>
      <c r="N2" s="8">
        <f>Underwriting!T2</f>
        <v>1</v>
      </c>
      <c r="O2" s="8">
        <f>Underwriting!U2</f>
        <v>1</v>
      </c>
      <c r="P2" s="8">
        <f>Underwriting!V2</f>
        <v>1</v>
      </c>
      <c r="Q2" s="8">
        <f>Underwriting!W2</f>
        <v>1</v>
      </c>
      <c r="R2" s="8">
        <f>Underwriting!X2</f>
        <v>1</v>
      </c>
      <c r="S2" s="8">
        <f>Underwriting!Y2</f>
        <v>1</v>
      </c>
      <c r="T2" s="8">
        <f>Underwriting!Z2</f>
        <v>1</v>
      </c>
      <c r="U2" s="8">
        <f>Underwriting!AA2</f>
        <v>1</v>
      </c>
      <c r="V2" s="8">
        <f>Underwriting!AB2</f>
        <v>1</v>
      </c>
      <c r="W2" s="8">
        <f>Underwriting!AC2</f>
        <v>1</v>
      </c>
      <c r="X2" s="8">
        <f>Underwriting!AD2</f>
        <v>2</v>
      </c>
      <c r="Y2" s="8">
        <f>Underwriting!AE2</f>
        <v>2</v>
      </c>
      <c r="Z2" s="8">
        <f>Underwriting!AF2</f>
        <v>2</v>
      </c>
      <c r="AA2" s="8">
        <f>Underwriting!AG2</f>
        <v>2</v>
      </c>
      <c r="AB2" s="8">
        <f>Underwriting!AH2</f>
        <v>2</v>
      </c>
      <c r="AC2" s="8">
        <f>Underwriting!AI2</f>
        <v>2</v>
      </c>
      <c r="AD2" s="8">
        <f>Underwriting!AJ2</f>
        <v>2</v>
      </c>
      <c r="AE2" s="8">
        <f>Underwriting!AK2</f>
        <v>2</v>
      </c>
      <c r="AF2" s="8">
        <f>Underwriting!AL2</f>
        <v>2</v>
      </c>
      <c r="AG2" s="8">
        <f>Underwriting!AM2</f>
        <v>2</v>
      </c>
      <c r="AH2" s="8">
        <f>Underwriting!AN2</f>
        <v>2</v>
      </c>
      <c r="AI2" s="8">
        <f>Underwriting!AO2</f>
        <v>2</v>
      </c>
      <c r="AJ2" s="8">
        <f>Underwriting!AP2</f>
        <v>3</v>
      </c>
      <c r="AK2" s="8">
        <f>Underwriting!AQ2</f>
        <v>3</v>
      </c>
      <c r="AL2" s="8">
        <f>Underwriting!AR2</f>
        <v>3</v>
      </c>
      <c r="AM2" s="8">
        <f>Underwriting!AS2</f>
        <v>3</v>
      </c>
      <c r="AN2" s="8">
        <f>Underwriting!AT2</f>
        <v>3</v>
      </c>
      <c r="AO2" s="8">
        <f>Underwriting!AU2</f>
        <v>3</v>
      </c>
      <c r="AP2" s="8">
        <f>Underwriting!AV2</f>
        <v>3</v>
      </c>
      <c r="AQ2" s="8">
        <f>Underwriting!AW2</f>
        <v>3</v>
      </c>
      <c r="AR2" s="8">
        <f>Underwriting!AX2</f>
        <v>3</v>
      </c>
      <c r="AS2" s="8">
        <f>Underwriting!AY2</f>
        <v>3</v>
      </c>
      <c r="AT2" s="8">
        <f>Underwriting!AZ2</f>
        <v>3</v>
      </c>
      <c r="AU2" s="8">
        <f>Underwriting!BA2</f>
        <v>3</v>
      </c>
      <c r="AV2" s="8">
        <f>Underwriting!BB2</f>
        <v>4</v>
      </c>
      <c r="AW2" s="8">
        <f>Underwriting!BC2</f>
        <v>4</v>
      </c>
      <c r="AX2" s="8">
        <f>Underwriting!BD2</f>
        <v>4</v>
      </c>
      <c r="AY2" s="8">
        <f>Underwriting!BE2</f>
        <v>4</v>
      </c>
      <c r="AZ2" s="8">
        <f>Underwriting!BF2</f>
        <v>4</v>
      </c>
      <c r="BA2" s="8">
        <f>Underwriting!BG2</f>
        <v>4</v>
      </c>
      <c r="BB2" s="8">
        <f>Underwriting!BH2</f>
        <v>4</v>
      </c>
      <c r="BC2" s="8">
        <f>Underwriting!BI2</f>
        <v>4</v>
      </c>
      <c r="BD2" s="8">
        <f>Underwriting!BJ2</f>
        <v>4</v>
      </c>
      <c r="BE2" s="8">
        <f>Underwriting!BK2</f>
        <v>4</v>
      </c>
      <c r="BF2" s="8">
        <f>Underwriting!BL2</f>
        <v>4</v>
      </c>
      <c r="BG2" s="8">
        <f>Underwriting!BM2</f>
        <v>4</v>
      </c>
      <c r="BH2" s="8">
        <f>Underwriting!BN2</f>
        <v>5</v>
      </c>
      <c r="BI2" s="8">
        <f>Underwriting!BO2</f>
        <v>5</v>
      </c>
      <c r="BJ2" s="8">
        <f>Underwriting!BP2</f>
        <v>5</v>
      </c>
      <c r="BK2" s="8">
        <f>Underwriting!BQ2</f>
        <v>5</v>
      </c>
      <c r="BL2" s="8">
        <f>Underwriting!BR2</f>
        <v>5</v>
      </c>
      <c r="BM2" s="8">
        <f>Underwriting!BS2</f>
        <v>5</v>
      </c>
      <c r="BN2" s="8">
        <f>Underwriting!BT2</f>
        <v>5</v>
      </c>
      <c r="BO2" s="8">
        <f>Underwriting!BU2</f>
        <v>5</v>
      </c>
      <c r="BP2" s="8">
        <f>Underwriting!BV2</f>
        <v>5</v>
      </c>
      <c r="BQ2" s="8">
        <f>Underwriting!BW2</f>
        <v>5</v>
      </c>
      <c r="BR2" s="8">
        <f>Underwriting!BX2</f>
        <v>5</v>
      </c>
      <c r="BS2" s="8">
        <f>Underwriting!BY2</f>
        <v>5</v>
      </c>
      <c r="BT2" s="8">
        <f>Underwriting!BZ2</f>
        <v>6</v>
      </c>
      <c r="BU2" s="8">
        <f>Underwriting!CA2</f>
        <v>6</v>
      </c>
      <c r="BV2" s="8">
        <f>Underwriting!CB2</f>
        <v>6</v>
      </c>
      <c r="BW2" s="8">
        <f>Underwriting!CC2</f>
        <v>6</v>
      </c>
      <c r="BX2" s="8">
        <f>Underwriting!CD2</f>
        <v>6</v>
      </c>
      <c r="BY2" s="8">
        <f>Underwriting!CE2</f>
        <v>6</v>
      </c>
      <c r="BZ2" s="8">
        <f>Underwriting!CF2</f>
        <v>6</v>
      </c>
      <c r="CA2" s="8">
        <f>Underwriting!CG2</f>
        <v>6</v>
      </c>
      <c r="CB2" s="8">
        <f>Underwriting!CH2</f>
        <v>6</v>
      </c>
      <c r="CC2" s="8">
        <f>Underwriting!CI2</f>
        <v>6</v>
      </c>
      <c r="CD2" s="8">
        <f>Underwriting!CJ2</f>
        <v>6</v>
      </c>
      <c r="CE2" s="8">
        <f>Underwriting!CK2</f>
        <v>6</v>
      </c>
      <c r="CF2" s="8">
        <f>Underwriting!CL2</f>
        <v>7</v>
      </c>
      <c r="CG2" s="8">
        <f>Underwriting!CM2</f>
        <v>7</v>
      </c>
      <c r="CH2" s="8">
        <f>Underwriting!CN2</f>
        <v>7</v>
      </c>
      <c r="CI2" s="8">
        <f>Underwriting!CO2</f>
        <v>7</v>
      </c>
      <c r="CJ2" s="8">
        <f>Underwriting!CP2</f>
        <v>7</v>
      </c>
      <c r="CK2" s="8">
        <f>Underwriting!CQ2</f>
        <v>7</v>
      </c>
      <c r="CL2" s="8">
        <f>Underwriting!CR2</f>
        <v>7</v>
      </c>
      <c r="CM2" s="8">
        <f>Underwriting!CS2</f>
        <v>7</v>
      </c>
      <c r="CN2" s="8">
        <f>Underwriting!CT2</f>
        <v>7</v>
      </c>
      <c r="CO2" s="8">
        <f>Underwriting!CU2</f>
        <v>7</v>
      </c>
      <c r="CP2" s="8">
        <f>Underwriting!CV2</f>
        <v>7</v>
      </c>
      <c r="CQ2" s="8">
        <f>Underwriting!CW2</f>
        <v>7</v>
      </c>
      <c r="CR2" s="8">
        <f>Underwriting!CX2</f>
        <v>8</v>
      </c>
      <c r="CS2" s="8">
        <f>Underwriting!CY2</f>
        <v>8</v>
      </c>
      <c r="CT2" s="8">
        <f>Underwriting!CZ2</f>
        <v>8</v>
      </c>
      <c r="CU2" s="8">
        <f>Underwriting!DA2</f>
        <v>8</v>
      </c>
      <c r="CV2" s="8">
        <f>Underwriting!DB2</f>
        <v>8</v>
      </c>
      <c r="CW2" s="8">
        <f>Underwriting!DC2</f>
        <v>8</v>
      </c>
      <c r="CX2" s="8">
        <f>Underwriting!DD2</f>
        <v>8</v>
      </c>
      <c r="CY2" s="8">
        <f>Underwriting!DE2</f>
        <v>8</v>
      </c>
      <c r="CZ2" s="8">
        <f>Underwriting!DF2</f>
        <v>8</v>
      </c>
      <c r="DA2" s="8">
        <f>Underwriting!DG2</f>
        <v>8</v>
      </c>
      <c r="DB2" s="8">
        <f>Underwriting!DH2</f>
        <v>8</v>
      </c>
      <c r="DC2" s="8">
        <f>Underwriting!DI2</f>
        <v>8</v>
      </c>
      <c r="DD2" s="8">
        <f>Underwriting!DJ2</f>
        <v>9</v>
      </c>
      <c r="DE2" s="8">
        <f>Underwriting!DK2</f>
        <v>9</v>
      </c>
      <c r="DF2" s="8">
        <f>Underwriting!DL2</f>
        <v>9</v>
      </c>
      <c r="DG2" s="8">
        <f>Underwriting!DM2</f>
        <v>9</v>
      </c>
      <c r="DH2" s="8">
        <f>Underwriting!DN2</f>
        <v>9</v>
      </c>
      <c r="DI2" s="8">
        <f>Underwriting!DO2</f>
        <v>9</v>
      </c>
      <c r="DJ2" s="8">
        <f>Underwriting!DP2</f>
        <v>9</v>
      </c>
      <c r="DK2" s="8">
        <f>Underwriting!DQ2</f>
        <v>9</v>
      </c>
      <c r="DL2" s="8">
        <f>Underwriting!DR2</f>
        <v>9</v>
      </c>
      <c r="DM2" s="8">
        <f>Underwriting!DS2</f>
        <v>9</v>
      </c>
      <c r="DN2" s="8">
        <f>Underwriting!DT2</f>
        <v>9</v>
      </c>
      <c r="DO2" s="8">
        <f>Underwriting!DU2</f>
        <v>9</v>
      </c>
      <c r="DP2" s="8">
        <f>Underwriting!DV2</f>
        <v>10</v>
      </c>
      <c r="DQ2" s="8">
        <f>Underwriting!DW2</f>
        <v>10</v>
      </c>
      <c r="DR2" s="8">
        <f>Underwriting!DX2</f>
        <v>10</v>
      </c>
      <c r="DS2" s="8">
        <f>Underwriting!DY2</f>
        <v>10</v>
      </c>
      <c r="DT2" s="8">
        <f>Underwriting!DZ2</f>
        <v>10</v>
      </c>
      <c r="DU2" s="8">
        <f>Underwriting!EA2</f>
        <v>10</v>
      </c>
      <c r="DV2" s="8">
        <f>Underwriting!EB2</f>
        <v>10</v>
      </c>
      <c r="DW2" s="8">
        <f>Underwriting!EC2</f>
        <v>10</v>
      </c>
      <c r="DX2" s="8">
        <f>Underwriting!ED2</f>
        <v>10</v>
      </c>
      <c r="DY2" s="8">
        <f>Underwriting!EE2</f>
        <v>10</v>
      </c>
      <c r="DZ2" s="8">
        <f>Underwriting!EF2</f>
        <v>10</v>
      </c>
      <c r="EA2" s="8">
        <f>Underwriting!EG2</f>
        <v>10</v>
      </c>
      <c r="EB2" s="8">
        <f>Underwriting!EH2</f>
        <v>11</v>
      </c>
      <c r="EC2" s="8">
        <f>Underwriting!EI2</f>
        <v>11</v>
      </c>
      <c r="ED2" s="8">
        <f>Underwriting!EJ2</f>
        <v>11</v>
      </c>
      <c r="EE2" s="8">
        <f>Underwriting!EK2</f>
        <v>11</v>
      </c>
      <c r="EF2" s="8">
        <f>Underwriting!EL2</f>
        <v>11</v>
      </c>
      <c r="EG2" s="8">
        <f>Underwriting!EM2</f>
        <v>11</v>
      </c>
      <c r="EH2" s="8">
        <f>Underwriting!EN2</f>
        <v>11</v>
      </c>
      <c r="EI2" s="8">
        <f>Underwriting!EO2</f>
        <v>11</v>
      </c>
      <c r="EJ2" s="8">
        <f>Underwriting!EP2</f>
        <v>11</v>
      </c>
      <c r="EK2" s="8">
        <f>Underwriting!EQ2</f>
        <v>11</v>
      </c>
      <c r="EL2" s="8">
        <f>Underwriting!ER2</f>
        <v>11</v>
      </c>
      <c r="EM2" s="8">
        <f>Underwriting!ES2</f>
        <v>11</v>
      </c>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c r="GE2" s="20"/>
      <c r="GF2" s="20"/>
      <c r="GG2" s="20"/>
      <c r="GH2" s="20"/>
      <c r="GI2" s="20"/>
      <c r="GJ2" s="20"/>
      <c r="GK2" s="20"/>
      <c r="GL2" s="20"/>
      <c r="GM2" s="20"/>
      <c r="GN2" s="20"/>
      <c r="GO2" s="20"/>
      <c r="GP2" s="20"/>
      <c r="GQ2" s="20"/>
      <c r="GR2" s="20"/>
      <c r="GS2" s="20"/>
      <c r="GT2" s="20"/>
      <c r="GU2" s="20"/>
      <c r="GV2" s="20"/>
      <c r="GW2" s="20"/>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0"/>
      <c r="HY2" s="20"/>
      <c r="HZ2" s="20"/>
      <c r="IA2" s="20"/>
      <c r="IB2" s="20"/>
      <c r="IC2" s="20"/>
      <c r="ID2" s="20"/>
      <c r="IE2" s="20"/>
      <c r="IF2" s="20"/>
      <c r="IG2" s="20"/>
      <c r="IH2" s="20"/>
      <c r="II2" s="20"/>
      <c r="IJ2" s="20"/>
      <c r="IK2" s="20"/>
      <c r="IL2" s="20"/>
      <c r="IM2" s="20"/>
      <c r="IN2" s="20"/>
      <c r="IO2" s="20"/>
      <c r="IP2" s="20"/>
      <c r="IQ2" s="20"/>
      <c r="IR2" s="20"/>
      <c r="IS2" s="20"/>
      <c r="IT2" s="20"/>
      <c r="IU2" s="20"/>
      <c r="IV2" s="20"/>
      <c r="IW2" s="20"/>
      <c r="IX2" s="20"/>
      <c r="IY2" s="20"/>
      <c r="IZ2" s="20"/>
      <c r="JA2" s="20"/>
      <c r="JB2" s="20"/>
      <c r="JC2" s="20"/>
      <c r="JD2" s="20"/>
      <c r="JE2" s="20"/>
      <c r="JF2" s="20"/>
      <c r="JG2" s="20"/>
      <c r="JH2" s="20"/>
      <c r="JI2" s="20"/>
      <c r="JJ2" s="20"/>
      <c r="JK2" s="20"/>
      <c r="JL2" s="20"/>
      <c r="JM2" s="20"/>
      <c r="JN2" s="20"/>
      <c r="JO2" s="20"/>
      <c r="JP2" s="20"/>
      <c r="JQ2" s="20"/>
      <c r="JR2" s="20"/>
      <c r="JS2" s="20"/>
      <c r="JT2" s="20"/>
      <c r="JU2" s="20"/>
      <c r="JV2" s="20"/>
      <c r="JW2" s="20"/>
    </row>
    <row r="3" spans="1:283" s="6" customFormat="1" x14ac:dyDescent="0.2">
      <c r="A3" s="97"/>
      <c r="B3"/>
      <c r="C3"/>
      <c r="D3"/>
      <c r="E3"/>
      <c r="F3"/>
      <c r="G3"/>
      <c r="H3"/>
      <c r="I3"/>
      <c r="K3" s="7">
        <f>Underwriting!Q3</f>
        <v>0</v>
      </c>
      <c r="L3" s="7">
        <f>Underwriting!R3</f>
        <v>1</v>
      </c>
      <c r="M3" s="7">
        <f>Underwriting!S3</f>
        <v>2</v>
      </c>
      <c r="N3" s="7">
        <f>Underwriting!T3</f>
        <v>3</v>
      </c>
      <c r="O3" s="7">
        <f>Underwriting!U3</f>
        <v>4</v>
      </c>
      <c r="P3" s="7">
        <f>Underwriting!V3</f>
        <v>5</v>
      </c>
      <c r="Q3" s="7">
        <f>Underwriting!W3</f>
        <v>6</v>
      </c>
      <c r="R3" s="7">
        <f>Underwriting!X3</f>
        <v>7</v>
      </c>
      <c r="S3" s="7">
        <f>Underwriting!Y3</f>
        <v>8</v>
      </c>
      <c r="T3" s="7">
        <f>Underwriting!Z3</f>
        <v>9</v>
      </c>
      <c r="U3" s="7">
        <f>Underwriting!AA3</f>
        <v>10</v>
      </c>
      <c r="V3" s="7">
        <f>Underwriting!AB3</f>
        <v>11</v>
      </c>
      <c r="W3" s="7">
        <f>Underwriting!AC3</f>
        <v>12</v>
      </c>
      <c r="X3" s="7">
        <f>Underwriting!AD3</f>
        <v>13</v>
      </c>
      <c r="Y3" s="7">
        <f>Underwriting!AE3</f>
        <v>14</v>
      </c>
      <c r="Z3" s="7">
        <f>Underwriting!AF3</f>
        <v>15</v>
      </c>
      <c r="AA3" s="7">
        <f>Underwriting!AG3</f>
        <v>16</v>
      </c>
      <c r="AB3" s="7">
        <f>Underwriting!AH3</f>
        <v>17</v>
      </c>
      <c r="AC3" s="7">
        <f>Underwriting!AI3</f>
        <v>18</v>
      </c>
      <c r="AD3" s="7">
        <f>Underwriting!AJ3</f>
        <v>19</v>
      </c>
      <c r="AE3" s="7">
        <f>Underwriting!AK3</f>
        <v>20</v>
      </c>
      <c r="AF3" s="7">
        <f>Underwriting!AL3</f>
        <v>21</v>
      </c>
      <c r="AG3" s="7">
        <f>Underwriting!AM3</f>
        <v>22</v>
      </c>
      <c r="AH3" s="7">
        <f>Underwriting!AN3</f>
        <v>23</v>
      </c>
      <c r="AI3" s="7">
        <f>Underwriting!AO3</f>
        <v>24</v>
      </c>
      <c r="AJ3" s="7">
        <f>Underwriting!AP3</f>
        <v>25</v>
      </c>
      <c r="AK3" s="7">
        <f>Underwriting!AQ3</f>
        <v>26</v>
      </c>
      <c r="AL3" s="7">
        <f>Underwriting!AR3</f>
        <v>27</v>
      </c>
      <c r="AM3" s="7">
        <f>Underwriting!AS3</f>
        <v>28</v>
      </c>
      <c r="AN3" s="7">
        <f>Underwriting!AT3</f>
        <v>29</v>
      </c>
      <c r="AO3" s="7">
        <f>Underwriting!AU3</f>
        <v>30</v>
      </c>
      <c r="AP3" s="7">
        <f>Underwriting!AV3</f>
        <v>31</v>
      </c>
      <c r="AQ3" s="7">
        <f>Underwriting!AW3</f>
        <v>32</v>
      </c>
      <c r="AR3" s="7">
        <f>Underwriting!AX3</f>
        <v>33</v>
      </c>
      <c r="AS3" s="7">
        <f>Underwriting!AY3</f>
        <v>34</v>
      </c>
      <c r="AT3" s="7">
        <f>Underwriting!AZ3</f>
        <v>35</v>
      </c>
      <c r="AU3" s="7">
        <f>Underwriting!BA3</f>
        <v>36</v>
      </c>
      <c r="AV3" s="7">
        <f>Underwriting!BB3</f>
        <v>37</v>
      </c>
      <c r="AW3" s="7">
        <f>Underwriting!BC3</f>
        <v>38</v>
      </c>
      <c r="AX3" s="7">
        <f>Underwriting!BD3</f>
        <v>39</v>
      </c>
      <c r="AY3" s="7">
        <f>Underwriting!BE3</f>
        <v>40</v>
      </c>
      <c r="AZ3" s="7">
        <f>Underwriting!BF3</f>
        <v>41</v>
      </c>
      <c r="BA3" s="7">
        <f>Underwriting!BG3</f>
        <v>42</v>
      </c>
      <c r="BB3" s="7">
        <f>Underwriting!BH3</f>
        <v>43</v>
      </c>
      <c r="BC3" s="7">
        <f>Underwriting!BI3</f>
        <v>44</v>
      </c>
      <c r="BD3" s="7">
        <f>Underwriting!BJ3</f>
        <v>45</v>
      </c>
      <c r="BE3" s="7">
        <f>Underwriting!BK3</f>
        <v>46</v>
      </c>
      <c r="BF3" s="7">
        <f>Underwriting!BL3</f>
        <v>47</v>
      </c>
      <c r="BG3" s="7">
        <f>Underwriting!BM3</f>
        <v>48</v>
      </c>
      <c r="BH3" s="7">
        <f>Underwriting!BN3</f>
        <v>49</v>
      </c>
      <c r="BI3" s="7">
        <f>Underwriting!BO3</f>
        <v>50</v>
      </c>
      <c r="BJ3" s="7">
        <f>Underwriting!BP3</f>
        <v>51</v>
      </c>
      <c r="BK3" s="7">
        <f>Underwriting!BQ3</f>
        <v>52</v>
      </c>
      <c r="BL3" s="7">
        <f>Underwriting!BR3</f>
        <v>53</v>
      </c>
      <c r="BM3" s="7">
        <f>Underwriting!BS3</f>
        <v>54</v>
      </c>
      <c r="BN3" s="7">
        <f>Underwriting!BT3</f>
        <v>55</v>
      </c>
      <c r="BO3" s="7">
        <f>Underwriting!BU3</f>
        <v>56</v>
      </c>
      <c r="BP3" s="7">
        <f>Underwriting!BV3</f>
        <v>57</v>
      </c>
      <c r="BQ3" s="7">
        <f>Underwriting!BW3</f>
        <v>58</v>
      </c>
      <c r="BR3" s="7">
        <f>Underwriting!BX3</f>
        <v>59</v>
      </c>
      <c r="BS3" s="7">
        <f>Underwriting!BY3</f>
        <v>60</v>
      </c>
      <c r="BT3" s="7">
        <f>Underwriting!BZ3</f>
        <v>61</v>
      </c>
      <c r="BU3" s="7">
        <f>Underwriting!CA3</f>
        <v>62</v>
      </c>
      <c r="BV3" s="7">
        <f>Underwriting!CB3</f>
        <v>63</v>
      </c>
      <c r="BW3" s="7">
        <f>Underwriting!CC3</f>
        <v>64</v>
      </c>
      <c r="BX3" s="7">
        <f>Underwriting!CD3</f>
        <v>65</v>
      </c>
      <c r="BY3" s="7">
        <f>Underwriting!CE3</f>
        <v>66</v>
      </c>
      <c r="BZ3" s="7">
        <f>Underwriting!CF3</f>
        <v>67</v>
      </c>
      <c r="CA3" s="7">
        <f>Underwriting!CG3</f>
        <v>68</v>
      </c>
      <c r="CB3" s="7">
        <f>Underwriting!CH3</f>
        <v>69</v>
      </c>
      <c r="CC3" s="7">
        <f>Underwriting!CI3</f>
        <v>70</v>
      </c>
      <c r="CD3" s="7">
        <f>Underwriting!CJ3</f>
        <v>71</v>
      </c>
      <c r="CE3" s="7">
        <f>Underwriting!CK3</f>
        <v>72</v>
      </c>
      <c r="CF3" s="7">
        <f>Underwriting!CL3</f>
        <v>73</v>
      </c>
      <c r="CG3" s="7">
        <f>Underwriting!CM3</f>
        <v>74</v>
      </c>
      <c r="CH3" s="7">
        <f>Underwriting!CN3</f>
        <v>75</v>
      </c>
      <c r="CI3" s="7">
        <f>Underwriting!CO3</f>
        <v>76</v>
      </c>
      <c r="CJ3" s="7">
        <f>Underwriting!CP3</f>
        <v>77</v>
      </c>
      <c r="CK3" s="7">
        <f>Underwriting!CQ3</f>
        <v>78</v>
      </c>
      <c r="CL3" s="7">
        <f>Underwriting!CR3</f>
        <v>79</v>
      </c>
      <c r="CM3" s="7">
        <f>Underwriting!CS3</f>
        <v>80</v>
      </c>
      <c r="CN3" s="7">
        <f>Underwriting!CT3</f>
        <v>81</v>
      </c>
      <c r="CO3" s="7">
        <f>Underwriting!CU3</f>
        <v>82</v>
      </c>
      <c r="CP3" s="7">
        <f>Underwriting!CV3</f>
        <v>83</v>
      </c>
      <c r="CQ3" s="7">
        <f>Underwriting!CW3</f>
        <v>84</v>
      </c>
      <c r="CR3" s="7">
        <f>Underwriting!CX3</f>
        <v>85</v>
      </c>
      <c r="CS3" s="7">
        <f>Underwriting!CY3</f>
        <v>86</v>
      </c>
      <c r="CT3" s="7">
        <f>Underwriting!CZ3</f>
        <v>87</v>
      </c>
      <c r="CU3" s="7">
        <f>Underwriting!DA3</f>
        <v>88</v>
      </c>
      <c r="CV3" s="7">
        <f>Underwriting!DB3</f>
        <v>89</v>
      </c>
      <c r="CW3" s="7">
        <f>Underwriting!DC3</f>
        <v>90</v>
      </c>
      <c r="CX3" s="7">
        <f>Underwriting!DD3</f>
        <v>91</v>
      </c>
      <c r="CY3" s="7">
        <f>Underwriting!DE3</f>
        <v>92</v>
      </c>
      <c r="CZ3" s="7">
        <f>Underwriting!DF3</f>
        <v>93</v>
      </c>
      <c r="DA3" s="7">
        <f>Underwriting!DG3</f>
        <v>94</v>
      </c>
      <c r="DB3" s="7">
        <f>Underwriting!DH3</f>
        <v>95</v>
      </c>
      <c r="DC3" s="7">
        <f>Underwriting!DI3</f>
        <v>96</v>
      </c>
      <c r="DD3" s="7">
        <f>Underwriting!DJ3</f>
        <v>97</v>
      </c>
      <c r="DE3" s="7">
        <f>Underwriting!DK3</f>
        <v>98</v>
      </c>
      <c r="DF3" s="7">
        <f>Underwriting!DL3</f>
        <v>99</v>
      </c>
      <c r="DG3" s="7">
        <f>Underwriting!DM3</f>
        <v>100</v>
      </c>
      <c r="DH3" s="7">
        <f>Underwriting!DN3</f>
        <v>101</v>
      </c>
      <c r="DI3" s="7">
        <f>Underwriting!DO3</f>
        <v>102</v>
      </c>
      <c r="DJ3" s="7">
        <f>Underwriting!DP3</f>
        <v>103</v>
      </c>
      <c r="DK3" s="7">
        <f>Underwriting!DQ3</f>
        <v>104</v>
      </c>
      <c r="DL3" s="7">
        <f>Underwriting!DR3</f>
        <v>105</v>
      </c>
      <c r="DM3" s="7">
        <f>Underwriting!DS3</f>
        <v>106</v>
      </c>
      <c r="DN3" s="7">
        <f>Underwriting!DT3</f>
        <v>107</v>
      </c>
      <c r="DO3" s="7">
        <f>Underwriting!DU3</f>
        <v>108</v>
      </c>
      <c r="DP3" s="7">
        <f>Underwriting!DV3</f>
        <v>109</v>
      </c>
      <c r="DQ3" s="7">
        <f>Underwriting!DW3</f>
        <v>110</v>
      </c>
      <c r="DR3" s="7">
        <f>Underwriting!DX3</f>
        <v>111</v>
      </c>
      <c r="DS3" s="7">
        <f>Underwriting!DY3</f>
        <v>112</v>
      </c>
      <c r="DT3" s="7">
        <f>Underwriting!DZ3</f>
        <v>113</v>
      </c>
      <c r="DU3" s="7">
        <f>Underwriting!EA3</f>
        <v>114</v>
      </c>
      <c r="DV3" s="7">
        <f>Underwriting!EB3</f>
        <v>115</v>
      </c>
      <c r="DW3" s="7">
        <f>Underwriting!EC3</f>
        <v>116</v>
      </c>
      <c r="DX3" s="7">
        <f>Underwriting!ED3</f>
        <v>117</v>
      </c>
      <c r="DY3" s="7">
        <f>Underwriting!EE3</f>
        <v>118</v>
      </c>
      <c r="DZ3" s="7">
        <f>Underwriting!EF3</f>
        <v>119</v>
      </c>
      <c r="EA3" s="7">
        <f>Underwriting!EG3</f>
        <v>120</v>
      </c>
      <c r="EB3" s="7">
        <f>Underwriting!EH3</f>
        <v>121</v>
      </c>
      <c r="EC3" s="7">
        <f>Underwriting!EI3</f>
        <v>122</v>
      </c>
      <c r="ED3" s="7">
        <f>Underwriting!EJ3</f>
        <v>123</v>
      </c>
      <c r="EE3" s="7">
        <f>Underwriting!EK3</f>
        <v>124</v>
      </c>
      <c r="EF3" s="7">
        <f>Underwriting!EL3</f>
        <v>125</v>
      </c>
      <c r="EG3" s="7">
        <f>Underwriting!EM3</f>
        <v>126</v>
      </c>
      <c r="EH3" s="7">
        <f>Underwriting!EN3</f>
        <v>127</v>
      </c>
      <c r="EI3" s="7">
        <f>Underwriting!EO3</f>
        <v>128</v>
      </c>
      <c r="EJ3" s="7">
        <f>Underwriting!EP3</f>
        <v>129</v>
      </c>
      <c r="EK3" s="7">
        <f>Underwriting!EQ3</f>
        <v>130</v>
      </c>
      <c r="EL3" s="7">
        <f>Underwriting!ER3</f>
        <v>131</v>
      </c>
      <c r="EM3" s="7">
        <f>Underwriting!ES3</f>
        <v>132</v>
      </c>
      <c r="EO3" s="20"/>
      <c r="EP3" s="20"/>
      <c r="EQ3" s="20"/>
      <c r="ER3" s="20"/>
      <c r="ES3" s="20"/>
      <c r="ET3" s="20"/>
      <c r="EU3" s="20"/>
      <c r="EV3" s="21">
        <f>Underwriting!FB3</f>
        <v>1</v>
      </c>
      <c r="EW3" s="21">
        <f>Underwriting!FC3</f>
        <v>2</v>
      </c>
      <c r="EX3" s="21">
        <f>Underwriting!FD3</f>
        <v>3</v>
      </c>
      <c r="EY3" s="21">
        <f>Underwriting!FE3</f>
        <v>4</v>
      </c>
      <c r="EZ3" s="21">
        <f>Underwriting!FF3</f>
        <v>5</v>
      </c>
      <c r="FA3" s="21">
        <f>Underwriting!FG3</f>
        <v>6</v>
      </c>
      <c r="FB3" s="21">
        <f>Underwriting!FH3</f>
        <v>7</v>
      </c>
      <c r="FC3" s="21">
        <f>Underwriting!FI3</f>
        <v>8</v>
      </c>
      <c r="FD3" s="21">
        <f>Underwriting!FJ3</f>
        <v>9</v>
      </c>
      <c r="FE3" s="21">
        <f>Underwriting!FK3</f>
        <v>10</v>
      </c>
      <c r="FF3" s="21">
        <f>Underwriting!FL3</f>
        <v>11</v>
      </c>
      <c r="FG3" s="21">
        <f>Underwriting!FM3</f>
        <v>12</v>
      </c>
      <c r="FH3" s="21">
        <f>Underwriting!FN3</f>
        <v>13</v>
      </c>
      <c r="FI3" s="21">
        <f>Underwriting!FO3</f>
        <v>14</v>
      </c>
      <c r="FJ3" s="21">
        <f>Underwriting!FP3</f>
        <v>15</v>
      </c>
      <c r="FK3" s="21">
        <f>Underwriting!FQ3</f>
        <v>16</v>
      </c>
      <c r="FL3" s="21">
        <f>Underwriting!FR3</f>
        <v>17</v>
      </c>
      <c r="FM3" s="21">
        <f>Underwriting!FS3</f>
        <v>18</v>
      </c>
      <c r="FN3" s="21">
        <f>Underwriting!FT3</f>
        <v>19</v>
      </c>
      <c r="FO3" s="21">
        <f>Underwriting!FU3</f>
        <v>20</v>
      </c>
      <c r="FP3" s="21">
        <f>Underwriting!FV3</f>
        <v>21</v>
      </c>
      <c r="FQ3" s="21">
        <f>Underwriting!FW3</f>
        <v>22</v>
      </c>
      <c r="FR3" s="21">
        <f>Underwriting!FX3</f>
        <v>23</v>
      </c>
      <c r="FS3" s="21">
        <f>Underwriting!FY3</f>
        <v>24</v>
      </c>
      <c r="FT3" s="21">
        <f>Underwriting!FZ3</f>
        <v>25</v>
      </c>
      <c r="FU3" s="21">
        <f>Underwriting!GA3</f>
        <v>26</v>
      </c>
      <c r="FV3" s="21">
        <f>Underwriting!GB3</f>
        <v>27</v>
      </c>
      <c r="FW3" s="21">
        <f>Underwriting!GC3</f>
        <v>28</v>
      </c>
      <c r="FX3" s="21">
        <f>Underwriting!GD3</f>
        <v>29</v>
      </c>
      <c r="FY3" s="21">
        <f>Underwriting!GE3</f>
        <v>30</v>
      </c>
      <c r="FZ3" s="21">
        <f>Underwriting!GF3</f>
        <v>31</v>
      </c>
      <c r="GA3" s="21">
        <f>Underwriting!GG3</f>
        <v>32</v>
      </c>
      <c r="GB3" s="21">
        <f>Underwriting!GH3</f>
        <v>33</v>
      </c>
      <c r="GC3" s="21">
        <f>Underwriting!GI3</f>
        <v>34</v>
      </c>
      <c r="GD3" s="21">
        <f>Underwriting!GJ3</f>
        <v>35</v>
      </c>
      <c r="GE3" s="21">
        <f>Underwriting!GK3</f>
        <v>36</v>
      </c>
      <c r="GF3" s="21">
        <f>Underwriting!GL3</f>
        <v>37</v>
      </c>
      <c r="GG3" s="21">
        <f>Underwriting!GM3</f>
        <v>38</v>
      </c>
      <c r="GH3" s="21">
        <f>Underwriting!GN3</f>
        <v>39</v>
      </c>
      <c r="GI3" s="21">
        <f>Underwriting!GO3</f>
        <v>40</v>
      </c>
      <c r="GJ3" s="21">
        <f>Underwriting!GP3</f>
        <v>41</v>
      </c>
      <c r="GK3" s="21">
        <f>Underwriting!GQ3</f>
        <v>42</v>
      </c>
      <c r="GL3" s="21">
        <f>Underwriting!GR3</f>
        <v>43</v>
      </c>
      <c r="GM3" s="21">
        <f>Underwriting!GS3</f>
        <v>44</v>
      </c>
      <c r="GN3" s="21">
        <f>Underwriting!GT3</f>
        <v>45</v>
      </c>
      <c r="GO3" s="21">
        <f>Underwriting!GU3</f>
        <v>46</v>
      </c>
      <c r="GP3" s="21">
        <f>Underwriting!GV3</f>
        <v>47</v>
      </c>
      <c r="GQ3" s="21">
        <f>Underwriting!GW3</f>
        <v>48</v>
      </c>
      <c r="GR3" s="21">
        <f>Underwriting!GX3</f>
        <v>49</v>
      </c>
      <c r="GS3" s="21">
        <f>Underwriting!GY3</f>
        <v>50</v>
      </c>
      <c r="GT3" s="21">
        <f>Underwriting!GZ3</f>
        <v>51</v>
      </c>
      <c r="GU3" s="21">
        <f>Underwriting!HA3</f>
        <v>52</v>
      </c>
      <c r="GV3" s="21">
        <f>Underwriting!HB3</f>
        <v>53</v>
      </c>
      <c r="GW3" s="21">
        <f>Underwriting!HC3</f>
        <v>54</v>
      </c>
      <c r="GX3" s="21">
        <f>Underwriting!HD3</f>
        <v>55</v>
      </c>
      <c r="GY3" s="21">
        <f>Underwriting!HE3</f>
        <v>56</v>
      </c>
      <c r="GZ3" s="21">
        <f>Underwriting!HF3</f>
        <v>57</v>
      </c>
      <c r="HA3" s="21">
        <f>Underwriting!HG3</f>
        <v>58</v>
      </c>
      <c r="HB3" s="21">
        <f>Underwriting!HH3</f>
        <v>59</v>
      </c>
      <c r="HC3" s="21">
        <f>Underwriting!HI3</f>
        <v>60</v>
      </c>
      <c r="HD3" s="21">
        <f>Underwriting!HJ3</f>
        <v>61</v>
      </c>
      <c r="HE3" s="21">
        <f>Underwriting!HK3</f>
        <v>62</v>
      </c>
      <c r="HF3" s="21">
        <f>Underwriting!HL3</f>
        <v>63</v>
      </c>
      <c r="HG3" s="21">
        <f>Underwriting!HM3</f>
        <v>64</v>
      </c>
      <c r="HH3" s="21">
        <f>Underwriting!HN3</f>
        <v>65</v>
      </c>
      <c r="HI3" s="21">
        <f>Underwriting!HO3</f>
        <v>66</v>
      </c>
      <c r="HJ3" s="21">
        <f>Underwriting!HP3</f>
        <v>67</v>
      </c>
      <c r="HK3" s="21">
        <f>Underwriting!HQ3</f>
        <v>68</v>
      </c>
      <c r="HL3" s="21">
        <f>Underwriting!HR3</f>
        <v>69</v>
      </c>
      <c r="HM3" s="21">
        <f>Underwriting!HS3</f>
        <v>70</v>
      </c>
      <c r="HN3" s="21">
        <f>Underwriting!HT3</f>
        <v>71</v>
      </c>
      <c r="HO3" s="21">
        <f>Underwriting!HU3</f>
        <v>72</v>
      </c>
      <c r="HP3" s="21">
        <f>Underwriting!HV3</f>
        <v>73</v>
      </c>
      <c r="HQ3" s="21">
        <f>Underwriting!HW3</f>
        <v>74</v>
      </c>
      <c r="HR3" s="21">
        <f>Underwriting!HX3</f>
        <v>75</v>
      </c>
      <c r="HS3" s="21">
        <f>Underwriting!HY3</f>
        <v>76</v>
      </c>
      <c r="HT3" s="21">
        <f>Underwriting!HZ3</f>
        <v>77</v>
      </c>
      <c r="HU3" s="21">
        <f>Underwriting!IA3</f>
        <v>78</v>
      </c>
      <c r="HV3" s="21">
        <f>Underwriting!IB3</f>
        <v>79</v>
      </c>
      <c r="HW3" s="21">
        <f>Underwriting!IC3</f>
        <v>80</v>
      </c>
      <c r="HX3" s="21">
        <f>Underwriting!ID3</f>
        <v>81</v>
      </c>
      <c r="HY3" s="21">
        <f>Underwriting!IE3</f>
        <v>82</v>
      </c>
      <c r="HZ3" s="21">
        <f>Underwriting!IF3</f>
        <v>83</v>
      </c>
      <c r="IA3" s="21">
        <f>Underwriting!IG3</f>
        <v>84</v>
      </c>
      <c r="IB3" s="21">
        <f>Underwriting!IH3</f>
        <v>85</v>
      </c>
      <c r="IC3" s="21">
        <f>Underwriting!II3</f>
        <v>86</v>
      </c>
      <c r="ID3" s="21">
        <f>Underwriting!IJ3</f>
        <v>87</v>
      </c>
      <c r="IE3" s="21">
        <f>Underwriting!IK3</f>
        <v>88</v>
      </c>
      <c r="IF3" s="21">
        <f>Underwriting!IL3</f>
        <v>89</v>
      </c>
      <c r="IG3" s="21">
        <f>Underwriting!IM3</f>
        <v>90</v>
      </c>
      <c r="IH3" s="21">
        <f>Underwriting!IN3</f>
        <v>91</v>
      </c>
      <c r="II3" s="21">
        <f>Underwriting!IO3</f>
        <v>92</v>
      </c>
      <c r="IJ3" s="21">
        <f>Underwriting!IP3</f>
        <v>93</v>
      </c>
      <c r="IK3" s="21">
        <f>Underwriting!IQ3</f>
        <v>94</v>
      </c>
      <c r="IL3" s="21">
        <f>Underwriting!IR3</f>
        <v>95</v>
      </c>
      <c r="IM3" s="21">
        <f>Underwriting!IS3</f>
        <v>96</v>
      </c>
      <c r="IN3" s="21">
        <f>Underwriting!IT3</f>
        <v>97</v>
      </c>
      <c r="IO3" s="21">
        <f>Underwriting!IU3</f>
        <v>98</v>
      </c>
      <c r="IP3" s="21">
        <f>Underwriting!IV3</f>
        <v>99</v>
      </c>
      <c r="IQ3" s="21">
        <f>Underwriting!IW3</f>
        <v>100</v>
      </c>
      <c r="IR3" s="21">
        <f>Underwriting!IX3</f>
        <v>101</v>
      </c>
      <c r="IS3" s="21">
        <f>Underwriting!IY3</f>
        <v>102</v>
      </c>
      <c r="IT3" s="21">
        <f>Underwriting!IZ3</f>
        <v>103</v>
      </c>
      <c r="IU3" s="21">
        <f>Underwriting!JA3</f>
        <v>104</v>
      </c>
      <c r="IV3" s="21">
        <f>Underwriting!JB3</f>
        <v>105</v>
      </c>
      <c r="IW3" s="21">
        <f>Underwriting!JC3</f>
        <v>106</v>
      </c>
      <c r="IX3" s="21">
        <f>Underwriting!JD3</f>
        <v>107</v>
      </c>
      <c r="IY3" s="21">
        <f>Underwriting!JE3</f>
        <v>108</v>
      </c>
      <c r="IZ3" s="21">
        <f>Underwriting!JF3</f>
        <v>109</v>
      </c>
      <c r="JA3" s="21">
        <f>Underwriting!JG3</f>
        <v>110</v>
      </c>
      <c r="JB3" s="21">
        <f>Underwriting!JH3</f>
        <v>111</v>
      </c>
      <c r="JC3" s="21">
        <f>Underwriting!JI3</f>
        <v>112</v>
      </c>
      <c r="JD3" s="21">
        <f>Underwriting!JJ3</f>
        <v>113</v>
      </c>
      <c r="JE3" s="21">
        <f>Underwriting!JK3</f>
        <v>114</v>
      </c>
      <c r="JF3" s="21">
        <f>Underwriting!JL3</f>
        <v>115</v>
      </c>
      <c r="JG3" s="21">
        <f>Underwriting!JM3</f>
        <v>116</v>
      </c>
      <c r="JH3" s="21">
        <f>Underwriting!JN3</f>
        <v>117</v>
      </c>
      <c r="JI3" s="21">
        <f>Underwriting!JO3</f>
        <v>118</v>
      </c>
      <c r="JJ3" s="21">
        <f>Underwriting!JP3</f>
        <v>119</v>
      </c>
      <c r="JK3" s="21">
        <f>Underwriting!JQ3</f>
        <v>120</v>
      </c>
      <c r="JL3" s="21">
        <f>Underwriting!JR3</f>
        <v>121</v>
      </c>
      <c r="JM3" s="21">
        <f>Underwriting!JS3</f>
        <v>122</v>
      </c>
      <c r="JN3" s="21">
        <f>Underwriting!JT3</f>
        <v>123</v>
      </c>
      <c r="JO3" s="21">
        <f>Underwriting!JU3</f>
        <v>124</v>
      </c>
      <c r="JP3" s="21">
        <f>Underwriting!JV3</f>
        <v>125</v>
      </c>
      <c r="JQ3" s="21">
        <f>Underwriting!JW3</f>
        <v>126</v>
      </c>
      <c r="JR3" s="21">
        <f>Underwriting!JX3</f>
        <v>127</v>
      </c>
      <c r="JS3" s="21">
        <f>Underwriting!JY3</f>
        <v>128</v>
      </c>
      <c r="JT3" s="21">
        <f>Underwriting!JZ3</f>
        <v>129</v>
      </c>
      <c r="JU3" s="21">
        <f>Underwriting!KA3</f>
        <v>130</v>
      </c>
      <c r="JV3" s="21">
        <f>Underwriting!KB3</f>
        <v>131</v>
      </c>
      <c r="JW3" s="21">
        <f>Underwriting!KC3</f>
        <v>132</v>
      </c>
    </row>
    <row r="4" spans="1:283" s="6" customFormat="1" ht="4.9000000000000004" customHeight="1" x14ac:dyDescent="0.2">
      <c r="A4" s="97"/>
      <c r="B4"/>
      <c r="C4"/>
      <c r="D4"/>
      <c r="E4"/>
      <c r="F4"/>
      <c r="G4"/>
      <c r="H4"/>
      <c r="I4"/>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row>
    <row r="5" spans="1:283" s="81" customFormat="1" ht="10.5" customHeight="1" x14ac:dyDescent="0.2">
      <c r="A5" s="98"/>
      <c r="B5" s="36" t="s">
        <v>280</v>
      </c>
      <c r="C5" s="37">
        <f ca="1">Underwriting!C5</f>
        <v>7.1340659260749825E-2</v>
      </c>
      <c r="D5" s="38" t="s">
        <v>284</v>
      </c>
      <c r="E5" s="39">
        <f ca="1">Underwriting!E5</f>
        <v>1.2094826879251515</v>
      </c>
      <c r="F5" s="39"/>
      <c r="G5" s="37"/>
      <c r="H5" s="36" t="str">
        <f>"Retail Income /"&amp;Unit_Type&amp;", Net of Reserves"</f>
        <v>Retail Income /SF, Net of Reserves</v>
      </c>
      <c r="I5" s="143">
        <f>+H35-H45</f>
        <v>17.067343873517785</v>
      </c>
      <c r="J5" s="40"/>
      <c r="K5" s="83">
        <f>Underwriting!Q23</f>
        <v>45688</v>
      </c>
      <c r="L5" s="83">
        <f>Underwriting!R23</f>
        <v>45716</v>
      </c>
      <c r="M5" s="83">
        <f>Underwriting!S23</f>
        <v>45747</v>
      </c>
      <c r="N5" s="83">
        <f>Underwriting!T23</f>
        <v>45777</v>
      </c>
      <c r="O5" s="83">
        <f>Underwriting!U23</f>
        <v>45808</v>
      </c>
      <c r="P5" s="83">
        <f>Underwriting!V23</f>
        <v>45838</v>
      </c>
      <c r="Q5" s="83">
        <f>Underwriting!W23</f>
        <v>45869</v>
      </c>
      <c r="R5" s="83">
        <f>Underwriting!X23</f>
        <v>45900</v>
      </c>
      <c r="S5" s="83">
        <f>Underwriting!Y23</f>
        <v>45930</v>
      </c>
      <c r="T5" s="83">
        <f>Underwriting!Z23</f>
        <v>45961</v>
      </c>
      <c r="U5" s="83">
        <f>Underwriting!AA23</f>
        <v>45991</v>
      </c>
      <c r="V5" s="83">
        <f>Underwriting!AB23</f>
        <v>46022</v>
      </c>
      <c r="W5" s="83">
        <f>Underwriting!AC23</f>
        <v>46053</v>
      </c>
      <c r="X5" s="83">
        <f>Underwriting!AD23</f>
        <v>46081</v>
      </c>
      <c r="Y5" s="83">
        <f>Underwriting!AE23</f>
        <v>46112</v>
      </c>
      <c r="Z5" s="83">
        <f>Underwriting!AF23</f>
        <v>46142</v>
      </c>
      <c r="AA5" s="83">
        <f>Underwriting!AG23</f>
        <v>46173</v>
      </c>
      <c r="AB5" s="83">
        <f>Underwriting!AH23</f>
        <v>46203</v>
      </c>
      <c r="AC5" s="83">
        <f>Underwriting!AI23</f>
        <v>46234</v>
      </c>
      <c r="AD5" s="83">
        <f>Underwriting!AJ23</f>
        <v>46265</v>
      </c>
      <c r="AE5" s="83">
        <f>Underwriting!AK23</f>
        <v>46295</v>
      </c>
      <c r="AF5" s="83">
        <f>Underwriting!AL23</f>
        <v>46326</v>
      </c>
      <c r="AG5" s="83">
        <f>Underwriting!AM23</f>
        <v>46356</v>
      </c>
      <c r="AH5" s="83">
        <f>Underwriting!AN23</f>
        <v>46387</v>
      </c>
      <c r="AI5" s="83">
        <f>Underwriting!AO23</f>
        <v>46418</v>
      </c>
      <c r="AJ5" s="83">
        <f>Underwriting!AP23</f>
        <v>46446</v>
      </c>
      <c r="AK5" s="83">
        <f>Underwriting!AQ23</f>
        <v>46477</v>
      </c>
      <c r="AL5" s="83">
        <f>Underwriting!AR23</f>
        <v>46507</v>
      </c>
      <c r="AM5" s="83">
        <f>Underwriting!AS23</f>
        <v>46538</v>
      </c>
      <c r="AN5" s="83">
        <f>Underwriting!AT23</f>
        <v>46568</v>
      </c>
      <c r="AO5" s="83">
        <f>Underwriting!AU23</f>
        <v>46599</v>
      </c>
      <c r="AP5" s="83">
        <f>Underwriting!AV23</f>
        <v>46630</v>
      </c>
      <c r="AQ5" s="83">
        <f>Underwriting!AW23</f>
        <v>46660</v>
      </c>
      <c r="AR5" s="83">
        <f>Underwriting!AX23</f>
        <v>46691</v>
      </c>
      <c r="AS5" s="83">
        <f>Underwriting!AY23</f>
        <v>46721</v>
      </c>
      <c r="AT5" s="83">
        <f>Underwriting!AZ23</f>
        <v>46752</v>
      </c>
      <c r="AU5" s="83">
        <f>Underwriting!BA23</f>
        <v>46783</v>
      </c>
      <c r="AV5" s="83">
        <f>Underwriting!BB23</f>
        <v>46812</v>
      </c>
      <c r="AW5" s="83">
        <f>Underwriting!BC23</f>
        <v>46843</v>
      </c>
      <c r="AX5" s="83">
        <f>Underwriting!BD23</f>
        <v>46873</v>
      </c>
      <c r="AY5" s="83">
        <f>Underwriting!BE23</f>
        <v>46904</v>
      </c>
      <c r="AZ5" s="83">
        <f>Underwriting!BF23</f>
        <v>46934</v>
      </c>
      <c r="BA5" s="83">
        <f>Underwriting!BG23</f>
        <v>46965</v>
      </c>
      <c r="BB5" s="83">
        <f>Underwriting!BH23</f>
        <v>46996</v>
      </c>
      <c r="BC5" s="83">
        <f>Underwriting!BI23</f>
        <v>47026</v>
      </c>
      <c r="BD5" s="83">
        <f>Underwriting!BJ23</f>
        <v>47057</v>
      </c>
      <c r="BE5" s="83">
        <f>Underwriting!BK23</f>
        <v>47087</v>
      </c>
      <c r="BF5" s="83">
        <f>Underwriting!BL23</f>
        <v>47118</v>
      </c>
      <c r="BG5" s="83">
        <f>Underwriting!BM23</f>
        <v>47149</v>
      </c>
      <c r="BH5" s="83">
        <f>Underwriting!BN23</f>
        <v>47177</v>
      </c>
      <c r="BI5" s="83">
        <f>Underwriting!BO23</f>
        <v>47208</v>
      </c>
      <c r="BJ5" s="83">
        <f>Underwriting!BP23</f>
        <v>47238</v>
      </c>
      <c r="BK5" s="83">
        <f>Underwriting!BQ23</f>
        <v>47269</v>
      </c>
      <c r="BL5" s="83">
        <f>Underwriting!BR23</f>
        <v>47299</v>
      </c>
      <c r="BM5" s="83">
        <f>Underwriting!BS23</f>
        <v>47330</v>
      </c>
      <c r="BN5" s="83">
        <f>Underwriting!BT23</f>
        <v>47361</v>
      </c>
      <c r="BO5" s="83">
        <f>Underwriting!BU23</f>
        <v>47391</v>
      </c>
      <c r="BP5" s="83">
        <f>Underwriting!BV23</f>
        <v>47422</v>
      </c>
      <c r="BQ5" s="83">
        <f>Underwriting!BW23</f>
        <v>47452</v>
      </c>
      <c r="BR5" s="83">
        <f>Underwriting!BX23</f>
        <v>47483</v>
      </c>
      <c r="BS5" s="83">
        <f>Underwriting!BY23</f>
        <v>47514</v>
      </c>
      <c r="BT5" s="83">
        <f>Underwriting!BZ23</f>
        <v>47542</v>
      </c>
      <c r="BU5" s="83">
        <f>Underwriting!CA23</f>
        <v>47573</v>
      </c>
      <c r="BV5" s="83">
        <f>Underwriting!CB23</f>
        <v>47603</v>
      </c>
      <c r="BW5" s="83">
        <f>Underwriting!CC23</f>
        <v>47634</v>
      </c>
      <c r="BX5" s="83">
        <f>Underwriting!CD23</f>
        <v>47664</v>
      </c>
      <c r="BY5" s="83">
        <f>Underwriting!CE23</f>
        <v>47695</v>
      </c>
      <c r="BZ5" s="83">
        <f>Underwriting!CF23</f>
        <v>47726</v>
      </c>
      <c r="CA5" s="83">
        <f>Underwriting!CG23</f>
        <v>47756</v>
      </c>
      <c r="CB5" s="83">
        <f>Underwriting!CH23</f>
        <v>47787</v>
      </c>
      <c r="CC5" s="83">
        <f>Underwriting!CI23</f>
        <v>47817</v>
      </c>
      <c r="CD5" s="83">
        <f>Underwriting!CJ23</f>
        <v>47848</v>
      </c>
      <c r="CE5" s="83">
        <f>Underwriting!CK23</f>
        <v>47879</v>
      </c>
      <c r="CF5" s="83">
        <f>Underwriting!CL23</f>
        <v>47907</v>
      </c>
      <c r="CG5" s="83">
        <f>Underwriting!CM23</f>
        <v>47938</v>
      </c>
      <c r="CH5" s="83">
        <f>Underwriting!CN23</f>
        <v>47968</v>
      </c>
      <c r="CI5" s="83">
        <f>Underwriting!CO23</f>
        <v>47999</v>
      </c>
      <c r="CJ5" s="83">
        <f>Underwriting!CP23</f>
        <v>48029</v>
      </c>
      <c r="CK5" s="83">
        <f>Underwriting!CQ23</f>
        <v>48060</v>
      </c>
      <c r="CL5" s="83">
        <f>Underwriting!CR23</f>
        <v>48091</v>
      </c>
      <c r="CM5" s="83">
        <f>Underwriting!CS23</f>
        <v>48121</v>
      </c>
      <c r="CN5" s="83">
        <f>Underwriting!CT23</f>
        <v>48152</v>
      </c>
      <c r="CO5" s="83">
        <f>Underwriting!CU23</f>
        <v>48182</v>
      </c>
      <c r="CP5" s="83">
        <f>Underwriting!CV23</f>
        <v>48213</v>
      </c>
      <c r="CQ5" s="83">
        <f>Underwriting!CW23</f>
        <v>48244</v>
      </c>
      <c r="CR5" s="83">
        <f>Underwriting!CX23</f>
        <v>48273</v>
      </c>
      <c r="CS5" s="83">
        <f>Underwriting!CY23</f>
        <v>48304</v>
      </c>
      <c r="CT5" s="83">
        <f>Underwriting!CZ23</f>
        <v>48334</v>
      </c>
      <c r="CU5" s="83">
        <f>Underwriting!DA23</f>
        <v>48365</v>
      </c>
      <c r="CV5" s="83">
        <f>Underwriting!DB23</f>
        <v>48395</v>
      </c>
      <c r="CW5" s="83">
        <f>Underwriting!DC23</f>
        <v>48426</v>
      </c>
      <c r="CX5" s="83">
        <f>Underwriting!DD23</f>
        <v>48457</v>
      </c>
      <c r="CY5" s="83">
        <f>Underwriting!DE23</f>
        <v>48487</v>
      </c>
      <c r="CZ5" s="83">
        <f>Underwriting!DF23</f>
        <v>48518</v>
      </c>
      <c r="DA5" s="83">
        <f>Underwriting!DG23</f>
        <v>48548</v>
      </c>
      <c r="DB5" s="83">
        <f>Underwriting!DH23</f>
        <v>48579</v>
      </c>
      <c r="DC5" s="83">
        <f>Underwriting!DI23</f>
        <v>48610</v>
      </c>
      <c r="DD5" s="83">
        <f>Underwriting!DJ23</f>
        <v>48638</v>
      </c>
      <c r="DE5" s="83">
        <f>Underwriting!DK23</f>
        <v>48669</v>
      </c>
      <c r="DF5" s="83">
        <f>Underwriting!DL23</f>
        <v>48699</v>
      </c>
      <c r="DG5" s="83">
        <f>Underwriting!DM23</f>
        <v>48730</v>
      </c>
      <c r="DH5" s="83">
        <f>Underwriting!DN23</f>
        <v>48760</v>
      </c>
      <c r="DI5" s="83">
        <f>Underwriting!DO23</f>
        <v>48791</v>
      </c>
      <c r="DJ5" s="83">
        <f>Underwriting!DP23</f>
        <v>48822</v>
      </c>
      <c r="DK5" s="83">
        <f>Underwriting!DQ23</f>
        <v>48852</v>
      </c>
      <c r="DL5" s="83">
        <f>Underwriting!DR23</f>
        <v>48883</v>
      </c>
      <c r="DM5" s="83">
        <f>Underwriting!DS23</f>
        <v>48913</v>
      </c>
      <c r="DN5" s="83">
        <f>Underwriting!DT23</f>
        <v>48944</v>
      </c>
      <c r="DO5" s="83">
        <f>Underwriting!DU23</f>
        <v>48975</v>
      </c>
      <c r="DP5" s="83">
        <f>Underwriting!DV23</f>
        <v>49003</v>
      </c>
      <c r="DQ5" s="83">
        <f>Underwriting!DW23</f>
        <v>49034</v>
      </c>
      <c r="DR5" s="83">
        <f>Underwriting!DX23</f>
        <v>49064</v>
      </c>
      <c r="DS5" s="83">
        <f>Underwriting!DY23</f>
        <v>49095</v>
      </c>
      <c r="DT5" s="83">
        <f>Underwriting!DZ23</f>
        <v>49125</v>
      </c>
      <c r="DU5" s="83">
        <f>Underwriting!EA23</f>
        <v>49156</v>
      </c>
      <c r="DV5" s="83">
        <f>Underwriting!EB23</f>
        <v>49187</v>
      </c>
      <c r="DW5" s="83">
        <f>Underwriting!EC23</f>
        <v>49217</v>
      </c>
      <c r="DX5" s="83">
        <f>Underwriting!ED23</f>
        <v>49248</v>
      </c>
      <c r="DY5" s="83">
        <f>Underwriting!EE23</f>
        <v>49278</v>
      </c>
      <c r="DZ5" s="83">
        <f>Underwriting!EF23</f>
        <v>49309</v>
      </c>
      <c r="EA5" s="83">
        <f>Underwriting!EG23</f>
        <v>49340</v>
      </c>
      <c r="EB5" s="83">
        <f>Underwriting!EH23</f>
        <v>49368</v>
      </c>
      <c r="EC5" s="83">
        <f>Underwriting!EI23</f>
        <v>49399</v>
      </c>
      <c r="ED5" s="83">
        <f>Underwriting!EJ23</f>
        <v>49429</v>
      </c>
      <c r="EE5" s="83">
        <f>Underwriting!EK23</f>
        <v>49460</v>
      </c>
      <c r="EF5" s="83">
        <f>Underwriting!EL23</f>
        <v>49490</v>
      </c>
      <c r="EG5" s="83">
        <f>Underwriting!EM23</f>
        <v>49521</v>
      </c>
      <c r="EH5" s="83">
        <f>Underwriting!EN23</f>
        <v>49552</v>
      </c>
      <c r="EI5" s="83">
        <f>Underwriting!EO23</f>
        <v>49582</v>
      </c>
      <c r="EJ5" s="83">
        <f>Underwriting!EP23</f>
        <v>49613</v>
      </c>
      <c r="EK5" s="83">
        <f>Underwriting!EQ23</f>
        <v>49643</v>
      </c>
      <c r="EL5" s="83">
        <f>Underwriting!ER23</f>
        <v>49674</v>
      </c>
      <c r="EM5" s="83">
        <f>Underwriting!ES23</f>
        <v>49705</v>
      </c>
      <c r="EO5" s="20"/>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row>
    <row r="6" spans="1:283" s="6" customFormat="1" ht="4.9000000000000004" customHeight="1" x14ac:dyDescent="0.2">
      <c r="A6" s="97"/>
      <c r="B6"/>
      <c r="C6"/>
      <c r="D6"/>
      <c r="E6"/>
      <c r="F6"/>
      <c r="G6"/>
      <c r="H6"/>
      <c r="I6"/>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c r="IH6" s="20"/>
      <c r="II6" s="20"/>
      <c r="IJ6" s="20"/>
      <c r="IK6" s="20"/>
      <c r="IL6" s="20"/>
      <c r="IM6" s="20"/>
      <c r="IN6" s="20"/>
      <c r="IO6" s="20"/>
      <c r="IP6" s="20"/>
      <c r="IQ6" s="20"/>
      <c r="IR6" s="20"/>
      <c r="IS6" s="20"/>
      <c r="IT6" s="20"/>
      <c r="IU6" s="20"/>
      <c r="IV6" s="20"/>
      <c r="IW6" s="20"/>
      <c r="IX6" s="20"/>
      <c r="IY6" s="20"/>
      <c r="IZ6" s="20"/>
      <c r="JA6" s="20"/>
      <c r="JB6" s="20"/>
      <c r="JC6" s="20"/>
      <c r="JD6" s="20"/>
      <c r="JE6" s="20"/>
      <c r="JF6" s="20"/>
      <c r="JG6" s="20"/>
      <c r="JH6" s="20"/>
      <c r="JI6" s="20"/>
      <c r="JJ6" s="20"/>
      <c r="JK6" s="20"/>
      <c r="JL6" s="20"/>
      <c r="JM6" s="20"/>
      <c r="JN6" s="20"/>
      <c r="JO6" s="20"/>
      <c r="JP6" s="20"/>
      <c r="JQ6" s="20"/>
      <c r="JR6" s="20"/>
      <c r="JS6" s="20"/>
      <c r="JT6" s="20"/>
      <c r="JU6" s="20"/>
      <c r="JV6" s="20"/>
      <c r="JW6" s="20"/>
    </row>
    <row r="7" spans="1:283" ht="5.0999999999999996" customHeight="1" x14ac:dyDescent="0.2">
      <c r="B7" s="26"/>
      <c r="C7" s="26"/>
      <c r="D7" s="26"/>
      <c r="E7" s="26"/>
      <c r="F7" s="26"/>
      <c r="G7" s="26"/>
      <c r="H7" s="26"/>
      <c r="I7" s="26"/>
      <c r="EO7" s="20"/>
      <c r="EP7" s="86"/>
      <c r="EQ7" s="86"/>
      <c r="ER7" s="86"/>
      <c r="ES7" s="86"/>
      <c r="ET7" s="86"/>
      <c r="EU7" s="86"/>
      <c r="EV7" s="86"/>
      <c r="EW7" s="86"/>
      <c r="EX7" s="86"/>
      <c r="EY7" s="86"/>
      <c r="EZ7" s="86"/>
      <c r="FA7" s="86"/>
      <c r="FB7" s="86"/>
      <c r="FC7" s="86"/>
      <c r="FD7" s="86"/>
      <c r="FE7" s="86"/>
      <c r="FF7" s="86"/>
      <c r="FG7" s="86"/>
      <c r="FH7" s="86"/>
      <c r="FI7" s="86"/>
      <c r="FJ7" s="86"/>
      <c r="FK7" s="86"/>
      <c r="FL7" s="86"/>
      <c r="FM7" s="86"/>
      <c r="FN7" s="86"/>
      <c r="FO7" s="86"/>
      <c r="FP7" s="86"/>
      <c r="FQ7" s="86"/>
      <c r="FR7" s="86"/>
      <c r="FS7" s="86"/>
      <c r="FT7" s="86"/>
      <c r="FU7" s="86"/>
      <c r="FV7" s="86"/>
      <c r="FW7" s="86"/>
      <c r="FX7" s="86"/>
      <c r="FY7" s="86"/>
      <c r="FZ7" s="86"/>
      <c r="GA7" s="86"/>
      <c r="GB7" s="86"/>
      <c r="GC7" s="86"/>
      <c r="GD7" s="86"/>
      <c r="GE7" s="86"/>
      <c r="GF7" s="86"/>
      <c r="GG7" s="86"/>
      <c r="GH7" s="86"/>
      <c r="GI7" s="86"/>
      <c r="GJ7" s="86"/>
      <c r="GK7" s="86"/>
      <c r="GL7" s="86"/>
      <c r="GM7" s="86"/>
      <c r="GN7" s="86"/>
      <c r="GO7" s="86"/>
      <c r="GP7" s="86"/>
      <c r="GQ7" s="86"/>
      <c r="GR7" s="86"/>
      <c r="GS7" s="86"/>
      <c r="GT7" s="86"/>
      <c r="GU7" s="86"/>
      <c r="GV7" s="86"/>
      <c r="GW7" s="86"/>
      <c r="GX7" s="86"/>
      <c r="GY7" s="86"/>
      <c r="GZ7" s="86"/>
      <c r="HA7" s="86"/>
      <c r="HB7" s="86"/>
      <c r="HC7" s="86"/>
      <c r="HD7" s="86"/>
      <c r="HE7" s="86"/>
      <c r="HF7" s="86"/>
      <c r="HG7" s="86"/>
      <c r="HH7" s="86"/>
      <c r="HI7" s="86"/>
      <c r="HJ7" s="86"/>
      <c r="HK7" s="86"/>
      <c r="HL7" s="86"/>
      <c r="HM7" s="86"/>
      <c r="HN7" s="86"/>
      <c r="HO7" s="86"/>
      <c r="HP7" s="86"/>
      <c r="HQ7" s="86"/>
      <c r="HR7" s="86"/>
      <c r="HS7" s="86"/>
      <c r="HT7" s="86"/>
      <c r="HU7" s="86"/>
      <c r="HV7" s="86"/>
      <c r="HW7" s="86"/>
      <c r="HX7" s="86"/>
      <c r="HY7" s="86"/>
      <c r="HZ7" s="86"/>
      <c r="IA7" s="86"/>
      <c r="IB7" s="86"/>
      <c r="IC7" s="86"/>
      <c r="ID7" s="86"/>
      <c r="IE7" s="86"/>
      <c r="IF7" s="86"/>
      <c r="IG7" s="86"/>
      <c r="IH7" s="86"/>
      <c r="II7" s="86"/>
      <c r="IJ7" s="86"/>
      <c r="IK7" s="86"/>
      <c r="IL7" s="86"/>
      <c r="IM7" s="86"/>
      <c r="IN7" s="86"/>
      <c r="IO7" s="86"/>
      <c r="IP7" s="86"/>
      <c r="IQ7" s="86"/>
      <c r="IR7" s="86"/>
      <c r="IS7" s="86"/>
      <c r="IT7" s="86"/>
      <c r="IU7" s="86"/>
      <c r="IV7" s="86"/>
      <c r="IW7" s="86"/>
      <c r="IX7" s="86"/>
      <c r="IY7" s="86"/>
      <c r="IZ7" s="86"/>
      <c r="JA7" s="86"/>
      <c r="JB7" s="86"/>
      <c r="JC7" s="86"/>
      <c r="JD7" s="86"/>
      <c r="JE7" s="86"/>
      <c r="JF7" s="86"/>
      <c r="JG7" s="86"/>
      <c r="JH7" s="86"/>
      <c r="JI7" s="86"/>
      <c r="JJ7" s="86"/>
      <c r="JK7" s="86"/>
      <c r="JL7" s="86"/>
      <c r="JM7" s="86"/>
      <c r="JN7" s="86"/>
      <c r="JO7" s="86"/>
      <c r="JP7" s="86"/>
      <c r="JQ7" s="86"/>
      <c r="JR7" s="86"/>
      <c r="JS7" s="86"/>
      <c r="JT7" s="86"/>
      <c r="JU7" s="86"/>
      <c r="JV7" s="86"/>
      <c r="JW7" s="86"/>
    </row>
    <row r="8" spans="1:283" x14ac:dyDescent="0.2">
      <c r="B8" s="2" t="s">
        <v>292</v>
      </c>
      <c r="C8" s="1"/>
      <c r="D8" s="1"/>
      <c r="E8" s="1"/>
      <c r="F8" s="1"/>
      <c r="G8" s="1"/>
      <c r="H8" s="1"/>
      <c r="I8" s="1"/>
      <c r="EO8" s="20"/>
      <c r="EP8" s="86"/>
      <c r="EQ8" s="86"/>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86"/>
      <c r="FX8" s="86"/>
      <c r="FY8" s="86"/>
      <c r="FZ8" s="86"/>
      <c r="GA8" s="86"/>
      <c r="GB8" s="86"/>
      <c r="GC8" s="86"/>
      <c r="GD8" s="86"/>
      <c r="GE8" s="86"/>
      <c r="GF8" s="86"/>
      <c r="GG8" s="86"/>
      <c r="GH8" s="86"/>
      <c r="GI8" s="86"/>
      <c r="GJ8" s="86"/>
      <c r="GK8" s="86"/>
      <c r="GL8" s="86"/>
      <c r="GM8" s="86"/>
      <c r="GN8" s="86"/>
      <c r="GO8" s="86"/>
      <c r="GP8" s="86"/>
      <c r="GQ8" s="86"/>
      <c r="GR8" s="86"/>
      <c r="GS8" s="86"/>
      <c r="GT8" s="86"/>
      <c r="GU8" s="86"/>
      <c r="GV8" s="86"/>
      <c r="GW8" s="86"/>
      <c r="GX8" s="86"/>
      <c r="GY8" s="86"/>
      <c r="GZ8" s="86"/>
      <c r="HA8" s="86"/>
      <c r="HB8" s="86"/>
      <c r="HC8" s="86"/>
      <c r="HD8" s="86"/>
      <c r="HE8" s="86"/>
      <c r="HF8" s="86"/>
      <c r="HG8" s="86"/>
      <c r="HH8" s="86"/>
      <c r="HI8" s="86"/>
      <c r="HJ8" s="86"/>
      <c r="HK8" s="86"/>
      <c r="HL8" s="86"/>
      <c r="HM8" s="86"/>
      <c r="HN8" s="86"/>
      <c r="HO8" s="86"/>
      <c r="HP8" s="86"/>
      <c r="HQ8" s="86"/>
      <c r="HR8" s="86"/>
      <c r="HS8" s="86"/>
      <c r="HT8" s="86"/>
      <c r="HU8" s="86"/>
      <c r="HV8" s="86"/>
      <c r="HW8" s="86"/>
      <c r="HX8" s="86"/>
      <c r="HY8" s="86"/>
      <c r="HZ8" s="86"/>
      <c r="IA8" s="86"/>
      <c r="IB8" s="86"/>
      <c r="IC8" s="86"/>
      <c r="ID8" s="86"/>
      <c r="IE8" s="86"/>
      <c r="IF8" s="86"/>
      <c r="IG8" s="86"/>
      <c r="IH8" s="86"/>
      <c r="II8" s="86"/>
      <c r="IJ8" s="86"/>
      <c r="IK8" s="86"/>
      <c r="IL8" s="86"/>
      <c r="IM8" s="86"/>
      <c r="IN8" s="86"/>
      <c r="IO8" s="86"/>
      <c r="IP8" s="86"/>
      <c r="IQ8" s="86"/>
      <c r="IR8" s="86"/>
      <c r="IS8" s="86"/>
      <c r="IT8" s="86"/>
      <c r="IU8" s="86"/>
      <c r="IV8" s="86"/>
      <c r="IW8" s="86"/>
      <c r="IX8" s="86"/>
      <c r="IY8" s="86"/>
      <c r="IZ8" s="86"/>
      <c r="JA8" s="86"/>
      <c r="JB8" s="86"/>
      <c r="JC8" s="86"/>
      <c r="JD8" s="86"/>
      <c r="JE8" s="86"/>
      <c r="JF8" s="86"/>
      <c r="JG8" s="86"/>
      <c r="JH8" s="86"/>
      <c r="JI8" s="86"/>
      <c r="JJ8" s="86"/>
      <c r="JK8" s="86"/>
      <c r="JL8" s="86"/>
      <c r="JM8" s="86"/>
      <c r="JN8" s="86"/>
      <c r="JO8" s="86"/>
      <c r="JP8" s="86"/>
      <c r="JQ8" s="86"/>
      <c r="JR8" s="86"/>
      <c r="JS8" s="86"/>
      <c r="JT8" s="86"/>
      <c r="JU8" s="86"/>
      <c r="JV8" s="86"/>
      <c r="JW8" s="86"/>
    </row>
    <row r="9" spans="1:283" x14ac:dyDescent="0.2">
      <c r="B9" s="10" t="s">
        <v>293</v>
      </c>
      <c r="C9" s="9"/>
      <c r="D9" s="9"/>
      <c r="E9" s="9"/>
      <c r="F9" s="9"/>
      <c r="G9" s="9"/>
      <c r="H9" s="9"/>
      <c r="I9" s="9"/>
      <c r="K9" s="33" t="s">
        <v>312</v>
      </c>
      <c r="L9" s="33">
        <f t="shared" ref="L9:AQ9" si="0">EV15/Units_Retail</f>
        <v>0</v>
      </c>
      <c r="M9" s="33">
        <f t="shared" si="0"/>
        <v>0</v>
      </c>
      <c r="N9" s="33">
        <f t="shared" si="0"/>
        <v>0</v>
      </c>
      <c r="O9" s="33">
        <f t="shared" si="0"/>
        <v>0</v>
      </c>
      <c r="P9" s="33">
        <f t="shared" si="0"/>
        <v>0</v>
      </c>
      <c r="Q9" s="33">
        <f t="shared" si="0"/>
        <v>0</v>
      </c>
      <c r="R9" s="33">
        <f t="shared" si="0"/>
        <v>0</v>
      </c>
      <c r="S9" s="33">
        <f t="shared" si="0"/>
        <v>0</v>
      </c>
      <c r="T9" s="33">
        <f t="shared" si="0"/>
        <v>0</v>
      </c>
      <c r="U9" s="33">
        <f t="shared" si="0"/>
        <v>0</v>
      </c>
      <c r="V9" s="33">
        <f t="shared" si="0"/>
        <v>0</v>
      </c>
      <c r="W9" s="33">
        <f t="shared" si="0"/>
        <v>0.2608695652173913</v>
      </c>
      <c r="X9" s="33">
        <f t="shared" si="0"/>
        <v>0.2608695652173913</v>
      </c>
      <c r="Y9" s="33">
        <f t="shared" si="0"/>
        <v>0.2608695652173913</v>
      </c>
      <c r="Z9" s="33">
        <f t="shared" si="0"/>
        <v>0.56521739130434778</v>
      </c>
      <c r="AA9" s="33">
        <f t="shared" si="0"/>
        <v>0.56521739130434778</v>
      </c>
      <c r="AB9" s="33">
        <f t="shared" si="0"/>
        <v>0.56521739130434778</v>
      </c>
      <c r="AC9" s="33">
        <f t="shared" si="0"/>
        <v>0.56521739130434778</v>
      </c>
      <c r="AD9" s="33">
        <f t="shared" si="0"/>
        <v>0.56521739130434778</v>
      </c>
      <c r="AE9" s="33">
        <f t="shared" si="0"/>
        <v>0.56521739130434778</v>
      </c>
      <c r="AF9" s="33">
        <f t="shared" si="0"/>
        <v>0.56521739130434778</v>
      </c>
      <c r="AG9" s="33">
        <f t="shared" si="0"/>
        <v>0.56521739130434778</v>
      </c>
      <c r="AH9" s="33">
        <f t="shared" si="0"/>
        <v>0.56521739130434778</v>
      </c>
      <c r="AI9" s="33">
        <f t="shared" si="0"/>
        <v>0.56521739130434778</v>
      </c>
      <c r="AJ9" s="33">
        <f t="shared" si="0"/>
        <v>1</v>
      </c>
      <c r="AK9" s="33">
        <f t="shared" si="0"/>
        <v>1</v>
      </c>
      <c r="AL9" s="33">
        <f t="shared" si="0"/>
        <v>1</v>
      </c>
      <c r="AM9" s="33">
        <f t="shared" si="0"/>
        <v>1</v>
      </c>
      <c r="AN9" s="33">
        <f t="shared" si="0"/>
        <v>1</v>
      </c>
      <c r="AO9" s="33">
        <f t="shared" si="0"/>
        <v>1</v>
      </c>
      <c r="AP9" s="33">
        <f t="shared" si="0"/>
        <v>1</v>
      </c>
      <c r="AQ9" s="33">
        <f t="shared" si="0"/>
        <v>1</v>
      </c>
      <c r="AR9" s="33">
        <f t="shared" ref="AR9:BW9" si="1">GB15/Units_Retail</f>
        <v>1</v>
      </c>
      <c r="AS9" s="33">
        <f t="shared" si="1"/>
        <v>1</v>
      </c>
      <c r="AT9" s="33">
        <f t="shared" si="1"/>
        <v>1</v>
      </c>
      <c r="AU9" s="33">
        <f t="shared" si="1"/>
        <v>1</v>
      </c>
      <c r="AV9" s="33">
        <f t="shared" si="1"/>
        <v>1</v>
      </c>
      <c r="AW9" s="33">
        <f t="shared" si="1"/>
        <v>1</v>
      </c>
      <c r="AX9" s="33">
        <f t="shared" si="1"/>
        <v>1</v>
      </c>
      <c r="AY9" s="33">
        <f t="shared" si="1"/>
        <v>1</v>
      </c>
      <c r="AZ9" s="33">
        <f t="shared" si="1"/>
        <v>1</v>
      </c>
      <c r="BA9" s="33">
        <f t="shared" si="1"/>
        <v>1</v>
      </c>
      <c r="BB9" s="33">
        <f t="shared" si="1"/>
        <v>1</v>
      </c>
      <c r="BC9" s="33">
        <f t="shared" si="1"/>
        <v>1</v>
      </c>
      <c r="BD9" s="33">
        <f t="shared" si="1"/>
        <v>1</v>
      </c>
      <c r="BE9" s="33">
        <f t="shared" si="1"/>
        <v>1</v>
      </c>
      <c r="BF9" s="33">
        <f t="shared" si="1"/>
        <v>1</v>
      </c>
      <c r="BG9" s="33">
        <f t="shared" si="1"/>
        <v>1</v>
      </c>
      <c r="BH9" s="33">
        <f t="shared" si="1"/>
        <v>1</v>
      </c>
      <c r="BI9" s="33">
        <f t="shared" si="1"/>
        <v>1</v>
      </c>
      <c r="BJ9" s="33">
        <f t="shared" si="1"/>
        <v>1</v>
      </c>
      <c r="BK9" s="33">
        <f t="shared" si="1"/>
        <v>1</v>
      </c>
      <c r="BL9" s="33">
        <f t="shared" si="1"/>
        <v>1</v>
      </c>
      <c r="BM9" s="33">
        <f t="shared" si="1"/>
        <v>1</v>
      </c>
      <c r="BN9" s="33">
        <f t="shared" si="1"/>
        <v>1</v>
      </c>
      <c r="BO9" s="33">
        <f t="shared" si="1"/>
        <v>1</v>
      </c>
      <c r="BP9" s="33">
        <f t="shared" si="1"/>
        <v>1</v>
      </c>
      <c r="BQ9" s="33">
        <f t="shared" si="1"/>
        <v>1</v>
      </c>
      <c r="BR9" s="33">
        <f t="shared" si="1"/>
        <v>1</v>
      </c>
      <c r="BS9" s="33">
        <f t="shared" si="1"/>
        <v>1</v>
      </c>
      <c r="BT9" s="33">
        <f t="shared" si="1"/>
        <v>1</v>
      </c>
      <c r="BU9" s="33">
        <f t="shared" si="1"/>
        <v>1</v>
      </c>
      <c r="BV9" s="33">
        <f t="shared" si="1"/>
        <v>1</v>
      </c>
      <c r="BW9" s="33">
        <f t="shared" si="1"/>
        <v>1</v>
      </c>
      <c r="BX9" s="33">
        <f t="shared" ref="BX9:DC9" si="2">HH15/Units_Retail</f>
        <v>1</v>
      </c>
      <c r="BY9" s="33">
        <f t="shared" si="2"/>
        <v>1</v>
      </c>
      <c r="BZ9" s="33">
        <f t="shared" si="2"/>
        <v>1</v>
      </c>
      <c r="CA9" s="33">
        <f t="shared" si="2"/>
        <v>1</v>
      </c>
      <c r="CB9" s="33">
        <f t="shared" si="2"/>
        <v>1</v>
      </c>
      <c r="CC9" s="33">
        <f t="shared" si="2"/>
        <v>1</v>
      </c>
      <c r="CD9" s="33">
        <f t="shared" si="2"/>
        <v>1</v>
      </c>
      <c r="CE9" s="33">
        <f t="shared" si="2"/>
        <v>1</v>
      </c>
      <c r="CF9" s="33">
        <f t="shared" si="2"/>
        <v>1</v>
      </c>
      <c r="CG9" s="33">
        <f t="shared" si="2"/>
        <v>1</v>
      </c>
      <c r="CH9" s="33">
        <f t="shared" si="2"/>
        <v>1</v>
      </c>
      <c r="CI9" s="33">
        <f t="shared" si="2"/>
        <v>1</v>
      </c>
      <c r="CJ9" s="33">
        <f t="shared" si="2"/>
        <v>1</v>
      </c>
      <c r="CK9" s="33">
        <f t="shared" si="2"/>
        <v>1</v>
      </c>
      <c r="CL9" s="33">
        <f t="shared" si="2"/>
        <v>1</v>
      </c>
      <c r="CM9" s="33">
        <f t="shared" si="2"/>
        <v>1</v>
      </c>
      <c r="CN9" s="33">
        <f t="shared" si="2"/>
        <v>1</v>
      </c>
      <c r="CO9" s="33">
        <f t="shared" si="2"/>
        <v>1</v>
      </c>
      <c r="CP9" s="33">
        <f t="shared" si="2"/>
        <v>1</v>
      </c>
      <c r="CQ9" s="33">
        <f t="shared" si="2"/>
        <v>1</v>
      </c>
      <c r="CR9" s="33">
        <f t="shared" si="2"/>
        <v>1</v>
      </c>
      <c r="CS9" s="33">
        <f t="shared" si="2"/>
        <v>1</v>
      </c>
      <c r="CT9" s="33">
        <f t="shared" si="2"/>
        <v>1</v>
      </c>
      <c r="CU9" s="33">
        <f t="shared" si="2"/>
        <v>1</v>
      </c>
      <c r="CV9" s="33">
        <f t="shared" si="2"/>
        <v>1</v>
      </c>
      <c r="CW9" s="33">
        <f t="shared" si="2"/>
        <v>1</v>
      </c>
      <c r="CX9" s="33">
        <f t="shared" si="2"/>
        <v>1</v>
      </c>
      <c r="CY9" s="33">
        <f t="shared" si="2"/>
        <v>1</v>
      </c>
      <c r="CZ9" s="33">
        <f t="shared" si="2"/>
        <v>1</v>
      </c>
      <c r="DA9" s="33">
        <f t="shared" si="2"/>
        <v>1</v>
      </c>
      <c r="DB9" s="33">
        <f t="shared" si="2"/>
        <v>1</v>
      </c>
      <c r="DC9" s="33">
        <f t="shared" si="2"/>
        <v>1</v>
      </c>
      <c r="DD9" s="33">
        <f t="shared" ref="DD9:EI9" si="3">IN15/Units_Retail</f>
        <v>1</v>
      </c>
      <c r="DE9" s="33">
        <f t="shared" si="3"/>
        <v>1</v>
      </c>
      <c r="DF9" s="33">
        <f t="shared" si="3"/>
        <v>1</v>
      </c>
      <c r="DG9" s="33">
        <f t="shared" si="3"/>
        <v>1</v>
      </c>
      <c r="DH9" s="33">
        <f t="shared" si="3"/>
        <v>1</v>
      </c>
      <c r="DI9" s="33">
        <f t="shared" si="3"/>
        <v>1</v>
      </c>
      <c r="DJ9" s="33">
        <f t="shared" si="3"/>
        <v>1</v>
      </c>
      <c r="DK9" s="33">
        <f t="shared" si="3"/>
        <v>1</v>
      </c>
      <c r="DL9" s="33">
        <f t="shared" si="3"/>
        <v>1</v>
      </c>
      <c r="DM9" s="33">
        <f t="shared" si="3"/>
        <v>1</v>
      </c>
      <c r="DN9" s="33">
        <f t="shared" si="3"/>
        <v>1</v>
      </c>
      <c r="DO9" s="33">
        <f t="shared" si="3"/>
        <v>1</v>
      </c>
      <c r="DP9" s="33">
        <f t="shared" si="3"/>
        <v>1</v>
      </c>
      <c r="DQ9" s="33">
        <f t="shared" si="3"/>
        <v>1</v>
      </c>
      <c r="DR9" s="33">
        <f t="shared" si="3"/>
        <v>1</v>
      </c>
      <c r="DS9" s="33">
        <f t="shared" si="3"/>
        <v>1</v>
      </c>
      <c r="DT9" s="33">
        <f t="shared" si="3"/>
        <v>1</v>
      </c>
      <c r="DU9" s="33">
        <f t="shared" si="3"/>
        <v>1</v>
      </c>
      <c r="DV9" s="33">
        <f t="shared" si="3"/>
        <v>1</v>
      </c>
      <c r="DW9" s="33">
        <f t="shared" si="3"/>
        <v>1</v>
      </c>
      <c r="DX9" s="33">
        <f t="shared" si="3"/>
        <v>1</v>
      </c>
      <c r="DY9" s="33">
        <f t="shared" si="3"/>
        <v>1</v>
      </c>
      <c r="DZ9" s="33">
        <f t="shared" si="3"/>
        <v>1</v>
      </c>
      <c r="EA9" s="33">
        <f t="shared" si="3"/>
        <v>1</v>
      </c>
      <c r="EB9" s="33">
        <f t="shared" si="3"/>
        <v>1</v>
      </c>
      <c r="EC9" s="33">
        <f t="shared" si="3"/>
        <v>1</v>
      </c>
      <c r="ED9" s="33">
        <f t="shared" si="3"/>
        <v>1</v>
      </c>
      <c r="EE9" s="33">
        <f t="shared" si="3"/>
        <v>1</v>
      </c>
      <c r="EF9" s="33">
        <f t="shared" si="3"/>
        <v>1</v>
      </c>
      <c r="EG9" s="33">
        <f t="shared" si="3"/>
        <v>1</v>
      </c>
      <c r="EH9" s="33">
        <f t="shared" si="3"/>
        <v>1</v>
      </c>
      <c r="EI9" s="33">
        <f t="shared" si="3"/>
        <v>1</v>
      </c>
      <c r="EJ9" s="33">
        <f>JT15/Units_Retail</f>
        <v>1</v>
      </c>
      <c r="EK9" s="33">
        <f>JU15/Units_Retail</f>
        <v>1</v>
      </c>
      <c r="EL9" s="33">
        <f>JV15/Units_Retail</f>
        <v>1</v>
      </c>
      <c r="EM9" s="33">
        <f>JW15/Units_Retail</f>
        <v>1</v>
      </c>
      <c r="EN9" s="33"/>
      <c r="EO9" s="20"/>
      <c r="EP9" s="30"/>
      <c r="EQ9" s="30"/>
      <c r="ER9" s="30"/>
      <c r="ES9" s="30"/>
      <c r="ET9" s="30"/>
      <c r="EU9" s="30"/>
      <c r="EV9" s="30"/>
      <c r="EW9" s="30"/>
      <c r="EX9" s="30"/>
      <c r="EY9" s="30"/>
      <c r="EZ9" s="30"/>
      <c r="FA9" s="30"/>
      <c r="FB9" s="30"/>
      <c r="FC9" s="30"/>
      <c r="FD9" s="30"/>
      <c r="FE9" s="30"/>
      <c r="FF9" s="30"/>
      <c r="FG9" s="30"/>
      <c r="FH9" s="30"/>
      <c r="FI9" s="30"/>
      <c r="FJ9" s="30"/>
      <c r="FK9" s="30"/>
      <c r="FL9" s="30"/>
      <c r="FM9" s="30"/>
      <c r="FN9" s="30"/>
      <c r="FO9" s="30"/>
      <c r="FP9" s="30"/>
      <c r="FQ9" s="30"/>
      <c r="FR9" s="30"/>
      <c r="FS9" s="30"/>
      <c r="FT9" s="30"/>
      <c r="FU9" s="30"/>
      <c r="FV9" s="30"/>
      <c r="FW9" s="30"/>
      <c r="FX9" s="30"/>
      <c r="FY9" s="30"/>
      <c r="FZ9" s="30"/>
      <c r="GA9" s="30"/>
      <c r="GB9" s="30"/>
      <c r="GC9" s="30"/>
      <c r="GD9" s="30"/>
      <c r="GE9" s="30"/>
      <c r="GF9" s="30"/>
      <c r="GG9" s="30"/>
      <c r="GH9" s="30"/>
      <c r="GI9" s="30"/>
      <c r="GJ9" s="30"/>
      <c r="GK9" s="30"/>
      <c r="GL9" s="30"/>
      <c r="GM9" s="30"/>
      <c r="GN9" s="30"/>
      <c r="GO9" s="30"/>
      <c r="GP9" s="30"/>
      <c r="GQ9" s="30"/>
      <c r="GR9" s="30"/>
      <c r="GS9" s="30"/>
      <c r="GT9" s="30"/>
      <c r="GU9" s="30"/>
      <c r="GV9" s="30"/>
      <c r="GW9" s="30"/>
      <c r="GX9" s="30"/>
      <c r="GY9" s="30"/>
      <c r="GZ9" s="30"/>
      <c r="HA9" s="30"/>
      <c r="HB9" s="30"/>
      <c r="HC9" s="30"/>
      <c r="HD9" s="30"/>
      <c r="HE9" s="30"/>
      <c r="HF9" s="30"/>
      <c r="HG9" s="30"/>
      <c r="HH9" s="30"/>
      <c r="HI9" s="30"/>
      <c r="HJ9" s="30"/>
      <c r="HK9" s="30"/>
      <c r="HL9" s="30"/>
      <c r="HM9" s="30"/>
      <c r="HN9" s="30"/>
      <c r="HO9" s="30"/>
      <c r="HP9" s="30"/>
      <c r="HQ9" s="30"/>
      <c r="HR9" s="30"/>
      <c r="HS9" s="30"/>
      <c r="HT9" s="30"/>
      <c r="HU9" s="30"/>
      <c r="HV9" s="30"/>
      <c r="HW9" s="30"/>
      <c r="HX9" s="30"/>
      <c r="HY9" s="30"/>
      <c r="HZ9" s="30"/>
      <c r="IA9" s="30"/>
      <c r="IB9" s="30"/>
      <c r="IC9" s="30"/>
      <c r="ID9" s="30"/>
      <c r="IE9" s="30"/>
      <c r="IF9" s="30"/>
      <c r="IG9" s="30"/>
      <c r="IH9" s="30"/>
      <c r="II9" s="30"/>
      <c r="IJ9" s="30"/>
      <c r="IK9" s="30"/>
      <c r="IL9" s="30"/>
      <c r="IM9" s="30"/>
      <c r="IN9" s="30"/>
      <c r="IO9" s="30"/>
      <c r="IP9" s="30"/>
      <c r="IQ9" s="30"/>
      <c r="IR9" s="30"/>
      <c r="IS9" s="30"/>
      <c r="IT9" s="30"/>
      <c r="IU9" s="30"/>
      <c r="IV9" s="30"/>
      <c r="IW9" s="30"/>
      <c r="IX9" s="30"/>
      <c r="IY9" s="30"/>
      <c r="IZ9" s="30"/>
      <c r="JA9" s="30"/>
      <c r="JB9" s="30"/>
      <c r="JC9" s="30"/>
      <c r="JD9" s="30"/>
      <c r="JE9" s="30"/>
      <c r="JF9" s="30"/>
      <c r="JG9" s="30"/>
      <c r="JH9" s="30"/>
      <c r="JI9" s="30"/>
      <c r="JJ9" s="30"/>
      <c r="JK9" s="30"/>
      <c r="JL9" s="30"/>
      <c r="JM9" s="30"/>
      <c r="JN9" s="30"/>
      <c r="JO9" s="30"/>
      <c r="JP9" s="30"/>
      <c r="JQ9" s="30"/>
      <c r="JR9" s="30"/>
      <c r="JS9" s="30"/>
      <c r="JT9" s="30"/>
      <c r="JU9" s="30"/>
      <c r="JV9" s="30"/>
      <c r="JW9" s="30"/>
    </row>
    <row r="10" spans="1:283" x14ac:dyDescent="0.2">
      <c r="B10" s="43" t="s">
        <v>311</v>
      </c>
      <c r="C10" s="41"/>
      <c r="D10" s="41"/>
      <c r="E10" s="41"/>
      <c r="F10" s="41"/>
      <c r="G10" s="41"/>
      <c r="H10" s="41"/>
      <c r="I10" s="100">
        <f>COUNTA(I12:I14)</f>
        <v>3</v>
      </c>
      <c r="K10" s="33" t="s">
        <v>314</v>
      </c>
      <c r="L10" s="7">
        <f t="shared" ref="L10:AQ10" si="4">MAX(L3-MIN($F$15,$E$21)+1,0)</f>
        <v>0</v>
      </c>
      <c r="M10" s="7">
        <f t="shared" si="4"/>
        <v>0</v>
      </c>
      <c r="N10" s="7">
        <f t="shared" si="4"/>
        <v>0</v>
      </c>
      <c r="O10" s="7">
        <f t="shared" si="4"/>
        <v>0</v>
      </c>
      <c r="P10" s="7">
        <f t="shared" si="4"/>
        <v>0</v>
      </c>
      <c r="Q10" s="7">
        <f t="shared" si="4"/>
        <v>0</v>
      </c>
      <c r="R10" s="7">
        <f t="shared" si="4"/>
        <v>0</v>
      </c>
      <c r="S10" s="7">
        <f t="shared" si="4"/>
        <v>0</v>
      </c>
      <c r="T10" s="7">
        <f t="shared" si="4"/>
        <v>0</v>
      </c>
      <c r="U10" s="7">
        <f t="shared" si="4"/>
        <v>0</v>
      </c>
      <c r="V10" s="7">
        <f t="shared" si="4"/>
        <v>0</v>
      </c>
      <c r="W10" s="7">
        <f t="shared" si="4"/>
        <v>1</v>
      </c>
      <c r="X10" s="7">
        <f t="shared" si="4"/>
        <v>2</v>
      </c>
      <c r="Y10" s="7">
        <f t="shared" si="4"/>
        <v>3</v>
      </c>
      <c r="Z10" s="7">
        <f t="shared" si="4"/>
        <v>4</v>
      </c>
      <c r="AA10" s="7">
        <f t="shared" si="4"/>
        <v>5</v>
      </c>
      <c r="AB10" s="7">
        <f t="shared" si="4"/>
        <v>6</v>
      </c>
      <c r="AC10" s="7">
        <f t="shared" si="4"/>
        <v>7</v>
      </c>
      <c r="AD10" s="7">
        <f t="shared" si="4"/>
        <v>8</v>
      </c>
      <c r="AE10" s="7">
        <f t="shared" si="4"/>
        <v>9</v>
      </c>
      <c r="AF10" s="7">
        <f t="shared" si="4"/>
        <v>10</v>
      </c>
      <c r="AG10" s="7">
        <f t="shared" si="4"/>
        <v>11</v>
      </c>
      <c r="AH10" s="7">
        <f t="shared" si="4"/>
        <v>12</v>
      </c>
      <c r="AI10" s="7">
        <f t="shared" si="4"/>
        <v>13</v>
      </c>
      <c r="AJ10" s="7">
        <f t="shared" si="4"/>
        <v>14</v>
      </c>
      <c r="AK10" s="7">
        <f t="shared" si="4"/>
        <v>15</v>
      </c>
      <c r="AL10" s="7">
        <f t="shared" si="4"/>
        <v>16</v>
      </c>
      <c r="AM10" s="7">
        <f t="shared" si="4"/>
        <v>17</v>
      </c>
      <c r="AN10" s="7">
        <f t="shared" si="4"/>
        <v>18</v>
      </c>
      <c r="AO10" s="7">
        <f t="shared" si="4"/>
        <v>19</v>
      </c>
      <c r="AP10" s="7">
        <f t="shared" si="4"/>
        <v>20</v>
      </c>
      <c r="AQ10" s="7">
        <f t="shared" si="4"/>
        <v>21</v>
      </c>
      <c r="AR10" s="7">
        <f t="shared" ref="AR10:BW10" si="5">MAX(AR3-MIN($F$15,$E$21)+1,0)</f>
        <v>22</v>
      </c>
      <c r="AS10" s="7">
        <f t="shared" si="5"/>
        <v>23</v>
      </c>
      <c r="AT10" s="7">
        <f t="shared" si="5"/>
        <v>24</v>
      </c>
      <c r="AU10" s="7">
        <f t="shared" si="5"/>
        <v>25</v>
      </c>
      <c r="AV10" s="7">
        <f t="shared" si="5"/>
        <v>26</v>
      </c>
      <c r="AW10" s="7">
        <f t="shared" si="5"/>
        <v>27</v>
      </c>
      <c r="AX10" s="7">
        <f t="shared" si="5"/>
        <v>28</v>
      </c>
      <c r="AY10" s="7">
        <f t="shared" si="5"/>
        <v>29</v>
      </c>
      <c r="AZ10" s="7">
        <f t="shared" si="5"/>
        <v>30</v>
      </c>
      <c r="BA10" s="7">
        <f t="shared" si="5"/>
        <v>31</v>
      </c>
      <c r="BB10" s="7">
        <f t="shared" si="5"/>
        <v>32</v>
      </c>
      <c r="BC10" s="7">
        <f t="shared" si="5"/>
        <v>33</v>
      </c>
      <c r="BD10" s="7">
        <f t="shared" si="5"/>
        <v>34</v>
      </c>
      <c r="BE10" s="7">
        <f t="shared" si="5"/>
        <v>35</v>
      </c>
      <c r="BF10" s="7">
        <f t="shared" si="5"/>
        <v>36</v>
      </c>
      <c r="BG10" s="7">
        <f t="shared" si="5"/>
        <v>37</v>
      </c>
      <c r="BH10" s="7">
        <f t="shared" si="5"/>
        <v>38</v>
      </c>
      <c r="BI10" s="7">
        <f t="shared" si="5"/>
        <v>39</v>
      </c>
      <c r="BJ10" s="7">
        <f t="shared" si="5"/>
        <v>40</v>
      </c>
      <c r="BK10" s="7">
        <f t="shared" si="5"/>
        <v>41</v>
      </c>
      <c r="BL10" s="7">
        <f t="shared" si="5"/>
        <v>42</v>
      </c>
      <c r="BM10" s="7">
        <f t="shared" si="5"/>
        <v>43</v>
      </c>
      <c r="BN10" s="7">
        <f t="shared" si="5"/>
        <v>44</v>
      </c>
      <c r="BO10" s="7">
        <f t="shared" si="5"/>
        <v>45</v>
      </c>
      <c r="BP10" s="7">
        <f t="shared" si="5"/>
        <v>46</v>
      </c>
      <c r="BQ10" s="7">
        <f t="shared" si="5"/>
        <v>47</v>
      </c>
      <c r="BR10" s="7">
        <f t="shared" si="5"/>
        <v>48</v>
      </c>
      <c r="BS10" s="7">
        <f t="shared" si="5"/>
        <v>49</v>
      </c>
      <c r="BT10" s="7">
        <f t="shared" si="5"/>
        <v>50</v>
      </c>
      <c r="BU10" s="7">
        <f t="shared" si="5"/>
        <v>51</v>
      </c>
      <c r="BV10" s="7">
        <f t="shared" si="5"/>
        <v>52</v>
      </c>
      <c r="BW10" s="7">
        <f t="shared" si="5"/>
        <v>53</v>
      </c>
      <c r="BX10" s="7">
        <f t="shared" ref="BX10:DC10" si="6">MAX(BX3-MIN($F$15,$E$21)+1,0)</f>
        <v>54</v>
      </c>
      <c r="BY10" s="7">
        <f t="shared" si="6"/>
        <v>55</v>
      </c>
      <c r="BZ10" s="7">
        <f t="shared" si="6"/>
        <v>56</v>
      </c>
      <c r="CA10" s="7">
        <f t="shared" si="6"/>
        <v>57</v>
      </c>
      <c r="CB10" s="7">
        <f t="shared" si="6"/>
        <v>58</v>
      </c>
      <c r="CC10" s="7">
        <f t="shared" si="6"/>
        <v>59</v>
      </c>
      <c r="CD10" s="7">
        <f t="shared" si="6"/>
        <v>60</v>
      </c>
      <c r="CE10" s="7">
        <f t="shared" si="6"/>
        <v>61</v>
      </c>
      <c r="CF10" s="7">
        <f t="shared" si="6"/>
        <v>62</v>
      </c>
      <c r="CG10" s="7">
        <f t="shared" si="6"/>
        <v>63</v>
      </c>
      <c r="CH10" s="7">
        <f t="shared" si="6"/>
        <v>64</v>
      </c>
      <c r="CI10" s="7">
        <f t="shared" si="6"/>
        <v>65</v>
      </c>
      <c r="CJ10" s="7">
        <f t="shared" si="6"/>
        <v>66</v>
      </c>
      <c r="CK10" s="7">
        <f t="shared" si="6"/>
        <v>67</v>
      </c>
      <c r="CL10" s="7">
        <f t="shared" si="6"/>
        <v>68</v>
      </c>
      <c r="CM10" s="7">
        <f t="shared" si="6"/>
        <v>69</v>
      </c>
      <c r="CN10" s="7">
        <f t="shared" si="6"/>
        <v>70</v>
      </c>
      <c r="CO10" s="7">
        <f t="shared" si="6"/>
        <v>71</v>
      </c>
      <c r="CP10" s="7">
        <f t="shared" si="6"/>
        <v>72</v>
      </c>
      <c r="CQ10" s="7">
        <f t="shared" si="6"/>
        <v>73</v>
      </c>
      <c r="CR10" s="7">
        <f t="shared" si="6"/>
        <v>74</v>
      </c>
      <c r="CS10" s="7">
        <f t="shared" si="6"/>
        <v>75</v>
      </c>
      <c r="CT10" s="7">
        <f t="shared" si="6"/>
        <v>76</v>
      </c>
      <c r="CU10" s="7">
        <f t="shared" si="6"/>
        <v>77</v>
      </c>
      <c r="CV10" s="7">
        <f t="shared" si="6"/>
        <v>78</v>
      </c>
      <c r="CW10" s="7">
        <f t="shared" si="6"/>
        <v>79</v>
      </c>
      <c r="CX10" s="7">
        <f t="shared" si="6"/>
        <v>80</v>
      </c>
      <c r="CY10" s="7">
        <f t="shared" si="6"/>
        <v>81</v>
      </c>
      <c r="CZ10" s="7">
        <f t="shared" si="6"/>
        <v>82</v>
      </c>
      <c r="DA10" s="7">
        <f t="shared" si="6"/>
        <v>83</v>
      </c>
      <c r="DB10" s="7">
        <f t="shared" si="6"/>
        <v>84</v>
      </c>
      <c r="DC10" s="7">
        <f t="shared" si="6"/>
        <v>85</v>
      </c>
      <c r="DD10" s="7">
        <f t="shared" ref="DD10:EM10" si="7">MAX(DD3-MIN($F$15,$E$21)+1,0)</f>
        <v>86</v>
      </c>
      <c r="DE10" s="7">
        <f t="shared" si="7"/>
        <v>87</v>
      </c>
      <c r="DF10" s="7">
        <f t="shared" si="7"/>
        <v>88</v>
      </c>
      <c r="DG10" s="7">
        <f t="shared" si="7"/>
        <v>89</v>
      </c>
      <c r="DH10" s="7">
        <f t="shared" si="7"/>
        <v>90</v>
      </c>
      <c r="DI10" s="7">
        <f t="shared" si="7"/>
        <v>91</v>
      </c>
      <c r="DJ10" s="7">
        <f t="shared" si="7"/>
        <v>92</v>
      </c>
      <c r="DK10" s="7">
        <f t="shared" si="7"/>
        <v>93</v>
      </c>
      <c r="DL10" s="7">
        <f t="shared" si="7"/>
        <v>94</v>
      </c>
      <c r="DM10" s="7">
        <f t="shared" si="7"/>
        <v>95</v>
      </c>
      <c r="DN10" s="7">
        <f t="shared" si="7"/>
        <v>96</v>
      </c>
      <c r="DO10" s="7">
        <f t="shared" si="7"/>
        <v>97</v>
      </c>
      <c r="DP10" s="7">
        <f t="shared" si="7"/>
        <v>98</v>
      </c>
      <c r="DQ10" s="7">
        <f t="shared" si="7"/>
        <v>99</v>
      </c>
      <c r="DR10" s="7">
        <f t="shared" si="7"/>
        <v>100</v>
      </c>
      <c r="DS10" s="7">
        <f t="shared" si="7"/>
        <v>101</v>
      </c>
      <c r="DT10" s="7">
        <f t="shared" si="7"/>
        <v>102</v>
      </c>
      <c r="DU10" s="7">
        <f t="shared" si="7"/>
        <v>103</v>
      </c>
      <c r="DV10" s="7">
        <f t="shared" si="7"/>
        <v>104</v>
      </c>
      <c r="DW10" s="7">
        <f t="shared" si="7"/>
        <v>105</v>
      </c>
      <c r="DX10" s="7">
        <f t="shared" si="7"/>
        <v>106</v>
      </c>
      <c r="DY10" s="7">
        <f t="shared" si="7"/>
        <v>107</v>
      </c>
      <c r="DZ10" s="7">
        <f t="shared" si="7"/>
        <v>108</v>
      </c>
      <c r="EA10" s="7">
        <f t="shared" si="7"/>
        <v>109</v>
      </c>
      <c r="EB10" s="7">
        <f t="shared" si="7"/>
        <v>110</v>
      </c>
      <c r="EC10" s="7">
        <f t="shared" si="7"/>
        <v>111</v>
      </c>
      <c r="ED10" s="7">
        <f t="shared" si="7"/>
        <v>112</v>
      </c>
      <c r="EE10" s="7">
        <f t="shared" si="7"/>
        <v>113</v>
      </c>
      <c r="EF10" s="7">
        <f t="shared" si="7"/>
        <v>114</v>
      </c>
      <c r="EG10" s="7">
        <f t="shared" si="7"/>
        <v>115</v>
      </c>
      <c r="EH10" s="7">
        <f t="shared" si="7"/>
        <v>116</v>
      </c>
      <c r="EI10" s="7">
        <f t="shared" si="7"/>
        <v>117</v>
      </c>
      <c r="EJ10" s="7">
        <f t="shared" si="7"/>
        <v>118</v>
      </c>
      <c r="EK10" s="7">
        <f t="shared" si="7"/>
        <v>119</v>
      </c>
      <c r="EL10" s="7">
        <f t="shared" si="7"/>
        <v>120</v>
      </c>
      <c r="EM10" s="7">
        <f t="shared" si="7"/>
        <v>121</v>
      </c>
      <c r="EO10" s="20"/>
      <c r="EP10" s="86"/>
      <c r="EQ10" s="86"/>
      <c r="ER10" s="86"/>
      <c r="ES10" s="86"/>
      <c r="ET10" s="86"/>
      <c r="EU10" s="86"/>
      <c r="EV10" s="86"/>
      <c r="EW10" s="86"/>
      <c r="EX10" s="86"/>
      <c r="EY10" s="86"/>
      <c r="EZ10" s="86"/>
      <c r="FA10" s="86"/>
      <c r="FB10" s="86"/>
      <c r="FC10" s="86"/>
      <c r="FD10" s="86"/>
      <c r="FE10" s="86"/>
      <c r="FF10" s="86"/>
      <c r="FG10" s="86"/>
      <c r="FH10" s="86"/>
      <c r="FI10" s="86"/>
      <c r="FJ10" s="86"/>
      <c r="FK10" s="86"/>
      <c r="FL10" s="86"/>
      <c r="FM10" s="86"/>
      <c r="FN10" s="86"/>
      <c r="FO10" s="86"/>
      <c r="FP10" s="86"/>
      <c r="FQ10" s="86"/>
      <c r="FR10" s="86"/>
      <c r="FS10" s="86"/>
      <c r="FT10" s="86"/>
      <c r="FU10" s="86"/>
      <c r="FV10" s="86"/>
      <c r="FW10" s="86"/>
      <c r="FX10" s="86"/>
      <c r="FY10" s="86"/>
      <c r="FZ10" s="86"/>
      <c r="GA10" s="86"/>
      <c r="GB10" s="86"/>
      <c r="GC10" s="86"/>
      <c r="GD10" s="86"/>
      <c r="GE10" s="86"/>
      <c r="GF10" s="86"/>
      <c r="GG10" s="86"/>
      <c r="GH10" s="86"/>
      <c r="GI10" s="86"/>
      <c r="GJ10" s="86"/>
      <c r="GK10" s="86"/>
      <c r="GL10" s="86"/>
      <c r="GM10" s="86"/>
      <c r="GN10" s="86"/>
      <c r="GO10" s="86"/>
      <c r="GP10" s="86"/>
      <c r="GQ10" s="86"/>
      <c r="GR10" s="86"/>
      <c r="GS10" s="86"/>
      <c r="GT10" s="86"/>
      <c r="GU10" s="86"/>
      <c r="GV10" s="86"/>
      <c r="GW10" s="86"/>
      <c r="GX10" s="86"/>
      <c r="GY10" s="86"/>
      <c r="GZ10" s="86"/>
      <c r="HA10" s="86"/>
      <c r="HB10" s="86"/>
      <c r="HC10" s="86"/>
      <c r="HD10" s="86"/>
      <c r="HE10" s="86"/>
      <c r="HF10" s="86"/>
      <c r="HG10" s="86"/>
      <c r="HH10" s="86"/>
      <c r="HI10" s="86"/>
      <c r="HJ10" s="86"/>
      <c r="HK10" s="86"/>
      <c r="HL10" s="86"/>
      <c r="HM10" s="86"/>
      <c r="HN10" s="86"/>
      <c r="HO10" s="86"/>
      <c r="HP10" s="86"/>
      <c r="HQ10" s="86"/>
      <c r="HR10" s="86"/>
      <c r="HS10" s="86"/>
      <c r="HT10" s="86"/>
      <c r="HU10" s="86"/>
      <c r="HV10" s="86"/>
      <c r="HW10" s="86"/>
      <c r="HX10" s="86"/>
      <c r="HY10" s="86"/>
      <c r="HZ10" s="86"/>
      <c r="IA10" s="86"/>
      <c r="IB10" s="86"/>
      <c r="IC10" s="86"/>
      <c r="ID10" s="86"/>
      <c r="IE10" s="86"/>
      <c r="IF10" s="86"/>
      <c r="IG10" s="86"/>
      <c r="IH10" s="86"/>
      <c r="II10" s="86"/>
      <c r="IJ10" s="86"/>
      <c r="IK10" s="86"/>
      <c r="IL10" s="86"/>
      <c r="IM10" s="86"/>
      <c r="IN10" s="86"/>
      <c r="IO10" s="86"/>
      <c r="IP10" s="86"/>
      <c r="IQ10" s="86"/>
      <c r="IR10" s="86"/>
      <c r="IS10" s="86"/>
      <c r="IT10" s="86"/>
      <c r="IU10" s="86"/>
      <c r="IV10" s="86"/>
      <c r="IW10" s="86"/>
      <c r="IX10" s="86"/>
      <c r="IY10" s="86"/>
      <c r="IZ10" s="86"/>
      <c r="JA10" s="86"/>
      <c r="JB10" s="86"/>
      <c r="JC10" s="86"/>
      <c r="JD10" s="86"/>
      <c r="JE10" s="86"/>
      <c r="JF10" s="86"/>
      <c r="JG10" s="86"/>
      <c r="JH10" s="86"/>
      <c r="JI10" s="86"/>
      <c r="JJ10" s="86"/>
      <c r="JK10" s="86"/>
      <c r="JL10" s="86"/>
      <c r="JM10" s="86"/>
      <c r="JN10" s="86"/>
      <c r="JO10" s="86"/>
      <c r="JP10" s="86"/>
      <c r="JQ10" s="86"/>
      <c r="JR10" s="86"/>
      <c r="JS10" s="86"/>
      <c r="JT10" s="86"/>
      <c r="JU10" s="86"/>
      <c r="JV10" s="86"/>
      <c r="JW10" s="86"/>
    </row>
    <row r="11" spans="1:283" x14ac:dyDescent="0.2">
      <c r="B11" s="91" t="s">
        <v>296</v>
      </c>
      <c r="C11" s="44" t="s">
        <v>302</v>
      </c>
      <c r="D11" s="44" t="s">
        <v>297</v>
      </c>
      <c r="E11" s="44" t="str">
        <f>Unit_Type</f>
        <v>SF</v>
      </c>
      <c r="F11" s="91" t="s">
        <v>298</v>
      </c>
      <c r="G11" s="91" t="s">
        <v>299</v>
      </c>
      <c r="H11" s="101" t="str">
        <f>"RENT/"&amp;Unit_Type&amp;"/YR"</f>
        <v>RENT/SF/YR</v>
      </c>
      <c r="I11" s="91" t="s">
        <v>301</v>
      </c>
      <c r="K11" s="12"/>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EO11" s="20" t="s">
        <v>315</v>
      </c>
      <c r="EP11" s="86"/>
      <c r="EQ11" s="23" t="s">
        <v>305</v>
      </c>
      <c r="ER11" s="23" t="s">
        <v>297</v>
      </c>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86"/>
      <c r="FX11" s="86"/>
      <c r="FY11" s="86"/>
      <c r="FZ11" s="86"/>
      <c r="GA11" s="86"/>
      <c r="GB11" s="86"/>
      <c r="GC11" s="86"/>
      <c r="GD11" s="86"/>
      <c r="GE11" s="86"/>
      <c r="GF11" s="86"/>
      <c r="GG11" s="86"/>
      <c r="GH11" s="86"/>
      <c r="GI11" s="86"/>
      <c r="GJ11" s="86"/>
      <c r="GK11" s="86"/>
      <c r="GL11" s="86"/>
      <c r="GM11" s="86"/>
      <c r="GN11" s="86"/>
      <c r="GO11" s="86"/>
      <c r="GP11" s="86"/>
      <c r="GQ11" s="86"/>
      <c r="GR11" s="86"/>
      <c r="GS11" s="86"/>
      <c r="GT11" s="86"/>
      <c r="GU11" s="86"/>
      <c r="GV11" s="86"/>
      <c r="GW11" s="86"/>
      <c r="GX11" s="86"/>
      <c r="GY11" s="86"/>
      <c r="GZ11" s="86"/>
      <c r="HA11" s="86"/>
      <c r="HB11" s="86"/>
      <c r="HC11" s="86"/>
      <c r="HD11" s="86"/>
      <c r="HE11" s="86"/>
      <c r="HF11" s="86"/>
      <c r="HG11" s="86"/>
      <c r="HH11" s="86"/>
      <c r="HI11" s="86"/>
      <c r="HJ11" s="86"/>
      <c r="HK11" s="86"/>
      <c r="HL11" s="86"/>
      <c r="HM11" s="86"/>
      <c r="HN11" s="86"/>
      <c r="HO11" s="86"/>
      <c r="HP11" s="86"/>
      <c r="HQ11" s="86"/>
      <c r="HR11" s="86"/>
      <c r="HS11" s="86"/>
      <c r="HT11" s="86"/>
      <c r="HU11" s="86"/>
      <c r="HV11" s="86"/>
      <c r="HW11" s="86"/>
      <c r="HX11" s="86"/>
      <c r="HY11" s="86"/>
      <c r="HZ11" s="86"/>
      <c r="IA11" s="86"/>
      <c r="IB11" s="86"/>
      <c r="IC11" s="86"/>
      <c r="ID11" s="86"/>
      <c r="IE11" s="86"/>
      <c r="IF11" s="86"/>
      <c r="IG11" s="86"/>
      <c r="IH11" s="86"/>
      <c r="II11" s="86"/>
      <c r="IJ11" s="86"/>
      <c r="IK11" s="86"/>
      <c r="IL11" s="86"/>
      <c r="IM11" s="86"/>
      <c r="IN11" s="86"/>
      <c r="IO11" s="86"/>
      <c r="IP11" s="86"/>
      <c r="IQ11" s="86"/>
      <c r="IR11" s="86"/>
      <c r="IS11" s="86"/>
      <c r="IT11" s="86"/>
      <c r="IU11" s="86"/>
      <c r="IV11" s="86"/>
      <c r="IW11" s="86"/>
      <c r="IX11" s="86"/>
      <c r="IY11" s="86"/>
      <c r="IZ11" s="86"/>
      <c r="JA11" s="86"/>
      <c r="JB11" s="86"/>
      <c r="JC11" s="86"/>
      <c r="JD11" s="86"/>
      <c r="JE11" s="86"/>
      <c r="JF11" s="86"/>
      <c r="JG11" s="86"/>
      <c r="JH11" s="86"/>
      <c r="JI11" s="86"/>
      <c r="JJ11" s="86"/>
      <c r="JK11" s="86"/>
      <c r="JL11" s="86"/>
      <c r="JM11" s="86"/>
      <c r="JN11" s="86"/>
      <c r="JO11" s="86"/>
      <c r="JP11" s="86"/>
      <c r="JQ11" s="86"/>
      <c r="JR11" s="86"/>
      <c r="JS11" s="86"/>
      <c r="JT11" s="86"/>
      <c r="JU11" s="86"/>
      <c r="JV11" s="86"/>
      <c r="JW11" s="86"/>
    </row>
    <row r="12" spans="1:283" x14ac:dyDescent="0.2">
      <c r="B12" s="59">
        <v>100</v>
      </c>
      <c r="C12" s="59" t="s">
        <v>303</v>
      </c>
      <c r="D12" s="58">
        <f>Timing_Operation_Begin_Month</f>
        <v>12</v>
      </c>
      <c r="E12" s="52">
        <v>1500</v>
      </c>
      <c r="F12" s="58">
        <f>E18+3</f>
        <v>15</v>
      </c>
      <c r="G12" s="56">
        <v>0.03</v>
      </c>
      <c r="H12" s="102">
        <v>25</v>
      </c>
      <c r="I12" s="61">
        <f>H12*E12</f>
        <v>37500</v>
      </c>
      <c r="K12" s="24"/>
      <c r="L12" s="24">
        <f t="shared" ref="L12:U14" si="8">($F12&lt;=L$3)*($I12/12)*(1+$G12)^(ROUNDUP(MAX(L$3-$F12+1,0)/12,0)-1)</f>
        <v>0</v>
      </c>
      <c r="M12" s="24">
        <f t="shared" si="8"/>
        <v>0</v>
      </c>
      <c r="N12" s="24">
        <f t="shared" si="8"/>
        <v>0</v>
      </c>
      <c r="O12" s="24">
        <f t="shared" si="8"/>
        <v>0</v>
      </c>
      <c r="P12" s="24">
        <f t="shared" si="8"/>
        <v>0</v>
      </c>
      <c r="Q12" s="24">
        <f t="shared" si="8"/>
        <v>0</v>
      </c>
      <c r="R12" s="24">
        <f t="shared" si="8"/>
        <v>0</v>
      </c>
      <c r="S12" s="24">
        <f t="shared" si="8"/>
        <v>0</v>
      </c>
      <c r="T12" s="24">
        <f t="shared" si="8"/>
        <v>0</v>
      </c>
      <c r="U12" s="24">
        <f t="shared" si="8"/>
        <v>0</v>
      </c>
      <c r="V12" s="24">
        <f t="shared" ref="V12:AE14" si="9">($F12&lt;=V$3)*($I12/12)*(1+$G12)^(ROUNDUP(MAX(V$3-$F12+1,0)/12,0)-1)</f>
        <v>0</v>
      </c>
      <c r="W12" s="24">
        <f t="shared" si="9"/>
        <v>0</v>
      </c>
      <c r="X12" s="24">
        <f t="shared" si="9"/>
        <v>0</v>
      </c>
      <c r="Y12" s="24">
        <f t="shared" si="9"/>
        <v>0</v>
      </c>
      <c r="Z12" s="24">
        <f t="shared" si="9"/>
        <v>3125</v>
      </c>
      <c r="AA12" s="24">
        <f t="shared" si="9"/>
        <v>3125</v>
      </c>
      <c r="AB12" s="24">
        <f t="shared" si="9"/>
        <v>3125</v>
      </c>
      <c r="AC12" s="24">
        <f t="shared" si="9"/>
        <v>3125</v>
      </c>
      <c r="AD12" s="24">
        <f t="shared" si="9"/>
        <v>3125</v>
      </c>
      <c r="AE12" s="24">
        <f t="shared" si="9"/>
        <v>3125</v>
      </c>
      <c r="AF12" s="24">
        <f t="shared" ref="AF12:AO14" si="10">($F12&lt;=AF$3)*($I12/12)*(1+$G12)^(ROUNDUP(MAX(AF$3-$F12+1,0)/12,0)-1)</f>
        <v>3125</v>
      </c>
      <c r="AG12" s="24">
        <f t="shared" si="10"/>
        <v>3125</v>
      </c>
      <c r="AH12" s="24">
        <f t="shared" si="10"/>
        <v>3125</v>
      </c>
      <c r="AI12" s="24">
        <f t="shared" si="10"/>
        <v>3125</v>
      </c>
      <c r="AJ12" s="24">
        <f t="shared" si="10"/>
        <v>3125</v>
      </c>
      <c r="AK12" s="24">
        <f t="shared" si="10"/>
        <v>3125</v>
      </c>
      <c r="AL12" s="24">
        <f t="shared" si="10"/>
        <v>3218.75</v>
      </c>
      <c r="AM12" s="24">
        <f t="shared" si="10"/>
        <v>3218.75</v>
      </c>
      <c r="AN12" s="24">
        <f t="shared" si="10"/>
        <v>3218.75</v>
      </c>
      <c r="AO12" s="24">
        <f t="shared" si="10"/>
        <v>3218.75</v>
      </c>
      <c r="AP12" s="24">
        <f t="shared" ref="AP12:AY14" si="11">($F12&lt;=AP$3)*($I12/12)*(1+$G12)^(ROUNDUP(MAX(AP$3-$F12+1,0)/12,0)-1)</f>
        <v>3218.75</v>
      </c>
      <c r="AQ12" s="24">
        <f t="shared" si="11"/>
        <v>3218.75</v>
      </c>
      <c r="AR12" s="24">
        <f t="shared" si="11"/>
        <v>3218.75</v>
      </c>
      <c r="AS12" s="24">
        <f t="shared" si="11"/>
        <v>3218.75</v>
      </c>
      <c r="AT12" s="24">
        <f t="shared" si="11"/>
        <v>3218.75</v>
      </c>
      <c r="AU12" s="24">
        <f t="shared" si="11"/>
        <v>3218.75</v>
      </c>
      <c r="AV12" s="24">
        <f t="shared" si="11"/>
        <v>3218.75</v>
      </c>
      <c r="AW12" s="24">
        <f t="shared" si="11"/>
        <v>3218.75</v>
      </c>
      <c r="AX12" s="24">
        <f t="shared" si="11"/>
        <v>3315.3125</v>
      </c>
      <c r="AY12" s="24">
        <f t="shared" si="11"/>
        <v>3315.3125</v>
      </c>
      <c r="AZ12" s="24">
        <f t="shared" ref="AZ12:BI14" si="12">($F12&lt;=AZ$3)*($I12/12)*(1+$G12)^(ROUNDUP(MAX(AZ$3-$F12+1,0)/12,0)-1)</f>
        <v>3315.3125</v>
      </c>
      <c r="BA12" s="24">
        <f t="shared" si="12"/>
        <v>3315.3125</v>
      </c>
      <c r="BB12" s="24">
        <f t="shared" si="12"/>
        <v>3315.3125</v>
      </c>
      <c r="BC12" s="24">
        <f t="shared" si="12"/>
        <v>3315.3125</v>
      </c>
      <c r="BD12" s="24">
        <f t="shared" si="12"/>
        <v>3315.3125</v>
      </c>
      <c r="BE12" s="24">
        <f t="shared" si="12"/>
        <v>3315.3125</v>
      </c>
      <c r="BF12" s="24">
        <f t="shared" si="12"/>
        <v>3315.3125</v>
      </c>
      <c r="BG12" s="24">
        <f t="shared" si="12"/>
        <v>3315.3125</v>
      </c>
      <c r="BH12" s="24">
        <f t="shared" si="12"/>
        <v>3315.3125</v>
      </c>
      <c r="BI12" s="24">
        <f t="shared" si="12"/>
        <v>3315.3125</v>
      </c>
      <c r="BJ12" s="24">
        <f t="shared" ref="BJ12:BS14" si="13">($F12&lt;=BJ$3)*($I12/12)*(1+$G12)^(ROUNDUP(MAX(BJ$3-$F12+1,0)/12,0)-1)</f>
        <v>3414.7718749999999</v>
      </c>
      <c r="BK12" s="24">
        <f t="shared" si="13"/>
        <v>3414.7718749999999</v>
      </c>
      <c r="BL12" s="24">
        <f t="shared" si="13"/>
        <v>3414.7718749999999</v>
      </c>
      <c r="BM12" s="24">
        <f t="shared" si="13"/>
        <v>3414.7718749999999</v>
      </c>
      <c r="BN12" s="24">
        <f t="shared" si="13"/>
        <v>3414.7718749999999</v>
      </c>
      <c r="BO12" s="24">
        <f t="shared" si="13"/>
        <v>3414.7718749999999</v>
      </c>
      <c r="BP12" s="24">
        <f t="shared" si="13"/>
        <v>3414.7718749999999</v>
      </c>
      <c r="BQ12" s="24">
        <f t="shared" si="13"/>
        <v>3414.7718749999999</v>
      </c>
      <c r="BR12" s="24">
        <f t="shared" si="13"/>
        <v>3414.7718749999999</v>
      </c>
      <c r="BS12" s="24">
        <f t="shared" si="13"/>
        <v>3414.7718749999999</v>
      </c>
      <c r="BT12" s="24">
        <f t="shared" ref="BT12:CC14" si="14">($F12&lt;=BT$3)*($I12/12)*(1+$G12)^(ROUNDUP(MAX(BT$3-$F12+1,0)/12,0)-1)</f>
        <v>3414.7718749999999</v>
      </c>
      <c r="BU12" s="24">
        <f t="shared" si="14"/>
        <v>3414.7718749999999</v>
      </c>
      <c r="BV12" s="24">
        <f t="shared" si="14"/>
        <v>3517.2150312499998</v>
      </c>
      <c r="BW12" s="24">
        <f t="shared" si="14"/>
        <v>3517.2150312499998</v>
      </c>
      <c r="BX12" s="24">
        <f t="shared" si="14"/>
        <v>3517.2150312499998</v>
      </c>
      <c r="BY12" s="24">
        <f t="shared" si="14"/>
        <v>3517.2150312499998</v>
      </c>
      <c r="BZ12" s="24">
        <f t="shared" si="14"/>
        <v>3517.2150312499998</v>
      </c>
      <c r="CA12" s="24">
        <f t="shared" si="14"/>
        <v>3517.2150312499998</v>
      </c>
      <c r="CB12" s="24">
        <f t="shared" si="14"/>
        <v>3517.2150312499998</v>
      </c>
      <c r="CC12" s="24">
        <f t="shared" si="14"/>
        <v>3517.2150312499998</v>
      </c>
      <c r="CD12" s="24">
        <f t="shared" ref="CD12:CM14" si="15">($F12&lt;=CD$3)*($I12/12)*(1+$G12)^(ROUNDUP(MAX(CD$3-$F12+1,0)/12,0)-1)</f>
        <v>3517.2150312499998</v>
      </c>
      <c r="CE12" s="24">
        <f t="shared" si="15"/>
        <v>3517.2150312499998</v>
      </c>
      <c r="CF12" s="24">
        <f t="shared" si="15"/>
        <v>3517.2150312499998</v>
      </c>
      <c r="CG12" s="24">
        <f t="shared" si="15"/>
        <v>3517.2150312499998</v>
      </c>
      <c r="CH12" s="24">
        <f t="shared" si="15"/>
        <v>3622.7314821874993</v>
      </c>
      <c r="CI12" s="24">
        <f t="shared" si="15"/>
        <v>3622.7314821874993</v>
      </c>
      <c r="CJ12" s="24">
        <f t="shared" si="15"/>
        <v>3622.7314821874993</v>
      </c>
      <c r="CK12" s="24">
        <f t="shared" si="15"/>
        <v>3622.7314821874993</v>
      </c>
      <c r="CL12" s="24">
        <f t="shared" si="15"/>
        <v>3622.7314821874993</v>
      </c>
      <c r="CM12" s="24">
        <f t="shared" si="15"/>
        <v>3622.7314821874993</v>
      </c>
      <c r="CN12" s="24">
        <f t="shared" ref="CN12:CW14" si="16">($F12&lt;=CN$3)*($I12/12)*(1+$G12)^(ROUNDUP(MAX(CN$3-$F12+1,0)/12,0)-1)</f>
        <v>3622.7314821874993</v>
      </c>
      <c r="CO12" s="24">
        <f t="shared" si="16"/>
        <v>3622.7314821874993</v>
      </c>
      <c r="CP12" s="24">
        <f t="shared" si="16"/>
        <v>3622.7314821874993</v>
      </c>
      <c r="CQ12" s="24">
        <f t="shared" si="16"/>
        <v>3622.7314821874993</v>
      </c>
      <c r="CR12" s="24">
        <f t="shared" si="16"/>
        <v>3622.7314821874993</v>
      </c>
      <c r="CS12" s="24">
        <f t="shared" si="16"/>
        <v>3622.7314821874993</v>
      </c>
      <c r="CT12" s="24">
        <f t="shared" si="16"/>
        <v>3731.4134266531246</v>
      </c>
      <c r="CU12" s="24">
        <f t="shared" si="16"/>
        <v>3731.4134266531246</v>
      </c>
      <c r="CV12" s="24">
        <f t="shared" si="16"/>
        <v>3731.4134266531246</v>
      </c>
      <c r="CW12" s="24">
        <f t="shared" si="16"/>
        <v>3731.4134266531246</v>
      </c>
      <c r="CX12" s="24">
        <f t="shared" ref="CX12:DG14" si="17">($F12&lt;=CX$3)*($I12/12)*(1+$G12)^(ROUNDUP(MAX(CX$3-$F12+1,0)/12,0)-1)</f>
        <v>3731.4134266531246</v>
      </c>
      <c r="CY12" s="24">
        <f t="shared" si="17"/>
        <v>3731.4134266531246</v>
      </c>
      <c r="CZ12" s="24">
        <f t="shared" si="17"/>
        <v>3731.4134266531246</v>
      </c>
      <c r="DA12" s="24">
        <f t="shared" si="17"/>
        <v>3731.4134266531246</v>
      </c>
      <c r="DB12" s="24">
        <f t="shared" si="17"/>
        <v>3731.4134266531246</v>
      </c>
      <c r="DC12" s="24">
        <f t="shared" si="17"/>
        <v>3731.4134266531246</v>
      </c>
      <c r="DD12" s="24">
        <f t="shared" si="17"/>
        <v>3731.4134266531246</v>
      </c>
      <c r="DE12" s="24">
        <f t="shared" si="17"/>
        <v>3731.4134266531246</v>
      </c>
      <c r="DF12" s="24">
        <f t="shared" si="17"/>
        <v>3843.3558294527188</v>
      </c>
      <c r="DG12" s="24">
        <f t="shared" si="17"/>
        <v>3843.3558294527188</v>
      </c>
      <c r="DH12" s="24">
        <f t="shared" ref="DH12:DQ14" si="18">($F12&lt;=DH$3)*($I12/12)*(1+$G12)^(ROUNDUP(MAX(DH$3-$F12+1,0)/12,0)-1)</f>
        <v>3843.3558294527188</v>
      </c>
      <c r="DI12" s="24">
        <f t="shared" si="18"/>
        <v>3843.3558294527188</v>
      </c>
      <c r="DJ12" s="24">
        <f t="shared" si="18"/>
        <v>3843.3558294527188</v>
      </c>
      <c r="DK12" s="24">
        <f t="shared" si="18"/>
        <v>3843.3558294527188</v>
      </c>
      <c r="DL12" s="24">
        <f t="shared" si="18"/>
        <v>3843.3558294527188</v>
      </c>
      <c r="DM12" s="24">
        <f t="shared" si="18"/>
        <v>3843.3558294527188</v>
      </c>
      <c r="DN12" s="24">
        <f t="shared" si="18"/>
        <v>3843.3558294527188</v>
      </c>
      <c r="DO12" s="24">
        <f t="shared" si="18"/>
        <v>3843.3558294527188</v>
      </c>
      <c r="DP12" s="24">
        <f t="shared" si="18"/>
        <v>3843.3558294527188</v>
      </c>
      <c r="DQ12" s="24">
        <f t="shared" si="18"/>
        <v>3843.3558294527188</v>
      </c>
      <c r="DR12" s="24">
        <f t="shared" ref="DR12:EA14" si="19">($F12&lt;=DR$3)*($I12/12)*(1+$G12)^(ROUNDUP(MAX(DR$3-$F12+1,0)/12,0)-1)</f>
        <v>3958.6565043362998</v>
      </c>
      <c r="DS12" s="24">
        <f t="shared" si="19"/>
        <v>3958.6565043362998</v>
      </c>
      <c r="DT12" s="24">
        <f t="shared" si="19"/>
        <v>3958.6565043362998</v>
      </c>
      <c r="DU12" s="24">
        <f t="shared" si="19"/>
        <v>3958.6565043362998</v>
      </c>
      <c r="DV12" s="24">
        <f t="shared" si="19"/>
        <v>3958.6565043362998</v>
      </c>
      <c r="DW12" s="24">
        <f t="shared" si="19"/>
        <v>3958.6565043362998</v>
      </c>
      <c r="DX12" s="24">
        <f t="shared" si="19"/>
        <v>3958.6565043362998</v>
      </c>
      <c r="DY12" s="24">
        <f t="shared" si="19"/>
        <v>3958.6565043362998</v>
      </c>
      <c r="DZ12" s="24">
        <f t="shared" si="19"/>
        <v>3958.6565043362998</v>
      </c>
      <c r="EA12" s="24">
        <f t="shared" si="19"/>
        <v>3958.6565043362998</v>
      </c>
      <c r="EB12" s="24">
        <f t="shared" ref="EB12:EM14" si="20">($F12&lt;=EB$3)*($I12/12)*(1+$G12)^(ROUNDUP(MAX(EB$3-$F12+1,0)/12,0)-1)</f>
        <v>3958.6565043362998</v>
      </c>
      <c r="EC12" s="24">
        <f t="shared" si="20"/>
        <v>3958.6565043362998</v>
      </c>
      <c r="ED12" s="24">
        <f t="shared" si="20"/>
        <v>4077.4161994663891</v>
      </c>
      <c r="EE12" s="24">
        <f t="shared" si="20"/>
        <v>4077.4161994663891</v>
      </c>
      <c r="EF12" s="24">
        <f t="shared" si="20"/>
        <v>4077.4161994663891</v>
      </c>
      <c r="EG12" s="24">
        <f t="shared" si="20"/>
        <v>4077.4161994663891</v>
      </c>
      <c r="EH12" s="24">
        <f t="shared" si="20"/>
        <v>4077.4161994663891</v>
      </c>
      <c r="EI12" s="24">
        <f t="shared" si="20"/>
        <v>4077.4161994663891</v>
      </c>
      <c r="EJ12" s="24">
        <f t="shared" si="20"/>
        <v>4077.4161994663891</v>
      </c>
      <c r="EK12" s="24">
        <f t="shared" si="20"/>
        <v>4077.4161994663891</v>
      </c>
      <c r="EL12" s="24">
        <f t="shared" si="20"/>
        <v>4077.4161994663891</v>
      </c>
      <c r="EM12" s="24">
        <f t="shared" si="20"/>
        <v>4077.4161994663891</v>
      </c>
      <c r="EO12" s="20"/>
      <c r="EP12" s="20"/>
      <c r="EQ12" s="22">
        <f>E12</f>
        <v>1500</v>
      </c>
      <c r="ER12" s="21">
        <f>D12</f>
        <v>12</v>
      </c>
      <c r="ES12" s="20"/>
      <c r="ET12" s="20"/>
      <c r="EU12" s="20"/>
      <c r="EV12" s="22">
        <f>(EV$3&gt;=$ER12)*$EQ12</f>
        <v>0</v>
      </c>
      <c r="EW12" s="22">
        <f t="shared" ref="EW12:HH14" si="21">(EW$3&gt;=$ER12)*$EQ12</f>
        <v>0</v>
      </c>
      <c r="EX12" s="22">
        <f t="shared" si="21"/>
        <v>0</v>
      </c>
      <c r="EY12" s="22">
        <f t="shared" si="21"/>
        <v>0</v>
      </c>
      <c r="EZ12" s="22">
        <f t="shared" si="21"/>
        <v>0</v>
      </c>
      <c r="FA12" s="22">
        <f t="shared" si="21"/>
        <v>0</v>
      </c>
      <c r="FB12" s="22">
        <f t="shared" si="21"/>
        <v>0</v>
      </c>
      <c r="FC12" s="22">
        <f t="shared" si="21"/>
        <v>0</v>
      </c>
      <c r="FD12" s="22">
        <f t="shared" si="21"/>
        <v>0</v>
      </c>
      <c r="FE12" s="22">
        <f t="shared" si="21"/>
        <v>0</v>
      </c>
      <c r="FF12" s="22">
        <f t="shared" si="21"/>
        <v>0</v>
      </c>
      <c r="FG12" s="22">
        <f t="shared" si="21"/>
        <v>1500</v>
      </c>
      <c r="FH12" s="22">
        <f t="shared" si="21"/>
        <v>1500</v>
      </c>
      <c r="FI12" s="22">
        <f t="shared" si="21"/>
        <v>1500</v>
      </c>
      <c r="FJ12" s="22">
        <f t="shared" si="21"/>
        <v>1500</v>
      </c>
      <c r="FK12" s="22">
        <f t="shared" si="21"/>
        <v>1500</v>
      </c>
      <c r="FL12" s="22">
        <f t="shared" si="21"/>
        <v>1500</v>
      </c>
      <c r="FM12" s="22">
        <f t="shared" si="21"/>
        <v>1500</v>
      </c>
      <c r="FN12" s="22">
        <f t="shared" si="21"/>
        <v>1500</v>
      </c>
      <c r="FO12" s="22">
        <f t="shared" si="21"/>
        <v>1500</v>
      </c>
      <c r="FP12" s="22">
        <f t="shared" si="21"/>
        <v>1500</v>
      </c>
      <c r="FQ12" s="22">
        <f t="shared" si="21"/>
        <v>1500</v>
      </c>
      <c r="FR12" s="22">
        <f t="shared" si="21"/>
        <v>1500</v>
      </c>
      <c r="FS12" s="22">
        <f t="shared" si="21"/>
        <v>1500</v>
      </c>
      <c r="FT12" s="22">
        <f t="shared" si="21"/>
        <v>1500</v>
      </c>
      <c r="FU12" s="22">
        <f t="shared" si="21"/>
        <v>1500</v>
      </c>
      <c r="FV12" s="22">
        <f t="shared" si="21"/>
        <v>1500</v>
      </c>
      <c r="FW12" s="22">
        <f t="shared" si="21"/>
        <v>1500</v>
      </c>
      <c r="FX12" s="22">
        <f t="shared" si="21"/>
        <v>1500</v>
      </c>
      <c r="FY12" s="22">
        <f t="shared" si="21"/>
        <v>1500</v>
      </c>
      <c r="FZ12" s="22">
        <f t="shared" si="21"/>
        <v>1500</v>
      </c>
      <c r="GA12" s="22">
        <f t="shared" si="21"/>
        <v>1500</v>
      </c>
      <c r="GB12" s="22">
        <f t="shared" si="21"/>
        <v>1500</v>
      </c>
      <c r="GC12" s="22">
        <f t="shared" si="21"/>
        <v>1500</v>
      </c>
      <c r="GD12" s="22">
        <f t="shared" si="21"/>
        <v>1500</v>
      </c>
      <c r="GE12" s="22">
        <f t="shared" si="21"/>
        <v>1500</v>
      </c>
      <c r="GF12" s="22">
        <f t="shared" si="21"/>
        <v>1500</v>
      </c>
      <c r="GG12" s="22">
        <f t="shared" si="21"/>
        <v>1500</v>
      </c>
      <c r="GH12" s="22">
        <f t="shared" si="21"/>
        <v>1500</v>
      </c>
      <c r="GI12" s="22">
        <f t="shared" si="21"/>
        <v>1500</v>
      </c>
      <c r="GJ12" s="22">
        <f t="shared" si="21"/>
        <v>1500</v>
      </c>
      <c r="GK12" s="22">
        <f t="shared" si="21"/>
        <v>1500</v>
      </c>
      <c r="GL12" s="22">
        <f t="shared" si="21"/>
        <v>1500</v>
      </c>
      <c r="GM12" s="22">
        <f t="shared" si="21"/>
        <v>1500</v>
      </c>
      <c r="GN12" s="22">
        <f t="shared" si="21"/>
        <v>1500</v>
      </c>
      <c r="GO12" s="22">
        <f t="shared" si="21"/>
        <v>1500</v>
      </c>
      <c r="GP12" s="22">
        <f t="shared" si="21"/>
        <v>1500</v>
      </c>
      <c r="GQ12" s="22">
        <f t="shared" si="21"/>
        <v>1500</v>
      </c>
      <c r="GR12" s="22">
        <f t="shared" si="21"/>
        <v>1500</v>
      </c>
      <c r="GS12" s="22">
        <f t="shared" si="21"/>
        <v>1500</v>
      </c>
      <c r="GT12" s="22">
        <f t="shared" si="21"/>
        <v>1500</v>
      </c>
      <c r="GU12" s="22">
        <f t="shared" si="21"/>
        <v>1500</v>
      </c>
      <c r="GV12" s="22">
        <f t="shared" si="21"/>
        <v>1500</v>
      </c>
      <c r="GW12" s="22">
        <f t="shared" si="21"/>
        <v>1500</v>
      </c>
      <c r="GX12" s="22">
        <f t="shared" si="21"/>
        <v>1500</v>
      </c>
      <c r="GY12" s="22">
        <f t="shared" si="21"/>
        <v>1500</v>
      </c>
      <c r="GZ12" s="22">
        <f t="shared" si="21"/>
        <v>1500</v>
      </c>
      <c r="HA12" s="22">
        <f t="shared" si="21"/>
        <v>1500</v>
      </c>
      <c r="HB12" s="22">
        <f t="shared" si="21"/>
        <v>1500</v>
      </c>
      <c r="HC12" s="22">
        <f t="shared" si="21"/>
        <v>1500</v>
      </c>
      <c r="HD12" s="22">
        <f t="shared" si="21"/>
        <v>1500</v>
      </c>
      <c r="HE12" s="22">
        <f t="shared" si="21"/>
        <v>1500</v>
      </c>
      <c r="HF12" s="22">
        <f t="shared" si="21"/>
        <v>1500</v>
      </c>
      <c r="HG12" s="22">
        <f t="shared" si="21"/>
        <v>1500</v>
      </c>
      <c r="HH12" s="22">
        <f t="shared" si="21"/>
        <v>1500</v>
      </c>
      <c r="HI12" s="22">
        <f t="shared" ref="HI12:JT14" si="22">(HI$3&gt;=$ER12)*$EQ12</f>
        <v>1500</v>
      </c>
      <c r="HJ12" s="22">
        <f t="shared" si="22"/>
        <v>1500</v>
      </c>
      <c r="HK12" s="22">
        <f t="shared" si="22"/>
        <v>1500</v>
      </c>
      <c r="HL12" s="22">
        <f t="shared" si="22"/>
        <v>1500</v>
      </c>
      <c r="HM12" s="22">
        <f t="shared" si="22"/>
        <v>1500</v>
      </c>
      <c r="HN12" s="22">
        <f t="shared" si="22"/>
        <v>1500</v>
      </c>
      <c r="HO12" s="22">
        <f t="shared" si="22"/>
        <v>1500</v>
      </c>
      <c r="HP12" s="22">
        <f t="shared" si="22"/>
        <v>1500</v>
      </c>
      <c r="HQ12" s="22">
        <f t="shared" si="22"/>
        <v>1500</v>
      </c>
      <c r="HR12" s="22">
        <f t="shared" si="22"/>
        <v>1500</v>
      </c>
      <c r="HS12" s="22">
        <f t="shared" si="22"/>
        <v>1500</v>
      </c>
      <c r="HT12" s="22">
        <f t="shared" si="22"/>
        <v>1500</v>
      </c>
      <c r="HU12" s="22">
        <f t="shared" si="22"/>
        <v>1500</v>
      </c>
      <c r="HV12" s="22">
        <f t="shared" si="22"/>
        <v>1500</v>
      </c>
      <c r="HW12" s="22">
        <f t="shared" si="22"/>
        <v>1500</v>
      </c>
      <c r="HX12" s="22">
        <f t="shared" si="22"/>
        <v>1500</v>
      </c>
      <c r="HY12" s="22">
        <f t="shared" si="22"/>
        <v>1500</v>
      </c>
      <c r="HZ12" s="22">
        <f t="shared" si="22"/>
        <v>1500</v>
      </c>
      <c r="IA12" s="22">
        <f t="shared" si="22"/>
        <v>1500</v>
      </c>
      <c r="IB12" s="22">
        <f t="shared" si="22"/>
        <v>1500</v>
      </c>
      <c r="IC12" s="22">
        <f t="shared" si="22"/>
        <v>1500</v>
      </c>
      <c r="ID12" s="22">
        <f t="shared" si="22"/>
        <v>1500</v>
      </c>
      <c r="IE12" s="22">
        <f t="shared" si="22"/>
        <v>1500</v>
      </c>
      <c r="IF12" s="22">
        <f t="shared" si="22"/>
        <v>1500</v>
      </c>
      <c r="IG12" s="22">
        <f t="shared" si="22"/>
        <v>1500</v>
      </c>
      <c r="IH12" s="22">
        <f t="shared" si="22"/>
        <v>1500</v>
      </c>
      <c r="II12" s="22">
        <f t="shared" si="22"/>
        <v>1500</v>
      </c>
      <c r="IJ12" s="22">
        <f t="shared" si="22"/>
        <v>1500</v>
      </c>
      <c r="IK12" s="22">
        <f t="shared" si="22"/>
        <v>1500</v>
      </c>
      <c r="IL12" s="22">
        <f t="shared" si="22"/>
        <v>1500</v>
      </c>
      <c r="IM12" s="22">
        <f t="shared" si="22"/>
        <v>1500</v>
      </c>
      <c r="IN12" s="22">
        <f t="shared" si="22"/>
        <v>1500</v>
      </c>
      <c r="IO12" s="22">
        <f t="shared" si="22"/>
        <v>1500</v>
      </c>
      <c r="IP12" s="22">
        <f t="shared" si="22"/>
        <v>1500</v>
      </c>
      <c r="IQ12" s="22">
        <f t="shared" si="22"/>
        <v>1500</v>
      </c>
      <c r="IR12" s="22">
        <f t="shared" si="22"/>
        <v>1500</v>
      </c>
      <c r="IS12" s="22">
        <f t="shared" si="22"/>
        <v>1500</v>
      </c>
      <c r="IT12" s="22">
        <f t="shared" si="22"/>
        <v>1500</v>
      </c>
      <c r="IU12" s="22">
        <f t="shared" si="22"/>
        <v>1500</v>
      </c>
      <c r="IV12" s="22">
        <f t="shared" si="22"/>
        <v>1500</v>
      </c>
      <c r="IW12" s="22">
        <f t="shared" si="22"/>
        <v>1500</v>
      </c>
      <c r="IX12" s="22">
        <f t="shared" si="22"/>
        <v>1500</v>
      </c>
      <c r="IY12" s="22">
        <f t="shared" si="22"/>
        <v>1500</v>
      </c>
      <c r="IZ12" s="22">
        <f t="shared" si="22"/>
        <v>1500</v>
      </c>
      <c r="JA12" s="22">
        <f t="shared" si="22"/>
        <v>1500</v>
      </c>
      <c r="JB12" s="22">
        <f t="shared" si="22"/>
        <v>1500</v>
      </c>
      <c r="JC12" s="22">
        <f t="shared" si="22"/>
        <v>1500</v>
      </c>
      <c r="JD12" s="22">
        <f t="shared" si="22"/>
        <v>1500</v>
      </c>
      <c r="JE12" s="22">
        <f t="shared" si="22"/>
        <v>1500</v>
      </c>
      <c r="JF12" s="22">
        <f t="shared" si="22"/>
        <v>1500</v>
      </c>
      <c r="JG12" s="22">
        <f t="shared" si="22"/>
        <v>1500</v>
      </c>
      <c r="JH12" s="22">
        <f t="shared" si="22"/>
        <v>1500</v>
      </c>
      <c r="JI12" s="22">
        <f t="shared" si="22"/>
        <v>1500</v>
      </c>
      <c r="JJ12" s="22">
        <f t="shared" si="22"/>
        <v>1500</v>
      </c>
      <c r="JK12" s="22">
        <f t="shared" si="22"/>
        <v>1500</v>
      </c>
      <c r="JL12" s="22">
        <f t="shared" si="22"/>
        <v>1500</v>
      </c>
      <c r="JM12" s="22">
        <f t="shared" si="22"/>
        <v>1500</v>
      </c>
      <c r="JN12" s="22">
        <f t="shared" si="22"/>
        <v>1500</v>
      </c>
      <c r="JO12" s="22">
        <f t="shared" si="22"/>
        <v>1500</v>
      </c>
      <c r="JP12" s="22">
        <f t="shared" si="22"/>
        <v>1500</v>
      </c>
      <c r="JQ12" s="22">
        <f t="shared" si="22"/>
        <v>1500</v>
      </c>
      <c r="JR12" s="22">
        <f t="shared" si="22"/>
        <v>1500</v>
      </c>
      <c r="JS12" s="22">
        <f t="shared" si="22"/>
        <v>1500</v>
      </c>
      <c r="JT12" s="22">
        <f t="shared" si="22"/>
        <v>1500</v>
      </c>
      <c r="JU12" s="22">
        <f t="shared" ref="JU12:JW14" si="23">(JU$3&gt;=$ER12)*$EQ12</f>
        <v>1500</v>
      </c>
      <c r="JV12" s="22">
        <f t="shared" si="23"/>
        <v>1500</v>
      </c>
      <c r="JW12" s="22">
        <f t="shared" si="23"/>
        <v>1500</v>
      </c>
    </row>
    <row r="13" spans="1:283" x14ac:dyDescent="0.2">
      <c r="B13" s="59">
        <v>200</v>
      </c>
      <c r="C13" s="59" t="s">
        <v>304</v>
      </c>
      <c r="D13" s="58">
        <f>D12+3</f>
        <v>15</v>
      </c>
      <c r="E13" s="52">
        <v>1750</v>
      </c>
      <c r="F13" s="58">
        <f>E19+3</f>
        <v>18</v>
      </c>
      <c r="G13" s="56">
        <v>0.02</v>
      </c>
      <c r="H13" s="102">
        <v>24.5</v>
      </c>
      <c r="I13" s="103">
        <f>H13*E13</f>
        <v>42875</v>
      </c>
      <c r="K13" s="24"/>
      <c r="L13" s="24">
        <f t="shared" si="8"/>
        <v>0</v>
      </c>
      <c r="M13" s="24">
        <f t="shared" si="8"/>
        <v>0</v>
      </c>
      <c r="N13" s="24">
        <f t="shared" si="8"/>
        <v>0</v>
      </c>
      <c r="O13" s="24">
        <f t="shared" si="8"/>
        <v>0</v>
      </c>
      <c r="P13" s="24">
        <f t="shared" si="8"/>
        <v>0</v>
      </c>
      <c r="Q13" s="24">
        <f t="shared" si="8"/>
        <v>0</v>
      </c>
      <c r="R13" s="24">
        <f t="shared" si="8"/>
        <v>0</v>
      </c>
      <c r="S13" s="24">
        <f t="shared" si="8"/>
        <v>0</v>
      </c>
      <c r="T13" s="24">
        <f t="shared" si="8"/>
        <v>0</v>
      </c>
      <c r="U13" s="24">
        <f t="shared" si="8"/>
        <v>0</v>
      </c>
      <c r="V13" s="24">
        <f t="shared" si="9"/>
        <v>0</v>
      </c>
      <c r="W13" s="24">
        <f t="shared" si="9"/>
        <v>0</v>
      </c>
      <c r="X13" s="24">
        <f t="shared" si="9"/>
        <v>0</v>
      </c>
      <c r="Y13" s="24">
        <f t="shared" si="9"/>
        <v>0</v>
      </c>
      <c r="Z13" s="24">
        <f t="shared" si="9"/>
        <v>0</v>
      </c>
      <c r="AA13" s="24">
        <f t="shared" si="9"/>
        <v>0</v>
      </c>
      <c r="AB13" s="24">
        <f t="shared" si="9"/>
        <v>0</v>
      </c>
      <c r="AC13" s="24">
        <f t="shared" si="9"/>
        <v>3572.9166666666665</v>
      </c>
      <c r="AD13" s="24">
        <f t="shared" si="9"/>
        <v>3572.9166666666665</v>
      </c>
      <c r="AE13" s="24">
        <f t="shared" si="9"/>
        <v>3572.9166666666665</v>
      </c>
      <c r="AF13" s="24">
        <f t="shared" si="10"/>
        <v>3572.9166666666665</v>
      </c>
      <c r="AG13" s="24">
        <f t="shared" si="10"/>
        <v>3572.9166666666665</v>
      </c>
      <c r="AH13" s="24">
        <f t="shared" si="10"/>
        <v>3572.9166666666665</v>
      </c>
      <c r="AI13" s="24">
        <f t="shared" si="10"/>
        <v>3572.9166666666665</v>
      </c>
      <c r="AJ13" s="24">
        <f t="shared" si="10"/>
        <v>3572.9166666666665</v>
      </c>
      <c r="AK13" s="24">
        <f t="shared" si="10"/>
        <v>3572.9166666666665</v>
      </c>
      <c r="AL13" s="24">
        <f t="shared" si="10"/>
        <v>3572.9166666666665</v>
      </c>
      <c r="AM13" s="24">
        <f t="shared" si="10"/>
        <v>3572.9166666666665</v>
      </c>
      <c r="AN13" s="24">
        <f t="shared" si="10"/>
        <v>3572.9166666666665</v>
      </c>
      <c r="AO13" s="24">
        <f t="shared" si="10"/>
        <v>3644.375</v>
      </c>
      <c r="AP13" s="24">
        <f t="shared" si="11"/>
        <v>3644.375</v>
      </c>
      <c r="AQ13" s="24">
        <f t="shared" si="11"/>
        <v>3644.375</v>
      </c>
      <c r="AR13" s="24">
        <f t="shared" si="11"/>
        <v>3644.375</v>
      </c>
      <c r="AS13" s="24">
        <f t="shared" si="11"/>
        <v>3644.375</v>
      </c>
      <c r="AT13" s="24">
        <f t="shared" si="11"/>
        <v>3644.375</v>
      </c>
      <c r="AU13" s="24">
        <f t="shared" si="11"/>
        <v>3644.375</v>
      </c>
      <c r="AV13" s="24">
        <f t="shared" si="11"/>
        <v>3644.375</v>
      </c>
      <c r="AW13" s="24">
        <f t="shared" si="11"/>
        <v>3644.375</v>
      </c>
      <c r="AX13" s="24">
        <f t="shared" si="11"/>
        <v>3644.375</v>
      </c>
      <c r="AY13" s="24">
        <f t="shared" si="11"/>
        <v>3644.375</v>
      </c>
      <c r="AZ13" s="24">
        <f t="shared" si="12"/>
        <v>3644.375</v>
      </c>
      <c r="BA13" s="24">
        <f t="shared" si="12"/>
        <v>3717.2624999999998</v>
      </c>
      <c r="BB13" s="24">
        <f t="shared" si="12"/>
        <v>3717.2624999999998</v>
      </c>
      <c r="BC13" s="24">
        <f t="shared" si="12"/>
        <v>3717.2624999999998</v>
      </c>
      <c r="BD13" s="24">
        <f t="shared" si="12"/>
        <v>3717.2624999999998</v>
      </c>
      <c r="BE13" s="24">
        <f t="shared" si="12"/>
        <v>3717.2624999999998</v>
      </c>
      <c r="BF13" s="24">
        <f t="shared" si="12"/>
        <v>3717.2624999999998</v>
      </c>
      <c r="BG13" s="24">
        <f t="shared" si="12"/>
        <v>3717.2624999999998</v>
      </c>
      <c r="BH13" s="24">
        <f t="shared" si="12"/>
        <v>3717.2624999999998</v>
      </c>
      <c r="BI13" s="24">
        <f t="shared" si="12"/>
        <v>3717.2624999999998</v>
      </c>
      <c r="BJ13" s="24">
        <f t="shared" si="13"/>
        <v>3717.2624999999998</v>
      </c>
      <c r="BK13" s="24">
        <f t="shared" si="13"/>
        <v>3717.2624999999998</v>
      </c>
      <c r="BL13" s="24">
        <f t="shared" si="13"/>
        <v>3717.2624999999998</v>
      </c>
      <c r="BM13" s="24">
        <f t="shared" si="13"/>
        <v>3791.6077499999997</v>
      </c>
      <c r="BN13" s="24">
        <f t="shared" si="13"/>
        <v>3791.6077499999997</v>
      </c>
      <c r="BO13" s="24">
        <f t="shared" si="13"/>
        <v>3791.6077499999997</v>
      </c>
      <c r="BP13" s="24">
        <f t="shared" si="13"/>
        <v>3791.6077499999997</v>
      </c>
      <c r="BQ13" s="24">
        <f t="shared" si="13"/>
        <v>3791.6077499999997</v>
      </c>
      <c r="BR13" s="24">
        <f t="shared" si="13"/>
        <v>3791.6077499999997</v>
      </c>
      <c r="BS13" s="24">
        <f t="shared" si="13"/>
        <v>3791.6077499999997</v>
      </c>
      <c r="BT13" s="24">
        <f t="shared" si="14"/>
        <v>3791.6077499999997</v>
      </c>
      <c r="BU13" s="24">
        <f t="shared" si="14"/>
        <v>3791.6077499999997</v>
      </c>
      <c r="BV13" s="24">
        <f t="shared" si="14"/>
        <v>3791.6077499999997</v>
      </c>
      <c r="BW13" s="24">
        <f t="shared" si="14"/>
        <v>3791.6077499999997</v>
      </c>
      <c r="BX13" s="24">
        <f t="shared" si="14"/>
        <v>3791.6077499999997</v>
      </c>
      <c r="BY13" s="24">
        <f t="shared" si="14"/>
        <v>3867.4399049999997</v>
      </c>
      <c r="BZ13" s="24">
        <f t="shared" si="14"/>
        <v>3867.4399049999997</v>
      </c>
      <c r="CA13" s="24">
        <f t="shared" si="14"/>
        <v>3867.4399049999997</v>
      </c>
      <c r="CB13" s="24">
        <f t="shared" si="14"/>
        <v>3867.4399049999997</v>
      </c>
      <c r="CC13" s="24">
        <f t="shared" si="14"/>
        <v>3867.4399049999997</v>
      </c>
      <c r="CD13" s="24">
        <f t="shared" si="15"/>
        <v>3867.4399049999997</v>
      </c>
      <c r="CE13" s="24">
        <f t="shared" si="15"/>
        <v>3867.4399049999997</v>
      </c>
      <c r="CF13" s="24">
        <f t="shared" si="15"/>
        <v>3867.4399049999997</v>
      </c>
      <c r="CG13" s="24">
        <f t="shared" si="15"/>
        <v>3867.4399049999997</v>
      </c>
      <c r="CH13" s="24">
        <f t="shared" si="15"/>
        <v>3867.4399049999997</v>
      </c>
      <c r="CI13" s="24">
        <f t="shared" si="15"/>
        <v>3867.4399049999997</v>
      </c>
      <c r="CJ13" s="24">
        <f t="shared" si="15"/>
        <v>3867.4399049999997</v>
      </c>
      <c r="CK13" s="24">
        <f t="shared" si="15"/>
        <v>3944.7887031</v>
      </c>
      <c r="CL13" s="24">
        <f t="shared" si="15"/>
        <v>3944.7887031</v>
      </c>
      <c r="CM13" s="24">
        <f t="shared" si="15"/>
        <v>3944.7887031</v>
      </c>
      <c r="CN13" s="24">
        <f t="shared" si="16"/>
        <v>3944.7887031</v>
      </c>
      <c r="CO13" s="24">
        <f t="shared" si="16"/>
        <v>3944.7887031</v>
      </c>
      <c r="CP13" s="24">
        <f t="shared" si="16"/>
        <v>3944.7887031</v>
      </c>
      <c r="CQ13" s="24">
        <f t="shared" si="16"/>
        <v>3944.7887031</v>
      </c>
      <c r="CR13" s="24">
        <f t="shared" si="16"/>
        <v>3944.7887031</v>
      </c>
      <c r="CS13" s="24">
        <f t="shared" si="16"/>
        <v>3944.7887031</v>
      </c>
      <c r="CT13" s="24">
        <f t="shared" si="16"/>
        <v>3944.7887031</v>
      </c>
      <c r="CU13" s="24">
        <f t="shared" si="16"/>
        <v>3944.7887031</v>
      </c>
      <c r="CV13" s="24">
        <f t="shared" si="16"/>
        <v>3944.7887031</v>
      </c>
      <c r="CW13" s="24">
        <f t="shared" si="16"/>
        <v>4023.6844771619999</v>
      </c>
      <c r="CX13" s="24">
        <f t="shared" si="17"/>
        <v>4023.6844771619999</v>
      </c>
      <c r="CY13" s="24">
        <f t="shared" si="17"/>
        <v>4023.6844771619999</v>
      </c>
      <c r="CZ13" s="24">
        <f t="shared" si="17"/>
        <v>4023.6844771619999</v>
      </c>
      <c r="DA13" s="24">
        <f t="shared" si="17"/>
        <v>4023.6844771619999</v>
      </c>
      <c r="DB13" s="24">
        <f t="shared" si="17"/>
        <v>4023.6844771619999</v>
      </c>
      <c r="DC13" s="24">
        <f t="shared" si="17"/>
        <v>4023.6844771619999</v>
      </c>
      <c r="DD13" s="24">
        <f t="shared" si="17"/>
        <v>4023.6844771619999</v>
      </c>
      <c r="DE13" s="24">
        <f t="shared" si="17"/>
        <v>4023.6844771619999</v>
      </c>
      <c r="DF13" s="24">
        <f t="shared" si="17"/>
        <v>4023.6844771619999</v>
      </c>
      <c r="DG13" s="24">
        <f t="shared" si="17"/>
        <v>4023.6844771619999</v>
      </c>
      <c r="DH13" s="24">
        <f t="shared" si="18"/>
        <v>4023.6844771619999</v>
      </c>
      <c r="DI13" s="24">
        <f t="shared" si="18"/>
        <v>4104.1581667052387</v>
      </c>
      <c r="DJ13" s="24">
        <f t="shared" si="18"/>
        <v>4104.1581667052387</v>
      </c>
      <c r="DK13" s="24">
        <f t="shared" si="18"/>
        <v>4104.1581667052387</v>
      </c>
      <c r="DL13" s="24">
        <f t="shared" si="18"/>
        <v>4104.1581667052387</v>
      </c>
      <c r="DM13" s="24">
        <f t="shared" si="18"/>
        <v>4104.1581667052387</v>
      </c>
      <c r="DN13" s="24">
        <f t="shared" si="18"/>
        <v>4104.1581667052387</v>
      </c>
      <c r="DO13" s="24">
        <f t="shared" si="18"/>
        <v>4104.1581667052387</v>
      </c>
      <c r="DP13" s="24">
        <f t="shared" si="18"/>
        <v>4104.1581667052387</v>
      </c>
      <c r="DQ13" s="24">
        <f t="shared" si="18"/>
        <v>4104.1581667052387</v>
      </c>
      <c r="DR13" s="24">
        <f t="shared" si="19"/>
        <v>4104.1581667052387</v>
      </c>
      <c r="DS13" s="24">
        <f t="shared" si="19"/>
        <v>4104.1581667052387</v>
      </c>
      <c r="DT13" s="24">
        <f t="shared" si="19"/>
        <v>4104.1581667052387</v>
      </c>
      <c r="DU13" s="24">
        <f t="shared" si="19"/>
        <v>4186.2413300393446</v>
      </c>
      <c r="DV13" s="24">
        <f t="shared" si="19"/>
        <v>4186.2413300393446</v>
      </c>
      <c r="DW13" s="24">
        <f t="shared" si="19"/>
        <v>4186.2413300393446</v>
      </c>
      <c r="DX13" s="24">
        <f t="shared" si="19"/>
        <v>4186.2413300393446</v>
      </c>
      <c r="DY13" s="24">
        <f t="shared" si="19"/>
        <v>4186.2413300393446</v>
      </c>
      <c r="DZ13" s="24">
        <f t="shared" si="19"/>
        <v>4186.2413300393446</v>
      </c>
      <c r="EA13" s="24">
        <f t="shared" si="19"/>
        <v>4186.2413300393446</v>
      </c>
      <c r="EB13" s="24">
        <f t="shared" si="20"/>
        <v>4186.2413300393446</v>
      </c>
      <c r="EC13" s="24">
        <f t="shared" si="20"/>
        <v>4186.2413300393446</v>
      </c>
      <c r="ED13" s="24">
        <f t="shared" si="20"/>
        <v>4186.2413300393446</v>
      </c>
      <c r="EE13" s="24">
        <f t="shared" si="20"/>
        <v>4186.2413300393446</v>
      </c>
      <c r="EF13" s="24">
        <f t="shared" si="20"/>
        <v>4186.2413300393446</v>
      </c>
      <c r="EG13" s="24">
        <f t="shared" si="20"/>
        <v>4269.966156640131</v>
      </c>
      <c r="EH13" s="24">
        <f t="shared" si="20"/>
        <v>4269.966156640131</v>
      </c>
      <c r="EI13" s="24">
        <f t="shared" si="20"/>
        <v>4269.966156640131</v>
      </c>
      <c r="EJ13" s="24">
        <f t="shared" si="20"/>
        <v>4269.966156640131</v>
      </c>
      <c r="EK13" s="24">
        <f t="shared" si="20"/>
        <v>4269.966156640131</v>
      </c>
      <c r="EL13" s="24">
        <f t="shared" si="20"/>
        <v>4269.966156640131</v>
      </c>
      <c r="EM13" s="24">
        <f t="shared" si="20"/>
        <v>4269.966156640131</v>
      </c>
      <c r="EO13" s="20"/>
      <c r="EP13" s="20"/>
      <c r="EQ13" s="22">
        <f>E13</f>
        <v>1750</v>
      </c>
      <c r="ER13" s="21">
        <f>D13</f>
        <v>15</v>
      </c>
      <c r="ES13" s="20"/>
      <c r="ET13" s="20"/>
      <c r="EU13" s="20"/>
      <c r="EV13" s="22">
        <f>(EV$3&gt;=$ER13)*$EQ13</f>
        <v>0</v>
      </c>
      <c r="EW13" s="22">
        <f t="shared" si="21"/>
        <v>0</v>
      </c>
      <c r="EX13" s="22">
        <f t="shared" si="21"/>
        <v>0</v>
      </c>
      <c r="EY13" s="22">
        <f t="shared" si="21"/>
        <v>0</v>
      </c>
      <c r="EZ13" s="22">
        <f t="shared" si="21"/>
        <v>0</v>
      </c>
      <c r="FA13" s="22">
        <f t="shared" si="21"/>
        <v>0</v>
      </c>
      <c r="FB13" s="22">
        <f t="shared" si="21"/>
        <v>0</v>
      </c>
      <c r="FC13" s="22">
        <f t="shared" si="21"/>
        <v>0</v>
      </c>
      <c r="FD13" s="22">
        <f t="shared" si="21"/>
        <v>0</v>
      </c>
      <c r="FE13" s="22">
        <f t="shared" si="21"/>
        <v>0</v>
      </c>
      <c r="FF13" s="22">
        <f t="shared" si="21"/>
        <v>0</v>
      </c>
      <c r="FG13" s="22">
        <f t="shared" si="21"/>
        <v>0</v>
      </c>
      <c r="FH13" s="22">
        <f t="shared" si="21"/>
        <v>0</v>
      </c>
      <c r="FI13" s="22">
        <f t="shared" si="21"/>
        <v>0</v>
      </c>
      <c r="FJ13" s="22">
        <f t="shared" si="21"/>
        <v>1750</v>
      </c>
      <c r="FK13" s="22">
        <f t="shared" si="21"/>
        <v>1750</v>
      </c>
      <c r="FL13" s="22">
        <f t="shared" si="21"/>
        <v>1750</v>
      </c>
      <c r="FM13" s="22">
        <f t="shared" si="21"/>
        <v>1750</v>
      </c>
      <c r="FN13" s="22">
        <f t="shared" si="21"/>
        <v>1750</v>
      </c>
      <c r="FO13" s="22">
        <f t="shared" si="21"/>
        <v>1750</v>
      </c>
      <c r="FP13" s="22">
        <f t="shared" si="21"/>
        <v>1750</v>
      </c>
      <c r="FQ13" s="22">
        <f t="shared" si="21"/>
        <v>1750</v>
      </c>
      <c r="FR13" s="22">
        <f t="shared" si="21"/>
        <v>1750</v>
      </c>
      <c r="FS13" s="22">
        <f t="shared" si="21"/>
        <v>1750</v>
      </c>
      <c r="FT13" s="22">
        <f t="shared" si="21"/>
        <v>1750</v>
      </c>
      <c r="FU13" s="22">
        <f t="shared" si="21"/>
        <v>1750</v>
      </c>
      <c r="FV13" s="22">
        <f t="shared" si="21"/>
        <v>1750</v>
      </c>
      <c r="FW13" s="22">
        <f t="shared" si="21"/>
        <v>1750</v>
      </c>
      <c r="FX13" s="22">
        <f t="shared" si="21"/>
        <v>1750</v>
      </c>
      <c r="FY13" s="22">
        <f t="shared" si="21"/>
        <v>1750</v>
      </c>
      <c r="FZ13" s="22">
        <f t="shared" si="21"/>
        <v>1750</v>
      </c>
      <c r="GA13" s="22">
        <f t="shared" si="21"/>
        <v>1750</v>
      </c>
      <c r="GB13" s="22">
        <f t="shared" si="21"/>
        <v>1750</v>
      </c>
      <c r="GC13" s="22">
        <f t="shared" si="21"/>
        <v>1750</v>
      </c>
      <c r="GD13" s="22">
        <f t="shared" si="21"/>
        <v>1750</v>
      </c>
      <c r="GE13" s="22">
        <f t="shared" si="21"/>
        <v>1750</v>
      </c>
      <c r="GF13" s="22">
        <f t="shared" si="21"/>
        <v>1750</v>
      </c>
      <c r="GG13" s="22">
        <f t="shared" si="21"/>
        <v>1750</v>
      </c>
      <c r="GH13" s="22">
        <f t="shared" si="21"/>
        <v>1750</v>
      </c>
      <c r="GI13" s="22">
        <f t="shared" si="21"/>
        <v>1750</v>
      </c>
      <c r="GJ13" s="22">
        <f t="shared" si="21"/>
        <v>1750</v>
      </c>
      <c r="GK13" s="22">
        <f t="shared" si="21"/>
        <v>1750</v>
      </c>
      <c r="GL13" s="22">
        <f t="shared" si="21"/>
        <v>1750</v>
      </c>
      <c r="GM13" s="22">
        <f t="shared" si="21"/>
        <v>1750</v>
      </c>
      <c r="GN13" s="22">
        <f t="shared" si="21"/>
        <v>1750</v>
      </c>
      <c r="GO13" s="22">
        <f t="shared" si="21"/>
        <v>1750</v>
      </c>
      <c r="GP13" s="22">
        <f t="shared" si="21"/>
        <v>1750</v>
      </c>
      <c r="GQ13" s="22">
        <f t="shared" si="21"/>
        <v>1750</v>
      </c>
      <c r="GR13" s="22">
        <f t="shared" si="21"/>
        <v>1750</v>
      </c>
      <c r="GS13" s="22">
        <f t="shared" si="21"/>
        <v>1750</v>
      </c>
      <c r="GT13" s="22">
        <f t="shared" si="21"/>
        <v>1750</v>
      </c>
      <c r="GU13" s="22">
        <f t="shared" si="21"/>
        <v>1750</v>
      </c>
      <c r="GV13" s="22">
        <f t="shared" si="21"/>
        <v>1750</v>
      </c>
      <c r="GW13" s="22">
        <f t="shared" si="21"/>
        <v>1750</v>
      </c>
      <c r="GX13" s="22">
        <f t="shared" si="21"/>
        <v>1750</v>
      </c>
      <c r="GY13" s="22">
        <f t="shared" si="21"/>
        <v>1750</v>
      </c>
      <c r="GZ13" s="22">
        <f t="shared" si="21"/>
        <v>1750</v>
      </c>
      <c r="HA13" s="22">
        <f t="shared" si="21"/>
        <v>1750</v>
      </c>
      <c r="HB13" s="22">
        <f t="shared" si="21"/>
        <v>1750</v>
      </c>
      <c r="HC13" s="22">
        <f t="shared" si="21"/>
        <v>1750</v>
      </c>
      <c r="HD13" s="22">
        <f t="shared" si="21"/>
        <v>1750</v>
      </c>
      <c r="HE13" s="22">
        <f t="shared" si="21"/>
        <v>1750</v>
      </c>
      <c r="HF13" s="22">
        <f t="shared" si="21"/>
        <v>1750</v>
      </c>
      <c r="HG13" s="22">
        <f t="shared" si="21"/>
        <v>1750</v>
      </c>
      <c r="HH13" s="22">
        <f t="shared" si="21"/>
        <v>1750</v>
      </c>
      <c r="HI13" s="22">
        <f t="shared" si="22"/>
        <v>1750</v>
      </c>
      <c r="HJ13" s="22">
        <f t="shared" si="22"/>
        <v>1750</v>
      </c>
      <c r="HK13" s="22">
        <f t="shared" si="22"/>
        <v>1750</v>
      </c>
      <c r="HL13" s="22">
        <f t="shared" si="22"/>
        <v>1750</v>
      </c>
      <c r="HM13" s="22">
        <f t="shared" si="22"/>
        <v>1750</v>
      </c>
      <c r="HN13" s="22">
        <f t="shared" si="22"/>
        <v>1750</v>
      </c>
      <c r="HO13" s="22">
        <f t="shared" si="22"/>
        <v>1750</v>
      </c>
      <c r="HP13" s="22">
        <f t="shared" si="22"/>
        <v>1750</v>
      </c>
      <c r="HQ13" s="22">
        <f t="shared" si="22"/>
        <v>1750</v>
      </c>
      <c r="HR13" s="22">
        <f t="shared" si="22"/>
        <v>1750</v>
      </c>
      <c r="HS13" s="22">
        <f t="shared" si="22"/>
        <v>1750</v>
      </c>
      <c r="HT13" s="22">
        <f t="shared" si="22"/>
        <v>1750</v>
      </c>
      <c r="HU13" s="22">
        <f t="shared" si="22"/>
        <v>1750</v>
      </c>
      <c r="HV13" s="22">
        <f t="shared" si="22"/>
        <v>1750</v>
      </c>
      <c r="HW13" s="22">
        <f t="shared" si="22"/>
        <v>1750</v>
      </c>
      <c r="HX13" s="22">
        <f t="shared" si="22"/>
        <v>1750</v>
      </c>
      <c r="HY13" s="22">
        <f t="shared" si="22"/>
        <v>1750</v>
      </c>
      <c r="HZ13" s="22">
        <f t="shared" si="22"/>
        <v>1750</v>
      </c>
      <c r="IA13" s="22">
        <f t="shared" si="22"/>
        <v>1750</v>
      </c>
      <c r="IB13" s="22">
        <f t="shared" si="22"/>
        <v>1750</v>
      </c>
      <c r="IC13" s="22">
        <f t="shared" si="22"/>
        <v>1750</v>
      </c>
      <c r="ID13" s="22">
        <f t="shared" si="22"/>
        <v>1750</v>
      </c>
      <c r="IE13" s="22">
        <f t="shared" si="22"/>
        <v>1750</v>
      </c>
      <c r="IF13" s="22">
        <f t="shared" si="22"/>
        <v>1750</v>
      </c>
      <c r="IG13" s="22">
        <f t="shared" si="22"/>
        <v>1750</v>
      </c>
      <c r="IH13" s="22">
        <f t="shared" si="22"/>
        <v>1750</v>
      </c>
      <c r="II13" s="22">
        <f t="shared" si="22"/>
        <v>1750</v>
      </c>
      <c r="IJ13" s="22">
        <f t="shared" si="22"/>
        <v>1750</v>
      </c>
      <c r="IK13" s="22">
        <f t="shared" si="22"/>
        <v>1750</v>
      </c>
      <c r="IL13" s="22">
        <f t="shared" si="22"/>
        <v>1750</v>
      </c>
      <c r="IM13" s="22">
        <f t="shared" si="22"/>
        <v>1750</v>
      </c>
      <c r="IN13" s="22">
        <f t="shared" si="22"/>
        <v>1750</v>
      </c>
      <c r="IO13" s="22">
        <f t="shared" si="22"/>
        <v>1750</v>
      </c>
      <c r="IP13" s="22">
        <f t="shared" si="22"/>
        <v>1750</v>
      </c>
      <c r="IQ13" s="22">
        <f t="shared" si="22"/>
        <v>1750</v>
      </c>
      <c r="IR13" s="22">
        <f t="shared" si="22"/>
        <v>1750</v>
      </c>
      <c r="IS13" s="22">
        <f t="shared" si="22"/>
        <v>1750</v>
      </c>
      <c r="IT13" s="22">
        <f t="shared" si="22"/>
        <v>1750</v>
      </c>
      <c r="IU13" s="22">
        <f t="shared" si="22"/>
        <v>1750</v>
      </c>
      <c r="IV13" s="22">
        <f t="shared" si="22"/>
        <v>1750</v>
      </c>
      <c r="IW13" s="22">
        <f t="shared" si="22"/>
        <v>1750</v>
      </c>
      <c r="IX13" s="22">
        <f t="shared" si="22"/>
        <v>1750</v>
      </c>
      <c r="IY13" s="22">
        <f t="shared" si="22"/>
        <v>1750</v>
      </c>
      <c r="IZ13" s="22">
        <f t="shared" si="22"/>
        <v>1750</v>
      </c>
      <c r="JA13" s="22">
        <f t="shared" si="22"/>
        <v>1750</v>
      </c>
      <c r="JB13" s="22">
        <f t="shared" si="22"/>
        <v>1750</v>
      </c>
      <c r="JC13" s="22">
        <f t="shared" si="22"/>
        <v>1750</v>
      </c>
      <c r="JD13" s="22">
        <f t="shared" si="22"/>
        <v>1750</v>
      </c>
      <c r="JE13" s="22">
        <f t="shared" si="22"/>
        <v>1750</v>
      </c>
      <c r="JF13" s="22">
        <f t="shared" si="22"/>
        <v>1750</v>
      </c>
      <c r="JG13" s="22">
        <f t="shared" si="22"/>
        <v>1750</v>
      </c>
      <c r="JH13" s="22">
        <f t="shared" si="22"/>
        <v>1750</v>
      </c>
      <c r="JI13" s="22">
        <f t="shared" si="22"/>
        <v>1750</v>
      </c>
      <c r="JJ13" s="22">
        <f t="shared" si="22"/>
        <v>1750</v>
      </c>
      <c r="JK13" s="22">
        <f t="shared" si="22"/>
        <v>1750</v>
      </c>
      <c r="JL13" s="22">
        <f t="shared" si="22"/>
        <v>1750</v>
      </c>
      <c r="JM13" s="22">
        <f t="shared" si="22"/>
        <v>1750</v>
      </c>
      <c r="JN13" s="22">
        <f t="shared" si="22"/>
        <v>1750</v>
      </c>
      <c r="JO13" s="22">
        <f t="shared" si="22"/>
        <v>1750</v>
      </c>
      <c r="JP13" s="22">
        <f t="shared" si="22"/>
        <v>1750</v>
      </c>
      <c r="JQ13" s="22">
        <f t="shared" si="22"/>
        <v>1750</v>
      </c>
      <c r="JR13" s="22">
        <f t="shared" si="22"/>
        <v>1750</v>
      </c>
      <c r="JS13" s="22">
        <f t="shared" si="22"/>
        <v>1750</v>
      </c>
      <c r="JT13" s="22">
        <f t="shared" si="22"/>
        <v>1750</v>
      </c>
      <c r="JU13" s="22">
        <f t="shared" si="23"/>
        <v>1750</v>
      </c>
      <c r="JV13" s="22">
        <f t="shared" si="23"/>
        <v>1750</v>
      </c>
      <c r="JW13" s="22">
        <f t="shared" si="23"/>
        <v>1750</v>
      </c>
    </row>
    <row r="14" spans="1:283" ht="16.5" x14ac:dyDescent="0.35">
      <c r="B14" s="59">
        <v>300</v>
      </c>
      <c r="C14" s="52" t="s">
        <v>543</v>
      </c>
      <c r="D14" s="58">
        <v>25</v>
      </c>
      <c r="E14" s="54">
        <v>2500</v>
      </c>
      <c r="F14" s="104">
        <f>Timing_Operation_Begin_Month+3</f>
        <v>15</v>
      </c>
      <c r="G14" s="105">
        <v>0</v>
      </c>
      <c r="H14" s="106">
        <v>24</v>
      </c>
      <c r="I14" s="65">
        <f>H14*E14</f>
        <v>60000</v>
      </c>
      <c r="K14" s="25"/>
      <c r="L14" s="25">
        <f t="shared" si="8"/>
        <v>0</v>
      </c>
      <c r="M14" s="25">
        <f t="shared" si="8"/>
        <v>0</v>
      </c>
      <c r="N14" s="25">
        <f t="shared" si="8"/>
        <v>0</v>
      </c>
      <c r="O14" s="25">
        <f t="shared" si="8"/>
        <v>0</v>
      </c>
      <c r="P14" s="25">
        <f t="shared" si="8"/>
        <v>0</v>
      </c>
      <c r="Q14" s="25">
        <f t="shared" si="8"/>
        <v>0</v>
      </c>
      <c r="R14" s="25">
        <f t="shared" si="8"/>
        <v>0</v>
      </c>
      <c r="S14" s="25">
        <f t="shared" si="8"/>
        <v>0</v>
      </c>
      <c r="T14" s="25">
        <f t="shared" si="8"/>
        <v>0</v>
      </c>
      <c r="U14" s="25">
        <f t="shared" si="8"/>
        <v>0</v>
      </c>
      <c r="V14" s="25">
        <f t="shared" si="9"/>
        <v>0</v>
      </c>
      <c r="W14" s="25">
        <f t="shared" si="9"/>
        <v>0</v>
      </c>
      <c r="X14" s="25">
        <f t="shared" si="9"/>
        <v>0</v>
      </c>
      <c r="Y14" s="25">
        <f t="shared" si="9"/>
        <v>0</v>
      </c>
      <c r="Z14" s="25">
        <f t="shared" si="9"/>
        <v>5000</v>
      </c>
      <c r="AA14" s="25">
        <f t="shared" si="9"/>
        <v>5000</v>
      </c>
      <c r="AB14" s="25">
        <f t="shared" si="9"/>
        <v>5000</v>
      </c>
      <c r="AC14" s="25">
        <f t="shared" si="9"/>
        <v>5000</v>
      </c>
      <c r="AD14" s="25">
        <f t="shared" si="9"/>
        <v>5000</v>
      </c>
      <c r="AE14" s="25">
        <f t="shared" si="9"/>
        <v>5000</v>
      </c>
      <c r="AF14" s="25">
        <f t="shared" si="10"/>
        <v>5000</v>
      </c>
      <c r="AG14" s="25">
        <f t="shared" si="10"/>
        <v>5000</v>
      </c>
      <c r="AH14" s="25">
        <f t="shared" si="10"/>
        <v>5000</v>
      </c>
      <c r="AI14" s="25">
        <f t="shared" si="10"/>
        <v>5000</v>
      </c>
      <c r="AJ14" s="25">
        <f t="shared" si="10"/>
        <v>5000</v>
      </c>
      <c r="AK14" s="25">
        <f t="shared" si="10"/>
        <v>5000</v>
      </c>
      <c r="AL14" s="25">
        <f t="shared" si="10"/>
        <v>5000</v>
      </c>
      <c r="AM14" s="25">
        <f t="shared" si="10"/>
        <v>5000</v>
      </c>
      <c r="AN14" s="25">
        <f t="shared" si="10"/>
        <v>5000</v>
      </c>
      <c r="AO14" s="25">
        <f t="shared" si="10"/>
        <v>5000</v>
      </c>
      <c r="AP14" s="25">
        <f t="shared" si="11"/>
        <v>5000</v>
      </c>
      <c r="AQ14" s="25">
        <f t="shared" si="11"/>
        <v>5000</v>
      </c>
      <c r="AR14" s="25">
        <f t="shared" si="11"/>
        <v>5000</v>
      </c>
      <c r="AS14" s="25">
        <f t="shared" si="11"/>
        <v>5000</v>
      </c>
      <c r="AT14" s="25">
        <f t="shared" si="11"/>
        <v>5000</v>
      </c>
      <c r="AU14" s="25">
        <f t="shared" si="11"/>
        <v>5000</v>
      </c>
      <c r="AV14" s="25">
        <f t="shared" si="11"/>
        <v>5000</v>
      </c>
      <c r="AW14" s="25">
        <f t="shared" si="11"/>
        <v>5000</v>
      </c>
      <c r="AX14" s="25">
        <f t="shared" si="11"/>
        <v>5000</v>
      </c>
      <c r="AY14" s="25">
        <f t="shared" si="11"/>
        <v>5000</v>
      </c>
      <c r="AZ14" s="25">
        <f t="shared" si="12"/>
        <v>5000</v>
      </c>
      <c r="BA14" s="25">
        <f t="shared" si="12"/>
        <v>5000</v>
      </c>
      <c r="BB14" s="25">
        <f t="shared" si="12"/>
        <v>5000</v>
      </c>
      <c r="BC14" s="25">
        <f t="shared" si="12"/>
        <v>5000</v>
      </c>
      <c r="BD14" s="25">
        <f t="shared" si="12"/>
        <v>5000</v>
      </c>
      <c r="BE14" s="25">
        <f t="shared" si="12"/>
        <v>5000</v>
      </c>
      <c r="BF14" s="25">
        <f t="shared" si="12"/>
        <v>5000</v>
      </c>
      <c r="BG14" s="25">
        <f t="shared" si="12"/>
        <v>5000</v>
      </c>
      <c r="BH14" s="25">
        <f t="shared" si="12"/>
        <v>5000</v>
      </c>
      <c r="BI14" s="25">
        <f t="shared" si="12"/>
        <v>5000</v>
      </c>
      <c r="BJ14" s="25">
        <f t="shared" si="13"/>
        <v>5000</v>
      </c>
      <c r="BK14" s="25">
        <f t="shared" si="13"/>
        <v>5000</v>
      </c>
      <c r="BL14" s="25">
        <f t="shared" si="13"/>
        <v>5000</v>
      </c>
      <c r="BM14" s="25">
        <f t="shared" si="13"/>
        <v>5000</v>
      </c>
      <c r="BN14" s="25">
        <f t="shared" si="13"/>
        <v>5000</v>
      </c>
      <c r="BO14" s="25">
        <f t="shared" si="13"/>
        <v>5000</v>
      </c>
      <c r="BP14" s="25">
        <f t="shared" si="13"/>
        <v>5000</v>
      </c>
      <c r="BQ14" s="25">
        <f t="shared" si="13"/>
        <v>5000</v>
      </c>
      <c r="BR14" s="25">
        <f t="shared" si="13"/>
        <v>5000</v>
      </c>
      <c r="BS14" s="25">
        <f t="shared" si="13"/>
        <v>5000</v>
      </c>
      <c r="BT14" s="25">
        <f t="shared" si="14"/>
        <v>5000</v>
      </c>
      <c r="BU14" s="25">
        <f t="shared" si="14"/>
        <v>5000</v>
      </c>
      <c r="BV14" s="25">
        <f t="shared" si="14"/>
        <v>5000</v>
      </c>
      <c r="BW14" s="25">
        <f t="shared" si="14"/>
        <v>5000</v>
      </c>
      <c r="BX14" s="25">
        <f t="shared" si="14"/>
        <v>5000</v>
      </c>
      <c r="BY14" s="25">
        <f t="shared" si="14"/>
        <v>5000</v>
      </c>
      <c r="BZ14" s="25">
        <f t="shared" si="14"/>
        <v>5000</v>
      </c>
      <c r="CA14" s="25">
        <f t="shared" si="14"/>
        <v>5000</v>
      </c>
      <c r="CB14" s="25">
        <f t="shared" si="14"/>
        <v>5000</v>
      </c>
      <c r="CC14" s="25">
        <f t="shared" si="14"/>
        <v>5000</v>
      </c>
      <c r="CD14" s="25">
        <f t="shared" si="15"/>
        <v>5000</v>
      </c>
      <c r="CE14" s="25">
        <f t="shared" si="15"/>
        <v>5000</v>
      </c>
      <c r="CF14" s="25">
        <f t="shared" si="15"/>
        <v>5000</v>
      </c>
      <c r="CG14" s="25">
        <f t="shared" si="15"/>
        <v>5000</v>
      </c>
      <c r="CH14" s="25">
        <f t="shared" si="15"/>
        <v>5000</v>
      </c>
      <c r="CI14" s="25">
        <f t="shared" si="15"/>
        <v>5000</v>
      </c>
      <c r="CJ14" s="25">
        <f t="shared" si="15"/>
        <v>5000</v>
      </c>
      <c r="CK14" s="25">
        <f t="shared" si="15"/>
        <v>5000</v>
      </c>
      <c r="CL14" s="25">
        <f t="shared" si="15"/>
        <v>5000</v>
      </c>
      <c r="CM14" s="25">
        <f t="shared" si="15"/>
        <v>5000</v>
      </c>
      <c r="CN14" s="25">
        <f t="shared" si="16"/>
        <v>5000</v>
      </c>
      <c r="CO14" s="25">
        <f t="shared" si="16"/>
        <v>5000</v>
      </c>
      <c r="CP14" s="25">
        <f t="shared" si="16"/>
        <v>5000</v>
      </c>
      <c r="CQ14" s="25">
        <f t="shared" si="16"/>
        <v>5000</v>
      </c>
      <c r="CR14" s="25">
        <f t="shared" si="16"/>
        <v>5000</v>
      </c>
      <c r="CS14" s="25">
        <f t="shared" si="16"/>
        <v>5000</v>
      </c>
      <c r="CT14" s="25">
        <f t="shared" si="16"/>
        <v>5000</v>
      </c>
      <c r="CU14" s="25">
        <f t="shared" si="16"/>
        <v>5000</v>
      </c>
      <c r="CV14" s="25">
        <f t="shared" si="16"/>
        <v>5000</v>
      </c>
      <c r="CW14" s="25">
        <f t="shared" si="16"/>
        <v>5000</v>
      </c>
      <c r="CX14" s="25">
        <f t="shared" si="17"/>
        <v>5000</v>
      </c>
      <c r="CY14" s="25">
        <f t="shared" si="17"/>
        <v>5000</v>
      </c>
      <c r="CZ14" s="25">
        <f t="shared" si="17"/>
        <v>5000</v>
      </c>
      <c r="DA14" s="25">
        <f t="shared" si="17"/>
        <v>5000</v>
      </c>
      <c r="DB14" s="25">
        <f t="shared" si="17"/>
        <v>5000</v>
      </c>
      <c r="DC14" s="25">
        <f t="shared" si="17"/>
        <v>5000</v>
      </c>
      <c r="DD14" s="25">
        <f t="shared" si="17"/>
        <v>5000</v>
      </c>
      <c r="DE14" s="25">
        <f t="shared" si="17"/>
        <v>5000</v>
      </c>
      <c r="DF14" s="25">
        <f t="shared" si="17"/>
        <v>5000</v>
      </c>
      <c r="DG14" s="25">
        <f t="shared" si="17"/>
        <v>5000</v>
      </c>
      <c r="DH14" s="25">
        <f t="shared" si="18"/>
        <v>5000</v>
      </c>
      <c r="DI14" s="25">
        <f t="shared" si="18"/>
        <v>5000</v>
      </c>
      <c r="DJ14" s="25">
        <f t="shared" si="18"/>
        <v>5000</v>
      </c>
      <c r="DK14" s="25">
        <f t="shared" si="18"/>
        <v>5000</v>
      </c>
      <c r="DL14" s="25">
        <f t="shared" si="18"/>
        <v>5000</v>
      </c>
      <c r="DM14" s="25">
        <f t="shared" si="18"/>
        <v>5000</v>
      </c>
      <c r="DN14" s="25">
        <f t="shared" si="18"/>
        <v>5000</v>
      </c>
      <c r="DO14" s="25">
        <f t="shared" si="18"/>
        <v>5000</v>
      </c>
      <c r="DP14" s="25">
        <f t="shared" si="18"/>
        <v>5000</v>
      </c>
      <c r="DQ14" s="25">
        <f t="shared" si="18"/>
        <v>5000</v>
      </c>
      <c r="DR14" s="25">
        <f t="shared" si="19"/>
        <v>5000</v>
      </c>
      <c r="DS14" s="25">
        <f t="shared" si="19"/>
        <v>5000</v>
      </c>
      <c r="DT14" s="25">
        <f t="shared" si="19"/>
        <v>5000</v>
      </c>
      <c r="DU14" s="25">
        <f t="shared" si="19"/>
        <v>5000</v>
      </c>
      <c r="DV14" s="25">
        <f t="shared" si="19"/>
        <v>5000</v>
      </c>
      <c r="DW14" s="25">
        <f t="shared" si="19"/>
        <v>5000</v>
      </c>
      <c r="DX14" s="25">
        <f t="shared" si="19"/>
        <v>5000</v>
      </c>
      <c r="DY14" s="25">
        <f t="shared" si="19"/>
        <v>5000</v>
      </c>
      <c r="DZ14" s="25">
        <f t="shared" si="19"/>
        <v>5000</v>
      </c>
      <c r="EA14" s="25">
        <f t="shared" si="19"/>
        <v>5000</v>
      </c>
      <c r="EB14" s="25">
        <f t="shared" si="20"/>
        <v>5000</v>
      </c>
      <c r="EC14" s="25">
        <f t="shared" si="20"/>
        <v>5000</v>
      </c>
      <c r="ED14" s="25">
        <f t="shared" si="20"/>
        <v>5000</v>
      </c>
      <c r="EE14" s="25">
        <f t="shared" si="20"/>
        <v>5000</v>
      </c>
      <c r="EF14" s="25">
        <f t="shared" si="20"/>
        <v>5000</v>
      </c>
      <c r="EG14" s="25">
        <f t="shared" si="20"/>
        <v>5000</v>
      </c>
      <c r="EH14" s="25">
        <f t="shared" si="20"/>
        <v>5000</v>
      </c>
      <c r="EI14" s="25">
        <f t="shared" si="20"/>
        <v>5000</v>
      </c>
      <c r="EJ14" s="25">
        <f t="shared" si="20"/>
        <v>5000</v>
      </c>
      <c r="EK14" s="25">
        <f t="shared" si="20"/>
        <v>5000</v>
      </c>
      <c r="EL14" s="25">
        <f t="shared" si="20"/>
        <v>5000</v>
      </c>
      <c r="EM14" s="25">
        <f t="shared" si="20"/>
        <v>5000</v>
      </c>
      <c r="EO14" s="20"/>
      <c r="EP14" s="20"/>
      <c r="EQ14" s="22">
        <f>E14</f>
        <v>2500</v>
      </c>
      <c r="ER14" s="21">
        <f>D14</f>
        <v>25</v>
      </c>
      <c r="ES14" s="20"/>
      <c r="ET14" s="20"/>
      <c r="EU14" s="20"/>
      <c r="EV14" s="27">
        <f>(EV$3&gt;=$ER14)*$EQ14</f>
        <v>0</v>
      </c>
      <c r="EW14" s="27">
        <f t="shared" si="21"/>
        <v>0</v>
      </c>
      <c r="EX14" s="27">
        <f t="shared" si="21"/>
        <v>0</v>
      </c>
      <c r="EY14" s="27">
        <f t="shared" si="21"/>
        <v>0</v>
      </c>
      <c r="EZ14" s="27">
        <f t="shared" si="21"/>
        <v>0</v>
      </c>
      <c r="FA14" s="27">
        <f t="shared" si="21"/>
        <v>0</v>
      </c>
      <c r="FB14" s="27">
        <f t="shared" si="21"/>
        <v>0</v>
      </c>
      <c r="FC14" s="27">
        <f t="shared" si="21"/>
        <v>0</v>
      </c>
      <c r="FD14" s="27">
        <f t="shared" si="21"/>
        <v>0</v>
      </c>
      <c r="FE14" s="27">
        <f t="shared" si="21"/>
        <v>0</v>
      </c>
      <c r="FF14" s="27">
        <f t="shared" si="21"/>
        <v>0</v>
      </c>
      <c r="FG14" s="27">
        <f t="shared" si="21"/>
        <v>0</v>
      </c>
      <c r="FH14" s="27">
        <f t="shared" si="21"/>
        <v>0</v>
      </c>
      <c r="FI14" s="27">
        <f t="shared" si="21"/>
        <v>0</v>
      </c>
      <c r="FJ14" s="27">
        <f t="shared" si="21"/>
        <v>0</v>
      </c>
      <c r="FK14" s="27">
        <f t="shared" si="21"/>
        <v>0</v>
      </c>
      <c r="FL14" s="27">
        <f t="shared" si="21"/>
        <v>0</v>
      </c>
      <c r="FM14" s="27">
        <f t="shared" si="21"/>
        <v>0</v>
      </c>
      <c r="FN14" s="27">
        <f t="shared" si="21"/>
        <v>0</v>
      </c>
      <c r="FO14" s="27">
        <f t="shared" si="21"/>
        <v>0</v>
      </c>
      <c r="FP14" s="27">
        <f t="shared" si="21"/>
        <v>0</v>
      </c>
      <c r="FQ14" s="27">
        <f t="shared" si="21"/>
        <v>0</v>
      </c>
      <c r="FR14" s="27">
        <f t="shared" si="21"/>
        <v>0</v>
      </c>
      <c r="FS14" s="27">
        <f t="shared" si="21"/>
        <v>0</v>
      </c>
      <c r="FT14" s="27">
        <f t="shared" si="21"/>
        <v>2500</v>
      </c>
      <c r="FU14" s="27">
        <f t="shared" si="21"/>
        <v>2500</v>
      </c>
      <c r="FV14" s="27">
        <f t="shared" si="21"/>
        <v>2500</v>
      </c>
      <c r="FW14" s="27">
        <f t="shared" si="21"/>
        <v>2500</v>
      </c>
      <c r="FX14" s="27">
        <f t="shared" si="21"/>
        <v>2500</v>
      </c>
      <c r="FY14" s="27">
        <f t="shared" si="21"/>
        <v>2500</v>
      </c>
      <c r="FZ14" s="27">
        <f t="shared" si="21"/>
        <v>2500</v>
      </c>
      <c r="GA14" s="27">
        <f t="shared" si="21"/>
        <v>2500</v>
      </c>
      <c r="GB14" s="27">
        <f t="shared" si="21"/>
        <v>2500</v>
      </c>
      <c r="GC14" s="27">
        <f t="shared" si="21"/>
        <v>2500</v>
      </c>
      <c r="GD14" s="27">
        <f t="shared" si="21"/>
        <v>2500</v>
      </c>
      <c r="GE14" s="27">
        <f t="shared" si="21"/>
        <v>2500</v>
      </c>
      <c r="GF14" s="27">
        <f t="shared" si="21"/>
        <v>2500</v>
      </c>
      <c r="GG14" s="27">
        <f t="shared" si="21"/>
        <v>2500</v>
      </c>
      <c r="GH14" s="27">
        <f t="shared" si="21"/>
        <v>2500</v>
      </c>
      <c r="GI14" s="27">
        <f t="shared" si="21"/>
        <v>2500</v>
      </c>
      <c r="GJ14" s="27">
        <f t="shared" si="21"/>
        <v>2500</v>
      </c>
      <c r="GK14" s="27">
        <f t="shared" si="21"/>
        <v>2500</v>
      </c>
      <c r="GL14" s="27">
        <f t="shared" si="21"/>
        <v>2500</v>
      </c>
      <c r="GM14" s="27">
        <f t="shared" si="21"/>
        <v>2500</v>
      </c>
      <c r="GN14" s="27">
        <f t="shared" si="21"/>
        <v>2500</v>
      </c>
      <c r="GO14" s="27">
        <f t="shared" si="21"/>
        <v>2500</v>
      </c>
      <c r="GP14" s="27">
        <f t="shared" si="21"/>
        <v>2500</v>
      </c>
      <c r="GQ14" s="27">
        <f t="shared" si="21"/>
        <v>2500</v>
      </c>
      <c r="GR14" s="27">
        <f t="shared" si="21"/>
        <v>2500</v>
      </c>
      <c r="GS14" s="27">
        <f t="shared" si="21"/>
        <v>2500</v>
      </c>
      <c r="GT14" s="27">
        <f t="shared" si="21"/>
        <v>2500</v>
      </c>
      <c r="GU14" s="27">
        <f t="shared" si="21"/>
        <v>2500</v>
      </c>
      <c r="GV14" s="27">
        <f t="shared" si="21"/>
        <v>2500</v>
      </c>
      <c r="GW14" s="27">
        <f t="shared" si="21"/>
        <v>2500</v>
      </c>
      <c r="GX14" s="27">
        <f t="shared" si="21"/>
        <v>2500</v>
      </c>
      <c r="GY14" s="27">
        <f t="shared" si="21"/>
        <v>2500</v>
      </c>
      <c r="GZ14" s="27">
        <f t="shared" si="21"/>
        <v>2500</v>
      </c>
      <c r="HA14" s="27">
        <f t="shared" si="21"/>
        <v>2500</v>
      </c>
      <c r="HB14" s="27">
        <f t="shared" si="21"/>
        <v>2500</v>
      </c>
      <c r="HC14" s="27">
        <f t="shared" si="21"/>
        <v>2500</v>
      </c>
      <c r="HD14" s="27">
        <f t="shared" si="21"/>
        <v>2500</v>
      </c>
      <c r="HE14" s="27">
        <f t="shared" si="21"/>
        <v>2500</v>
      </c>
      <c r="HF14" s="27">
        <f t="shared" si="21"/>
        <v>2500</v>
      </c>
      <c r="HG14" s="27">
        <f t="shared" si="21"/>
        <v>2500</v>
      </c>
      <c r="HH14" s="27">
        <f t="shared" si="21"/>
        <v>2500</v>
      </c>
      <c r="HI14" s="27">
        <f t="shared" si="22"/>
        <v>2500</v>
      </c>
      <c r="HJ14" s="27">
        <f t="shared" si="22"/>
        <v>2500</v>
      </c>
      <c r="HK14" s="27">
        <f t="shared" si="22"/>
        <v>2500</v>
      </c>
      <c r="HL14" s="27">
        <f t="shared" si="22"/>
        <v>2500</v>
      </c>
      <c r="HM14" s="27">
        <f t="shared" si="22"/>
        <v>2500</v>
      </c>
      <c r="HN14" s="27">
        <f t="shared" si="22"/>
        <v>2500</v>
      </c>
      <c r="HO14" s="27">
        <f t="shared" si="22"/>
        <v>2500</v>
      </c>
      <c r="HP14" s="27">
        <f t="shared" si="22"/>
        <v>2500</v>
      </c>
      <c r="HQ14" s="27">
        <f t="shared" si="22"/>
        <v>2500</v>
      </c>
      <c r="HR14" s="27">
        <f t="shared" si="22"/>
        <v>2500</v>
      </c>
      <c r="HS14" s="27">
        <f t="shared" si="22"/>
        <v>2500</v>
      </c>
      <c r="HT14" s="27">
        <f t="shared" si="22"/>
        <v>2500</v>
      </c>
      <c r="HU14" s="27">
        <f t="shared" si="22"/>
        <v>2500</v>
      </c>
      <c r="HV14" s="27">
        <f t="shared" si="22"/>
        <v>2500</v>
      </c>
      <c r="HW14" s="27">
        <f t="shared" si="22"/>
        <v>2500</v>
      </c>
      <c r="HX14" s="27">
        <f t="shared" si="22"/>
        <v>2500</v>
      </c>
      <c r="HY14" s="27">
        <f t="shared" si="22"/>
        <v>2500</v>
      </c>
      <c r="HZ14" s="27">
        <f t="shared" si="22"/>
        <v>2500</v>
      </c>
      <c r="IA14" s="27">
        <f t="shared" si="22"/>
        <v>2500</v>
      </c>
      <c r="IB14" s="27">
        <f t="shared" si="22"/>
        <v>2500</v>
      </c>
      <c r="IC14" s="27">
        <f t="shared" si="22"/>
        <v>2500</v>
      </c>
      <c r="ID14" s="27">
        <f t="shared" si="22"/>
        <v>2500</v>
      </c>
      <c r="IE14" s="27">
        <f t="shared" si="22"/>
        <v>2500</v>
      </c>
      <c r="IF14" s="27">
        <f t="shared" si="22"/>
        <v>2500</v>
      </c>
      <c r="IG14" s="27">
        <f t="shared" si="22"/>
        <v>2500</v>
      </c>
      <c r="IH14" s="27">
        <f t="shared" si="22"/>
        <v>2500</v>
      </c>
      <c r="II14" s="27">
        <f t="shared" si="22"/>
        <v>2500</v>
      </c>
      <c r="IJ14" s="27">
        <f t="shared" si="22"/>
        <v>2500</v>
      </c>
      <c r="IK14" s="27">
        <f t="shared" si="22"/>
        <v>2500</v>
      </c>
      <c r="IL14" s="27">
        <f t="shared" si="22"/>
        <v>2500</v>
      </c>
      <c r="IM14" s="27">
        <f t="shared" si="22"/>
        <v>2500</v>
      </c>
      <c r="IN14" s="27">
        <f t="shared" si="22"/>
        <v>2500</v>
      </c>
      <c r="IO14" s="27">
        <f t="shared" si="22"/>
        <v>2500</v>
      </c>
      <c r="IP14" s="27">
        <f t="shared" si="22"/>
        <v>2500</v>
      </c>
      <c r="IQ14" s="27">
        <f t="shared" si="22"/>
        <v>2500</v>
      </c>
      <c r="IR14" s="27">
        <f t="shared" si="22"/>
        <v>2500</v>
      </c>
      <c r="IS14" s="27">
        <f t="shared" si="22"/>
        <v>2500</v>
      </c>
      <c r="IT14" s="27">
        <f t="shared" si="22"/>
        <v>2500</v>
      </c>
      <c r="IU14" s="27">
        <f t="shared" si="22"/>
        <v>2500</v>
      </c>
      <c r="IV14" s="27">
        <f t="shared" si="22"/>
        <v>2500</v>
      </c>
      <c r="IW14" s="27">
        <f t="shared" si="22"/>
        <v>2500</v>
      </c>
      <c r="IX14" s="27">
        <f t="shared" si="22"/>
        <v>2500</v>
      </c>
      <c r="IY14" s="27">
        <f t="shared" si="22"/>
        <v>2500</v>
      </c>
      <c r="IZ14" s="27">
        <f t="shared" si="22"/>
        <v>2500</v>
      </c>
      <c r="JA14" s="27">
        <f t="shared" si="22"/>
        <v>2500</v>
      </c>
      <c r="JB14" s="27">
        <f t="shared" si="22"/>
        <v>2500</v>
      </c>
      <c r="JC14" s="27">
        <f t="shared" si="22"/>
        <v>2500</v>
      </c>
      <c r="JD14" s="27">
        <f t="shared" si="22"/>
        <v>2500</v>
      </c>
      <c r="JE14" s="27">
        <f t="shared" si="22"/>
        <v>2500</v>
      </c>
      <c r="JF14" s="27">
        <f t="shared" si="22"/>
        <v>2500</v>
      </c>
      <c r="JG14" s="27">
        <f t="shared" si="22"/>
        <v>2500</v>
      </c>
      <c r="JH14" s="27">
        <f t="shared" si="22"/>
        <v>2500</v>
      </c>
      <c r="JI14" s="27">
        <f t="shared" si="22"/>
        <v>2500</v>
      </c>
      <c r="JJ14" s="27">
        <f t="shared" si="22"/>
        <v>2500</v>
      </c>
      <c r="JK14" s="27">
        <f t="shared" si="22"/>
        <v>2500</v>
      </c>
      <c r="JL14" s="27">
        <f t="shared" si="22"/>
        <v>2500</v>
      </c>
      <c r="JM14" s="27">
        <f t="shared" si="22"/>
        <v>2500</v>
      </c>
      <c r="JN14" s="27">
        <f t="shared" si="22"/>
        <v>2500</v>
      </c>
      <c r="JO14" s="27">
        <f t="shared" si="22"/>
        <v>2500</v>
      </c>
      <c r="JP14" s="27">
        <f t="shared" si="22"/>
        <v>2500</v>
      </c>
      <c r="JQ14" s="27">
        <f t="shared" si="22"/>
        <v>2500</v>
      </c>
      <c r="JR14" s="27">
        <f t="shared" si="22"/>
        <v>2500</v>
      </c>
      <c r="JS14" s="27">
        <f t="shared" si="22"/>
        <v>2500</v>
      </c>
      <c r="JT14" s="27">
        <f t="shared" si="22"/>
        <v>2500</v>
      </c>
      <c r="JU14" s="27">
        <f t="shared" si="23"/>
        <v>2500</v>
      </c>
      <c r="JV14" s="27">
        <f t="shared" si="23"/>
        <v>2500</v>
      </c>
      <c r="JW14" s="27">
        <f t="shared" si="23"/>
        <v>2500</v>
      </c>
    </row>
    <row r="15" spans="1:283" x14ac:dyDescent="0.2">
      <c r="B15" s="107"/>
      <c r="C15" s="52"/>
      <c r="D15" s="52"/>
      <c r="E15" s="61">
        <f>SUM(E12:E14)</f>
        <v>5750</v>
      </c>
      <c r="F15" s="60">
        <f>MIN(F12:F14)</f>
        <v>15</v>
      </c>
      <c r="G15" s="108">
        <f>SUMPRODUCT(G12:G14,I12:I14)/I15</f>
        <v>1.4122885129118433E-2</v>
      </c>
      <c r="H15" s="109">
        <f>I15/E15</f>
        <v>24.413043478260871</v>
      </c>
      <c r="I15" s="51">
        <f>SUM(I12:I14)</f>
        <v>140375</v>
      </c>
      <c r="K15" s="24"/>
      <c r="L15" s="24">
        <f t="shared" ref="L15:AQ15" si="24">SUM(L12:L14)</f>
        <v>0</v>
      </c>
      <c r="M15" s="24">
        <f t="shared" si="24"/>
        <v>0</v>
      </c>
      <c r="N15" s="24">
        <f t="shared" si="24"/>
        <v>0</v>
      </c>
      <c r="O15" s="24">
        <f t="shared" si="24"/>
        <v>0</v>
      </c>
      <c r="P15" s="24">
        <f t="shared" si="24"/>
        <v>0</v>
      </c>
      <c r="Q15" s="24">
        <f t="shared" si="24"/>
        <v>0</v>
      </c>
      <c r="R15" s="24">
        <f t="shared" si="24"/>
        <v>0</v>
      </c>
      <c r="S15" s="24">
        <f t="shared" si="24"/>
        <v>0</v>
      </c>
      <c r="T15" s="24">
        <f t="shared" si="24"/>
        <v>0</v>
      </c>
      <c r="U15" s="24">
        <f t="shared" si="24"/>
        <v>0</v>
      </c>
      <c r="V15" s="24">
        <f t="shared" si="24"/>
        <v>0</v>
      </c>
      <c r="W15" s="24">
        <f t="shared" si="24"/>
        <v>0</v>
      </c>
      <c r="X15" s="24">
        <f t="shared" si="24"/>
        <v>0</v>
      </c>
      <c r="Y15" s="24">
        <f t="shared" si="24"/>
        <v>0</v>
      </c>
      <c r="Z15" s="24">
        <f t="shared" si="24"/>
        <v>8125</v>
      </c>
      <c r="AA15" s="24">
        <f t="shared" si="24"/>
        <v>8125</v>
      </c>
      <c r="AB15" s="24">
        <f t="shared" si="24"/>
        <v>8125</v>
      </c>
      <c r="AC15" s="24">
        <f t="shared" si="24"/>
        <v>11697.916666666666</v>
      </c>
      <c r="AD15" s="24">
        <f t="shared" si="24"/>
        <v>11697.916666666666</v>
      </c>
      <c r="AE15" s="24">
        <f t="shared" si="24"/>
        <v>11697.916666666666</v>
      </c>
      <c r="AF15" s="24">
        <f t="shared" si="24"/>
        <v>11697.916666666666</v>
      </c>
      <c r="AG15" s="24">
        <f t="shared" si="24"/>
        <v>11697.916666666666</v>
      </c>
      <c r="AH15" s="24">
        <f t="shared" si="24"/>
        <v>11697.916666666666</v>
      </c>
      <c r="AI15" s="24">
        <f t="shared" si="24"/>
        <v>11697.916666666666</v>
      </c>
      <c r="AJ15" s="24">
        <f t="shared" si="24"/>
        <v>11697.916666666666</v>
      </c>
      <c r="AK15" s="24">
        <f t="shared" si="24"/>
        <v>11697.916666666666</v>
      </c>
      <c r="AL15" s="24">
        <f t="shared" si="24"/>
        <v>11791.666666666666</v>
      </c>
      <c r="AM15" s="24">
        <f t="shared" si="24"/>
        <v>11791.666666666666</v>
      </c>
      <c r="AN15" s="24">
        <f t="shared" si="24"/>
        <v>11791.666666666666</v>
      </c>
      <c r="AO15" s="24">
        <f t="shared" si="24"/>
        <v>11863.125</v>
      </c>
      <c r="AP15" s="24">
        <f t="shared" si="24"/>
        <v>11863.125</v>
      </c>
      <c r="AQ15" s="24">
        <f t="shared" si="24"/>
        <v>11863.125</v>
      </c>
      <c r="AR15" s="24">
        <f t="shared" ref="AR15:BW15" si="25">SUM(AR12:AR14)</f>
        <v>11863.125</v>
      </c>
      <c r="AS15" s="24">
        <f t="shared" si="25"/>
        <v>11863.125</v>
      </c>
      <c r="AT15" s="24">
        <f t="shared" si="25"/>
        <v>11863.125</v>
      </c>
      <c r="AU15" s="24">
        <f t="shared" si="25"/>
        <v>11863.125</v>
      </c>
      <c r="AV15" s="24">
        <f t="shared" si="25"/>
        <v>11863.125</v>
      </c>
      <c r="AW15" s="24">
        <f t="shared" si="25"/>
        <v>11863.125</v>
      </c>
      <c r="AX15" s="24">
        <f t="shared" si="25"/>
        <v>11959.6875</v>
      </c>
      <c r="AY15" s="24">
        <f t="shared" si="25"/>
        <v>11959.6875</v>
      </c>
      <c r="AZ15" s="24">
        <f t="shared" si="25"/>
        <v>11959.6875</v>
      </c>
      <c r="BA15" s="24">
        <f t="shared" si="25"/>
        <v>12032.575000000001</v>
      </c>
      <c r="BB15" s="24">
        <f t="shared" si="25"/>
        <v>12032.575000000001</v>
      </c>
      <c r="BC15" s="24">
        <f t="shared" si="25"/>
        <v>12032.575000000001</v>
      </c>
      <c r="BD15" s="24">
        <f t="shared" si="25"/>
        <v>12032.575000000001</v>
      </c>
      <c r="BE15" s="24">
        <f t="shared" si="25"/>
        <v>12032.575000000001</v>
      </c>
      <c r="BF15" s="24">
        <f t="shared" si="25"/>
        <v>12032.575000000001</v>
      </c>
      <c r="BG15" s="24">
        <f t="shared" si="25"/>
        <v>12032.575000000001</v>
      </c>
      <c r="BH15" s="24">
        <f t="shared" si="25"/>
        <v>12032.575000000001</v>
      </c>
      <c r="BI15" s="24">
        <f t="shared" si="25"/>
        <v>12032.575000000001</v>
      </c>
      <c r="BJ15" s="24">
        <f t="shared" si="25"/>
        <v>12132.034374999999</v>
      </c>
      <c r="BK15" s="24">
        <f t="shared" si="25"/>
        <v>12132.034374999999</v>
      </c>
      <c r="BL15" s="24">
        <f t="shared" si="25"/>
        <v>12132.034374999999</v>
      </c>
      <c r="BM15" s="24">
        <f t="shared" si="25"/>
        <v>12206.379625</v>
      </c>
      <c r="BN15" s="24">
        <f t="shared" si="25"/>
        <v>12206.379625</v>
      </c>
      <c r="BO15" s="24">
        <f t="shared" si="25"/>
        <v>12206.379625</v>
      </c>
      <c r="BP15" s="24">
        <f t="shared" si="25"/>
        <v>12206.379625</v>
      </c>
      <c r="BQ15" s="24">
        <f t="shared" si="25"/>
        <v>12206.379625</v>
      </c>
      <c r="BR15" s="24">
        <f t="shared" si="25"/>
        <v>12206.379625</v>
      </c>
      <c r="BS15" s="24">
        <f t="shared" si="25"/>
        <v>12206.379625</v>
      </c>
      <c r="BT15" s="24">
        <f t="shared" si="25"/>
        <v>12206.379625</v>
      </c>
      <c r="BU15" s="24">
        <f t="shared" si="25"/>
        <v>12206.379625</v>
      </c>
      <c r="BV15" s="24">
        <f t="shared" si="25"/>
        <v>12308.822781249999</v>
      </c>
      <c r="BW15" s="24">
        <f t="shared" si="25"/>
        <v>12308.822781249999</v>
      </c>
      <c r="BX15" s="24">
        <f t="shared" ref="BX15:DC15" si="26">SUM(BX12:BX14)</f>
        <v>12308.822781249999</v>
      </c>
      <c r="BY15" s="24">
        <f t="shared" si="26"/>
        <v>12384.654936249999</v>
      </c>
      <c r="BZ15" s="24">
        <f t="shared" si="26"/>
        <v>12384.654936249999</v>
      </c>
      <c r="CA15" s="24">
        <f t="shared" si="26"/>
        <v>12384.654936249999</v>
      </c>
      <c r="CB15" s="24">
        <f t="shared" si="26"/>
        <v>12384.654936249999</v>
      </c>
      <c r="CC15" s="24">
        <f t="shared" si="26"/>
        <v>12384.654936249999</v>
      </c>
      <c r="CD15" s="24">
        <f t="shared" si="26"/>
        <v>12384.654936249999</v>
      </c>
      <c r="CE15" s="24">
        <f t="shared" si="26"/>
        <v>12384.654936249999</v>
      </c>
      <c r="CF15" s="24">
        <f t="shared" si="26"/>
        <v>12384.654936249999</v>
      </c>
      <c r="CG15" s="24">
        <f t="shared" si="26"/>
        <v>12384.654936249999</v>
      </c>
      <c r="CH15" s="24">
        <f t="shared" si="26"/>
        <v>12490.1713871875</v>
      </c>
      <c r="CI15" s="24">
        <f t="shared" si="26"/>
        <v>12490.1713871875</v>
      </c>
      <c r="CJ15" s="24">
        <f t="shared" si="26"/>
        <v>12490.1713871875</v>
      </c>
      <c r="CK15" s="24">
        <f t="shared" si="26"/>
        <v>12567.5201852875</v>
      </c>
      <c r="CL15" s="24">
        <f t="shared" si="26"/>
        <v>12567.5201852875</v>
      </c>
      <c r="CM15" s="24">
        <f t="shared" si="26"/>
        <v>12567.5201852875</v>
      </c>
      <c r="CN15" s="24">
        <f t="shared" si="26"/>
        <v>12567.5201852875</v>
      </c>
      <c r="CO15" s="24">
        <f t="shared" si="26"/>
        <v>12567.5201852875</v>
      </c>
      <c r="CP15" s="24">
        <f t="shared" si="26"/>
        <v>12567.5201852875</v>
      </c>
      <c r="CQ15" s="24">
        <f t="shared" si="26"/>
        <v>12567.5201852875</v>
      </c>
      <c r="CR15" s="24">
        <f t="shared" si="26"/>
        <v>12567.5201852875</v>
      </c>
      <c r="CS15" s="24">
        <f t="shared" si="26"/>
        <v>12567.5201852875</v>
      </c>
      <c r="CT15" s="24">
        <f t="shared" si="26"/>
        <v>12676.202129753125</v>
      </c>
      <c r="CU15" s="24">
        <f t="shared" si="26"/>
        <v>12676.202129753125</v>
      </c>
      <c r="CV15" s="24">
        <f t="shared" si="26"/>
        <v>12676.202129753125</v>
      </c>
      <c r="CW15" s="24">
        <f t="shared" si="26"/>
        <v>12755.097903815124</v>
      </c>
      <c r="CX15" s="24">
        <f t="shared" si="26"/>
        <v>12755.097903815124</v>
      </c>
      <c r="CY15" s="24">
        <f t="shared" si="26"/>
        <v>12755.097903815124</v>
      </c>
      <c r="CZ15" s="24">
        <f t="shared" si="26"/>
        <v>12755.097903815124</v>
      </c>
      <c r="DA15" s="24">
        <f t="shared" si="26"/>
        <v>12755.097903815124</v>
      </c>
      <c r="DB15" s="24">
        <f t="shared" si="26"/>
        <v>12755.097903815124</v>
      </c>
      <c r="DC15" s="24">
        <f t="shared" si="26"/>
        <v>12755.097903815124</v>
      </c>
      <c r="DD15" s="24">
        <f t="shared" ref="DD15:EI15" si="27">SUM(DD12:DD14)</f>
        <v>12755.097903815124</v>
      </c>
      <c r="DE15" s="24">
        <f t="shared" si="27"/>
        <v>12755.097903815124</v>
      </c>
      <c r="DF15" s="24">
        <f t="shared" si="27"/>
        <v>12867.040306614719</v>
      </c>
      <c r="DG15" s="24">
        <f t="shared" si="27"/>
        <v>12867.040306614719</v>
      </c>
      <c r="DH15" s="24">
        <f t="shared" si="27"/>
        <v>12867.040306614719</v>
      </c>
      <c r="DI15" s="24">
        <f t="shared" si="27"/>
        <v>12947.513996157957</v>
      </c>
      <c r="DJ15" s="24">
        <f t="shared" si="27"/>
        <v>12947.513996157957</v>
      </c>
      <c r="DK15" s="24">
        <f t="shared" si="27"/>
        <v>12947.513996157957</v>
      </c>
      <c r="DL15" s="24">
        <f t="shared" si="27"/>
        <v>12947.513996157957</v>
      </c>
      <c r="DM15" s="24">
        <f t="shared" si="27"/>
        <v>12947.513996157957</v>
      </c>
      <c r="DN15" s="24">
        <f t="shared" si="27"/>
        <v>12947.513996157957</v>
      </c>
      <c r="DO15" s="24">
        <f t="shared" si="27"/>
        <v>12947.513996157957</v>
      </c>
      <c r="DP15" s="24">
        <f t="shared" si="27"/>
        <v>12947.513996157957</v>
      </c>
      <c r="DQ15" s="24">
        <f t="shared" si="27"/>
        <v>12947.513996157957</v>
      </c>
      <c r="DR15" s="24">
        <f t="shared" si="27"/>
        <v>13062.814671041539</v>
      </c>
      <c r="DS15" s="24">
        <f t="shared" si="27"/>
        <v>13062.814671041539</v>
      </c>
      <c r="DT15" s="24">
        <f t="shared" si="27"/>
        <v>13062.814671041539</v>
      </c>
      <c r="DU15" s="24">
        <f t="shared" si="27"/>
        <v>13144.897834375644</v>
      </c>
      <c r="DV15" s="24">
        <f t="shared" si="27"/>
        <v>13144.897834375644</v>
      </c>
      <c r="DW15" s="24">
        <f t="shared" si="27"/>
        <v>13144.897834375644</v>
      </c>
      <c r="DX15" s="24">
        <f t="shared" si="27"/>
        <v>13144.897834375644</v>
      </c>
      <c r="DY15" s="24">
        <f t="shared" si="27"/>
        <v>13144.897834375644</v>
      </c>
      <c r="DZ15" s="24">
        <f t="shared" si="27"/>
        <v>13144.897834375644</v>
      </c>
      <c r="EA15" s="24">
        <f t="shared" si="27"/>
        <v>13144.897834375644</v>
      </c>
      <c r="EB15" s="24">
        <f t="shared" si="27"/>
        <v>13144.897834375644</v>
      </c>
      <c r="EC15" s="24">
        <f t="shared" si="27"/>
        <v>13144.897834375644</v>
      </c>
      <c r="ED15" s="24">
        <f t="shared" si="27"/>
        <v>13263.657529505734</v>
      </c>
      <c r="EE15" s="24">
        <f t="shared" si="27"/>
        <v>13263.657529505734</v>
      </c>
      <c r="EF15" s="24">
        <f t="shared" si="27"/>
        <v>13263.657529505734</v>
      </c>
      <c r="EG15" s="24">
        <f t="shared" si="27"/>
        <v>13347.38235610652</v>
      </c>
      <c r="EH15" s="24">
        <f t="shared" si="27"/>
        <v>13347.38235610652</v>
      </c>
      <c r="EI15" s="24">
        <f t="shared" si="27"/>
        <v>13347.38235610652</v>
      </c>
      <c r="EJ15" s="24">
        <f t="shared" ref="EJ15:EM15" si="28">SUM(EJ12:EJ14)</f>
        <v>13347.38235610652</v>
      </c>
      <c r="EK15" s="24">
        <f t="shared" si="28"/>
        <v>13347.38235610652</v>
      </c>
      <c r="EL15" s="24">
        <f t="shared" si="28"/>
        <v>13347.38235610652</v>
      </c>
      <c r="EM15" s="24">
        <f t="shared" si="28"/>
        <v>13347.38235610652</v>
      </c>
      <c r="EO15" s="20"/>
      <c r="EP15" s="20"/>
      <c r="EQ15" s="29"/>
      <c r="ER15" s="20"/>
      <c r="ES15" s="20"/>
      <c r="ET15" s="20"/>
      <c r="EU15" s="20"/>
      <c r="EV15" s="22">
        <f t="shared" ref="EV15:GA15" si="29">SUM(EV12:EV14)</f>
        <v>0</v>
      </c>
      <c r="EW15" s="22">
        <f t="shared" si="29"/>
        <v>0</v>
      </c>
      <c r="EX15" s="22">
        <f t="shared" si="29"/>
        <v>0</v>
      </c>
      <c r="EY15" s="22">
        <f t="shared" si="29"/>
        <v>0</v>
      </c>
      <c r="EZ15" s="22">
        <f t="shared" si="29"/>
        <v>0</v>
      </c>
      <c r="FA15" s="22">
        <f t="shared" si="29"/>
        <v>0</v>
      </c>
      <c r="FB15" s="22">
        <f t="shared" si="29"/>
        <v>0</v>
      </c>
      <c r="FC15" s="22">
        <f t="shared" si="29"/>
        <v>0</v>
      </c>
      <c r="FD15" s="22">
        <f t="shared" si="29"/>
        <v>0</v>
      </c>
      <c r="FE15" s="22">
        <f t="shared" si="29"/>
        <v>0</v>
      </c>
      <c r="FF15" s="22">
        <f t="shared" si="29"/>
        <v>0</v>
      </c>
      <c r="FG15" s="22">
        <f t="shared" si="29"/>
        <v>1500</v>
      </c>
      <c r="FH15" s="22">
        <f t="shared" si="29"/>
        <v>1500</v>
      </c>
      <c r="FI15" s="22">
        <f t="shared" si="29"/>
        <v>1500</v>
      </c>
      <c r="FJ15" s="22">
        <f t="shared" si="29"/>
        <v>3250</v>
      </c>
      <c r="FK15" s="22">
        <f t="shared" si="29"/>
        <v>3250</v>
      </c>
      <c r="FL15" s="22">
        <f t="shared" si="29"/>
        <v>3250</v>
      </c>
      <c r="FM15" s="22">
        <f t="shared" si="29"/>
        <v>3250</v>
      </c>
      <c r="FN15" s="22">
        <f t="shared" si="29"/>
        <v>3250</v>
      </c>
      <c r="FO15" s="22">
        <f t="shared" si="29"/>
        <v>3250</v>
      </c>
      <c r="FP15" s="22">
        <f t="shared" si="29"/>
        <v>3250</v>
      </c>
      <c r="FQ15" s="22">
        <f t="shared" si="29"/>
        <v>3250</v>
      </c>
      <c r="FR15" s="22">
        <f t="shared" si="29"/>
        <v>3250</v>
      </c>
      <c r="FS15" s="22">
        <f t="shared" si="29"/>
        <v>3250</v>
      </c>
      <c r="FT15" s="22">
        <f t="shared" si="29"/>
        <v>5750</v>
      </c>
      <c r="FU15" s="22">
        <f t="shared" si="29"/>
        <v>5750</v>
      </c>
      <c r="FV15" s="22">
        <f t="shared" si="29"/>
        <v>5750</v>
      </c>
      <c r="FW15" s="22">
        <f t="shared" si="29"/>
        <v>5750</v>
      </c>
      <c r="FX15" s="22">
        <f t="shared" si="29"/>
        <v>5750</v>
      </c>
      <c r="FY15" s="22">
        <f t="shared" si="29"/>
        <v>5750</v>
      </c>
      <c r="FZ15" s="22">
        <f t="shared" si="29"/>
        <v>5750</v>
      </c>
      <c r="GA15" s="22">
        <f t="shared" si="29"/>
        <v>5750</v>
      </c>
      <c r="GB15" s="22">
        <f t="shared" ref="GB15:HG15" si="30">SUM(GB12:GB14)</f>
        <v>5750</v>
      </c>
      <c r="GC15" s="22">
        <f t="shared" si="30"/>
        <v>5750</v>
      </c>
      <c r="GD15" s="22">
        <f t="shared" si="30"/>
        <v>5750</v>
      </c>
      <c r="GE15" s="22">
        <f t="shared" si="30"/>
        <v>5750</v>
      </c>
      <c r="GF15" s="22">
        <f t="shared" si="30"/>
        <v>5750</v>
      </c>
      <c r="GG15" s="22">
        <f t="shared" si="30"/>
        <v>5750</v>
      </c>
      <c r="GH15" s="22">
        <f t="shared" si="30"/>
        <v>5750</v>
      </c>
      <c r="GI15" s="22">
        <f t="shared" si="30"/>
        <v>5750</v>
      </c>
      <c r="GJ15" s="22">
        <f t="shared" si="30"/>
        <v>5750</v>
      </c>
      <c r="GK15" s="22">
        <f t="shared" si="30"/>
        <v>5750</v>
      </c>
      <c r="GL15" s="22">
        <f t="shared" si="30"/>
        <v>5750</v>
      </c>
      <c r="GM15" s="22">
        <f t="shared" si="30"/>
        <v>5750</v>
      </c>
      <c r="GN15" s="22">
        <f t="shared" si="30"/>
        <v>5750</v>
      </c>
      <c r="GO15" s="22">
        <f t="shared" si="30"/>
        <v>5750</v>
      </c>
      <c r="GP15" s="22">
        <f t="shared" si="30"/>
        <v>5750</v>
      </c>
      <c r="GQ15" s="22">
        <f t="shared" si="30"/>
        <v>5750</v>
      </c>
      <c r="GR15" s="22">
        <f t="shared" si="30"/>
        <v>5750</v>
      </c>
      <c r="GS15" s="22">
        <f t="shared" si="30"/>
        <v>5750</v>
      </c>
      <c r="GT15" s="22">
        <f t="shared" si="30"/>
        <v>5750</v>
      </c>
      <c r="GU15" s="22">
        <f t="shared" si="30"/>
        <v>5750</v>
      </c>
      <c r="GV15" s="22">
        <f t="shared" si="30"/>
        <v>5750</v>
      </c>
      <c r="GW15" s="22">
        <f t="shared" si="30"/>
        <v>5750</v>
      </c>
      <c r="GX15" s="22">
        <f t="shared" si="30"/>
        <v>5750</v>
      </c>
      <c r="GY15" s="22">
        <f t="shared" si="30"/>
        <v>5750</v>
      </c>
      <c r="GZ15" s="22">
        <f t="shared" si="30"/>
        <v>5750</v>
      </c>
      <c r="HA15" s="22">
        <f t="shared" si="30"/>
        <v>5750</v>
      </c>
      <c r="HB15" s="22">
        <f t="shared" si="30"/>
        <v>5750</v>
      </c>
      <c r="HC15" s="22">
        <f t="shared" si="30"/>
        <v>5750</v>
      </c>
      <c r="HD15" s="22">
        <f t="shared" si="30"/>
        <v>5750</v>
      </c>
      <c r="HE15" s="22">
        <f t="shared" si="30"/>
        <v>5750</v>
      </c>
      <c r="HF15" s="22">
        <f t="shared" si="30"/>
        <v>5750</v>
      </c>
      <c r="HG15" s="22">
        <f t="shared" si="30"/>
        <v>5750</v>
      </c>
      <c r="HH15" s="22">
        <f t="shared" ref="HH15:IM15" si="31">SUM(HH12:HH14)</f>
        <v>5750</v>
      </c>
      <c r="HI15" s="22">
        <f t="shared" si="31"/>
        <v>5750</v>
      </c>
      <c r="HJ15" s="22">
        <f t="shared" si="31"/>
        <v>5750</v>
      </c>
      <c r="HK15" s="22">
        <f t="shared" si="31"/>
        <v>5750</v>
      </c>
      <c r="HL15" s="22">
        <f t="shared" si="31"/>
        <v>5750</v>
      </c>
      <c r="HM15" s="22">
        <f t="shared" si="31"/>
        <v>5750</v>
      </c>
      <c r="HN15" s="22">
        <f t="shared" si="31"/>
        <v>5750</v>
      </c>
      <c r="HO15" s="22">
        <f t="shared" si="31"/>
        <v>5750</v>
      </c>
      <c r="HP15" s="22">
        <f t="shared" si="31"/>
        <v>5750</v>
      </c>
      <c r="HQ15" s="22">
        <f t="shared" si="31"/>
        <v>5750</v>
      </c>
      <c r="HR15" s="22">
        <f t="shared" si="31"/>
        <v>5750</v>
      </c>
      <c r="HS15" s="22">
        <f t="shared" si="31"/>
        <v>5750</v>
      </c>
      <c r="HT15" s="22">
        <f t="shared" si="31"/>
        <v>5750</v>
      </c>
      <c r="HU15" s="22">
        <f t="shared" si="31"/>
        <v>5750</v>
      </c>
      <c r="HV15" s="22">
        <f t="shared" si="31"/>
        <v>5750</v>
      </c>
      <c r="HW15" s="22">
        <f t="shared" si="31"/>
        <v>5750</v>
      </c>
      <c r="HX15" s="22">
        <f t="shared" si="31"/>
        <v>5750</v>
      </c>
      <c r="HY15" s="22">
        <f t="shared" si="31"/>
        <v>5750</v>
      </c>
      <c r="HZ15" s="22">
        <f t="shared" si="31"/>
        <v>5750</v>
      </c>
      <c r="IA15" s="22">
        <f t="shared" si="31"/>
        <v>5750</v>
      </c>
      <c r="IB15" s="22">
        <f t="shared" si="31"/>
        <v>5750</v>
      </c>
      <c r="IC15" s="22">
        <f t="shared" si="31"/>
        <v>5750</v>
      </c>
      <c r="ID15" s="22">
        <f t="shared" si="31"/>
        <v>5750</v>
      </c>
      <c r="IE15" s="22">
        <f t="shared" si="31"/>
        <v>5750</v>
      </c>
      <c r="IF15" s="22">
        <f t="shared" si="31"/>
        <v>5750</v>
      </c>
      <c r="IG15" s="22">
        <f t="shared" si="31"/>
        <v>5750</v>
      </c>
      <c r="IH15" s="22">
        <f t="shared" si="31"/>
        <v>5750</v>
      </c>
      <c r="II15" s="22">
        <f t="shared" si="31"/>
        <v>5750</v>
      </c>
      <c r="IJ15" s="22">
        <f t="shared" si="31"/>
        <v>5750</v>
      </c>
      <c r="IK15" s="22">
        <f t="shared" si="31"/>
        <v>5750</v>
      </c>
      <c r="IL15" s="22">
        <f t="shared" si="31"/>
        <v>5750</v>
      </c>
      <c r="IM15" s="22">
        <f t="shared" si="31"/>
        <v>5750</v>
      </c>
      <c r="IN15" s="22">
        <f t="shared" ref="IN15:JS15" si="32">SUM(IN12:IN14)</f>
        <v>5750</v>
      </c>
      <c r="IO15" s="22">
        <f t="shared" si="32"/>
        <v>5750</v>
      </c>
      <c r="IP15" s="22">
        <f t="shared" si="32"/>
        <v>5750</v>
      </c>
      <c r="IQ15" s="22">
        <f t="shared" si="32"/>
        <v>5750</v>
      </c>
      <c r="IR15" s="22">
        <f t="shared" si="32"/>
        <v>5750</v>
      </c>
      <c r="IS15" s="22">
        <f t="shared" si="32"/>
        <v>5750</v>
      </c>
      <c r="IT15" s="22">
        <f t="shared" si="32"/>
        <v>5750</v>
      </c>
      <c r="IU15" s="22">
        <f t="shared" si="32"/>
        <v>5750</v>
      </c>
      <c r="IV15" s="22">
        <f t="shared" si="32"/>
        <v>5750</v>
      </c>
      <c r="IW15" s="22">
        <f t="shared" si="32"/>
        <v>5750</v>
      </c>
      <c r="IX15" s="22">
        <f t="shared" si="32"/>
        <v>5750</v>
      </c>
      <c r="IY15" s="22">
        <f t="shared" si="32"/>
        <v>5750</v>
      </c>
      <c r="IZ15" s="22">
        <f t="shared" si="32"/>
        <v>5750</v>
      </c>
      <c r="JA15" s="22">
        <f t="shared" si="32"/>
        <v>5750</v>
      </c>
      <c r="JB15" s="22">
        <f t="shared" si="32"/>
        <v>5750</v>
      </c>
      <c r="JC15" s="22">
        <f t="shared" si="32"/>
        <v>5750</v>
      </c>
      <c r="JD15" s="22">
        <f t="shared" si="32"/>
        <v>5750</v>
      </c>
      <c r="JE15" s="22">
        <f t="shared" si="32"/>
        <v>5750</v>
      </c>
      <c r="JF15" s="22">
        <f t="shared" si="32"/>
        <v>5750</v>
      </c>
      <c r="JG15" s="22">
        <f t="shared" si="32"/>
        <v>5750</v>
      </c>
      <c r="JH15" s="22">
        <f t="shared" si="32"/>
        <v>5750</v>
      </c>
      <c r="JI15" s="22">
        <f t="shared" si="32"/>
        <v>5750</v>
      </c>
      <c r="JJ15" s="22">
        <f t="shared" si="32"/>
        <v>5750</v>
      </c>
      <c r="JK15" s="22">
        <f t="shared" si="32"/>
        <v>5750</v>
      </c>
      <c r="JL15" s="22">
        <f t="shared" si="32"/>
        <v>5750</v>
      </c>
      <c r="JM15" s="22">
        <f t="shared" si="32"/>
        <v>5750</v>
      </c>
      <c r="JN15" s="22">
        <f t="shared" si="32"/>
        <v>5750</v>
      </c>
      <c r="JO15" s="22">
        <f t="shared" si="32"/>
        <v>5750</v>
      </c>
      <c r="JP15" s="22">
        <f t="shared" si="32"/>
        <v>5750</v>
      </c>
      <c r="JQ15" s="22">
        <f t="shared" si="32"/>
        <v>5750</v>
      </c>
      <c r="JR15" s="22">
        <f t="shared" si="32"/>
        <v>5750</v>
      </c>
      <c r="JS15" s="22">
        <f t="shared" si="32"/>
        <v>5750</v>
      </c>
      <c r="JT15" s="22">
        <f t="shared" ref="JT15:JW15" si="33">SUM(JT12:JT14)</f>
        <v>5750</v>
      </c>
      <c r="JU15" s="22">
        <f t="shared" si="33"/>
        <v>5750</v>
      </c>
      <c r="JV15" s="22">
        <f t="shared" si="33"/>
        <v>5750</v>
      </c>
      <c r="JW15" s="22">
        <f t="shared" si="33"/>
        <v>5750</v>
      </c>
    </row>
    <row r="16" spans="1:283" ht="16.5" x14ac:dyDescent="0.35">
      <c r="B16" s="107"/>
      <c r="C16" s="52"/>
      <c r="D16" s="52"/>
      <c r="E16" s="52"/>
      <c r="F16" s="71"/>
      <c r="G16" s="110"/>
      <c r="H16" s="110"/>
      <c r="I16" s="110"/>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4"/>
      <c r="DA16" s="24"/>
      <c r="DB16" s="24"/>
      <c r="DC16" s="24"/>
      <c r="DD16" s="24"/>
      <c r="DE16" s="24"/>
      <c r="DF16" s="24"/>
      <c r="DG16" s="24"/>
      <c r="DH16" s="24"/>
      <c r="DI16" s="24"/>
      <c r="DJ16" s="24"/>
      <c r="DK16" s="24"/>
      <c r="DL16" s="24"/>
      <c r="DM16" s="24"/>
      <c r="DN16" s="24"/>
      <c r="DO16" s="24"/>
      <c r="DP16" s="24"/>
      <c r="DQ16" s="24"/>
      <c r="DR16" s="24"/>
      <c r="DS16" s="24"/>
      <c r="DT16" s="24"/>
      <c r="DU16" s="24"/>
      <c r="DV16" s="24"/>
      <c r="DW16" s="24"/>
      <c r="DX16" s="24"/>
      <c r="DY16" s="24"/>
      <c r="DZ16" s="24"/>
      <c r="EA16" s="24"/>
      <c r="EB16" s="24"/>
      <c r="EC16" s="24"/>
      <c r="ED16" s="24"/>
      <c r="EE16" s="24"/>
      <c r="EF16" s="24"/>
      <c r="EG16" s="24"/>
      <c r="EH16" s="24"/>
      <c r="EI16" s="24"/>
      <c r="EJ16" s="24"/>
      <c r="EK16" s="24"/>
      <c r="EL16" s="24"/>
      <c r="EM16" s="24"/>
      <c r="EO16" s="86"/>
      <c r="EP16" s="86"/>
      <c r="EQ16" s="86"/>
      <c r="ER16" s="86"/>
      <c r="ES16" s="86"/>
      <c r="ET16" s="86"/>
      <c r="EU16" s="86"/>
      <c r="EV16" s="86"/>
      <c r="EW16" s="86"/>
      <c r="EX16" s="86"/>
      <c r="EY16" s="86"/>
      <c r="EZ16" s="86"/>
      <c r="FA16" s="86"/>
      <c r="FB16" s="86"/>
      <c r="FC16" s="86"/>
      <c r="FD16" s="86"/>
      <c r="FE16" s="86"/>
      <c r="FF16" s="86"/>
      <c r="FG16" s="86"/>
      <c r="FH16" s="86"/>
      <c r="FI16" s="86"/>
      <c r="FJ16" s="86"/>
      <c r="FK16" s="86"/>
      <c r="FL16" s="86"/>
      <c r="FM16" s="86"/>
      <c r="FN16" s="86"/>
      <c r="FO16" s="86"/>
      <c r="FP16" s="86"/>
      <c r="FQ16" s="86"/>
      <c r="FR16" s="86"/>
      <c r="FS16" s="86"/>
      <c r="FT16" s="86"/>
      <c r="FU16" s="86"/>
      <c r="FV16" s="86"/>
      <c r="FW16" s="86"/>
      <c r="FX16" s="86"/>
      <c r="FY16" s="86"/>
      <c r="FZ16" s="86"/>
      <c r="GA16" s="86"/>
      <c r="GB16" s="86"/>
      <c r="GC16" s="86"/>
      <c r="GD16" s="86"/>
      <c r="GE16" s="86"/>
      <c r="GF16" s="86"/>
      <c r="GG16" s="86"/>
      <c r="GH16" s="86"/>
      <c r="GI16" s="86"/>
      <c r="GJ16" s="86"/>
      <c r="GK16" s="86"/>
      <c r="GL16" s="86"/>
      <c r="GM16" s="86"/>
      <c r="GN16" s="86"/>
      <c r="GO16" s="86"/>
      <c r="GP16" s="86"/>
      <c r="GQ16" s="86"/>
      <c r="GR16" s="86"/>
      <c r="GS16" s="86"/>
      <c r="GT16" s="86"/>
      <c r="GU16" s="86"/>
      <c r="GV16" s="86"/>
      <c r="GW16" s="86"/>
      <c r="GX16" s="86"/>
      <c r="GY16" s="86"/>
      <c r="GZ16" s="86"/>
      <c r="HA16" s="86"/>
      <c r="HB16" s="86"/>
      <c r="HC16" s="86"/>
      <c r="HD16" s="86"/>
      <c r="HE16" s="86"/>
      <c r="HF16" s="86"/>
      <c r="HG16" s="86"/>
      <c r="HH16" s="86"/>
      <c r="HI16" s="86"/>
      <c r="HJ16" s="86"/>
      <c r="HK16" s="86"/>
      <c r="HL16" s="86"/>
      <c r="HM16" s="86"/>
      <c r="HN16" s="86"/>
      <c r="HO16" s="86"/>
      <c r="HP16" s="86"/>
      <c r="HQ16" s="86"/>
      <c r="HR16" s="86"/>
      <c r="HS16" s="86"/>
      <c r="HT16" s="86"/>
      <c r="HU16" s="86"/>
      <c r="HV16" s="86"/>
      <c r="HW16" s="86"/>
      <c r="HX16" s="86"/>
      <c r="HY16" s="86"/>
      <c r="HZ16" s="86"/>
      <c r="IA16" s="86"/>
      <c r="IB16" s="86"/>
      <c r="IC16" s="86"/>
      <c r="ID16" s="86"/>
      <c r="IE16" s="86"/>
      <c r="IF16" s="86"/>
      <c r="IG16" s="86"/>
      <c r="IH16" s="86"/>
      <c r="II16" s="86"/>
      <c r="IJ16" s="86"/>
      <c r="IK16" s="86"/>
      <c r="IL16" s="86"/>
      <c r="IM16" s="86"/>
      <c r="IN16" s="86"/>
      <c r="IO16" s="86"/>
      <c r="IP16" s="86"/>
      <c r="IQ16" s="86"/>
      <c r="IR16" s="86"/>
      <c r="IS16" s="86"/>
      <c r="IT16" s="86"/>
      <c r="IU16" s="86"/>
      <c r="IV16" s="86"/>
      <c r="IW16" s="86"/>
      <c r="IX16" s="86"/>
      <c r="IY16" s="86"/>
      <c r="IZ16" s="86"/>
      <c r="JA16" s="86"/>
      <c r="JB16" s="86"/>
      <c r="JC16" s="86"/>
      <c r="JD16" s="86"/>
      <c r="JE16" s="86"/>
      <c r="JF16" s="86"/>
      <c r="JG16" s="86"/>
      <c r="JH16" s="86"/>
      <c r="JI16" s="86"/>
      <c r="JJ16" s="86"/>
      <c r="JK16" s="86"/>
      <c r="JL16" s="86"/>
      <c r="JM16" s="86"/>
      <c r="JN16" s="86"/>
      <c r="JO16" s="86"/>
      <c r="JP16" s="86"/>
      <c r="JQ16" s="86"/>
      <c r="JR16" s="86"/>
      <c r="JS16" s="86"/>
      <c r="JT16" s="86"/>
      <c r="JU16" s="86"/>
      <c r="JV16" s="86"/>
      <c r="JW16" s="86"/>
    </row>
    <row r="17" spans="1:143" ht="16.5" x14ac:dyDescent="0.35">
      <c r="B17" s="111" t="s">
        <v>308</v>
      </c>
      <c r="C17" s="53"/>
      <c r="D17" s="53"/>
      <c r="E17" s="91" t="s">
        <v>310</v>
      </c>
      <c r="F17" s="53" t="s">
        <v>300</v>
      </c>
      <c r="G17" s="65" t="s">
        <v>309</v>
      </c>
      <c r="H17" s="65" t="str">
        <f>"REC./"&amp;Unit_Type&amp;"/YR"</f>
        <v>REC./SF/YR</v>
      </c>
      <c r="I17" s="110" t="s">
        <v>119</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F17" s="24"/>
      <c r="EG17" s="24"/>
      <c r="EH17" s="24"/>
      <c r="EI17" s="24"/>
      <c r="EJ17" s="24"/>
      <c r="EK17" s="24"/>
      <c r="EL17" s="24"/>
      <c r="EM17" s="24"/>
    </row>
    <row r="18" spans="1:143" x14ac:dyDescent="0.2">
      <c r="B18" s="92" t="str">
        <f>C12</f>
        <v>Yummy Juice</v>
      </c>
      <c r="C18" s="48"/>
      <c r="D18" s="48"/>
      <c r="E18" s="58">
        <f>D12</f>
        <v>12</v>
      </c>
      <c r="F18" s="69">
        <v>1</v>
      </c>
      <c r="G18" s="67">
        <f>E12/Units_Retail</f>
        <v>0.2608695652173913</v>
      </c>
      <c r="H18" s="109">
        <f>IFERROR(I18/E12,0)</f>
        <v>11.363636363636363</v>
      </c>
      <c r="I18" s="112">
        <f>F18*G18*$I$33</f>
        <v>17045.454545454544</v>
      </c>
      <c r="K18" s="24"/>
      <c r="L18" s="24">
        <f t="shared" ref="L18:U20" si="34">(L$3&gt;=$E18)*$G18*$F18*L$33</f>
        <v>0</v>
      </c>
      <c r="M18" s="24">
        <f t="shared" si="34"/>
        <v>0</v>
      </c>
      <c r="N18" s="24">
        <f t="shared" si="34"/>
        <v>0</v>
      </c>
      <c r="O18" s="24">
        <f t="shared" si="34"/>
        <v>0</v>
      </c>
      <c r="P18" s="24">
        <f t="shared" si="34"/>
        <v>0</v>
      </c>
      <c r="Q18" s="24">
        <f t="shared" si="34"/>
        <v>0</v>
      </c>
      <c r="R18" s="24">
        <f t="shared" si="34"/>
        <v>0</v>
      </c>
      <c r="S18" s="24">
        <f t="shared" si="34"/>
        <v>0</v>
      </c>
      <c r="T18" s="24">
        <f t="shared" si="34"/>
        <v>0</v>
      </c>
      <c r="U18" s="24">
        <f t="shared" si="34"/>
        <v>0</v>
      </c>
      <c r="V18" s="24">
        <f t="shared" ref="V18:AE20" si="35">(V$3&gt;=$E18)*$G18*$F18*V$33</f>
        <v>0</v>
      </c>
      <c r="W18" s="24">
        <f t="shared" si="35"/>
        <v>370.55335968379444</v>
      </c>
      <c r="X18" s="24">
        <f t="shared" si="35"/>
        <v>370.55335968379444</v>
      </c>
      <c r="Y18" s="24">
        <f t="shared" si="35"/>
        <v>370.55335968379444</v>
      </c>
      <c r="Z18" s="24">
        <f t="shared" si="35"/>
        <v>802.86561264822114</v>
      </c>
      <c r="AA18" s="24">
        <f t="shared" si="35"/>
        <v>802.86561264822114</v>
      </c>
      <c r="AB18" s="24">
        <f t="shared" si="35"/>
        <v>802.86561264822114</v>
      </c>
      <c r="AC18" s="24">
        <f t="shared" si="35"/>
        <v>802.86561264822114</v>
      </c>
      <c r="AD18" s="24">
        <f t="shared" si="35"/>
        <v>802.86561264822114</v>
      </c>
      <c r="AE18" s="24">
        <f t="shared" si="35"/>
        <v>802.86561264822114</v>
      </c>
      <c r="AF18" s="24">
        <f t="shared" ref="AF18:AO20" si="36">(AF$3&gt;=$E18)*$G18*$F18*AF$33</f>
        <v>802.86561264822114</v>
      </c>
      <c r="AG18" s="24">
        <f t="shared" si="36"/>
        <v>802.86561264822114</v>
      </c>
      <c r="AH18" s="24">
        <f t="shared" si="36"/>
        <v>802.86561264822114</v>
      </c>
      <c r="AI18" s="24">
        <f t="shared" si="36"/>
        <v>802.86561264822114</v>
      </c>
      <c r="AJ18" s="24">
        <f t="shared" si="36"/>
        <v>1420.4545454545453</v>
      </c>
      <c r="AK18" s="24">
        <f t="shared" si="36"/>
        <v>1420.4545454545453</v>
      </c>
      <c r="AL18" s="24">
        <f t="shared" si="36"/>
        <v>1420.4545454545453</v>
      </c>
      <c r="AM18" s="24">
        <f t="shared" si="36"/>
        <v>1420.4545454545453</v>
      </c>
      <c r="AN18" s="24">
        <f t="shared" si="36"/>
        <v>1420.4545454545453</v>
      </c>
      <c r="AO18" s="24">
        <f t="shared" si="36"/>
        <v>1420.4545454545453</v>
      </c>
      <c r="AP18" s="24">
        <f t="shared" ref="AP18:AY20" si="37">(AP$3&gt;=$E18)*$G18*$F18*AP$33</f>
        <v>1420.4545454545453</v>
      </c>
      <c r="AQ18" s="24">
        <f t="shared" si="37"/>
        <v>1420.4545454545453</v>
      </c>
      <c r="AR18" s="24">
        <f t="shared" si="37"/>
        <v>1420.4545454545453</v>
      </c>
      <c r="AS18" s="24">
        <f t="shared" si="37"/>
        <v>1420.4545454545453</v>
      </c>
      <c r="AT18" s="24">
        <f t="shared" si="37"/>
        <v>1420.4545454545453</v>
      </c>
      <c r="AU18" s="24">
        <f t="shared" si="37"/>
        <v>1420.4545454545453</v>
      </c>
      <c r="AV18" s="24">
        <f t="shared" si="37"/>
        <v>1420.4545454545453</v>
      </c>
      <c r="AW18" s="24">
        <f t="shared" si="37"/>
        <v>1420.4545454545453</v>
      </c>
      <c r="AX18" s="24">
        <f t="shared" si="37"/>
        <v>1420.4545454545453</v>
      </c>
      <c r="AY18" s="24">
        <f t="shared" si="37"/>
        <v>1420.4545454545453</v>
      </c>
      <c r="AZ18" s="24">
        <f t="shared" ref="AZ18:BI20" si="38">(AZ$3&gt;=$E18)*$G18*$F18*AZ$33</f>
        <v>1420.4545454545453</v>
      </c>
      <c r="BA18" s="24">
        <f t="shared" si="38"/>
        <v>1420.4545454545453</v>
      </c>
      <c r="BB18" s="24">
        <f t="shared" si="38"/>
        <v>1420.4545454545453</v>
      </c>
      <c r="BC18" s="24">
        <f t="shared" si="38"/>
        <v>1420.4545454545453</v>
      </c>
      <c r="BD18" s="24">
        <f t="shared" si="38"/>
        <v>1420.4545454545453</v>
      </c>
      <c r="BE18" s="24">
        <f t="shared" si="38"/>
        <v>1420.4545454545453</v>
      </c>
      <c r="BF18" s="24">
        <f t="shared" si="38"/>
        <v>1420.4545454545453</v>
      </c>
      <c r="BG18" s="24">
        <f t="shared" si="38"/>
        <v>1420.4545454545453</v>
      </c>
      <c r="BH18" s="24">
        <f t="shared" si="38"/>
        <v>1420.4545454545453</v>
      </c>
      <c r="BI18" s="24">
        <f t="shared" si="38"/>
        <v>1420.4545454545453</v>
      </c>
      <c r="BJ18" s="24">
        <f t="shared" ref="BJ18:BS20" si="39">(BJ$3&gt;=$E18)*$G18*$F18*BJ$33</f>
        <v>1420.4545454545453</v>
      </c>
      <c r="BK18" s="24">
        <f t="shared" si="39"/>
        <v>1420.4545454545453</v>
      </c>
      <c r="BL18" s="24">
        <f t="shared" si="39"/>
        <v>1420.4545454545453</v>
      </c>
      <c r="BM18" s="24">
        <f t="shared" si="39"/>
        <v>1420.4545454545453</v>
      </c>
      <c r="BN18" s="24">
        <f t="shared" si="39"/>
        <v>1420.4545454545453</v>
      </c>
      <c r="BO18" s="24">
        <f t="shared" si="39"/>
        <v>1420.4545454545453</v>
      </c>
      <c r="BP18" s="24">
        <f t="shared" si="39"/>
        <v>1420.4545454545453</v>
      </c>
      <c r="BQ18" s="24">
        <f t="shared" si="39"/>
        <v>1420.4545454545453</v>
      </c>
      <c r="BR18" s="24">
        <f t="shared" si="39"/>
        <v>1420.4545454545453</v>
      </c>
      <c r="BS18" s="24">
        <f t="shared" si="39"/>
        <v>1420.4545454545453</v>
      </c>
      <c r="BT18" s="24">
        <f t="shared" ref="BT18:CC20" si="40">(BT$3&gt;=$E18)*$G18*$F18*BT$33</f>
        <v>1420.4545454545453</v>
      </c>
      <c r="BU18" s="24">
        <f t="shared" si="40"/>
        <v>1420.4545454545453</v>
      </c>
      <c r="BV18" s="24">
        <f t="shared" si="40"/>
        <v>1420.4545454545453</v>
      </c>
      <c r="BW18" s="24">
        <f t="shared" si="40"/>
        <v>1420.4545454545453</v>
      </c>
      <c r="BX18" s="24">
        <f t="shared" si="40"/>
        <v>1420.4545454545453</v>
      </c>
      <c r="BY18" s="24">
        <f t="shared" si="40"/>
        <v>1420.4545454545453</v>
      </c>
      <c r="BZ18" s="24">
        <f t="shared" si="40"/>
        <v>1420.4545454545453</v>
      </c>
      <c r="CA18" s="24">
        <f t="shared" si="40"/>
        <v>1420.4545454545453</v>
      </c>
      <c r="CB18" s="24">
        <f t="shared" si="40"/>
        <v>1420.4545454545453</v>
      </c>
      <c r="CC18" s="24">
        <f t="shared" si="40"/>
        <v>1420.4545454545453</v>
      </c>
      <c r="CD18" s="24">
        <f t="shared" ref="CD18:CM20" si="41">(CD$3&gt;=$E18)*$G18*$F18*CD$33</f>
        <v>1420.4545454545453</v>
      </c>
      <c r="CE18" s="24">
        <f t="shared" si="41"/>
        <v>1420.4545454545453</v>
      </c>
      <c r="CF18" s="24">
        <f t="shared" si="41"/>
        <v>1420.4545454545453</v>
      </c>
      <c r="CG18" s="24">
        <f t="shared" si="41"/>
        <v>1420.4545454545453</v>
      </c>
      <c r="CH18" s="24">
        <f t="shared" si="41"/>
        <v>1420.4545454545453</v>
      </c>
      <c r="CI18" s="24">
        <f t="shared" si="41"/>
        <v>1420.4545454545453</v>
      </c>
      <c r="CJ18" s="24">
        <f t="shared" si="41"/>
        <v>1420.4545454545453</v>
      </c>
      <c r="CK18" s="24">
        <f t="shared" si="41"/>
        <v>1420.4545454545453</v>
      </c>
      <c r="CL18" s="24">
        <f t="shared" si="41"/>
        <v>1420.4545454545453</v>
      </c>
      <c r="CM18" s="24">
        <f t="shared" si="41"/>
        <v>1420.4545454545453</v>
      </c>
      <c r="CN18" s="24">
        <f t="shared" ref="CN18:CW20" si="42">(CN$3&gt;=$E18)*$G18*$F18*CN$33</f>
        <v>1420.4545454545453</v>
      </c>
      <c r="CO18" s="24">
        <f t="shared" si="42"/>
        <v>1420.4545454545453</v>
      </c>
      <c r="CP18" s="24">
        <f t="shared" si="42"/>
        <v>1420.4545454545453</v>
      </c>
      <c r="CQ18" s="24">
        <f t="shared" si="42"/>
        <v>1420.4545454545453</v>
      </c>
      <c r="CR18" s="24">
        <f t="shared" si="42"/>
        <v>1420.4545454545453</v>
      </c>
      <c r="CS18" s="24">
        <f t="shared" si="42"/>
        <v>1420.4545454545453</v>
      </c>
      <c r="CT18" s="24">
        <f t="shared" si="42"/>
        <v>1420.4545454545453</v>
      </c>
      <c r="CU18" s="24">
        <f t="shared" si="42"/>
        <v>1420.4545454545453</v>
      </c>
      <c r="CV18" s="24">
        <f t="shared" si="42"/>
        <v>1420.4545454545453</v>
      </c>
      <c r="CW18" s="24">
        <f t="shared" si="42"/>
        <v>1420.4545454545453</v>
      </c>
      <c r="CX18" s="24">
        <f t="shared" ref="CX18:DG20" si="43">(CX$3&gt;=$E18)*$G18*$F18*CX$33</f>
        <v>1420.4545454545453</v>
      </c>
      <c r="CY18" s="24">
        <f t="shared" si="43"/>
        <v>1420.4545454545453</v>
      </c>
      <c r="CZ18" s="24">
        <f t="shared" si="43"/>
        <v>1420.4545454545453</v>
      </c>
      <c r="DA18" s="24">
        <f t="shared" si="43"/>
        <v>1420.4545454545453</v>
      </c>
      <c r="DB18" s="24">
        <f t="shared" si="43"/>
        <v>1420.4545454545453</v>
      </c>
      <c r="DC18" s="24">
        <f t="shared" si="43"/>
        <v>1420.4545454545453</v>
      </c>
      <c r="DD18" s="24">
        <f t="shared" si="43"/>
        <v>1420.4545454545453</v>
      </c>
      <c r="DE18" s="24">
        <f t="shared" si="43"/>
        <v>1420.4545454545453</v>
      </c>
      <c r="DF18" s="24">
        <f t="shared" si="43"/>
        <v>1420.4545454545453</v>
      </c>
      <c r="DG18" s="24">
        <f t="shared" si="43"/>
        <v>1420.4545454545453</v>
      </c>
      <c r="DH18" s="24">
        <f t="shared" ref="DH18:DQ20" si="44">(DH$3&gt;=$E18)*$G18*$F18*DH$33</f>
        <v>1420.4545454545453</v>
      </c>
      <c r="DI18" s="24">
        <f t="shared" si="44"/>
        <v>1420.4545454545453</v>
      </c>
      <c r="DJ18" s="24">
        <f t="shared" si="44"/>
        <v>1420.4545454545453</v>
      </c>
      <c r="DK18" s="24">
        <f t="shared" si="44"/>
        <v>1420.4545454545453</v>
      </c>
      <c r="DL18" s="24">
        <f t="shared" si="44"/>
        <v>1420.4545454545453</v>
      </c>
      <c r="DM18" s="24">
        <f t="shared" si="44"/>
        <v>1420.4545454545453</v>
      </c>
      <c r="DN18" s="24">
        <f t="shared" si="44"/>
        <v>1420.4545454545453</v>
      </c>
      <c r="DO18" s="24">
        <f t="shared" si="44"/>
        <v>1420.4545454545453</v>
      </c>
      <c r="DP18" s="24">
        <f t="shared" si="44"/>
        <v>1420.4545454545453</v>
      </c>
      <c r="DQ18" s="24">
        <f t="shared" si="44"/>
        <v>1420.4545454545453</v>
      </c>
      <c r="DR18" s="24">
        <f t="shared" ref="DR18:EA20" si="45">(DR$3&gt;=$E18)*$G18*$F18*DR$33</f>
        <v>1420.4545454545453</v>
      </c>
      <c r="DS18" s="24">
        <f t="shared" si="45"/>
        <v>1420.4545454545453</v>
      </c>
      <c r="DT18" s="24">
        <f t="shared" si="45"/>
        <v>1420.4545454545453</v>
      </c>
      <c r="DU18" s="24">
        <f t="shared" si="45"/>
        <v>1420.4545454545453</v>
      </c>
      <c r="DV18" s="24">
        <f t="shared" si="45"/>
        <v>1420.4545454545453</v>
      </c>
      <c r="DW18" s="24">
        <f t="shared" si="45"/>
        <v>1420.4545454545453</v>
      </c>
      <c r="DX18" s="24">
        <f t="shared" si="45"/>
        <v>1420.4545454545453</v>
      </c>
      <c r="DY18" s="24">
        <f t="shared" si="45"/>
        <v>1420.4545454545453</v>
      </c>
      <c r="DZ18" s="24">
        <f t="shared" si="45"/>
        <v>1420.4545454545453</v>
      </c>
      <c r="EA18" s="24">
        <f t="shared" si="45"/>
        <v>1420.4545454545453</v>
      </c>
      <c r="EB18" s="24">
        <f t="shared" ref="EB18:EM20" si="46">(EB$3&gt;=$E18)*$G18*$F18*EB$33</f>
        <v>1420.4545454545453</v>
      </c>
      <c r="EC18" s="24">
        <f t="shared" si="46"/>
        <v>1420.4545454545453</v>
      </c>
      <c r="ED18" s="24">
        <f t="shared" si="46"/>
        <v>1420.4545454545453</v>
      </c>
      <c r="EE18" s="24">
        <f t="shared" si="46"/>
        <v>1420.4545454545453</v>
      </c>
      <c r="EF18" s="24">
        <f t="shared" si="46"/>
        <v>1420.4545454545453</v>
      </c>
      <c r="EG18" s="24">
        <f t="shared" si="46"/>
        <v>1420.4545454545453</v>
      </c>
      <c r="EH18" s="24">
        <f t="shared" si="46"/>
        <v>1420.4545454545453</v>
      </c>
      <c r="EI18" s="24">
        <f t="shared" si="46"/>
        <v>1420.4545454545453</v>
      </c>
      <c r="EJ18" s="24">
        <f t="shared" si="46"/>
        <v>1420.4545454545453</v>
      </c>
      <c r="EK18" s="24">
        <f t="shared" si="46"/>
        <v>1420.4545454545453</v>
      </c>
      <c r="EL18" s="24">
        <f t="shared" si="46"/>
        <v>1420.4545454545453</v>
      </c>
      <c r="EM18" s="24">
        <f t="shared" si="46"/>
        <v>1420.4545454545453</v>
      </c>
    </row>
    <row r="19" spans="1:143" x14ac:dyDescent="0.2">
      <c r="B19" s="92" t="str">
        <f>C13</f>
        <v>JoJo's Café</v>
      </c>
      <c r="C19" s="44"/>
      <c r="D19" s="44"/>
      <c r="E19" s="58">
        <f>D13</f>
        <v>15</v>
      </c>
      <c r="F19" s="69">
        <v>1</v>
      </c>
      <c r="G19" s="67">
        <f>E13/Units_Retail</f>
        <v>0.30434782608695654</v>
      </c>
      <c r="H19" s="109">
        <f>IFERROR(I19/E13,0)</f>
        <v>11.363636363636363</v>
      </c>
      <c r="I19" s="112">
        <f>F19*G19*$I$33</f>
        <v>19886.363636363636</v>
      </c>
      <c r="K19" s="24"/>
      <c r="L19" s="24">
        <f t="shared" si="34"/>
        <v>0</v>
      </c>
      <c r="M19" s="24">
        <f t="shared" si="34"/>
        <v>0</v>
      </c>
      <c r="N19" s="24">
        <f t="shared" si="34"/>
        <v>0</v>
      </c>
      <c r="O19" s="24">
        <f t="shared" si="34"/>
        <v>0</v>
      </c>
      <c r="P19" s="24">
        <f t="shared" si="34"/>
        <v>0</v>
      </c>
      <c r="Q19" s="24">
        <f t="shared" si="34"/>
        <v>0</v>
      </c>
      <c r="R19" s="24">
        <f t="shared" si="34"/>
        <v>0</v>
      </c>
      <c r="S19" s="24">
        <f t="shared" si="34"/>
        <v>0</v>
      </c>
      <c r="T19" s="24">
        <f t="shared" si="34"/>
        <v>0</v>
      </c>
      <c r="U19" s="24">
        <f t="shared" si="34"/>
        <v>0</v>
      </c>
      <c r="V19" s="24">
        <f t="shared" si="35"/>
        <v>0</v>
      </c>
      <c r="W19" s="24">
        <f t="shared" si="35"/>
        <v>0</v>
      </c>
      <c r="X19" s="24">
        <f t="shared" si="35"/>
        <v>0</v>
      </c>
      <c r="Y19" s="24">
        <f t="shared" si="35"/>
        <v>0</v>
      </c>
      <c r="Z19" s="24">
        <f t="shared" si="35"/>
        <v>936.67654808959139</v>
      </c>
      <c r="AA19" s="24">
        <f t="shared" si="35"/>
        <v>936.67654808959139</v>
      </c>
      <c r="AB19" s="24">
        <f t="shared" si="35"/>
        <v>936.67654808959139</v>
      </c>
      <c r="AC19" s="24">
        <f t="shared" si="35"/>
        <v>936.67654808959139</v>
      </c>
      <c r="AD19" s="24">
        <f t="shared" si="35"/>
        <v>936.67654808959139</v>
      </c>
      <c r="AE19" s="24">
        <f t="shared" si="35"/>
        <v>936.67654808959139</v>
      </c>
      <c r="AF19" s="24">
        <f t="shared" si="36"/>
        <v>936.67654808959139</v>
      </c>
      <c r="AG19" s="24">
        <f t="shared" si="36"/>
        <v>936.67654808959139</v>
      </c>
      <c r="AH19" s="24">
        <f t="shared" si="36"/>
        <v>936.67654808959139</v>
      </c>
      <c r="AI19" s="24">
        <f t="shared" si="36"/>
        <v>936.67654808959139</v>
      </c>
      <c r="AJ19" s="24">
        <f t="shared" si="36"/>
        <v>1657.1969696969697</v>
      </c>
      <c r="AK19" s="24">
        <f t="shared" si="36"/>
        <v>1657.1969696969697</v>
      </c>
      <c r="AL19" s="24">
        <f t="shared" si="36"/>
        <v>1657.1969696969697</v>
      </c>
      <c r="AM19" s="24">
        <f t="shared" si="36"/>
        <v>1657.1969696969697</v>
      </c>
      <c r="AN19" s="24">
        <f t="shared" si="36"/>
        <v>1657.1969696969697</v>
      </c>
      <c r="AO19" s="24">
        <f t="shared" si="36"/>
        <v>1657.1969696969697</v>
      </c>
      <c r="AP19" s="24">
        <f t="shared" si="37"/>
        <v>1657.1969696969697</v>
      </c>
      <c r="AQ19" s="24">
        <f t="shared" si="37"/>
        <v>1657.1969696969697</v>
      </c>
      <c r="AR19" s="24">
        <f t="shared" si="37"/>
        <v>1657.1969696969697</v>
      </c>
      <c r="AS19" s="24">
        <f t="shared" si="37"/>
        <v>1657.1969696969697</v>
      </c>
      <c r="AT19" s="24">
        <f t="shared" si="37"/>
        <v>1657.1969696969697</v>
      </c>
      <c r="AU19" s="24">
        <f t="shared" si="37"/>
        <v>1657.1969696969697</v>
      </c>
      <c r="AV19" s="24">
        <f t="shared" si="37"/>
        <v>1657.1969696969697</v>
      </c>
      <c r="AW19" s="24">
        <f t="shared" si="37"/>
        <v>1657.1969696969697</v>
      </c>
      <c r="AX19" s="24">
        <f t="shared" si="37"/>
        <v>1657.1969696969697</v>
      </c>
      <c r="AY19" s="24">
        <f t="shared" si="37"/>
        <v>1657.1969696969697</v>
      </c>
      <c r="AZ19" s="24">
        <f t="shared" si="38"/>
        <v>1657.1969696969697</v>
      </c>
      <c r="BA19" s="24">
        <f t="shared" si="38"/>
        <v>1657.1969696969697</v>
      </c>
      <c r="BB19" s="24">
        <f t="shared" si="38"/>
        <v>1657.1969696969697</v>
      </c>
      <c r="BC19" s="24">
        <f t="shared" si="38"/>
        <v>1657.1969696969697</v>
      </c>
      <c r="BD19" s="24">
        <f t="shared" si="38"/>
        <v>1657.1969696969697</v>
      </c>
      <c r="BE19" s="24">
        <f t="shared" si="38"/>
        <v>1657.1969696969697</v>
      </c>
      <c r="BF19" s="24">
        <f t="shared" si="38"/>
        <v>1657.1969696969697</v>
      </c>
      <c r="BG19" s="24">
        <f t="shared" si="38"/>
        <v>1657.1969696969697</v>
      </c>
      <c r="BH19" s="24">
        <f t="shared" si="38"/>
        <v>1657.1969696969697</v>
      </c>
      <c r="BI19" s="24">
        <f t="shared" si="38"/>
        <v>1657.1969696969697</v>
      </c>
      <c r="BJ19" s="24">
        <f t="shared" si="39"/>
        <v>1657.1969696969697</v>
      </c>
      <c r="BK19" s="24">
        <f t="shared" si="39"/>
        <v>1657.1969696969697</v>
      </c>
      <c r="BL19" s="24">
        <f t="shared" si="39"/>
        <v>1657.1969696969697</v>
      </c>
      <c r="BM19" s="24">
        <f t="shared" si="39"/>
        <v>1657.1969696969697</v>
      </c>
      <c r="BN19" s="24">
        <f t="shared" si="39"/>
        <v>1657.1969696969697</v>
      </c>
      <c r="BO19" s="24">
        <f t="shared" si="39"/>
        <v>1657.1969696969697</v>
      </c>
      <c r="BP19" s="24">
        <f t="shared" si="39"/>
        <v>1657.1969696969697</v>
      </c>
      <c r="BQ19" s="24">
        <f t="shared" si="39"/>
        <v>1657.1969696969697</v>
      </c>
      <c r="BR19" s="24">
        <f t="shared" si="39"/>
        <v>1657.1969696969697</v>
      </c>
      <c r="BS19" s="24">
        <f t="shared" si="39"/>
        <v>1657.1969696969697</v>
      </c>
      <c r="BT19" s="24">
        <f t="shared" si="40"/>
        <v>1657.1969696969697</v>
      </c>
      <c r="BU19" s="24">
        <f t="shared" si="40"/>
        <v>1657.1969696969697</v>
      </c>
      <c r="BV19" s="24">
        <f t="shared" si="40"/>
        <v>1657.1969696969697</v>
      </c>
      <c r="BW19" s="24">
        <f t="shared" si="40"/>
        <v>1657.1969696969697</v>
      </c>
      <c r="BX19" s="24">
        <f t="shared" si="40"/>
        <v>1657.1969696969697</v>
      </c>
      <c r="BY19" s="24">
        <f t="shared" si="40"/>
        <v>1657.1969696969697</v>
      </c>
      <c r="BZ19" s="24">
        <f t="shared" si="40"/>
        <v>1657.1969696969697</v>
      </c>
      <c r="CA19" s="24">
        <f t="shared" si="40"/>
        <v>1657.1969696969697</v>
      </c>
      <c r="CB19" s="24">
        <f t="shared" si="40"/>
        <v>1657.1969696969697</v>
      </c>
      <c r="CC19" s="24">
        <f t="shared" si="40"/>
        <v>1657.1969696969697</v>
      </c>
      <c r="CD19" s="24">
        <f t="shared" si="41"/>
        <v>1657.1969696969697</v>
      </c>
      <c r="CE19" s="24">
        <f t="shared" si="41"/>
        <v>1657.1969696969697</v>
      </c>
      <c r="CF19" s="24">
        <f t="shared" si="41"/>
        <v>1657.1969696969697</v>
      </c>
      <c r="CG19" s="24">
        <f t="shared" si="41"/>
        <v>1657.1969696969697</v>
      </c>
      <c r="CH19" s="24">
        <f t="shared" si="41"/>
        <v>1657.1969696969697</v>
      </c>
      <c r="CI19" s="24">
        <f t="shared" si="41"/>
        <v>1657.1969696969697</v>
      </c>
      <c r="CJ19" s="24">
        <f t="shared" si="41"/>
        <v>1657.1969696969697</v>
      </c>
      <c r="CK19" s="24">
        <f t="shared" si="41"/>
        <v>1657.1969696969697</v>
      </c>
      <c r="CL19" s="24">
        <f t="shared" si="41"/>
        <v>1657.1969696969697</v>
      </c>
      <c r="CM19" s="24">
        <f t="shared" si="41"/>
        <v>1657.1969696969697</v>
      </c>
      <c r="CN19" s="24">
        <f t="shared" si="42"/>
        <v>1657.1969696969697</v>
      </c>
      <c r="CO19" s="24">
        <f t="shared" si="42"/>
        <v>1657.1969696969697</v>
      </c>
      <c r="CP19" s="24">
        <f t="shared" si="42"/>
        <v>1657.1969696969697</v>
      </c>
      <c r="CQ19" s="24">
        <f t="shared" si="42"/>
        <v>1657.1969696969697</v>
      </c>
      <c r="CR19" s="24">
        <f t="shared" si="42"/>
        <v>1657.1969696969697</v>
      </c>
      <c r="CS19" s="24">
        <f t="shared" si="42"/>
        <v>1657.1969696969697</v>
      </c>
      <c r="CT19" s="24">
        <f t="shared" si="42"/>
        <v>1657.1969696969697</v>
      </c>
      <c r="CU19" s="24">
        <f t="shared" si="42"/>
        <v>1657.1969696969697</v>
      </c>
      <c r="CV19" s="24">
        <f t="shared" si="42"/>
        <v>1657.1969696969697</v>
      </c>
      <c r="CW19" s="24">
        <f t="shared" si="42"/>
        <v>1657.1969696969697</v>
      </c>
      <c r="CX19" s="24">
        <f t="shared" si="43"/>
        <v>1657.1969696969697</v>
      </c>
      <c r="CY19" s="24">
        <f t="shared" si="43"/>
        <v>1657.1969696969697</v>
      </c>
      <c r="CZ19" s="24">
        <f t="shared" si="43"/>
        <v>1657.1969696969697</v>
      </c>
      <c r="DA19" s="24">
        <f t="shared" si="43"/>
        <v>1657.1969696969697</v>
      </c>
      <c r="DB19" s="24">
        <f t="shared" si="43"/>
        <v>1657.1969696969697</v>
      </c>
      <c r="DC19" s="24">
        <f t="shared" si="43"/>
        <v>1657.1969696969697</v>
      </c>
      <c r="DD19" s="24">
        <f t="shared" si="43"/>
        <v>1657.1969696969697</v>
      </c>
      <c r="DE19" s="24">
        <f t="shared" si="43"/>
        <v>1657.1969696969697</v>
      </c>
      <c r="DF19" s="24">
        <f t="shared" si="43"/>
        <v>1657.1969696969697</v>
      </c>
      <c r="DG19" s="24">
        <f t="shared" si="43"/>
        <v>1657.1969696969697</v>
      </c>
      <c r="DH19" s="24">
        <f t="shared" si="44"/>
        <v>1657.1969696969697</v>
      </c>
      <c r="DI19" s="24">
        <f t="shared" si="44"/>
        <v>1657.1969696969697</v>
      </c>
      <c r="DJ19" s="24">
        <f t="shared" si="44"/>
        <v>1657.1969696969697</v>
      </c>
      <c r="DK19" s="24">
        <f t="shared" si="44"/>
        <v>1657.1969696969697</v>
      </c>
      <c r="DL19" s="24">
        <f t="shared" si="44"/>
        <v>1657.1969696969697</v>
      </c>
      <c r="DM19" s="24">
        <f t="shared" si="44"/>
        <v>1657.1969696969697</v>
      </c>
      <c r="DN19" s="24">
        <f t="shared" si="44"/>
        <v>1657.1969696969697</v>
      </c>
      <c r="DO19" s="24">
        <f t="shared" si="44"/>
        <v>1657.1969696969697</v>
      </c>
      <c r="DP19" s="24">
        <f t="shared" si="44"/>
        <v>1657.1969696969697</v>
      </c>
      <c r="DQ19" s="24">
        <f t="shared" si="44"/>
        <v>1657.1969696969697</v>
      </c>
      <c r="DR19" s="24">
        <f t="shared" si="45"/>
        <v>1657.1969696969697</v>
      </c>
      <c r="DS19" s="24">
        <f t="shared" si="45"/>
        <v>1657.1969696969697</v>
      </c>
      <c r="DT19" s="24">
        <f t="shared" si="45"/>
        <v>1657.1969696969697</v>
      </c>
      <c r="DU19" s="24">
        <f t="shared" si="45"/>
        <v>1657.1969696969697</v>
      </c>
      <c r="DV19" s="24">
        <f t="shared" si="45"/>
        <v>1657.1969696969697</v>
      </c>
      <c r="DW19" s="24">
        <f t="shared" si="45"/>
        <v>1657.1969696969697</v>
      </c>
      <c r="DX19" s="24">
        <f t="shared" si="45"/>
        <v>1657.1969696969697</v>
      </c>
      <c r="DY19" s="24">
        <f t="shared" si="45"/>
        <v>1657.1969696969697</v>
      </c>
      <c r="DZ19" s="24">
        <f t="shared" si="45"/>
        <v>1657.1969696969697</v>
      </c>
      <c r="EA19" s="24">
        <f t="shared" si="45"/>
        <v>1657.1969696969697</v>
      </c>
      <c r="EB19" s="24">
        <f t="shared" si="46"/>
        <v>1657.1969696969697</v>
      </c>
      <c r="EC19" s="24">
        <f t="shared" si="46"/>
        <v>1657.1969696969697</v>
      </c>
      <c r="ED19" s="24">
        <f t="shared" si="46"/>
        <v>1657.1969696969697</v>
      </c>
      <c r="EE19" s="24">
        <f t="shared" si="46"/>
        <v>1657.1969696969697</v>
      </c>
      <c r="EF19" s="24">
        <f t="shared" si="46"/>
        <v>1657.1969696969697</v>
      </c>
      <c r="EG19" s="24">
        <f t="shared" si="46"/>
        <v>1657.1969696969697</v>
      </c>
      <c r="EH19" s="24">
        <f t="shared" si="46"/>
        <v>1657.1969696969697</v>
      </c>
      <c r="EI19" s="24">
        <f t="shared" si="46"/>
        <v>1657.1969696969697</v>
      </c>
      <c r="EJ19" s="24">
        <f t="shared" si="46"/>
        <v>1657.1969696969697</v>
      </c>
      <c r="EK19" s="24">
        <f t="shared" si="46"/>
        <v>1657.1969696969697</v>
      </c>
      <c r="EL19" s="24">
        <f t="shared" si="46"/>
        <v>1657.1969696969697</v>
      </c>
      <c r="EM19" s="24">
        <f t="shared" si="46"/>
        <v>1657.1969696969697</v>
      </c>
    </row>
    <row r="20" spans="1:143" ht="16.5" x14ac:dyDescent="0.35">
      <c r="B20" s="92" t="str">
        <f>C14</f>
        <v>Cuts 'N Stuff</v>
      </c>
      <c r="C20" s="52"/>
      <c r="D20" s="52"/>
      <c r="E20" s="104">
        <f>D14</f>
        <v>25</v>
      </c>
      <c r="F20" s="69">
        <v>1</v>
      </c>
      <c r="G20" s="67">
        <f>E14/Units_Retail</f>
        <v>0.43478260869565216</v>
      </c>
      <c r="H20" s="113">
        <f>IFERROR(I20/E14,0)</f>
        <v>11.363636363636363</v>
      </c>
      <c r="I20" s="114">
        <f>F20*G20*$I$33</f>
        <v>28409.090909090908</v>
      </c>
      <c r="K20" s="25"/>
      <c r="L20" s="25">
        <f t="shared" si="34"/>
        <v>0</v>
      </c>
      <c r="M20" s="25">
        <f t="shared" si="34"/>
        <v>0</v>
      </c>
      <c r="N20" s="25">
        <f t="shared" si="34"/>
        <v>0</v>
      </c>
      <c r="O20" s="25">
        <f t="shared" si="34"/>
        <v>0</v>
      </c>
      <c r="P20" s="25">
        <f t="shared" si="34"/>
        <v>0</v>
      </c>
      <c r="Q20" s="25">
        <f t="shared" si="34"/>
        <v>0</v>
      </c>
      <c r="R20" s="25">
        <f t="shared" si="34"/>
        <v>0</v>
      </c>
      <c r="S20" s="25">
        <f t="shared" si="34"/>
        <v>0</v>
      </c>
      <c r="T20" s="25">
        <f t="shared" si="34"/>
        <v>0</v>
      </c>
      <c r="U20" s="25">
        <f t="shared" si="34"/>
        <v>0</v>
      </c>
      <c r="V20" s="25">
        <f t="shared" si="35"/>
        <v>0</v>
      </c>
      <c r="W20" s="25">
        <f t="shared" si="35"/>
        <v>0</v>
      </c>
      <c r="X20" s="25">
        <f t="shared" si="35"/>
        <v>0</v>
      </c>
      <c r="Y20" s="25">
        <f t="shared" si="35"/>
        <v>0</v>
      </c>
      <c r="Z20" s="25">
        <f t="shared" si="35"/>
        <v>0</v>
      </c>
      <c r="AA20" s="25">
        <f t="shared" si="35"/>
        <v>0</v>
      </c>
      <c r="AB20" s="25">
        <f t="shared" si="35"/>
        <v>0</v>
      </c>
      <c r="AC20" s="25">
        <f t="shared" si="35"/>
        <v>0</v>
      </c>
      <c r="AD20" s="25">
        <f t="shared" si="35"/>
        <v>0</v>
      </c>
      <c r="AE20" s="25">
        <f t="shared" si="35"/>
        <v>0</v>
      </c>
      <c r="AF20" s="25">
        <f t="shared" si="36"/>
        <v>0</v>
      </c>
      <c r="AG20" s="25">
        <f t="shared" si="36"/>
        <v>0</v>
      </c>
      <c r="AH20" s="25">
        <f t="shared" si="36"/>
        <v>0</v>
      </c>
      <c r="AI20" s="25">
        <f t="shared" si="36"/>
        <v>0</v>
      </c>
      <c r="AJ20" s="25">
        <f t="shared" si="36"/>
        <v>2367.424242424242</v>
      </c>
      <c r="AK20" s="25">
        <f t="shared" si="36"/>
        <v>2367.424242424242</v>
      </c>
      <c r="AL20" s="25">
        <f t="shared" si="36"/>
        <v>2367.424242424242</v>
      </c>
      <c r="AM20" s="25">
        <f t="shared" si="36"/>
        <v>2367.424242424242</v>
      </c>
      <c r="AN20" s="25">
        <f t="shared" si="36"/>
        <v>2367.424242424242</v>
      </c>
      <c r="AO20" s="25">
        <f t="shared" si="36"/>
        <v>2367.424242424242</v>
      </c>
      <c r="AP20" s="25">
        <f t="shared" si="37"/>
        <v>2367.424242424242</v>
      </c>
      <c r="AQ20" s="25">
        <f t="shared" si="37"/>
        <v>2367.424242424242</v>
      </c>
      <c r="AR20" s="25">
        <f t="shared" si="37"/>
        <v>2367.424242424242</v>
      </c>
      <c r="AS20" s="25">
        <f t="shared" si="37"/>
        <v>2367.424242424242</v>
      </c>
      <c r="AT20" s="25">
        <f t="shared" si="37"/>
        <v>2367.424242424242</v>
      </c>
      <c r="AU20" s="25">
        <f t="shared" si="37"/>
        <v>2367.424242424242</v>
      </c>
      <c r="AV20" s="25">
        <f t="shared" si="37"/>
        <v>2367.424242424242</v>
      </c>
      <c r="AW20" s="25">
        <f t="shared" si="37"/>
        <v>2367.424242424242</v>
      </c>
      <c r="AX20" s="25">
        <f t="shared" si="37"/>
        <v>2367.424242424242</v>
      </c>
      <c r="AY20" s="25">
        <f t="shared" si="37"/>
        <v>2367.424242424242</v>
      </c>
      <c r="AZ20" s="25">
        <f t="shared" si="38"/>
        <v>2367.424242424242</v>
      </c>
      <c r="BA20" s="25">
        <f t="shared" si="38"/>
        <v>2367.424242424242</v>
      </c>
      <c r="BB20" s="25">
        <f t="shared" si="38"/>
        <v>2367.424242424242</v>
      </c>
      <c r="BC20" s="25">
        <f t="shared" si="38"/>
        <v>2367.424242424242</v>
      </c>
      <c r="BD20" s="25">
        <f t="shared" si="38"/>
        <v>2367.424242424242</v>
      </c>
      <c r="BE20" s="25">
        <f t="shared" si="38"/>
        <v>2367.424242424242</v>
      </c>
      <c r="BF20" s="25">
        <f t="shared" si="38"/>
        <v>2367.424242424242</v>
      </c>
      <c r="BG20" s="25">
        <f t="shared" si="38"/>
        <v>2367.424242424242</v>
      </c>
      <c r="BH20" s="25">
        <f t="shared" si="38"/>
        <v>2367.424242424242</v>
      </c>
      <c r="BI20" s="25">
        <f t="shared" si="38"/>
        <v>2367.424242424242</v>
      </c>
      <c r="BJ20" s="25">
        <f t="shared" si="39"/>
        <v>2367.424242424242</v>
      </c>
      <c r="BK20" s="25">
        <f t="shared" si="39"/>
        <v>2367.424242424242</v>
      </c>
      <c r="BL20" s="25">
        <f t="shared" si="39"/>
        <v>2367.424242424242</v>
      </c>
      <c r="BM20" s="25">
        <f t="shared" si="39"/>
        <v>2367.424242424242</v>
      </c>
      <c r="BN20" s="25">
        <f t="shared" si="39"/>
        <v>2367.424242424242</v>
      </c>
      <c r="BO20" s="25">
        <f t="shared" si="39"/>
        <v>2367.424242424242</v>
      </c>
      <c r="BP20" s="25">
        <f t="shared" si="39"/>
        <v>2367.424242424242</v>
      </c>
      <c r="BQ20" s="25">
        <f t="shared" si="39"/>
        <v>2367.424242424242</v>
      </c>
      <c r="BR20" s="25">
        <f t="shared" si="39"/>
        <v>2367.424242424242</v>
      </c>
      <c r="BS20" s="25">
        <f t="shared" si="39"/>
        <v>2367.424242424242</v>
      </c>
      <c r="BT20" s="25">
        <f t="shared" si="40"/>
        <v>2367.424242424242</v>
      </c>
      <c r="BU20" s="25">
        <f t="shared" si="40"/>
        <v>2367.424242424242</v>
      </c>
      <c r="BV20" s="25">
        <f t="shared" si="40"/>
        <v>2367.424242424242</v>
      </c>
      <c r="BW20" s="25">
        <f t="shared" si="40"/>
        <v>2367.424242424242</v>
      </c>
      <c r="BX20" s="25">
        <f t="shared" si="40"/>
        <v>2367.424242424242</v>
      </c>
      <c r="BY20" s="25">
        <f t="shared" si="40"/>
        <v>2367.424242424242</v>
      </c>
      <c r="BZ20" s="25">
        <f t="shared" si="40"/>
        <v>2367.424242424242</v>
      </c>
      <c r="CA20" s="25">
        <f t="shared" si="40"/>
        <v>2367.424242424242</v>
      </c>
      <c r="CB20" s="25">
        <f t="shared" si="40"/>
        <v>2367.424242424242</v>
      </c>
      <c r="CC20" s="25">
        <f t="shared" si="40"/>
        <v>2367.424242424242</v>
      </c>
      <c r="CD20" s="25">
        <f t="shared" si="41"/>
        <v>2367.424242424242</v>
      </c>
      <c r="CE20" s="25">
        <f t="shared" si="41"/>
        <v>2367.424242424242</v>
      </c>
      <c r="CF20" s="25">
        <f t="shared" si="41"/>
        <v>2367.424242424242</v>
      </c>
      <c r="CG20" s="25">
        <f t="shared" si="41"/>
        <v>2367.424242424242</v>
      </c>
      <c r="CH20" s="25">
        <f t="shared" si="41"/>
        <v>2367.424242424242</v>
      </c>
      <c r="CI20" s="25">
        <f t="shared" si="41"/>
        <v>2367.424242424242</v>
      </c>
      <c r="CJ20" s="25">
        <f t="shared" si="41"/>
        <v>2367.424242424242</v>
      </c>
      <c r="CK20" s="25">
        <f t="shared" si="41"/>
        <v>2367.424242424242</v>
      </c>
      <c r="CL20" s="25">
        <f t="shared" si="41"/>
        <v>2367.424242424242</v>
      </c>
      <c r="CM20" s="25">
        <f t="shared" si="41"/>
        <v>2367.424242424242</v>
      </c>
      <c r="CN20" s="25">
        <f t="shared" si="42"/>
        <v>2367.424242424242</v>
      </c>
      <c r="CO20" s="25">
        <f t="shared" si="42"/>
        <v>2367.424242424242</v>
      </c>
      <c r="CP20" s="25">
        <f t="shared" si="42"/>
        <v>2367.424242424242</v>
      </c>
      <c r="CQ20" s="25">
        <f t="shared" si="42"/>
        <v>2367.424242424242</v>
      </c>
      <c r="CR20" s="25">
        <f t="shared" si="42"/>
        <v>2367.424242424242</v>
      </c>
      <c r="CS20" s="25">
        <f t="shared" si="42"/>
        <v>2367.424242424242</v>
      </c>
      <c r="CT20" s="25">
        <f t="shared" si="42"/>
        <v>2367.424242424242</v>
      </c>
      <c r="CU20" s="25">
        <f t="shared" si="42"/>
        <v>2367.424242424242</v>
      </c>
      <c r="CV20" s="25">
        <f t="shared" si="42"/>
        <v>2367.424242424242</v>
      </c>
      <c r="CW20" s="25">
        <f t="shared" si="42"/>
        <v>2367.424242424242</v>
      </c>
      <c r="CX20" s="25">
        <f t="shared" si="43"/>
        <v>2367.424242424242</v>
      </c>
      <c r="CY20" s="25">
        <f t="shared" si="43"/>
        <v>2367.424242424242</v>
      </c>
      <c r="CZ20" s="25">
        <f t="shared" si="43"/>
        <v>2367.424242424242</v>
      </c>
      <c r="DA20" s="25">
        <f t="shared" si="43"/>
        <v>2367.424242424242</v>
      </c>
      <c r="DB20" s="25">
        <f t="shared" si="43"/>
        <v>2367.424242424242</v>
      </c>
      <c r="DC20" s="25">
        <f t="shared" si="43"/>
        <v>2367.424242424242</v>
      </c>
      <c r="DD20" s="25">
        <f t="shared" si="43"/>
        <v>2367.424242424242</v>
      </c>
      <c r="DE20" s="25">
        <f t="shared" si="43"/>
        <v>2367.424242424242</v>
      </c>
      <c r="DF20" s="25">
        <f t="shared" si="43"/>
        <v>2367.424242424242</v>
      </c>
      <c r="DG20" s="25">
        <f t="shared" si="43"/>
        <v>2367.424242424242</v>
      </c>
      <c r="DH20" s="25">
        <f t="shared" si="44"/>
        <v>2367.424242424242</v>
      </c>
      <c r="DI20" s="25">
        <f t="shared" si="44"/>
        <v>2367.424242424242</v>
      </c>
      <c r="DJ20" s="25">
        <f t="shared" si="44"/>
        <v>2367.424242424242</v>
      </c>
      <c r="DK20" s="25">
        <f t="shared" si="44"/>
        <v>2367.424242424242</v>
      </c>
      <c r="DL20" s="25">
        <f t="shared" si="44"/>
        <v>2367.424242424242</v>
      </c>
      <c r="DM20" s="25">
        <f t="shared" si="44"/>
        <v>2367.424242424242</v>
      </c>
      <c r="DN20" s="25">
        <f t="shared" si="44"/>
        <v>2367.424242424242</v>
      </c>
      <c r="DO20" s="25">
        <f t="shared" si="44"/>
        <v>2367.424242424242</v>
      </c>
      <c r="DP20" s="25">
        <f t="shared" si="44"/>
        <v>2367.424242424242</v>
      </c>
      <c r="DQ20" s="25">
        <f t="shared" si="44"/>
        <v>2367.424242424242</v>
      </c>
      <c r="DR20" s="25">
        <f t="shared" si="45"/>
        <v>2367.424242424242</v>
      </c>
      <c r="DS20" s="25">
        <f t="shared" si="45"/>
        <v>2367.424242424242</v>
      </c>
      <c r="DT20" s="25">
        <f t="shared" si="45"/>
        <v>2367.424242424242</v>
      </c>
      <c r="DU20" s="25">
        <f t="shared" si="45"/>
        <v>2367.424242424242</v>
      </c>
      <c r="DV20" s="25">
        <f t="shared" si="45"/>
        <v>2367.424242424242</v>
      </c>
      <c r="DW20" s="25">
        <f t="shared" si="45"/>
        <v>2367.424242424242</v>
      </c>
      <c r="DX20" s="25">
        <f t="shared" si="45"/>
        <v>2367.424242424242</v>
      </c>
      <c r="DY20" s="25">
        <f t="shared" si="45"/>
        <v>2367.424242424242</v>
      </c>
      <c r="DZ20" s="25">
        <f t="shared" si="45"/>
        <v>2367.424242424242</v>
      </c>
      <c r="EA20" s="25">
        <f t="shared" si="45"/>
        <v>2367.424242424242</v>
      </c>
      <c r="EB20" s="25">
        <f t="shared" si="46"/>
        <v>2367.424242424242</v>
      </c>
      <c r="EC20" s="25">
        <f t="shared" si="46"/>
        <v>2367.424242424242</v>
      </c>
      <c r="ED20" s="25">
        <f t="shared" si="46"/>
        <v>2367.424242424242</v>
      </c>
      <c r="EE20" s="25">
        <f t="shared" si="46"/>
        <v>2367.424242424242</v>
      </c>
      <c r="EF20" s="25">
        <f t="shared" si="46"/>
        <v>2367.424242424242</v>
      </c>
      <c r="EG20" s="25">
        <f t="shared" si="46"/>
        <v>2367.424242424242</v>
      </c>
      <c r="EH20" s="25">
        <f t="shared" si="46"/>
        <v>2367.424242424242</v>
      </c>
      <c r="EI20" s="25">
        <f t="shared" si="46"/>
        <v>2367.424242424242</v>
      </c>
      <c r="EJ20" s="25">
        <f t="shared" si="46"/>
        <v>2367.424242424242</v>
      </c>
      <c r="EK20" s="25">
        <f t="shared" si="46"/>
        <v>2367.424242424242</v>
      </c>
      <c r="EL20" s="25">
        <f t="shared" si="46"/>
        <v>2367.424242424242</v>
      </c>
      <c r="EM20" s="25">
        <f t="shared" si="46"/>
        <v>2367.424242424242</v>
      </c>
    </row>
    <row r="21" spans="1:143" x14ac:dyDescent="0.2">
      <c r="B21" s="72" t="s">
        <v>308</v>
      </c>
      <c r="C21" s="52"/>
      <c r="D21" s="52"/>
      <c r="E21" s="60">
        <f>MIN(E18:E20)</f>
        <v>12</v>
      </c>
      <c r="F21" s="94"/>
      <c r="G21" s="49"/>
      <c r="H21" s="109">
        <f>I21/E15</f>
        <v>11.363636363636363</v>
      </c>
      <c r="I21" s="112">
        <f>SUM(I18:I20)</f>
        <v>65340.909090909088</v>
      </c>
      <c r="K21" s="24"/>
      <c r="L21" s="24">
        <f t="shared" ref="L21:AQ21" si="47">SUM(L18:L20)</f>
        <v>0</v>
      </c>
      <c r="M21" s="24">
        <f t="shared" si="47"/>
        <v>0</v>
      </c>
      <c r="N21" s="24">
        <f t="shared" si="47"/>
        <v>0</v>
      </c>
      <c r="O21" s="24">
        <f t="shared" si="47"/>
        <v>0</v>
      </c>
      <c r="P21" s="24">
        <f t="shared" si="47"/>
        <v>0</v>
      </c>
      <c r="Q21" s="24">
        <f t="shared" si="47"/>
        <v>0</v>
      </c>
      <c r="R21" s="24">
        <f t="shared" si="47"/>
        <v>0</v>
      </c>
      <c r="S21" s="24">
        <f t="shared" si="47"/>
        <v>0</v>
      </c>
      <c r="T21" s="24">
        <f t="shared" si="47"/>
        <v>0</v>
      </c>
      <c r="U21" s="24">
        <f t="shared" si="47"/>
        <v>0</v>
      </c>
      <c r="V21" s="24">
        <f t="shared" si="47"/>
        <v>0</v>
      </c>
      <c r="W21" s="24">
        <f t="shared" si="47"/>
        <v>370.55335968379444</v>
      </c>
      <c r="X21" s="24">
        <f t="shared" si="47"/>
        <v>370.55335968379444</v>
      </c>
      <c r="Y21" s="24">
        <f t="shared" si="47"/>
        <v>370.55335968379444</v>
      </c>
      <c r="Z21" s="24">
        <f t="shared" si="47"/>
        <v>1739.5421607378125</v>
      </c>
      <c r="AA21" s="24">
        <f t="shared" si="47"/>
        <v>1739.5421607378125</v>
      </c>
      <c r="AB21" s="24">
        <f t="shared" si="47"/>
        <v>1739.5421607378125</v>
      </c>
      <c r="AC21" s="24">
        <f t="shared" si="47"/>
        <v>1739.5421607378125</v>
      </c>
      <c r="AD21" s="24">
        <f t="shared" si="47"/>
        <v>1739.5421607378125</v>
      </c>
      <c r="AE21" s="24">
        <f t="shared" si="47"/>
        <v>1739.5421607378125</v>
      </c>
      <c r="AF21" s="24">
        <f t="shared" si="47"/>
        <v>1739.5421607378125</v>
      </c>
      <c r="AG21" s="24">
        <f t="shared" si="47"/>
        <v>1739.5421607378125</v>
      </c>
      <c r="AH21" s="24">
        <f t="shared" si="47"/>
        <v>1739.5421607378125</v>
      </c>
      <c r="AI21" s="24">
        <f t="shared" si="47"/>
        <v>1739.5421607378125</v>
      </c>
      <c r="AJ21" s="24">
        <f t="shared" si="47"/>
        <v>5445.0757575757571</v>
      </c>
      <c r="AK21" s="24">
        <f t="shared" si="47"/>
        <v>5445.0757575757571</v>
      </c>
      <c r="AL21" s="24">
        <f t="shared" si="47"/>
        <v>5445.0757575757571</v>
      </c>
      <c r="AM21" s="24">
        <f t="shared" si="47"/>
        <v>5445.0757575757571</v>
      </c>
      <c r="AN21" s="24">
        <f t="shared" si="47"/>
        <v>5445.0757575757571</v>
      </c>
      <c r="AO21" s="24">
        <f t="shared" si="47"/>
        <v>5445.0757575757571</v>
      </c>
      <c r="AP21" s="24">
        <f t="shared" si="47"/>
        <v>5445.0757575757571</v>
      </c>
      <c r="AQ21" s="24">
        <f t="shared" si="47"/>
        <v>5445.0757575757571</v>
      </c>
      <c r="AR21" s="24">
        <f t="shared" ref="AR21:BW21" si="48">SUM(AR18:AR20)</f>
        <v>5445.0757575757571</v>
      </c>
      <c r="AS21" s="24">
        <f t="shared" si="48"/>
        <v>5445.0757575757571</v>
      </c>
      <c r="AT21" s="24">
        <f t="shared" si="48"/>
        <v>5445.0757575757571</v>
      </c>
      <c r="AU21" s="24">
        <f t="shared" si="48"/>
        <v>5445.0757575757571</v>
      </c>
      <c r="AV21" s="24">
        <f t="shared" si="48"/>
        <v>5445.0757575757571</v>
      </c>
      <c r="AW21" s="24">
        <f t="shared" si="48"/>
        <v>5445.0757575757571</v>
      </c>
      <c r="AX21" s="24">
        <f t="shared" si="48"/>
        <v>5445.0757575757571</v>
      </c>
      <c r="AY21" s="24">
        <f t="shared" si="48"/>
        <v>5445.0757575757571</v>
      </c>
      <c r="AZ21" s="24">
        <f t="shared" si="48"/>
        <v>5445.0757575757571</v>
      </c>
      <c r="BA21" s="24">
        <f t="shared" si="48"/>
        <v>5445.0757575757571</v>
      </c>
      <c r="BB21" s="24">
        <f t="shared" si="48"/>
        <v>5445.0757575757571</v>
      </c>
      <c r="BC21" s="24">
        <f t="shared" si="48"/>
        <v>5445.0757575757571</v>
      </c>
      <c r="BD21" s="24">
        <f t="shared" si="48"/>
        <v>5445.0757575757571</v>
      </c>
      <c r="BE21" s="24">
        <f t="shared" si="48"/>
        <v>5445.0757575757571</v>
      </c>
      <c r="BF21" s="24">
        <f t="shared" si="48"/>
        <v>5445.0757575757571</v>
      </c>
      <c r="BG21" s="24">
        <f t="shared" si="48"/>
        <v>5445.0757575757571</v>
      </c>
      <c r="BH21" s="24">
        <f t="shared" si="48"/>
        <v>5445.0757575757571</v>
      </c>
      <c r="BI21" s="24">
        <f t="shared" si="48"/>
        <v>5445.0757575757571</v>
      </c>
      <c r="BJ21" s="24">
        <f t="shared" si="48"/>
        <v>5445.0757575757571</v>
      </c>
      <c r="BK21" s="24">
        <f t="shared" si="48"/>
        <v>5445.0757575757571</v>
      </c>
      <c r="BL21" s="24">
        <f t="shared" si="48"/>
        <v>5445.0757575757571</v>
      </c>
      <c r="BM21" s="24">
        <f t="shared" si="48"/>
        <v>5445.0757575757571</v>
      </c>
      <c r="BN21" s="24">
        <f t="shared" si="48"/>
        <v>5445.0757575757571</v>
      </c>
      <c r="BO21" s="24">
        <f t="shared" si="48"/>
        <v>5445.0757575757571</v>
      </c>
      <c r="BP21" s="24">
        <f t="shared" si="48"/>
        <v>5445.0757575757571</v>
      </c>
      <c r="BQ21" s="24">
        <f t="shared" si="48"/>
        <v>5445.0757575757571</v>
      </c>
      <c r="BR21" s="24">
        <f t="shared" si="48"/>
        <v>5445.0757575757571</v>
      </c>
      <c r="BS21" s="24">
        <f t="shared" si="48"/>
        <v>5445.0757575757571</v>
      </c>
      <c r="BT21" s="24">
        <f t="shared" si="48"/>
        <v>5445.0757575757571</v>
      </c>
      <c r="BU21" s="24">
        <f t="shared" si="48"/>
        <v>5445.0757575757571</v>
      </c>
      <c r="BV21" s="24">
        <f t="shared" si="48"/>
        <v>5445.0757575757571</v>
      </c>
      <c r="BW21" s="24">
        <f t="shared" si="48"/>
        <v>5445.0757575757571</v>
      </c>
      <c r="BX21" s="24">
        <f t="shared" ref="BX21:DC21" si="49">SUM(BX18:BX20)</f>
        <v>5445.0757575757571</v>
      </c>
      <c r="BY21" s="24">
        <f t="shared" si="49"/>
        <v>5445.0757575757571</v>
      </c>
      <c r="BZ21" s="24">
        <f t="shared" si="49"/>
        <v>5445.0757575757571</v>
      </c>
      <c r="CA21" s="24">
        <f t="shared" si="49"/>
        <v>5445.0757575757571</v>
      </c>
      <c r="CB21" s="24">
        <f t="shared" si="49"/>
        <v>5445.0757575757571</v>
      </c>
      <c r="CC21" s="24">
        <f t="shared" si="49"/>
        <v>5445.0757575757571</v>
      </c>
      <c r="CD21" s="24">
        <f t="shared" si="49"/>
        <v>5445.0757575757571</v>
      </c>
      <c r="CE21" s="24">
        <f t="shared" si="49"/>
        <v>5445.0757575757571</v>
      </c>
      <c r="CF21" s="24">
        <f t="shared" si="49"/>
        <v>5445.0757575757571</v>
      </c>
      <c r="CG21" s="24">
        <f t="shared" si="49"/>
        <v>5445.0757575757571</v>
      </c>
      <c r="CH21" s="24">
        <f t="shared" si="49"/>
        <v>5445.0757575757571</v>
      </c>
      <c r="CI21" s="24">
        <f t="shared" si="49"/>
        <v>5445.0757575757571</v>
      </c>
      <c r="CJ21" s="24">
        <f t="shared" si="49"/>
        <v>5445.0757575757571</v>
      </c>
      <c r="CK21" s="24">
        <f t="shared" si="49"/>
        <v>5445.0757575757571</v>
      </c>
      <c r="CL21" s="24">
        <f t="shared" si="49"/>
        <v>5445.0757575757571</v>
      </c>
      <c r="CM21" s="24">
        <f t="shared" si="49"/>
        <v>5445.0757575757571</v>
      </c>
      <c r="CN21" s="24">
        <f t="shared" si="49"/>
        <v>5445.0757575757571</v>
      </c>
      <c r="CO21" s="24">
        <f t="shared" si="49"/>
        <v>5445.0757575757571</v>
      </c>
      <c r="CP21" s="24">
        <f t="shared" si="49"/>
        <v>5445.0757575757571</v>
      </c>
      <c r="CQ21" s="24">
        <f t="shared" si="49"/>
        <v>5445.0757575757571</v>
      </c>
      <c r="CR21" s="24">
        <f t="shared" si="49"/>
        <v>5445.0757575757571</v>
      </c>
      <c r="CS21" s="24">
        <f t="shared" si="49"/>
        <v>5445.0757575757571</v>
      </c>
      <c r="CT21" s="24">
        <f t="shared" si="49"/>
        <v>5445.0757575757571</v>
      </c>
      <c r="CU21" s="24">
        <f t="shared" si="49"/>
        <v>5445.0757575757571</v>
      </c>
      <c r="CV21" s="24">
        <f t="shared" si="49"/>
        <v>5445.0757575757571</v>
      </c>
      <c r="CW21" s="24">
        <f t="shared" si="49"/>
        <v>5445.0757575757571</v>
      </c>
      <c r="CX21" s="24">
        <f t="shared" si="49"/>
        <v>5445.0757575757571</v>
      </c>
      <c r="CY21" s="24">
        <f t="shared" si="49"/>
        <v>5445.0757575757571</v>
      </c>
      <c r="CZ21" s="24">
        <f t="shared" si="49"/>
        <v>5445.0757575757571</v>
      </c>
      <c r="DA21" s="24">
        <f t="shared" si="49"/>
        <v>5445.0757575757571</v>
      </c>
      <c r="DB21" s="24">
        <f t="shared" si="49"/>
        <v>5445.0757575757571</v>
      </c>
      <c r="DC21" s="24">
        <f t="shared" si="49"/>
        <v>5445.0757575757571</v>
      </c>
      <c r="DD21" s="24">
        <f t="shared" ref="DD21:EI21" si="50">SUM(DD18:DD20)</f>
        <v>5445.0757575757571</v>
      </c>
      <c r="DE21" s="24">
        <f t="shared" si="50"/>
        <v>5445.0757575757571</v>
      </c>
      <c r="DF21" s="24">
        <f t="shared" si="50"/>
        <v>5445.0757575757571</v>
      </c>
      <c r="DG21" s="24">
        <f t="shared" si="50"/>
        <v>5445.0757575757571</v>
      </c>
      <c r="DH21" s="24">
        <f t="shared" si="50"/>
        <v>5445.0757575757571</v>
      </c>
      <c r="DI21" s="24">
        <f t="shared" si="50"/>
        <v>5445.0757575757571</v>
      </c>
      <c r="DJ21" s="24">
        <f t="shared" si="50"/>
        <v>5445.0757575757571</v>
      </c>
      <c r="DK21" s="24">
        <f t="shared" si="50"/>
        <v>5445.0757575757571</v>
      </c>
      <c r="DL21" s="24">
        <f t="shared" si="50"/>
        <v>5445.0757575757571</v>
      </c>
      <c r="DM21" s="24">
        <f t="shared" si="50"/>
        <v>5445.0757575757571</v>
      </c>
      <c r="DN21" s="24">
        <f t="shared" si="50"/>
        <v>5445.0757575757571</v>
      </c>
      <c r="DO21" s="24">
        <f t="shared" si="50"/>
        <v>5445.0757575757571</v>
      </c>
      <c r="DP21" s="24">
        <f t="shared" si="50"/>
        <v>5445.0757575757571</v>
      </c>
      <c r="DQ21" s="24">
        <f t="shared" si="50"/>
        <v>5445.0757575757571</v>
      </c>
      <c r="DR21" s="24">
        <f t="shared" si="50"/>
        <v>5445.0757575757571</v>
      </c>
      <c r="DS21" s="24">
        <f t="shared" si="50"/>
        <v>5445.0757575757571</v>
      </c>
      <c r="DT21" s="24">
        <f t="shared" si="50"/>
        <v>5445.0757575757571</v>
      </c>
      <c r="DU21" s="24">
        <f t="shared" si="50"/>
        <v>5445.0757575757571</v>
      </c>
      <c r="DV21" s="24">
        <f t="shared" si="50"/>
        <v>5445.0757575757571</v>
      </c>
      <c r="DW21" s="24">
        <f t="shared" si="50"/>
        <v>5445.0757575757571</v>
      </c>
      <c r="DX21" s="24">
        <f t="shared" si="50"/>
        <v>5445.0757575757571</v>
      </c>
      <c r="DY21" s="24">
        <f t="shared" si="50"/>
        <v>5445.0757575757571</v>
      </c>
      <c r="DZ21" s="24">
        <f t="shared" si="50"/>
        <v>5445.0757575757571</v>
      </c>
      <c r="EA21" s="24">
        <f t="shared" si="50"/>
        <v>5445.0757575757571</v>
      </c>
      <c r="EB21" s="24">
        <f t="shared" si="50"/>
        <v>5445.0757575757571</v>
      </c>
      <c r="EC21" s="24">
        <f t="shared" si="50"/>
        <v>5445.0757575757571</v>
      </c>
      <c r="ED21" s="24">
        <f t="shared" si="50"/>
        <v>5445.0757575757571</v>
      </c>
      <c r="EE21" s="24">
        <f t="shared" si="50"/>
        <v>5445.0757575757571</v>
      </c>
      <c r="EF21" s="24">
        <f t="shared" si="50"/>
        <v>5445.0757575757571</v>
      </c>
      <c r="EG21" s="24">
        <f t="shared" si="50"/>
        <v>5445.0757575757571</v>
      </c>
      <c r="EH21" s="24">
        <f t="shared" si="50"/>
        <v>5445.0757575757571</v>
      </c>
      <c r="EI21" s="24">
        <f t="shared" si="50"/>
        <v>5445.0757575757571</v>
      </c>
      <c r="EJ21" s="24">
        <f t="shared" ref="EJ21:EM21" si="51">SUM(EJ18:EJ20)</f>
        <v>5445.0757575757571</v>
      </c>
      <c r="EK21" s="24">
        <f t="shared" si="51"/>
        <v>5445.0757575757571</v>
      </c>
      <c r="EL21" s="24">
        <f t="shared" si="51"/>
        <v>5445.0757575757571</v>
      </c>
      <c r="EM21" s="24">
        <f t="shared" si="51"/>
        <v>5445.0757575757571</v>
      </c>
    </row>
    <row r="22" spans="1:143" ht="5.0999999999999996" customHeight="1" x14ac:dyDescent="0.2">
      <c r="B22" s="72"/>
      <c r="C22" s="52"/>
      <c r="D22" s="52"/>
      <c r="E22" s="60"/>
      <c r="F22" s="94"/>
      <c r="G22" s="49"/>
      <c r="H22" s="49"/>
      <c r="I22" s="112"/>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F22" s="24"/>
      <c r="EG22" s="24"/>
      <c r="EH22" s="24"/>
      <c r="EI22" s="24"/>
      <c r="EJ22" s="24"/>
      <c r="EK22" s="24"/>
      <c r="EL22" s="24"/>
      <c r="EM22" s="24"/>
    </row>
    <row r="23" spans="1:143" x14ac:dyDescent="0.2">
      <c r="B23" s="72" t="s">
        <v>316</v>
      </c>
      <c r="C23" s="52"/>
      <c r="D23" s="52"/>
      <c r="E23" s="60"/>
      <c r="F23" s="94"/>
      <c r="G23" s="49"/>
      <c r="H23" s="109"/>
      <c r="I23" s="112">
        <f>+I21+I15</f>
        <v>205715.90909090909</v>
      </c>
      <c r="K23" s="24"/>
      <c r="L23" s="24">
        <f t="shared" ref="L23:AQ23" si="52">L21+L15</f>
        <v>0</v>
      </c>
      <c r="M23" s="24">
        <f t="shared" si="52"/>
        <v>0</v>
      </c>
      <c r="N23" s="24">
        <f t="shared" si="52"/>
        <v>0</v>
      </c>
      <c r="O23" s="24">
        <f t="shared" si="52"/>
        <v>0</v>
      </c>
      <c r="P23" s="24">
        <f t="shared" si="52"/>
        <v>0</v>
      </c>
      <c r="Q23" s="24">
        <f t="shared" si="52"/>
        <v>0</v>
      </c>
      <c r="R23" s="24">
        <f t="shared" si="52"/>
        <v>0</v>
      </c>
      <c r="S23" s="24">
        <f t="shared" si="52"/>
        <v>0</v>
      </c>
      <c r="T23" s="24">
        <f t="shared" si="52"/>
        <v>0</v>
      </c>
      <c r="U23" s="24">
        <f t="shared" si="52"/>
        <v>0</v>
      </c>
      <c r="V23" s="24">
        <f t="shared" si="52"/>
        <v>0</v>
      </c>
      <c r="W23" s="24">
        <f t="shared" si="52"/>
        <v>370.55335968379444</v>
      </c>
      <c r="X23" s="24">
        <f t="shared" si="52"/>
        <v>370.55335968379444</v>
      </c>
      <c r="Y23" s="24">
        <f t="shared" si="52"/>
        <v>370.55335968379444</v>
      </c>
      <c r="Z23" s="24">
        <f t="shared" si="52"/>
        <v>9864.5421607378121</v>
      </c>
      <c r="AA23" s="24">
        <f t="shared" si="52"/>
        <v>9864.5421607378121</v>
      </c>
      <c r="AB23" s="24">
        <f t="shared" si="52"/>
        <v>9864.5421607378121</v>
      </c>
      <c r="AC23" s="24">
        <f t="shared" si="52"/>
        <v>13437.458827404478</v>
      </c>
      <c r="AD23" s="24">
        <f t="shared" si="52"/>
        <v>13437.458827404478</v>
      </c>
      <c r="AE23" s="24">
        <f t="shared" si="52"/>
        <v>13437.458827404478</v>
      </c>
      <c r="AF23" s="24">
        <f t="shared" si="52"/>
        <v>13437.458827404478</v>
      </c>
      <c r="AG23" s="24">
        <f t="shared" si="52"/>
        <v>13437.458827404478</v>
      </c>
      <c r="AH23" s="24">
        <f t="shared" si="52"/>
        <v>13437.458827404478</v>
      </c>
      <c r="AI23" s="24">
        <f t="shared" si="52"/>
        <v>13437.458827404478</v>
      </c>
      <c r="AJ23" s="24">
        <f t="shared" si="52"/>
        <v>17142.992424242424</v>
      </c>
      <c r="AK23" s="24">
        <f t="shared" si="52"/>
        <v>17142.992424242424</v>
      </c>
      <c r="AL23" s="24">
        <f t="shared" si="52"/>
        <v>17236.742424242424</v>
      </c>
      <c r="AM23" s="24">
        <f t="shared" si="52"/>
        <v>17236.742424242424</v>
      </c>
      <c r="AN23" s="24">
        <f t="shared" si="52"/>
        <v>17236.742424242424</v>
      </c>
      <c r="AO23" s="24">
        <f t="shared" si="52"/>
        <v>17308.200757575756</v>
      </c>
      <c r="AP23" s="24">
        <f t="shared" si="52"/>
        <v>17308.200757575756</v>
      </c>
      <c r="AQ23" s="24">
        <f t="shared" si="52"/>
        <v>17308.200757575756</v>
      </c>
      <c r="AR23" s="24">
        <f t="shared" ref="AR23:BW23" si="53">AR21+AR15</f>
        <v>17308.200757575756</v>
      </c>
      <c r="AS23" s="24">
        <f t="shared" si="53"/>
        <v>17308.200757575756</v>
      </c>
      <c r="AT23" s="24">
        <f t="shared" si="53"/>
        <v>17308.200757575756</v>
      </c>
      <c r="AU23" s="24">
        <f t="shared" si="53"/>
        <v>17308.200757575756</v>
      </c>
      <c r="AV23" s="24">
        <f t="shared" si="53"/>
        <v>17308.200757575756</v>
      </c>
      <c r="AW23" s="24">
        <f t="shared" si="53"/>
        <v>17308.200757575756</v>
      </c>
      <c r="AX23" s="24">
        <f t="shared" si="53"/>
        <v>17404.763257575756</v>
      </c>
      <c r="AY23" s="24">
        <f t="shared" si="53"/>
        <v>17404.763257575756</v>
      </c>
      <c r="AZ23" s="24">
        <f t="shared" si="53"/>
        <v>17404.763257575756</v>
      </c>
      <c r="BA23" s="24">
        <f t="shared" si="53"/>
        <v>17477.650757575757</v>
      </c>
      <c r="BB23" s="24">
        <f t="shared" si="53"/>
        <v>17477.650757575757</v>
      </c>
      <c r="BC23" s="24">
        <f t="shared" si="53"/>
        <v>17477.650757575757</v>
      </c>
      <c r="BD23" s="24">
        <f t="shared" si="53"/>
        <v>17477.650757575757</v>
      </c>
      <c r="BE23" s="24">
        <f t="shared" si="53"/>
        <v>17477.650757575757</v>
      </c>
      <c r="BF23" s="24">
        <f t="shared" si="53"/>
        <v>17477.650757575757</v>
      </c>
      <c r="BG23" s="24">
        <f t="shared" si="53"/>
        <v>17477.650757575757</v>
      </c>
      <c r="BH23" s="24">
        <f t="shared" si="53"/>
        <v>17477.650757575757</v>
      </c>
      <c r="BI23" s="24">
        <f t="shared" si="53"/>
        <v>17477.650757575757</v>
      </c>
      <c r="BJ23" s="24">
        <f t="shared" si="53"/>
        <v>17577.110132575755</v>
      </c>
      <c r="BK23" s="24">
        <f t="shared" si="53"/>
        <v>17577.110132575755</v>
      </c>
      <c r="BL23" s="24">
        <f t="shared" si="53"/>
        <v>17577.110132575755</v>
      </c>
      <c r="BM23" s="24">
        <f t="shared" si="53"/>
        <v>17651.455382575758</v>
      </c>
      <c r="BN23" s="24">
        <f t="shared" si="53"/>
        <v>17651.455382575758</v>
      </c>
      <c r="BO23" s="24">
        <f t="shared" si="53"/>
        <v>17651.455382575758</v>
      </c>
      <c r="BP23" s="24">
        <f t="shared" si="53"/>
        <v>17651.455382575758</v>
      </c>
      <c r="BQ23" s="24">
        <f t="shared" si="53"/>
        <v>17651.455382575758</v>
      </c>
      <c r="BR23" s="24">
        <f t="shared" si="53"/>
        <v>17651.455382575758</v>
      </c>
      <c r="BS23" s="24">
        <f t="shared" si="53"/>
        <v>17651.455382575758</v>
      </c>
      <c r="BT23" s="24">
        <f t="shared" si="53"/>
        <v>17651.455382575758</v>
      </c>
      <c r="BU23" s="24">
        <f t="shared" si="53"/>
        <v>17651.455382575758</v>
      </c>
      <c r="BV23" s="24">
        <f t="shared" si="53"/>
        <v>17753.898538825757</v>
      </c>
      <c r="BW23" s="24">
        <f t="shared" si="53"/>
        <v>17753.898538825757</v>
      </c>
      <c r="BX23" s="24">
        <f t="shared" ref="BX23:DC23" si="54">BX21+BX15</f>
        <v>17753.898538825757</v>
      </c>
      <c r="BY23" s="24">
        <f t="shared" si="54"/>
        <v>17829.730693825757</v>
      </c>
      <c r="BZ23" s="24">
        <f t="shared" si="54"/>
        <v>17829.730693825757</v>
      </c>
      <c r="CA23" s="24">
        <f t="shared" si="54"/>
        <v>17829.730693825757</v>
      </c>
      <c r="CB23" s="24">
        <f t="shared" si="54"/>
        <v>17829.730693825757</v>
      </c>
      <c r="CC23" s="24">
        <f t="shared" si="54"/>
        <v>17829.730693825757</v>
      </c>
      <c r="CD23" s="24">
        <f t="shared" si="54"/>
        <v>17829.730693825757</v>
      </c>
      <c r="CE23" s="24">
        <f t="shared" si="54"/>
        <v>17829.730693825757</v>
      </c>
      <c r="CF23" s="24">
        <f t="shared" si="54"/>
        <v>17829.730693825757</v>
      </c>
      <c r="CG23" s="24">
        <f t="shared" si="54"/>
        <v>17829.730693825757</v>
      </c>
      <c r="CH23" s="24">
        <f t="shared" si="54"/>
        <v>17935.247144763256</v>
      </c>
      <c r="CI23" s="24">
        <f t="shared" si="54"/>
        <v>17935.247144763256</v>
      </c>
      <c r="CJ23" s="24">
        <f t="shared" si="54"/>
        <v>17935.247144763256</v>
      </c>
      <c r="CK23" s="24">
        <f t="shared" si="54"/>
        <v>18012.595942863256</v>
      </c>
      <c r="CL23" s="24">
        <f t="shared" si="54"/>
        <v>18012.595942863256</v>
      </c>
      <c r="CM23" s="24">
        <f t="shared" si="54"/>
        <v>18012.595942863256</v>
      </c>
      <c r="CN23" s="24">
        <f t="shared" si="54"/>
        <v>18012.595942863256</v>
      </c>
      <c r="CO23" s="24">
        <f t="shared" si="54"/>
        <v>18012.595942863256</v>
      </c>
      <c r="CP23" s="24">
        <f t="shared" si="54"/>
        <v>18012.595942863256</v>
      </c>
      <c r="CQ23" s="24">
        <f t="shared" si="54"/>
        <v>18012.595942863256</v>
      </c>
      <c r="CR23" s="24">
        <f t="shared" si="54"/>
        <v>18012.595942863256</v>
      </c>
      <c r="CS23" s="24">
        <f t="shared" si="54"/>
        <v>18012.595942863256</v>
      </c>
      <c r="CT23" s="24">
        <f t="shared" si="54"/>
        <v>18121.277887328881</v>
      </c>
      <c r="CU23" s="24">
        <f t="shared" si="54"/>
        <v>18121.277887328881</v>
      </c>
      <c r="CV23" s="24">
        <f t="shared" si="54"/>
        <v>18121.277887328881</v>
      </c>
      <c r="CW23" s="24">
        <f t="shared" si="54"/>
        <v>18200.17366139088</v>
      </c>
      <c r="CX23" s="24">
        <f t="shared" si="54"/>
        <v>18200.17366139088</v>
      </c>
      <c r="CY23" s="24">
        <f t="shared" si="54"/>
        <v>18200.17366139088</v>
      </c>
      <c r="CZ23" s="24">
        <f t="shared" si="54"/>
        <v>18200.17366139088</v>
      </c>
      <c r="DA23" s="24">
        <f t="shared" si="54"/>
        <v>18200.17366139088</v>
      </c>
      <c r="DB23" s="24">
        <f t="shared" si="54"/>
        <v>18200.17366139088</v>
      </c>
      <c r="DC23" s="24">
        <f t="shared" si="54"/>
        <v>18200.17366139088</v>
      </c>
      <c r="DD23" s="24">
        <f t="shared" ref="DD23:EM23" si="55">DD21+DD15</f>
        <v>18200.17366139088</v>
      </c>
      <c r="DE23" s="24">
        <f t="shared" si="55"/>
        <v>18200.17366139088</v>
      </c>
      <c r="DF23" s="24">
        <f t="shared" si="55"/>
        <v>18312.116064190475</v>
      </c>
      <c r="DG23" s="24">
        <f t="shared" si="55"/>
        <v>18312.116064190475</v>
      </c>
      <c r="DH23" s="24">
        <f t="shared" si="55"/>
        <v>18312.116064190475</v>
      </c>
      <c r="DI23" s="24">
        <f t="shared" si="55"/>
        <v>18392.589753733715</v>
      </c>
      <c r="DJ23" s="24">
        <f t="shared" si="55"/>
        <v>18392.589753733715</v>
      </c>
      <c r="DK23" s="24">
        <f t="shared" si="55"/>
        <v>18392.589753733715</v>
      </c>
      <c r="DL23" s="24">
        <f t="shared" si="55"/>
        <v>18392.589753733715</v>
      </c>
      <c r="DM23" s="24">
        <f t="shared" si="55"/>
        <v>18392.589753733715</v>
      </c>
      <c r="DN23" s="24">
        <f t="shared" si="55"/>
        <v>18392.589753733715</v>
      </c>
      <c r="DO23" s="24">
        <f t="shared" si="55"/>
        <v>18392.589753733715</v>
      </c>
      <c r="DP23" s="24">
        <f t="shared" si="55"/>
        <v>18392.589753733715</v>
      </c>
      <c r="DQ23" s="24">
        <f t="shared" si="55"/>
        <v>18392.589753733715</v>
      </c>
      <c r="DR23" s="24">
        <f t="shared" si="55"/>
        <v>18507.890428617295</v>
      </c>
      <c r="DS23" s="24">
        <f t="shared" si="55"/>
        <v>18507.890428617295</v>
      </c>
      <c r="DT23" s="24">
        <f t="shared" si="55"/>
        <v>18507.890428617295</v>
      </c>
      <c r="DU23" s="24">
        <f t="shared" si="55"/>
        <v>18589.973591951402</v>
      </c>
      <c r="DV23" s="24">
        <f t="shared" si="55"/>
        <v>18589.973591951402</v>
      </c>
      <c r="DW23" s="24">
        <f t="shared" si="55"/>
        <v>18589.973591951402</v>
      </c>
      <c r="DX23" s="24">
        <f t="shared" si="55"/>
        <v>18589.973591951402</v>
      </c>
      <c r="DY23" s="24">
        <f t="shared" si="55"/>
        <v>18589.973591951402</v>
      </c>
      <c r="DZ23" s="24">
        <f t="shared" si="55"/>
        <v>18589.973591951402</v>
      </c>
      <c r="EA23" s="24">
        <f t="shared" si="55"/>
        <v>18589.973591951402</v>
      </c>
      <c r="EB23" s="24">
        <f t="shared" si="55"/>
        <v>18589.973591951402</v>
      </c>
      <c r="EC23" s="24">
        <f t="shared" si="55"/>
        <v>18589.973591951402</v>
      </c>
      <c r="ED23" s="24">
        <f t="shared" si="55"/>
        <v>18708.73328708149</v>
      </c>
      <c r="EE23" s="24">
        <f t="shared" si="55"/>
        <v>18708.73328708149</v>
      </c>
      <c r="EF23" s="24">
        <f t="shared" si="55"/>
        <v>18708.73328708149</v>
      </c>
      <c r="EG23" s="24">
        <f t="shared" si="55"/>
        <v>18792.458113682278</v>
      </c>
      <c r="EH23" s="24">
        <f t="shared" si="55"/>
        <v>18792.458113682278</v>
      </c>
      <c r="EI23" s="24">
        <f t="shared" si="55"/>
        <v>18792.458113682278</v>
      </c>
      <c r="EJ23" s="24">
        <f t="shared" si="55"/>
        <v>18792.458113682278</v>
      </c>
      <c r="EK23" s="24">
        <f t="shared" si="55"/>
        <v>18792.458113682278</v>
      </c>
      <c r="EL23" s="24">
        <f t="shared" si="55"/>
        <v>18792.458113682278</v>
      </c>
      <c r="EM23" s="24">
        <f t="shared" si="55"/>
        <v>18792.458113682278</v>
      </c>
    </row>
    <row r="24" spans="1:143" ht="16.5" x14ac:dyDescent="0.35">
      <c r="B24" s="46" t="s">
        <v>317</v>
      </c>
      <c r="C24" s="48"/>
      <c r="D24" s="48"/>
      <c r="E24" s="48"/>
      <c r="F24" s="59"/>
      <c r="G24" s="56">
        <v>0.08</v>
      </c>
      <c r="H24" s="115" t="str">
        <f>"/"&amp;Unit_Type&amp;"/YR"</f>
        <v>/SF/YR</v>
      </c>
      <c r="I24" s="74">
        <f>+-G24*I23</f>
        <v>-16457.272727272728</v>
      </c>
      <c r="K24" s="24"/>
      <c r="L24" s="25">
        <f>-L23*$G$24</f>
        <v>0</v>
      </c>
      <c r="M24" s="25">
        <f t="shared" ref="M24:BX24" si="56">-M23*$G$24</f>
        <v>0</v>
      </c>
      <c r="N24" s="25">
        <f t="shared" si="56"/>
        <v>0</v>
      </c>
      <c r="O24" s="25">
        <f t="shared" si="56"/>
        <v>0</v>
      </c>
      <c r="P24" s="25">
        <f t="shared" si="56"/>
        <v>0</v>
      </c>
      <c r="Q24" s="25">
        <f t="shared" si="56"/>
        <v>0</v>
      </c>
      <c r="R24" s="25">
        <f t="shared" si="56"/>
        <v>0</v>
      </c>
      <c r="S24" s="25">
        <f t="shared" si="56"/>
        <v>0</v>
      </c>
      <c r="T24" s="25">
        <f t="shared" si="56"/>
        <v>0</v>
      </c>
      <c r="U24" s="25">
        <f t="shared" si="56"/>
        <v>0</v>
      </c>
      <c r="V24" s="25">
        <f t="shared" si="56"/>
        <v>0</v>
      </c>
      <c r="W24" s="25">
        <f t="shared" si="56"/>
        <v>-29.644268774703555</v>
      </c>
      <c r="X24" s="25">
        <f t="shared" si="56"/>
        <v>-29.644268774703555</v>
      </c>
      <c r="Y24" s="25">
        <f t="shared" si="56"/>
        <v>-29.644268774703555</v>
      </c>
      <c r="Z24" s="25">
        <f t="shared" si="56"/>
        <v>-789.163372859025</v>
      </c>
      <c r="AA24" s="25">
        <f t="shared" si="56"/>
        <v>-789.163372859025</v>
      </c>
      <c r="AB24" s="25">
        <f t="shared" si="56"/>
        <v>-789.163372859025</v>
      </c>
      <c r="AC24" s="25">
        <f t="shared" si="56"/>
        <v>-1074.9967061923583</v>
      </c>
      <c r="AD24" s="25">
        <f t="shared" si="56"/>
        <v>-1074.9967061923583</v>
      </c>
      <c r="AE24" s="25">
        <f t="shared" si="56"/>
        <v>-1074.9967061923583</v>
      </c>
      <c r="AF24" s="25">
        <f t="shared" si="56"/>
        <v>-1074.9967061923583</v>
      </c>
      <c r="AG24" s="25">
        <f t="shared" si="56"/>
        <v>-1074.9967061923583</v>
      </c>
      <c r="AH24" s="25">
        <f t="shared" si="56"/>
        <v>-1074.9967061923583</v>
      </c>
      <c r="AI24" s="25">
        <f t="shared" si="56"/>
        <v>-1074.9967061923583</v>
      </c>
      <c r="AJ24" s="25">
        <f t="shared" si="56"/>
        <v>-1371.439393939394</v>
      </c>
      <c r="AK24" s="25">
        <f t="shared" si="56"/>
        <v>-1371.439393939394</v>
      </c>
      <c r="AL24" s="25">
        <f t="shared" si="56"/>
        <v>-1378.939393939394</v>
      </c>
      <c r="AM24" s="25">
        <f t="shared" si="56"/>
        <v>-1378.939393939394</v>
      </c>
      <c r="AN24" s="25">
        <f t="shared" si="56"/>
        <v>-1378.939393939394</v>
      </c>
      <c r="AO24" s="25">
        <f t="shared" si="56"/>
        <v>-1384.6560606060605</v>
      </c>
      <c r="AP24" s="25">
        <f t="shared" si="56"/>
        <v>-1384.6560606060605</v>
      </c>
      <c r="AQ24" s="25">
        <f t="shared" si="56"/>
        <v>-1384.6560606060605</v>
      </c>
      <c r="AR24" s="25">
        <f t="shared" si="56"/>
        <v>-1384.6560606060605</v>
      </c>
      <c r="AS24" s="25">
        <f t="shared" si="56"/>
        <v>-1384.6560606060605</v>
      </c>
      <c r="AT24" s="25">
        <f t="shared" si="56"/>
        <v>-1384.6560606060605</v>
      </c>
      <c r="AU24" s="25">
        <f t="shared" si="56"/>
        <v>-1384.6560606060605</v>
      </c>
      <c r="AV24" s="25">
        <f t="shared" si="56"/>
        <v>-1384.6560606060605</v>
      </c>
      <c r="AW24" s="25">
        <f t="shared" si="56"/>
        <v>-1384.6560606060605</v>
      </c>
      <c r="AX24" s="25">
        <f t="shared" si="56"/>
        <v>-1392.3810606060606</v>
      </c>
      <c r="AY24" s="25">
        <f t="shared" si="56"/>
        <v>-1392.3810606060606</v>
      </c>
      <c r="AZ24" s="25">
        <f t="shared" si="56"/>
        <v>-1392.3810606060606</v>
      </c>
      <c r="BA24" s="25">
        <f t="shared" si="56"/>
        <v>-1398.2120606060605</v>
      </c>
      <c r="BB24" s="25">
        <f t="shared" si="56"/>
        <v>-1398.2120606060605</v>
      </c>
      <c r="BC24" s="25">
        <f t="shared" si="56"/>
        <v>-1398.2120606060605</v>
      </c>
      <c r="BD24" s="25">
        <f t="shared" si="56"/>
        <v>-1398.2120606060605</v>
      </c>
      <c r="BE24" s="25">
        <f t="shared" si="56"/>
        <v>-1398.2120606060605</v>
      </c>
      <c r="BF24" s="25">
        <f t="shared" si="56"/>
        <v>-1398.2120606060605</v>
      </c>
      <c r="BG24" s="25">
        <f t="shared" si="56"/>
        <v>-1398.2120606060605</v>
      </c>
      <c r="BH24" s="25">
        <f t="shared" si="56"/>
        <v>-1398.2120606060605</v>
      </c>
      <c r="BI24" s="25">
        <f t="shared" si="56"/>
        <v>-1398.2120606060605</v>
      </c>
      <c r="BJ24" s="25">
        <f t="shared" si="56"/>
        <v>-1406.1688106060606</v>
      </c>
      <c r="BK24" s="25">
        <f t="shared" si="56"/>
        <v>-1406.1688106060606</v>
      </c>
      <c r="BL24" s="25">
        <f t="shared" si="56"/>
        <v>-1406.1688106060606</v>
      </c>
      <c r="BM24" s="25">
        <f t="shared" si="56"/>
        <v>-1412.1164306060607</v>
      </c>
      <c r="BN24" s="25">
        <f t="shared" si="56"/>
        <v>-1412.1164306060607</v>
      </c>
      <c r="BO24" s="25">
        <f t="shared" si="56"/>
        <v>-1412.1164306060607</v>
      </c>
      <c r="BP24" s="25">
        <f t="shared" si="56"/>
        <v>-1412.1164306060607</v>
      </c>
      <c r="BQ24" s="25">
        <f t="shared" si="56"/>
        <v>-1412.1164306060607</v>
      </c>
      <c r="BR24" s="25">
        <f t="shared" si="56"/>
        <v>-1412.1164306060607</v>
      </c>
      <c r="BS24" s="25">
        <f t="shared" si="56"/>
        <v>-1412.1164306060607</v>
      </c>
      <c r="BT24" s="25">
        <f t="shared" si="56"/>
        <v>-1412.1164306060607</v>
      </c>
      <c r="BU24" s="25">
        <f t="shared" si="56"/>
        <v>-1412.1164306060607</v>
      </c>
      <c r="BV24" s="25">
        <f t="shared" si="56"/>
        <v>-1420.3118831060606</v>
      </c>
      <c r="BW24" s="25">
        <f t="shared" si="56"/>
        <v>-1420.3118831060606</v>
      </c>
      <c r="BX24" s="25">
        <f t="shared" si="56"/>
        <v>-1420.3118831060606</v>
      </c>
      <c r="BY24" s="25">
        <f t="shared" ref="BY24:EJ24" si="57">-BY23*$G$24</f>
        <v>-1426.3784555060606</v>
      </c>
      <c r="BZ24" s="25">
        <f t="shared" si="57"/>
        <v>-1426.3784555060606</v>
      </c>
      <c r="CA24" s="25">
        <f t="shared" si="57"/>
        <v>-1426.3784555060606</v>
      </c>
      <c r="CB24" s="25">
        <f t="shared" si="57"/>
        <v>-1426.3784555060606</v>
      </c>
      <c r="CC24" s="25">
        <f t="shared" si="57"/>
        <v>-1426.3784555060606</v>
      </c>
      <c r="CD24" s="25">
        <f t="shared" si="57"/>
        <v>-1426.3784555060606</v>
      </c>
      <c r="CE24" s="25">
        <f t="shared" si="57"/>
        <v>-1426.3784555060606</v>
      </c>
      <c r="CF24" s="25">
        <f t="shared" si="57"/>
        <v>-1426.3784555060606</v>
      </c>
      <c r="CG24" s="25">
        <f t="shared" si="57"/>
        <v>-1426.3784555060606</v>
      </c>
      <c r="CH24" s="25">
        <f t="shared" si="57"/>
        <v>-1434.8197715810604</v>
      </c>
      <c r="CI24" s="25">
        <f t="shared" si="57"/>
        <v>-1434.8197715810604</v>
      </c>
      <c r="CJ24" s="25">
        <f t="shared" si="57"/>
        <v>-1434.8197715810604</v>
      </c>
      <c r="CK24" s="25">
        <f t="shared" si="57"/>
        <v>-1441.0076754290606</v>
      </c>
      <c r="CL24" s="25">
        <f t="shared" si="57"/>
        <v>-1441.0076754290606</v>
      </c>
      <c r="CM24" s="25">
        <f t="shared" si="57"/>
        <v>-1441.0076754290606</v>
      </c>
      <c r="CN24" s="25">
        <f t="shared" si="57"/>
        <v>-1441.0076754290606</v>
      </c>
      <c r="CO24" s="25">
        <f t="shared" si="57"/>
        <v>-1441.0076754290606</v>
      </c>
      <c r="CP24" s="25">
        <f t="shared" si="57"/>
        <v>-1441.0076754290606</v>
      </c>
      <c r="CQ24" s="25">
        <f t="shared" si="57"/>
        <v>-1441.0076754290606</v>
      </c>
      <c r="CR24" s="25">
        <f t="shared" si="57"/>
        <v>-1441.0076754290606</v>
      </c>
      <c r="CS24" s="25">
        <f t="shared" si="57"/>
        <v>-1441.0076754290606</v>
      </c>
      <c r="CT24" s="25">
        <f t="shared" si="57"/>
        <v>-1449.7022309863105</v>
      </c>
      <c r="CU24" s="25">
        <f t="shared" si="57"/>
        <v>-1449.7022309863105</v>
      </c>
      <c r="CV24" s="25">
        <f t="shared" si="57"/>
        <v>-1449.7022309863105</v>
      </c>
      <c r="CW24" s="25">
        <f t="shared" si="57"/>
        <v>-1456.0138929112704</v>
      </c>
      <c r="CX24" s="25">
        <f t="shared" si="57"/>
        <v>-1456.0138929112704</v>
      </c>
      <c r="CY24" s="25">
        <f t="shared" si="57"/>
        <v>-1456.0138929112704</v>
      </c>
      <c r="CZ24" s="25">
        <f t="shared" si="57"/>
        <v>-1456.0138929112704</v>
      </c>
      <c r="DA24" s="25">
        <f t="shared" si="57"/>
        <v>-1456.0138929112704</v>
      </c>
      <c r="DB24" s="25">
        <f t="shared" si="57"/>
        <v>-1456.0138929112704</v>
      </c>
      <c r="DC24" s="25">
        <f t="shared" si="57"/>
        <v>-1456.0138929112704</v>
      </c>
      <c r="DD24" s="25">
        <f t="shared" si="57"/>
        <v>-1456.0138929112704</v>
      </c>
      <c r="DE24" s="25">
        <f t="shared" si="57"/>
        <v>-1456.0138929112704</v>
      </c>
      <c r="DF24" s="25">
        <f t="shared" si="57"/>
        <v>-1464.9692851352381</v>
      </c>
      <c r="DG24" s="25">
        <f t="shared" si="57"/>
        <v>-1464.9692851352381</v>
      </c>
      <c r="DH24" s="25">
        <f t="shared" si="57"/>
        <v>-1464.9692851352381</v>
      </c>
      <c r="DI24" s="25">
        <f t="shared" si="57"/>
        <v>-1471.4071802986973</v>
      </c>
      <c r="DJ24" s="25">
        <f t="shared" si="57"/>
        <v>-1471.4071802986973</v>
      </c>
      <c r="DK24" s="25">
        <f t="shared" si="57"/>
        <v>-1471.4071802986973</v>
      </c>
      <c r="DL24" s="25">
        <f t="shared" si="57"/>
        <v>-1471.4071802986973</v>
      </c>
      <c r="DM24" s="25">
        <f t="shared" si="57"/>
        <v>-1471.4071802986973</v>
      </c>
      <c r="DN24" s="25">
        <f t="shared" si="57"/>
        <v>-1471.4071802986973</v>
      </c>
      <c r="DO24" s="25">
        <f t="shared" si="57"/>
        <v>-1471.4071802986973</v>
      </c>
      <c r="DP24" s="25">
        <f t="shared" si="57"/>
        <v>-1471.4071802986973</v>
      </c>
      <c r="DQ24" s="25">
        <f t="shared" si="57"/>
        <v>-1471.4071802986973</v>
      </c>
      <c r="DR24" s="25">
        <f t="shared" si="57"/>
        <v>-1480.6312342893837</v>
      </c>
      <c r="DS24" s="25">
        <f t="shared" si="57"/>
        <v>-1480.6312342893837</v>
      </c>
      <c r="DT24" s="25">
        <f t="shared" si="57"/>
        <v>-1480.6312342893837</v>
      </c>
      <c r="DU24" s="25">
        <f t="shared" si="57"/>
        <v>-1487.1978873561122</v>
      </c>
      <c r="DV24" s="25">
        <f t="shared" si="57"/>
        <v>-1487.1978873561122</v>
      </c>
      <c r="DW24" s="25">
        <f t="shared" si="57"/>
        <v>-1487.1978873561122</v>
      </c>
      <c r="DX24" s="25">
        <f t="shared" si="57"/>
        <v>-1487.1978873561122</v>
      </c>
      <c r="DY24" s="25">
        <f t="shared" si="57"/>
        <v>-1487.1978873561122</v>
      </c>
      <c r="DZ24" s="25">
        <f t="shared" si="57"/>
        <v>-1487.1978873561122</v>
      </c>
      <c r="EA24" s="25">
        <f t="shared" si="57"/>
        <v>-1487.1978873561122</v>
      </c>
      <c r="EB24" s="25">
        <f t="shared" si="57"/>
        <v>-1487.1978873561122</v>
      </c>
      <c r="EC24" s="25">
        <f t="shared" si="57"/>
        <v>-1487.1978873561122</v>
      </c>
      <c r="ED24" s="25">
        <f t="shared" si="57"/>
        <v>-1496.6986629665191</v>
      </c>
      <c r="EE24" s="25">
        <f t="shared" si="57"/>
        <v>-1496.6986629665191</v>
      </c>
      <c r="EF24" s="25">
        <f t="shared" si="57"/>
        <v>-1496.6986629665191</v>
      </c>
      <c r="EG24" s="25">
        <f t="shared" si="57"/>
        <v>-1503.3966490945822</v>
      </c>
      <c r="EH24" s="25">
        <f t="shared" si="57"/>
        <v>-1503.3966490945822</v>
      </c>
      <c r="EI24" s="25">
        <f t="shared" si="57"/>
        <v>-1503.3966490945822</v>
      </c>
      <c r="EJ24" s="25">
        <f t="shared" si="57"/>
        <v>-1503.3966490945822</v>
      </c>
      <c r="EK24" s="25">
        <f>-EK23*$G$24</f>
        <v>-1503.3966490945822</v>
      </c>
      <c r="EL24" s="25">
        <f>-EL23*$G$24</f>
        <v>-1503.3966490945822</v>
      </c>
      <c r="EM24" s="25">
        <f>-EM23*$G$24</f>
        <v>-1503.3966490945822</v>
      </c>
    </row>
    <row r="25" spans="1:143" s="35" customFormat="1" ht="12.75" x14ac:dyDescent="0.2">
      <c r="A25" s="99"/>
      <c r="B25" s="41" t="s">
        <v>136</v>
      </c>
      <c r="C25" s="68"/>
      <c r="D25" s="68"/>
      <c r="E25" s="68"/>
      <c r="F25" s="116"/>
      <c r="G25" s="95"/>
      <c r="H25" s="109">
        <f>I25/Units_Retail</f>
        <v>32.914545454545454</v>
      </c>
      <c r="I25" s="112">
        <f>SUM(I23:I24)</f>
        <v>189258.63636363635</v>
      </c>
      <c r="K25" s="24"/>
      <c r="L25" s="24">
        <f>+L23+L24</f>
        <v>0</v>
      </c>
      <c r="M25" s="24">
        <f t="shared" ref="M25:BX25" si="58">+M23+M24</f>
        <v>0</v>
      </c>
      <c r="N25" s="24">
        <f t="shared" si="58"/>
        <v>0</v>
      </c>
      <c r="O25" s="24">
        <f t="shared" si="58"/>
        <v>0</v>
      </c>
      <c r="P25" s="24">
        <f t="shared" si="58"/>
        <v>0</v>
      </c>
      <c r="Q25" s="24">
        <f t="shared" si="58"/>
        <v>0</v>
      </c>
      <c r="R25" s="24">
        <f t="shared" si="58"/>
        <v>0</v>
      </c>
      <c r="S25" s="24">
        <f t="shared" si="58"/>
        <v>0</v>
      </c>
      <c r="T25" s="24">
        <f t="shared" si="58"/>
        <v>0</v>
      </c>
      <c r="U25" s="24">
        <f t="shared" si="58"/>
        <v>0</v>
      </c>
      <c r="V25" s="24">
        <f t="shared" si="58"/>
        <v>0</v>
      </c>
      <c r="W25" s="24">
        <f t="shared" si="58"/>
        <v>340.90909090909088</v>
      </c>
      <c r="X25" s="24">
        <f t="shared" si="58"/>
        <v>340.90909090909088</v>
      </c>
      <c r="Y25" s="24">
        <f t="shared" si="58"/>
        <v>340.90909090909088</v>
      </c>
      <c r="Z25" s="24">
        <f t="shared" si="58"/>
        <v>9075.378787878788</v>
      </c>
      <c r="AA25" s="24">
        <f t="shared" si="58"/>
        <v>9075.378787878788</v>
      </c>
      <c r="AB25" s="24">
        <f t="shared" si="58"/>
        <v>9075.378787878788</v>
      </c>
      <c r="AC25" s="24">
        <f t="shared" si="58"/>
        <v>12362.46212121212</v>
      </c>
      <c r="AD25" s="24">
        <f t="shared" si="58"/>
        <v>12362.46212121212</v>
      </c>
      <c r="AE25" s="24">
        <f t="shared" si="58"/>
        <v>12362.46212121212</v>
      </c>
      <c r="AF25" s="24">
        <f t="shared" si="58"/>
        <v>12362.46212121212</v>
      </c>
      <c r="AG25" s="24">
        <f t="shared" si="58"/>
        <v>12362.46212121212</v>
      </c>
      <c r="AH25" s="24">
        <f t="shared" si="58"/>
        <v>12362.46212121212</v>
      </c>
      <c r="AI25" s="24">
        <f t="shared" si="58"/>
        <v>12362.46212121212</v>
      </c>
      <c r="AJ25" s="24">
        <f t="shared" si="58"/>
        <v>15771.55303030303</v>
      </c>
      <c r="AK25" s="24">
        <f t="shared" si="58"/>
        <v>15771.55303030303</v>
      </c>
      <c r="AL25" s="24">
        <f t="shared" si="58"/>
        <v>15857.80303030303</v>
      </c>
      <c r="AM25" s="24">
        <f t="shared" si="58"/>
        <v>15857.80303030303</v>
      </c>
      <c r="AN25" s="24">
        <f t="shared" si="58"/>
        <v>15857.80303030303</v>
      </c>
      <c r="AO25" s="24">
        <f t="shared" si="58"/>
        <v>15923.544696969695</v>
      </c>
      <c r="AP25" s="24">
        <f t="shared" si="58"/>
        <v>15923.544696969695</v>
      </c>
      <c r="AQ25" s="24">
        <f t="shared" si="58"/>
        <v>15923.544696969695</v>
      </c>
      <c r="AR25" s="24">
        <f t="shared" si="58"/>
        <v>15923.544696969695</v>
      </c>
      <c r="AS25" s="24">
        <f t="shared" si="58"/>
        <v>15923.544696969695</v>
      </c>
      <c r="AT25" s="24">
        <f t="shared" si="58"/>
        <v>15923.544696969695</v>
      </c>
      <c r="AU25" s="24">
        <f t="shared" si="58"/>
        <v>15923.544696969695</v>
      </c>
      <c r="AV25" s="24">
        <f t="shared" si="58"/>
        <v>15923.544696969695</v>
      </c>
      <c r="AW25" s="24">
        <f t="shared" si="58"/>
        <v>15923.544696969695</v>
      </c>
      <c r="AX25" s="24">
        <f t="shared" si="58"/>
        <v>16012.382196969695</v>
      </c>
      <c r="AY25" s="24">
        <f t="shared" si="58"/>
        <v>16012.382196969695</v>
      </c>
      <c r="AZ25" s="24">
        <f t="shared" si="58"/>
        <v>16012.382196969695</v>
      </c>
      <c r="BA25" s="24">
        <f t="shared" si="58"/>
        <v>16079.438696969697</v>
      </c>
      <c r="BB25" s="24">
        <f t="shared" si="58"/>
        <v>16079.438696969697</v>
      </c>
      <c r="BC25" s="24">
        <f t="shared" si="58"/>
        <v>16079.438696969697</v>
      </c>
      <c r="BD25" s="24">
        <f t="shared" si="58"/>
        <v>16079.438696969697</v>
      </c>
      <c r="BE25" s="24">
        <f t="shared" si="58"/>
        <v>16079.438696969697</v>
      </c>
      <c r="BF25" s="24">
        <f t="shared" si="58"/>
        <v>16079.438696969697</v>
      </c>
      <c r="BG25" s="24">
        <f t="shared" si="58"/>
        <v>16079.438696969697</v>
      </c>
      <c r="BH25" s="24">
        <f t="shared" si="58"/>
        <v>16079.438696969697</v>
      </c>
      <c r="BI25" s="24">
        <f t="shared" si="58"/>
        <v>16079.438696969697</v>
      </c>
      <c r="BJ25" s="24">
        <f t="shared" si="58"/>
        <v>16170.941321969694</v>
      </c>
      <c r="BK25" s="24">
        <f t="shared" si="58"/>
        <v>16170.941321969694</v>
      </c>
      <c r="BL25" s="24">
        <f t="shared" si="58"/>
        <v>16170.941321969694</v>
      </c>
      <c r="BM25" s="24">
        <f t="shared" si="58"/>
        <v>16239.338951969698</v>
      </c>
      <c r="BN25" s="24">
        <f t="shared" si="58"/>
        <v>16239.338951969698</v>
      </c>
      <c r="BO25" s="24">
        <f t="shared" si="58"/>
        <v>16239.338951969698</v>
      </c>
      <c r="BP25" s="24">
        <f t="shared" si="58"/>
        <v>16239.338951969698</v>
      </c>
      <c r="BQ25" s="24">
        <f t="shared" si="58"/>
        <v>16239.338951969698</v>
      </c>
      <c r="BR25" s="24">
        <f t="shared" si="58"/>
        <v>16239.338951969698</v>
      </c>
      <c r="BS25" s="24">
        <f t="shared" si="58"/>
        <v>16239.338951969698</v>
      </c>
      <c r="BT25" s="24">
        <f t="shared" si="58"/>
        <v>16239.338951969698</v>
      </c>
      <c r="BU25" s="24">
        <f t="shared" si="58"/>
        <v>16239.338951969698</v>
      </c>
      <c r="BV25" s="24">
        <f t="shared" si="58"/>
        <v>16333.586655719697</v>
      </c>
      <c r="BW25" s="24">
        <f t="shared" si="58"/>
        <v>16333.586655719697</v>
      </c>
      <c r="BX25" s="24">
        <f t="shared" si="58"/>
        <v>16333.586655719697</v>
      </c>
      <c r="BY25" s="24">
        <f t="shared" ref="BY25:EJ25" si="59">+BY23+BY24</f>
        <v>16403.352238319698</v>
      </c>
      <c r="BZ25" s="24">
        <f t="shared" si="59"/>
        <v>16403.352238319698</v>
      </c>
      <c r="CA25" s="24">
        <f t="shared" si="59"/>
        <v>16403.352238319698</v>
      </c>
      <c r="CB25" s="24">
        <f t="shared" si="59"/>
        <v>16403.352238319698</v>
      </c>
      <c r="CC25" s="24">
        <f t="shared" si="59"/>
        <v>16403.352238319698</v>
      </c>
      <c r="CD25" s="24">
        <f t="shared" si="59"/>
        <v>16403.352238319698</v>
      </c>
      <c r="CE25" s="24">
        <f t="shared" si="59"/>
        <v>16403.352238319698</v>
      </c>
      <c r="CF25" s="24">
        <f t="shared" si="59"/>
        <v>16403.352238319698</v>
      </c>
      <c r="CG25" s="24">
        <f t="shared" si="59"/>
        <v>16403.352238319698</v>
      </c>
      <c r="CH25" s="24">
        <f t="shared" si="59"/>
        <v>16500.427373182196</v>
      </c>
      <c r="CI25" s="24">
        <f t="shared" si="59"/>
        <v>16500.427373182196</v>
      </c>
      <c r="CJ25" s="24">
        <f t="shared" si="59"/>
        <v>16500.427373182196</v>
      </c>
      <c r="CK25" s="24">
        <f t="shared" si="59"/>
        <v>16571.588267434196</v>
      </c>
      <c r="CL25" s="24">
        <f t="shared" si="59"/>
        <v>16571.588267434196</v>
      </c>
      <c r="CM25" s="24">
        <f t="shared" si="59"/>
        <v>16571.588267434196</v>
      </c>
      <c r="CN25" s="24">
        <f t="shared" si="59"/>
        <v>16571.588267434196</v>
      </c>
      <c r="CO25" s="24">
        <f t="shared" si="59"/>
        <v>16571.588267434196</v>
      </c>
      <c r="CP25" s="24">
        <f t="shared" si="59"/>
        <v>16571.588267434196</v>
      </c>
      <c r="CQ25" s="24">
        <f t="shared" si="59"/>
        <v>16571.588267434196</v>
      </c>
      <c r="CR25" s="24">
        <f t="shared" si="59"/>
        <v>16571.588267434196</v>
      </c>
      <c r="CS25" s="24">
        <f t="shared" si="59"/>
        <v>16571.588267434196</v>
      </c>
      <c r="CT25" s="24">
        <f t="shared" si="59"/>
        <v>16671.575656342571</v>
      </c>
      <c r="CU25" s="24">
        <f t="shared" si="59"/>
        <v>16671.575656342571</v>
      </c>
      <c r="CV25" s="24">
        <f t="shared" si="59"/>
        <v>16671.575656342571</v>
      </c>
      <c r="CW25" s="24">
        <f t="shared" si="59"/>
        <v>16744.159768479611</v>
      </c>
      <c r="CX25" s="24">
        <f t="shared" si="59"/>
        <v>16744.159768479611</v>
      </c>
      <c r="CY25" s="24">
        <f t="shared" si="59"/>
        <v>16744.159768479611</v>
      </c>
      <c r="CZ25" s="24">
        <f t="shared" si="59"/>
        <v>16744.159768479611</v>
      </c>
      <c r="DA25" s="24">
        <f t="shared" si="59"/>
        <v>16744.159768479611</v>
      </c>
      <c r="DB25" s="24">
        <f t="shared" si="59"/>
        <v>16744.159768479611</v>
      </c>
      <c r="DC25" s="24">
        <f t="shared" si="59"/>
        <v>16744.159768479611</v>
      </c>
      <c r="DD25" s="24">
        <f t="shared" si="59"/>
        <v>16744.159768479611</v>
      </c>
      <c r="DE25" s="24">
        <f t="shared" si="59"/>
        <v>16744.159768479611</v>
      </c>
      <c r="DF25" s="24">
        <f t="shared" si="59"/>
        <v>16847.146779055238</v>
      </c>
      <c r="DG25" s="24">
        <f t="shared" si="59"/>
        <v>16847.146779055238</v>
      </c>
      <c r="DH25" s="24">
        <f t="shared" si="59"/>
        <v>16847.146779055238</v>
      </c>
      <c r="DI25" s="24">
        <f t="shared" si="59"/>
        <v>16921.182573435017</v>
      </c>
      <c r="DJ25" s="24">
        <f t="shared" si="59"/>
        <v>16921.182573435017</v>
      </c>
      <c r="DK25" s="24">
        <f t="shared" si="59"/>
        <v>16921.182573435017</v>
      </c>
      <c r="DL25" s="24">
        <f t="shared" si="59"/>
        <v>16921.182573435017</v>
      </c>
      <c r="DM25" s="24">
        <f t="shared" si="59"/>
        <v>16921.182573435017</v>
      </c>
      <c r="DN25" s="24">
        <f t="shared" si="59"/>
        <v>16921.182573435017</v>
      </c>
      <c r="DO25" s="24">
        <f t="shared" si="59"/>
        <v>16921.182573435017</v>
      </c>
      <c r="DP25" s="24">
        <f t="shared" si="59"/>
        <v>16921.182573435017</v>
      </c>
      <c r="DQ25" s="24">
        <f t="shared" si="59"/>
        <v>16921.182573435017</v>
      </c>
      <c r="DR25" s="24">
        <f t="shared" si="59"/>
        <v>17027.259194327911</v>
      </c>
      <c r="DS25" s="24">
        <f t="shared" si="59"/>
        <v>17027.259194327911</v>
      </c>
      <c r="DT25" s="24">
        <f t="shared" si="59"/>
        <v>17027.259194327911</v>
      </c>
      <c r="DU25" s="24">
        <f t="shared" si="59"/>
        <v>17102.775704595289</v>
      </c>
      <c r="DV25" s="24">
        <f t="shared" si="59"/>
        <v>17102.775704595289</v>
      </c>
      <c r="DW25" s="24">
        <f t="shared" si="59"/>
        <v>17102.775704595289</v>
      </c>
      <c r="DX25" s="24">
        <f t="shared" si="59"/>
        <v>17102.775704595289</v>
      </c>
      <c r="DY25" s="24">
        <f t="shared" si="59"/>
        <v>17102.775704595289</v>
      </c>
      <c r="DZ25" s="24">
        <f t="shared" si="59"/>
        <v>17102.775704595289</v>
      </c>
      <c r="EA25" s="24">
        <f t="shared" si="59"/>
        <v>17102.775704595289</v>
      </c>
      <c r="EB25" s="24">
        <f t="shared" si="59"/>
        <v>17102.775704595289</v>
      </c>
      <c r="EC25" s="24">
        <f t="shared" si="59"/>
        <v>17102.775704595289</v>
      </c>
      <c r="ED25" s="24">
        <f t="shared" si="59"/>
        <v>17212.034624114971</v>
      </c>
      <c r="EE25" s="24">
        <f t="shared" si="59"/>
        <v>17212.034624114971</v>
      </c>
      <c r="EF25" s="24">
        <f t="shared" si="59"/>
        <v>17212.034624114971</v>
      </c>
      <c r="EG25" s="24">
        <f t="shared" si="59"/>
        <v>17289.061464587696</v>
      </c>
      <c r="EH25" s="24">
        <f t="shared" si="59"/>
        <v>17289.061464587696</v>
      </c>
      <c r="EI25" s="24">
        <f t="shared" si="59"/>
        <v>17289.061464587696</v>
      </c>
      <c r="EJ25" s="24">
        <f t="shared" si="59"/>
        <v>17289.061464587696</v>
      </c>
      <c r="EK25" s="24">
        <f>+EK23+EK24</f>
        <v>17289.061464587696</v>
      </c>
      <c r="EL25" s="24">
        <f>+EL23+EL24</f>
        <v>17289.061464587696</v>
      </c>
      <c r="EM25" s="24">
        <f>+EM23+EM24</f>
        <v>17289.061464587696</v>
      </c>
    </row>
    <row r="26" spans="1:143" ht="5.0999999999999996" customHeight="1" x14ac:dyDescent="0.2">
      <c r="B26" s="107"/>
      <c r="C26" s="48"/>
      <c r="D26" s="48"/>
      <c r="E26" s="48"/>
      <c r="F26" s="59"/>
      <c r="G26" s="51"/>
      <c r="H26" s="51"/>
      <c r="I26" s="52"/>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4"/>
      <c r="DA26" s="24"/>
      <c r="DB26" s="24"/>
      <c r="DC26" s="24"/>
      <c r="DD26" s="24"/>
      <c r="DE26" s="24"/>
      <c r="DF26" s="24"/>
      <c r="DG26" s="24"/>
      <c r="DH26" s="24"/>
      <c r="DI26" s="24"/>
      <c r="DJ26" s="24"/>
      <c r="DK26" s="24"/>
      <c r="DL26" s="24"/>
      <c r="DM26" s="24"/>
      <c r="DN26" s="24"/>
      <c r="DO26" s="24"/>
      <c r="DP26" s="24"/>
      <c r="DQ26" s="24"/>
      <c r="DR26" s="24"/>
      <c r="DS26" s="24"/>
      <c r="DT26" s="24"/>
      <c r="DU26" s="24"/>
      <c r="DV26" s="24"/>
      <c r="DW26" s="24"/>
      <c r="DX26" s="24"/>
      <c r="DY26" s="24"/>
      <c r="DZ26" s="24"/>
      <c r="EA26" s="24"/>
      <c r="EB26" s="24"/>
      <c r="EC26" s="24"/>
      <c r="ED26" s="24"/>
      <c r="EE26" s="24"/>
      <c r="EF26" s="24"/>
      <c r="EG26" s="24"/>
      <c r="EH26" s="24"/>
      <c r="EI26" s="24"/>
      <c r="EJ26" s="24"/>
      <c r="EK26" s="24"/>
      <c r="EL26" s="24"/>
      <c r="EM26" s="24"/>
    </row>
    <row r="27" spans="1:143" x14ac:dyDescent="0.2">
      <c r="B27" s="10" t="s">
        <v>294</v>
      </c>
      <c r="C27" s="9"/>
      <c r="D27" s="9"/>
      <c r="E27" s="9"/>
      <c r="F27" s="9"/>
      <c r="G27" s="9"/>
      <c r="H27" s="9"/>
      <c r="I27" s="9"/>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4"/>
      <c r="DA27" s="24"/>
      <c r="DB27" s="24"/>
      <c r="DC27" s="24"/>
      <c r="DD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F27" s="24"/>
      <c r="EG27" s="24"/>
      <c r="EH27" s="24"/>
      <c r="EI27" s="24"/>
      <c r="EJ27" s="24"/>
      <c r="EK27" s="24"/>
      <c r="EL27" s="24"/>
      <c r="EM27" s="24"/>
    </row>
    <row r="28" spans="1:143" s="6" customFormat="1" x14ac:dyDescent="0.2">
      <c r="A28" s="97"/>
      <c r="B28" s="43" t="s">
        <v>306</v>
      </c>
      <c r="C28" s="44"/>
      <c r="D28" s="44"/>
      <c r="E28" s="44" t="s">
        <v>139</v>
      </c>
      <c r="F28" s="44" t="s">
        <v>313</v>
      </c>
      <c r="G28" s="47" t="s">
        <v>120</v>
      </c>
      <c r="H28" s="115" t="str">
        <f>+H24</f>
        <v>/SF/YR</v>
      </c>
      <c r="I28" s="44" t="s">
        <v>119</v>
      </c>
    </row>
    <row r="29" spans="1:143" s="6" customFormat="1" x14ac:dyDescent="0.2">
      <c r="A29" s="97"/>
      <c r="B29" s="64" t="s">
        <v>307</v>
      </c>
      <c r="C29" s="48"/>
      <c r="D29" s="48"/>
      <c r="E29" s="70">
        <v>0</v>
      </c>
      <c r="F29" s="50">
        <f>Underwriting!$D$117</f>
        <v>0</v>
      </c>
      <c r="G29" s="51">
        <f>I29/Units</f>
        <v>784.09090909090901</v>
      </c>
      <c r="H29" s="102">
        <v>2.1818181818181817</v>
      </c>
      <c r="I29" s="61">
        <f>+H29*Units_Retail</f>
        <v>12545.454545454544</v>
      </c>
      <c r="L29" s="24">
        <f>$I29/12*L$9*(1+$F29)^(ROUNDUP(L$10/12,0)-1)</f>
        <v>0</v>
      </c>
      <c r="M29" s="24">
        <f t="shared" ref="M29:BX32" si="60">$I29/12*M$9*(1+$F29)^(ROUNDUP(M$10/12,0)-1)</f>
        <v>0</v>
      </c>
      <c r="N29" s="24">
        <f t="shared" si="60"/>
        <v>0</v>
      </c>
      <c r="O29" s="24">
        <f t="shared" si="60"/>
        <v>0</v>
      </c>
      <c r="P29" s="24">
        <f t="shared" si="60"/>
        <v>0</v>
      </c>
      <c r="Q29" s="24">
        <f t="shared" si="60"/>
        <v>0</v>
      </c>
      <c r="R29" s="24">
        <f t="shared" si="60"/>
        <v>0</v>
      </c>
      <c r="S29" s="24">
        <f t="shared" si="60"/>
        <v>0</v>
      </c>
      <c r="T29" s="24">
        <f t="shared" si="60"/>
        <v>0</v>
      </c>
      <c r="U29" s="24">
        <f t="shared" si="60"/>
        <v>0</v>
      </c>
      <c r="V29" s="24">
        <f t="shared" si="60"/>
        <v>0</v>
      </c>
      <c r="W29" s="24">
        <f t="shared" si="60"/>
        <v>272.72727272727269</v>
      </c>
      <c r="X29" s="24">
        <f t="shared" si="60"/>
        <v>272.72727272727269</v>
      </c>
      <c r="Y29" s="24">
        <f t="shared" si="60"/>
        <v>272.72727272727269</v>
      </c>
      <c r="Z29" s="24">
        <f t="shared" si="60"/>
        <v>590.90909090909076</v>
      </c>
      <c r="AA29" s="24">
        <f t="shared" si="60"/>
        <v>590.90909090909076</v>
      </c>
      <c r="AB29" s="24">
        <f t="shared" si="60"/>
        <v>590.90909090909076</v>
      </c>
      <c r="AC29" s="24">
        <f t="shared" si="60"/>
        <v>590.90909090909076</v>
      </c>
      <c r="AD29" s="24">
        <f t="shared" si="60"/>
        <v>590.90909090909076</v>
      </c>
      <c r="AE29" s="24">
        <f t="shared" si="60"/>
        <v>590.90909090909076</v>
      </c>
      <c r="AF29" s="24">
        <f t="shared" si="60"/>
        <v>590.90909090909076</v>
      </c>
      <c r="AG29" s="24">
        <f t="shared" si="60"/>
        <v>590.90909090909076</v>
      </c>
      <c r="AH29" s="24">
        <f t="shared" si="60"/>
        <v>590.90909090909076</v>
      </c>
      <c r="AI29" s="24">
        <f t="shared" si="60"/>
        <v>590.90909090909076</v>
      </c>
      <c r="AJ29" s="24">
        <f t="shared" si="60"/>
        <v>1045.4545454545453</v>
      </c>
      <c r="AK29" s="24">
        <f t="shared" si="60"/>
        <v>1045.4545454545453</v>
      </c>
      <c r="AL29" s="24">
        <f t="shared" si="60"/>
        <v>1045.4545454545453</v>
      </c>
      <c r="AM29" s="24">
        <f t="shared" si="60"/>
        <v>1045.4545454545453</v>
      </c>
      <c r="AN29" s="24">
        <f t="shared" si="60"/>
        <v>1045.4545454545453</v>
      </c>
      <c r="AO29" s="24">
        <f t="shared" si="60"/>
        <v>1045.4545454545453</v>
      </c>
      <c r="AP29" s="24">
        <f t="shared" si="60"/>
        <v>1045.4545454545453</v>
      </c>
      <c r="AQ29" s="24">
        <f t="shared" si="60"/>
        <v>1045.4545454545453</v>
      </c>
      <c r="AR29" s="24">
        <f t="shared" si="60"/>
        <v>1045.4545454545453</v>
      </c>
      <c r="AS29" s="24">
        <f t="shared" si="60"/>
        <v>1045.4545454545453</v>
      </c>
      <c r="AT29" s="24">
        <f t="shared" si="60"/>
        <v>1045.4545454545453</v>
      </c>
      <c r="AU29" s="24">
        <f t="shared" si="60"/>
        <v>1045.4545454545453</v>
      </c>
      <c r="AV29" s="24">
        <f t="shared" si="60"/>
        <v>1045.4545454545453</v>
      </c>
      <c r="AW29" s="24">
        <f t="shared" si="60"/>
        <v>1045.4545454545453</v>
      </c>
      <c r="AX29" s="24">
        <f t="shared" si="60"/>
        <v>1045.4545454545453</v>
      </c>
      <c r="AY29" s="24">
        <f t="shared" si="60"/>
        <v>1045.4545454545453</v>
      </c>
      <c r="AZ29" s="24">
        <f t="shared" si="60"/>
        <v>1045.4545454545453</v>
      </c>
      <c r="BA29" s="24">
        <f t="shared" si="60"/>
        <v>1045.4545454545453</v>
      </c>
      <c r="BB29" s="24">
        <f t="shared" si="60"/>
        <v>1045.4545454545453</v>
      </c>
      <c r="BC29" s="24">
        <f t="shared" si="60"/>
        <v>1045.4545454545453</v>
      </c>
      <c r="BD29" s="24">
        <f t="shared" si="60"/>
        <v>1045.4545454545453</v>
      </c>
      <c r="BE29" s="24">
        <f t="shared" si="60"/>
        <v>1045.4545454545453</v>
      </c>
      <c r="BF29" s="24">
        <f t="shared" si="60"/>
        <v>1045.4545454545453</v>
      </c>
      <c r="BG29" s="24">
        <f t="shared" si="60"/>
        <v>1045.4545454545453</v>
      </c>
      <c r="BH29" s="24">
        <f t="shared" si="60"/>
        <v>1045.4545454545453</v>
      </c>
      <c r="BI29" s="24">
        <f t="shared" si="60"/>
        <v>1045.4545454545453</v>
      </c>
      <c r="BJ29" s="24">
        <f t="shared" si="60"/>
        <v>1045.4545454545453</v>
      </c>
      <c r="BK29" s="24">
        <f t="shared" si="60"/>
        <v>1045.4545454545453</v>
      </c>
      <c r="BL29" s="24">
        <f t="shared" si="60"/>
        <v>1045.4545454545453</v>
      </c>
      <c r="BM29" s="24">
        <f t="shared" si="60"/>
        <v>1045.4545454545453</v>
      </c>
      <c r="BN29" s="24">
        <f t="shared" si="60"/>
        <v>1045.4545454545453</v>
      </c>
      <c r="BO29" s="24">
        <f t="shared" si="60"/>
        <v>1045.4545454545453</v>
      </c>
      <c r="BP29" s="24">
        <f t="shared" si="60"/>
        <v>1045.4545454545453</v>
      </c>
      <c r="BQ29" s="24">
        <f t="shared" si="60"/>
        <v>1045.4545454545453</v>
      </c>
      <c r="BR29" s="24">
        <f t="shared" si="60"/>
        <v>1045.4545454545453</v>
      </c>
      <c r="BS29" s="24">
        <f t="shared" si="60"/>
        <v>1045.4545454545453</v>
      </c>
      <c r="BT29" s="24">
        <f t="shared" si="60"/>
        <v>1045.4545454545453</v>
      </c>
      <c r="BU29" s="24">
        <f t="shared" si="60"/>
        <v>1045.4545454545453</v>
      </c>
      <c r="BV29" s="24">
        <f t="shared" si="60"/>
        <v>1045.4545454545453</v>
      </c>
      <c r="BW29" s="24">
        <f t="shared" si="60"/>
        <v>1045.4545454545453</v>
      </c>
      <c r="BX29" s="24">
        <f t="shared" si="60"/>
        <v>1045.4545454545453</v>
      </c>
      <c r="BY29" s="24">
        <f t="shared" ref="BY29:EJ32" si="61">$I29/12*BY$9*(1+$F29)^(ROUNDUP(BY$10/12,0)-1)</f>
        <v>1045.4545454545453</v>
      </c>
      <c r="BZ29" s="24">
        <f t="shared" si="61"/>
        <v>1045.4545454545453</v>
      </c>
      <c r="CA29" s="24">
        <f t="shared" si="61"/>
        <v>1045.4545454545453</v>
      </c>
      <c r="CB29" s="24">
        <f t="shared" si="61"/>
        <v>1045.4545454545453</v>
      </c>
      <c r="CC29" s="24">
        <f t="shared" si="61"/>
        <v>1045.4545454545453</v>
      </c>
      <c r="CD29" s="24">
        <f t="shared" si="61"/>
        <v>1045.4545454545453</v>
      </c>
      <c r="CE29" s="24">
        <f t="shared" si="61"/>
        <v>1045.4545454545453</v>
      </c>
      <c r="CF29" s="24">
        <f t="shared" si="61"/>
        <v>1045.4545454545453</v>
      </c>
      <c r="CG29" s="24">
        <f t="shared" si="61"/>
        <v>1045.4545454545453</v>
      </c>
      <c r="CH29" s="24">
        <f t="shared" si="61"/>
        <v>1045.4545454545453</v>
      </c>
      <c r="CI29" s="24">
        <f t="shared" si="61"/>
        <v>1045.4545454545453</v>
      </c>
      <c r="CJ29" s="24">
        <f t="shared" si="61"/>
        <v>1045.4545454545453</v>
      </c>
      <c r="CK29" s="24">
        <f t="shared" si="61"/>
        <v>1045.4545454545453</v>
      </c>
      <c r="CL29" s="24">
        <f t="shared" si="61"/>
        <v>1045.4545454545453</v>
      </c>
      <c r="CM29" s="24">
        <f t="shared" si="61"/>
        <v>1045.4545454545453</v>
      </c>
      <c r="CN29" s="24">
        <f t="shared" si="61"/>
        <v>1045.4545454545453</v>
      </c>
      <c r="CO29" s="24">
        <f t="shared" si="61"/>
        <v>1045.4545454545453</v>
      </c>
      <c r="CP29" s="24">
        <f t="shared" si="61"/>
        <v>1045.4545454545453</v>
      </c>
      <c r="CQ29" s="24">
        <f t="shared" si="61"/>
        <v>1045.4545454545453</v>
      </c>
      <c r="CR29" s="24">
        <f t="shared" si="61"/>
        <v>1045.4545454545453</v>
      </c>
      <c r="CS29" s="24">
        <f t="shared" si="61"/>
        <v>1045.4545454545453</v>
      </c>
      <c r="CT29" s="24">
        <f t="shared" si="61"/>
        <v>1045.4545454545453</v>
      </c>
      <c r="CU29" s="24">
        <f t="shared" si="61"/>
        <v>1045.4545454545453</v>
      </c>
      <c r="CV29" s="24">
        <f t="shared" si="61"/>
        <v>1045.4545454545453</v>
      </c>
      <c r="CW29" s="24">
        <f t="shared" si="61"/>
        <v>1045.4545454545453</v>
      </c>
      <c r="CX29" s="24">
        <f t="shared" si="61"/>
        <v>1045.4545454545453</v>
      </c>
      <c r="CY29" s="24">
        <f t="shared" si="61"/>
        <v>1045.4545454545453</v>
      </c>
      <c r="CZ29" s="24">
        <f t="shared" si="61"/>
        <v>1045.4545454545453</v>
      </c>
      <c r="DA29" s="24">
        <f t="shared" si="61"/>
        <v>1045.4545454545453</v>
      </c>
      <c r="DB29" s="24">
        <f t="shared" si="61"/>
        <v>1045.4545454545453</v>
      </c>
      <c r="DC29" s="24">
        <f t="shared" si="61"/>
        <v>1045.4545454545453</v>
      </c>
      <c r="DD29" s="24">
        <f t="shared" si="61"/>
        <v>1045.4545454545453</v>
      </c>
      <c r="DE29" s="24">
        <f t="shared" si="61"/>
        <v>1045.4545454545453</v>
      </c>
      <c r="DF29" s="24">
        <f t="shared" si="61"/>
        <v>1045.4545454545453</v>
      </c>
      <c r="DG29" s="24">
        <f t="shared" si="61"/>
        <v>1045.4545454545453</v>
      </c>
      <c r="DH29" s="24">
        <f t="shared" si="61"/>
        <v>1045.4545454545453</v>
      </c>
      <c r="DI29" s="24">
        <f t="shared" si="61"/>
        <v>1045.4545454545453</v>
      </c>
      <c r="DJ29" s="24">
        <f t="shared" si="61"/>
        <v>1045.4545454545453</v>
      </c>
      <c r="DK29" s="24">
        <f t="shared" si="61"/>
        <v>1045.4545454545453</v>
      </c>
      <c r="DL29" s="24">
        <f t="shared" si="61"/>
        <v>1045.4545454545453</v>
      </c>
      <c r="DM29" s="24">
        <f t="shared" si="61"/>
        <v>1045.4545454545453</v>
      </c>
      <c r="DN29" s="24">
        <f t="shared" si="61"/>
        <v>1045.4545454545453</v>
      </c>
      <c r="DO29" s="24">
        <f t="shared" si="61"/>
        <v>1045.4545454545453</v>
      </c>
      <c r="DP29" s="24">
        <f t="shared" si="61"/>
        <v>1045.4545454545453</v>
      </c>
      <c r="DQ29" s="24">
        <f t="shared" si="61"/>
        <v>1045.4545454545453</v>
      </c>
      <c r="DR29" s="24">
        <f t="shared" si="61"/>
        <v>1045.4545454545453</v>
      </c>
      <c r="DS29" s="24">
        <f t="shared" si="61"/>
        <v>1045.4545454545453</v>
      </c>
      <c r="DT29" s="24">
        <f t="shared" si="61"/>
        <v>1045.4545454545453</v>
      </c>
      <c r="DU29" s="24">
        <f t="shared" si="61"/>
        <v>1045.4545454545453</v>
      </c>
      <c r="DV29" s="24">
        <f t="shared" si="61"/>
        <v>1045.4545454545453</v>
      </c>
      <c r="DW29" s="24">
        <f t="shared" si="61"/>
        <v>1045.4545454545453</v>
      </c>
      <c r="DX29" s="24">
        <f t="shared" si="61"/>
        <v>1045.4545454545453</v>
      </c>
      <c r="DY29" s="24">
        <f t="shared" si="61"/>
        <v>1045.4545454545453</v>
      </c>
      <c r="DZ29" s="24">
        <f t="shared" si="61"/>
        <v>1045.4545454545453</v>
      </c>
      <c r="EA29" s="24">
        <f t="shared" si="61"/>
        <v>1045.4545454545453</v>
      </c>
      <c r="EB29" s="24">
        <f t="shared" si="61"/>
        <v>1045.4545454545453</v>
      </c>
      <c r="EC29" s="24">
        <f t="shared" si="61"/>
        <v>1045.4545454545453</v>
      </c>
      <c r="ED29" s="24">
        <f t="shared" si="61"/>
        <v>1045.4545454545453</v>
      </c>
      <c r="EE29" s="24">
        <f t="shared" si="61"/>
        <v>1045.4545454545453</v>
      </c>
      <c r="EF29" s="24">
        <f t="shared" si="61"/>
        <v>1045.4545454545453</v>
      </c>
      <c r="EG29" s="24">
        <f t="shared" si="61"/>
        <v>1045.4545454545453</v>
      </c>
      <c r="EH29" s="24">
        <f t="shared" si="61"/>
        <v>1045.4545454545453</v>
      </c>
      <c r="EI29" s="24">
        <f t="shared" si="61"/>
        <v>1045.4545454545453</v>
      </c>
      <c r="EJ29" s="24">
        <f t="shared" si="61"/>
        <v>1045.4545454545453</v>
      </c>
      <c r="EK29" s="24">
        <f t="shared" ref="EK29:EM32" si="62">$I29/12*EK$9*(1+$F29)^(ROUNDUP(EK$10/12,0)-1)</f>
        <v>1045.4545454545453</v>
      </c>
      <c r="EL29" s="24">
        <f t="shared" si="62"/>
        <v>1045.4545454545453</v>
      </c>
      <c r="EM29" s="24">
        <f t="shared" si="62"/>
        <v>1045.4545454545453</v>
      </c>
    </row>
    <row r="30" spans="1:143" s="6" customFormat="1" x14ac:dyDescent="0.2">
      <c r="A30" s="97"/>
      <c r="B30" s="64" t="s">
        <v>132</v>
      </c>
      <c r="C30" s="48"/>
      <c r="D30" s="48"/>
      <c r="E30" s="70">
        <v>0</v>
      </c>
      <c r="F30" s="50">
        <f>Underwriting!$D$117</f>
        <v>0</v>
      </c>
      <c r="G30" s="51">
        <f>I30/Units</f>
        <v>653.40909090909088</v>
      </c>
      <c r="H30" s="102">
        <v>1.8181818181818181</v>
      </c>
      <c r="I30" s="61">
        <f>+H30*Units_Retail</f>
        <v>10454.545454545454</v>
      </c>
      <c r="L30" s="24">
        <f>$I30/12*L$9*(1+$F30)^(ROUNDUP(L$10/12,0)-1)</f>
        <v>0</v>
      </c>
      <c r="M30" s="24">
        <f t="shared" si="60"/>
        <v>0</v>
      </c>
      <c r="N30" s="24">
        <f t="shared" si="60"/>
        <v>0</v>
      </c>
      <c r="O30" s="24">
        <f t="shared" si="60"/>
        <v>0</v>
      </c>
      <c r="P30" s="24">
        <f t="shared" si="60"/>
        <v>0</v>
      </c>
      <c r="Q30" s="24">
        <f t="shared" si="60"/>
        <v>0</v>
      </c>
      <c r="R30" s="24">
        <f t="shared" si="60"/>
        <v>0</v>
      </c>
      <c r="S30" s="24">
        <f t="shared" si="60"/>
        <v>0</v>
      </c>
      <c r="T30" s="24">
        <f t="shared" si="60"/>
        <v>0</v>
      </c>
      <c r="U30" s="24">
        <f t="shared" si="60"/>
        <v>0</v>
      </c>
      <c r="V30" s="24">
        <f t="shared" si="60"/>
        <v>0</v>
      </c>
      <c r="W30" s="24">
        <f t="shared" si="60"/>
        <v>227.27272727272725</v>
      </c>
      <c r="X30" s="24">
        <f t="shared" si="60"/>
        <v>227.27272727272725</v>
      </c>
      <c r="Y30" s="24">
        <f t="shared" si="60"/>
        <v>227.27272727272725</v>
      </c>
      <c r="Z30" s="24">
        <f t="shared" si="60"/>
        <v>492.42424242424232</v>
      </c>
      <c r="AA30" s="24">
        <f t="shared" si="60"/>
        <v>492.42424242424232</v>
      </c>
      <c r="AB30" s="24">
        <f t="shared" si="60"/>
        <v>492.42424242424232</v>
      </c>
      <c r="AC30" s="24">
        <f t="shared" si="60"/>
        <v>492.42424242424232</v>
      </c>
      <c r="AD30" s="24">
        <f t="shared" si="60"/>
        <v>492.42424242424232</v>
      </c>
      <c r="AE30" s="24">
        <f t="shared" si="60"/>
        <v>492.42424242424232</v>
      </c>
      <c r="AF30" s="24">
        <f t="shared" si="60"/>
        <v>492.42424242424232</v>
      </c>
      <c r="AG30" s="24">
        <f t="shared" si="60"/>
        <v>492.42424242424232</v>
      </c>
      <c r="AH30" s="24">
        <f t="shared" si="60"/>
        <v>492.42424242424232</v>
      </c>
      <c r="AI30" s="24">
        <f t="shared" si="60"/>
        <v>492.42424242424232</v>
      </c>
      <c r="AJ30" s="24">
        <f t="shared" si="60"/>
        <v>871.21212121212113</v>
      </c>
      <c r="AK30" s="24">
        <f t="shared" si="60"/>
        <v>871.21212121212113</v>
      </c>
      <c r="AL30" s="24">
        <f t="shared" si="60"/>
        <v>871.21212121212113</v>
      </c>
      <c r="AM30" s="24">
        <f t="shared" si="60"/>
        <v>871.21212121212113</v>
      </c>
      <c r="AN30" s="24">
        <f t="shared" si="60"/>
        <v>871.21212121212113</v>
      </c>
      <c r="AO30" s="24">
        <f t="shared" si="60"/>
        <v>871.21212121212113</v>
      </c>
      <c r="AP30" s="24">
        <f t="shared" si="60"/>
        <v>871.21212121212113</v>
      </c>
      <c r="AQ30" s="24">
        <f t="shared" si="60"/>
        <v>871.21212121212113</v>
      </c>
      <c r="AR30" s="24">
        <f t="shared" si="60"/>
        <v>871.21212121212113</v>
      </c>
      <c r="AS30" s="24">
        <f t="shared" si="60"/>
        <v>871.21212121212113</v>
      </c>
      <c r="AT30" s="24">
        <f t="shared" si="60"/>
        <v>871.21212121212113</v>
      </c>
      <c r="AU30" s="24">
        <f t="shared" si="60"/>
        <v>871.21212121212113</v>
      </c>
      <c r="AV30" s="24">
        <f t="shared" si="60"/>
        <v>871.21212121212113</v>
      </c>
      <c r="AW30" s="24">
        <f t="shared" si="60"/>
        <v>871.21212121212113</v>
      </c>
      <c r="AX30" s="24">
        <f t="shared" si="60"/>
        <v>871.21212121212113</v>
      </c>
      <c r="AY30" s="24">
        <f t="shared" si="60"/>
        <v>871.21212121212113</v>
      </c>
      <c r="AZ30" s="24">
        <f t="shared" si="60"/>
        <v>871.21212121212113</v>
      </c>
      <c r="BA30" s="24">
        <f t="shared" si="60"/>
        <v>871.21212121212113</v>
      </c>
      <c r="BB30" s="24">
        <f t="shared" si="60"/>
        <v>871.21212121212113</v>
      </c>
      <c r="BC30" s="24">
        <f t="shared" si="60"/>
        <v>871.21212121212113</v>
      </c>
      <c r="BD30" s="24">
        <f t="shared" si="60"/>
        <v>871.21212121212113</v>
      </c>
      <c r="BE30" s="24">
        <f t="shared" si="60"/>
        <v>871.21212121212113</v>
      </c>
      <c r="BF30" s="24">
        <f t="shared" si="60"/>
        <v>871.21212121212113</v>
      </c>
      <c r="BG30" s="24">
        <f t="shared" si="60"/>
        <v>871.21212121212113</v>
      </c>
      <c r="BH30" s="24">
        <f t="shared" si="60"/>
        <v>871.21212121212113</v>
      </c>
      <c r="BI30" s="24">
        <f t="shared" si="60"/>
        <v>871.21212121212113</v>
      </c>
      <c r="BJ30" s="24">
        <f t="shared" si="60"/>
        <v>871.21212121212113</v>
      </c>
      <c r="BK30" s="24">
        <f t="shared" si="60"/>
        <v>871.21212121212113</v>
      </c>
      <c r="BL30" s="24">
        <f t="shared" si="60"/>
        <v>871.21212121212113</v>
      </c>
      <c r="BM30" s="24">
        <f t="shared" si="60"/>
        <v>871.21212121212113</v>
      </c>
      <c r="BN30" s="24">
        <f t="shared" si="60"/>
        <v>871.21212121212113</v>
      </c>
      <c r="BO30" s="24">
        <f t="shared" si="60"/>
        <v>871.21212121212113</v>
      </c>
      <c r="BP30" s="24">
        <f t="shared" si="60"/>
        <v>871.21212121212113</v>
      </c>
      <c r="BQ30" s="24">
        <f t="shared" si="60"/>
        <v>871.21212121212113</v>
      </c>
      <c r="BR30" s="24">
        <f t="shared" si="60"/>
        <v>871.21212121212113</v>
      </c>
      <c r="BS30" s="24">
        <f t="shared" si="60"/>
        <v>871.21212121212113</v>
      </c>
      <c r="BT30" s="24">
        <f t="shared" si="60"/>
        <v>871.21212121212113</v>
      </c>
      <c r="BU30" s="24">
        <f t="shared" si="60"/>
        <v>871.21212121212113</v>
      </c>
      <c r="BV30" s="24">
        <f t="shared" si="60"/>
        <v>871.21212121212113</v>
      </c>
      <c r="BW30" s="24">
        <f t="shared" si="60"/>
        <v>871.21212121212113</v>
      </c>
      <c r="BX30" s="24">
        <f t="shared" si="60"/>
        <v>871.21212121212113</v>
      </c>
      <c r="BY30" s="24">
        <f t="shared" si="61"/>
        <v>871.21212121212113</v>
      </c>
      <c r="BZ30" s="24">
        <f t="shared" si="61"/>
        <v>871.21212121212113</v>
      </c>
      <c r="CA30" s="24">
        <f t="shared" si="61"/>
        <v>871.21212121212113</v>
      </c>
      <c r="CB30" s="24">
        <f t="shared" si="61"/>
        <v>871.21212121212113</v>
      </c>
      <c r="CC30" s="24">
        <f t="shared" si="61"/>
        <v>871.21212121212113</v>
      </c>
      <c r="CD30" s="24">
        <f t="shared" si="61"/>
        <v>871.21212121212113</v>
      </c>
      <c r="CE30" s="24">
        <f t="shared" si="61"/>
        <v>871.21212121212113</v>
      </c>
      <c r="CF30" s="24">
        <f t="shared" si="61"/>
        <v>871.21212121212113</v>
      </c>
      <c r="CG30" s="24">
        <f t="shared" si="61"/>
        <v>871.21212121212113</v>
      </c>
      <c r="CH30" s="24">
        <f t="shared" si="61"/>
        <v>871.21212121212113</v>
      </c>
      <c r="CI30" s="24">
        <f t="shared" si="61"/>
        <v>871.21212121212113</v>
      </c>
      <c r="CJ30" s="24">
        <f t="shared" si="61"/>
        <v>871.21212121212113</v>
      </c>
      <c r="CK30" s="24">
        <f t="shared" si="61"/>
        <v>871.21212121212113</v>
      </c>
      <c r="CL30" s="24">
        <f t="shared" si="61"/>
        <v>871.21212121212113</v>
      </c>
      <c r="CM30" s="24">
        <f t="shared" si="61"/>
        <v>871.21212121212113</v>
      </c>
      <c r="CN30" s="24">
        <f t="shared" si="61"/>
        <v>871.21212121212113</v>
      </c>
      <c r="CO30" s="24">
        <f t="shared" si="61"/>
        <v>871.21212121212113</v>
      </c>
      <c r="CP30" s="24">
        <f t="shared" si="61"/>
        <v>871.21212121212113</v>
      </c>
      <c r="CQ30" s="24">
        <f t="shared" si="61"/>
        <v>871.21212121212113</v>
      </c>
      <c r="CR30" s="24">
        <f t="shared" si="61"/>
        <v>871.21212121212113</v>
      </c>
      <c r="CS30" s="24">
        <f t="shared" si="61"/>
        <v>871.21212121212113</v>
      </c>
      <c r="CT30" s="24">
        <f t="shared" si="61"/>
        <v>871.21212121212113</v>
      </c>
      <c r="CU30" s="24">
        <f t="shared" si="61"/>
        <v>871.21212121212113</v>
      </c>
      <c r="CV30" s="24">
        <f t="shared" si="61"/>
        <v>871.21212121212113</v>
      </c>
      <c r="CW30" s="24">
        <f t="shared" si="61"/>
        <v>871.21212121212113</v>
      </c>
      <c r="CX30" s="24">
        <f t="shared" si="61"/>
        <v>871.21212121212113</v>
      </c>
      <c r="CY30" s="24">
        <f t="shared" si="61"/>
        <v>871.21212121212113</v>
      </c>
      <c r="CZ30" s="24">
        <f t="shared" si="61"/>
        <v>871.21212121212113</v>
      </c>
      <c r="DA30" s="24">
        <f t="shared" si="61"/>
        <v>871.21212121212113</v>
      </c>
      <c r="DB30" s="24">
        <f t="shared" si="61"/>
        <v>871.21212121212113</v>
      </c>
      <c r="DC30" s="24">
        <f t="shared" si="61"/>
        <v>871.21212121212113</v>
      </c>
      <c r="DD30" s="24">
        <f t="shared" si="61"/>
        <v>871.21212121212113</v>
      </c>
      <c r="DE30" s="24">
        <f t="shared" si="61"/>
        <v>871.21212121212113</v>
      </c>
      <c r="DF30" s="24">
        <f t="shared" si="61"/>
        <v>871.21212121212113</v>
      </c>
      <c r="DG30" s="24">
        <f t="shared" si="61"/>
        <v>871.21212121212113</v>
      </c>
      <c r="DH30" s="24">
        <f t="shared" si="61"/>
        <v>871.21212121212113</v>
      </c>
      <c r="DI30" s="24">
        <f t="shared" si="61"/>
        <v>871.21212121212113</v>
      </c>
      <c r="DJ30" s="24">
        <f t="shared" si="61"/>
        <v>871.21212121212113</v>
      </c>
      <c r="DK30" s="24">
        <f t="shared" si="61"/>
        <v>871.21212121212113</v>
      </c>
      <c r="DL30" s="24">
        <f t="shared" si="61"/>
        <v>871.21212121212113</v>
      </c>
      <c r="DM30" s="24">
        <f t="shared" si="61"/>
        <v>871.21212121212113</v>
      </c>
      <c r="DN30" s="24">
        <f t="shared" si="61"/>
        <v>871.21212121212113</v>
      </c>
      <c r="DO30" s="24">
        <f t="shared" si="61"/>
        <v>871.21212121212113</v>
      </c>
      <c r="DP30" s="24">
        <f t="shared" si="61"/>
        <v>871.21212121212113</v>
      </c>
      <c r="DQ30" s="24">
        <f t="shared" si="61"/>
        <v>871.21212121212113</v>
      </c>
      <c r="DR30" s="24">
        <f t="shared" si="61"/>
        <v>871.21212121212113</v>
      </c>
      <c r="DS30" s="24">
        <f t="shared" si="61"/>
        <v>871.21212121212113</v>
      </c>
      <c r="DT30" s="24">
        <f t="shared" si="61"/>
        <v>871.21212121212113</v>
      </c>
      <c r="DU30" s="24">
        <f t="shared" si="61"/>
        <v>871.21212121212113</v>
      </c>
      <c r="DV30" s="24">
        <f t="shared" si="61"/>
        <v>871.21212121212113</v>
      </c>
      <c r="DW30" s="24">
        <f t="shared" si="61"/>
        <v>871.21212121212113</v>
      </c>
      <c r="DX30" s="24">
        <f t="shared" si="61"/>
        <v>871.21212121212113</v>
      </c>
      <c r="DY30" s="24">
        <f t="shared" si="61"/>
        <v>871.21212121212113</v>
      </c>
      <c r="DZ30" s="24">
        <f t="shared" si="61"/>
        <v>871.21212121212113</v>
      </c>
      <c r="EA30" s="24">
        <f t="shared" si="61"/>
        <v>871.21212121212113</v>
      </c>
      <c r="EB30" s="24">
        <f t="shared" si="61"/>
        <v>871.21212121212113</v>
      </c>
      <c r="EC30" s="24">
        <f t="shared" si="61"/>
        <v>871.21212121212113</v>
      </c>
      <c r="ED30" s="24">
        <f t="shared" si="61"/>
        <v>871.21212121212113</v>
      </c>
      <c r="EE30" s="24">
        <f t="shared" si="61"/>
        <v>871.21212121212113</v>
      </c>
      <c r="EF30" s="24">
        <f t="shared" si="61"/>
        <v>871.21212121212113</v>
      </c>
      <c r="EG30" s="24">
        <f t="shared" si="61"/>
        <v>871.21212121212113</v>
      </c>
      <c r="EH30" s="24">
        <f t="shared" si="61"/>
        <v>871.21212121212113</v>
      </c>
      <c r="EI30" s="24">
        <f t="shared" si="61"/>
        <v>871.21212121212113</v>
      </c>
      <c r="EJ30" s="24">
        <f t="shared" si="61"/>
        <v>871.21212121212113</v>
      </c>
      <c r="EK30" s="24">
        <f t="shared" si="62"/>
        <v>871.21212121212113</v>
      </c>
      <c r="EL30" s="24">
        <f t="shared" si="62"/>
        <v>871.21212121212113</v>
      </c>
      <c r="EM30" s="24">
        <f t="shared" si="62"/>
        <v>871.21212121212113</v>
      </c>
    </row>
    <row r="31" spans="1:143" s="6" customFormat="1" x14ac:dyDescent="0.2">
      <c r="A31" s="97"/>
      <c r="B31" s="64" t="s">
        <v>133</v>
      </c>
      <c r="C31" s="48"/>
      <c r="D31" s="48"/>
      <c r="E31" s="70">
        <v>0</v>
      </c>
      <c r="F31" s="50">
        <f>Underwriting!$D$117</f>
        <v>0</v>
      </c>
      <c r="G31" s="51">
        <f>I31/Units</f>
        <v>359.375</v>
      </c>
      <c r="H31" s="102">
        <v>1</v>
      </c>
      <c r="I31" s="61">
        <f>+H31*Units_Retail</f>
        <v>5750</v>
      </c>
      <c r="L31" s="24">
        <f>$I31/12*L$9*(1+$F31)^(ROUNDUP(L$10/12,0)-1)</f>
        <v>0</v>
      </c>
      <c r="M31" s="24">
        <f t="shared" si="60"/>
        <v>0</v>
      </c>
      <c r="N31" s="24">
        <f t="shared" si="60"/>
        <v>0</v>
      </c>
      <c r="O31" s="24">
        <f t="shared" si="60"/>
        <v>0</v>
      </c>
      <c r="P31" s="24">
        <f t="shared" si="60"/>
        <v>0</v>
      </c>
      <c r="Q31" s="24">
        <f t="shared" si="60"/>
        <v>0</v>
      </c>
      <c r="R31" s="24">
        <f t="shared" si="60"/>
        <v>0</v>
      </c>
      <c r="S31" s="24">
        <f t="shared" si="60"/>
        <v>0</v>
      </c>
      <c r="T31" s="24">
        <f t="shared" si="60"/>
        <v>0</v>
      </c>
      <c r="U31" s="24">
        <f t="shared" si="60"/>
        <v>0</v>
      </c>
      <c r="V31" s="24">
        <f t="shared" si="60"/>
        <v>0</v>
      </c>
      <c r="W31" s="24">
        <f t="shared" si="60"/>
        <v>125</v>
      </c>
      <c r="X31" s="24">
        <f t="shared" si="60"/>
        <v>125</v>
      </c>
      <c r="Y31" s="24">
        <f t="shared" si="60"/>
        <v>125</v>
      </c>
      <c r="Z31" s="24">
        <f t="shared" si="60"/>
        <v>270.83333333333331</v>
      </c>
      <c r="AA31" s="24">
        <f t="shared" si="60"/>
        <v>270.83333333333331</v>
      </c>
      <c r="AB31" s="24">
        <f t="shared" si="60"/>
        <v>270.83333333333331</v>
      </c>
      <c r="AC31" s="24">
        <f t="shared" si="60"/>
        <v>270.83333333333331</v>
      </c>
      <c r="AD31" s="24">
        <f t="shared" si="60"/>
        <v>270.83333333333331</v>
      </c>
      <c r="AE31" s="24">
        <f t="shared" si="60"/>
        <v>270.83333333333331</v>
      </c>
      <c r="AF31" s="24">
        <f t="shared" si="60"/>
        <v>270.83333333333331</v>
      </c>
      <c r="AG31" s="24">
        <f t="shared" si="60"/>
        <v>270.83333333333331</v>
      </c>
      <c r="AH31" s="24">
        <f t="shared" si="60"/>
        <v>270.83333333333331</v>
      </c>
      <c r="AI31" s="24">
        <f t="shared" si="60"/>
        <v>270.83333333333331</v>
      </c>
      <c r="AJ31" s="24">
        <f t="shared" si="60"/>
        <v>479.16666666666669</v>
      </c>
      <c r="AK31" s="24">
        <f t="shared" si="60"/>
        <v>479.16666666666669</v>
      </c>
      <c r="AL31" s="24">
        <f t="shared" si="60"/>
        <v>479.16666666666669</v>
      </c>
      <c r="AM31" s="24">
        <f t="shared" si="60"/>
        <v>479.16666666666669</v>
      </c>
      <c r="AN31" s="24">
        <f t="shared" si="60"/>
        <v>479.16666666666669</v>
      </c>
      <c r="AO31" s="24">
        <f t="shared" si="60"/>
        <v>479.16666666666669</v>
      </c>
      <c r="AP31" s="24">
        <f t="shared" si="60"/>
        <v>479.16666666666669</v>
      </c>
      <c r="AQ31" s="24">
        <f t="shared" si="60"/>
        <v>479.16666666666669</v>
      </c>
      <c r="AR31" s="24">
        <f t="shared" si="60"/>
        <v>479.16666666666669</v>
      </c>
      <c r="AS31" s="24">
        <f t="shared" si="60"/>
        <v>479.16666666666669</v>
      </c>
      <c r="AT31" s="24">
        <f t="shared" si="60"/>
        <v>479.16666666666669</v>
      </c>
      <c r="AU31" s="24">
        <f t="shared" si="60"/>
        <v>479.16666666666669</v>
      </c>
      <c r="AV31" s="24">
        <f t="shared" si="60"/>
        <v>479.16666666666669</v>
      </c>
      <c r="AW31" s="24">
        <f t="shared" si="60"/>
        <v>479.16666666666669</v>
      </c>
      <c r="AX31" s="24">
        <f t="shared" si="60"/>
        <v>479.16666666666669</v>
      </c>
      <c r="AY31" s="24">
        <f t="shared" si="60"/>
        <v>479.16666666666669</v>
      </c>
      <c r="AZ31" s="24">
        <f t="shared" si="60"/>
        <v>479.16666666666669</v>
      </c>
      <c r="BA31" s="24">
        <f t="shared" si="60"/>
        <v>479.16666666666669</v>
      </c>
      <c r="BB31" s="24">
        <f t="shared" si="60"/>
        <v>479.16666666666669</v>
      </c>
      <c r="BC31" s="24">
        <f t="shared" si="60"/>
        <v>479.16666666666669</v>
      </c>
      <c r="BD31" s="24">
        <f t="shared" si="60"/>
        <v>479.16666666666669</v>
      </c>
      <c r="BE31" s="24">
        <f t="shared" si="60"/>
        <v>479.16666666666669</v>
      </c>
      <c r="BF31" s="24">
        <f t="shared" si="60"/>
        <v>479.16666666666669</v>
      </c>
      <c r="BG31" s="24">
        <f t="shared" si="60"/>
        <v>479.16666666666669</v>
      </c>
      <c r="BH31" s="24">
        <f t="shared" si="60"/>
        <v>479.16666666666669</v>
      </c>
      <c r="BI31" s="24">
        <f t="shared" si="60"/>
        <v>479.16666666666669</v>
      </c>
      <c r="BJ31" s="24">
        <f t="shared" si="60"/>
        <v>479.16666666666669</v>
      </c>
      <c r="BK31" s="24">
        <f t="shared" si="60"/>
        <v>479.16666666666669</v>
      </c>
      <c r="BL31" s="24">
        <f t="shared" si="60"/>
        <v>479.16666666666669</v>
      </c>
      <c r="BM31" s="24">
        <f t="shared" si="60"/>
        <v>479.16666666666669</v>
      </c>
      <c r="BN31" s="24">
        <f t="shared" si="60"/>
        <v>479.16666666666669</v>
      </c>
      <c r="BO31" s="24">
        <f t="shared" si="60"/>
        <v>479.16666666666669</v>
      </c>
      <c r="BP31" s="24">
        <f t="shared" si="60"/>
        <v>479.16666666666669</v>
      </c>
      <c r="BQ31" s="24">
        <f t="shared" si="60"/>
        <v>479.16666666666669</v>
      </c>
      <c r="BR31" s="24">
        <f t="shared" si="60"/>
        <v>479.16666666666669</v>
      </c>
      <c r="BS31" s="24">
        <f t="shared" si="60"/>
        <v>479.16666666666669</v>
      </c>
      <c r="BT31" s="24">
        <f t="shared" si="60"/>
        <v>479.16666666666669</v>
      </c>
      <c r="BU31" s="24">
        <f t="shared" si="60"/>
        <v>479.16666666666669</v>
      </c>
      <c r="BV31" s="24">
        <f t="shared" si="60"/>
        <v>479.16666666666669</v>
      </c>
      <c r="BW31" s="24">
        <f t="shared" si="60"/>
        <v>479.16666666666669</v>
      </c>
      <c r="BX31" s="24">
        <f t="shared" si="60"/>
        <v>479.16666666666669</v>
      </c>
      <c r="BY31" s="24">
        <f t="shared" si="61"/>
        <v>479.16666666666669</v>
      </c>
      <c r="BZ31" s="24">
        <f t="shared" si="61"/>
        <v>479.16666666666669</v>
      </c>
      <c r="CA31" s="24">
        <f t="shared" si="61"/>
        <v>479.16666666666669</v>
      </c>
      <c r="CB31" s="24">
        <f t="shared" si="61"/>
        <v>479.16666666666669</v>
      </c>
      <c r="CC31" s="24">
        <f t="shared" si="61"/>
        <v>479.16666666666669</v>
      </c>
      <c r="CD31" s="24">
        <f t="shared" si="61"/>
        <v>479.16666666666669</v>
      </c>
      <c r="CE31" s="24">
        <f t="shared" si="61"/>
        <v>479.16666666666669</v>
      </c>
      <c r="CF31" s="24">
        <f t="shared" si="61"/>
        <v>479.16666666666669</v>
      </c>
      <c r="CG31" s="24">
        <f t="shared" si="61"/>
        <v>479.16666666666669</v>
      </c>
      <c r="CH31" s="24">
        <f t="shared" si="61"/>
        <v>479.16666666666669</v>
      </c>
      <c r="CI31" s="24">
        <f t="shared" si="61"/>
        <v>479.16666666666669</v>
      </c>
      <c r="CJ31" s="24">
        <f t="shared" si="61"/>
        <v>479.16666666666669</v>
      </c>
      <c r="CK31" s="24">
        <f t="shared" si="61"/>
        <v>479.16666666666669</v>
      </c>
      <c r="CL31" s="24">
        <f t="shared" si="61"/>
        <v>479.16666666666669</v>
      </c>
      <c r="CM31" s="24">
        <f t="shared" si="61"/>
        <v>479.16666666666669</v>
      </c>
      <c r="CN31" s="24">
        <f t="shared" si="61"/>
        <v>479.16666666666669</v>
      </c>
      <c r="CO31" s="24">
        <f t="shared" si="61"/>
        <v>479.16666666666669</v>
      </c>
      <c r="CP31" s="24">
        <f t="shared" si="61"/>
        <v>479.16666666666669</v>
      </c>
      <c r="CQ31" s="24">
        <f t="shared" si="61"/>
        <v>479.16666666666669</v>
      </c>
      <c r="CR31" s="24">
        <f t="shared" si="61"/>
        <v>479.16666666666669</v>
      </c>
      <c r="CS31" s="24">
        <f t="shared" si="61"/>
        <v>479.16666666666669</v>
      </c>
      <c r="CT31" s="24">
        <f t="shared" si="61"/>
        <v>479.16666666666669</v>
      </c>
      <c r="CU31" s="24">
        <f t="shared" si="61"/>
        <v>479.16666666666669</v>
      </c>
      <c r="CV31" s="24">
        <f t="shared" si="61"/>
        <v>479.16666666666669</v>
      </c>
      <c r="CW31" s="24">
        <f t="shared" si="61"/>
        <v>479.16666666666669</v>
      </c>
      <c r="CX31" s="24">
        <f t="shared" si="61"/>
        <v>479.16666666666669</v>
      </c>
      <c r="CY31" s="24">
        <f t="shared" si="61"/>
        <v>479.16666666666669</v>
      </c>
      <c r="CZ31" s="24">
        <f t="shared" si="61"/>
        <v>479.16666666666669</v>
      </c>
      <c r="DA31" s="24">
        <f t="shared" si="61"/>
        <v>479.16666666666669</v>
      </c>
      <c r="DB31" s="24">
        <f t="shared" si="61"/>
        <v>479.16666666666669</v>
      </c>
      <c r="DC31" s="24">
        <f t="shared" si="61"/>
        <v>479.16666666666669</v>
      </c>
      <c r="DD31" s="24">
        <f t="shared" si="61"/>
        <v>479.16666666666669</v>
      </c>
      <c r="DE31" s="24">
        <f t="shared" si="61"/>
        <v>479.16666666666669</v>
      </c>
      <c r="DF31" s="24">
        <f t="shared" si="61"/>
        <v>479.16666666666669</v>
      </c>
      <c r="DG31" s="24">
        <f t="shared" si="61"/>
        <v>479.16666666666669</v>
      </c>
      <c r="DH31" s="24">
        <f t="shared" si="61"/>
        <v>479.16666666666669</v>
      </c>
      <c r="DI31" s="24">
        <f t="shared" si="61"/>
        <v>479.16666666666669</v>
      </c>
      <c r="DJ31" s="24">
        <f t="shared" si="61"/>
        <v>479.16666666666669</v>
      </c>
      <c r="DK31" s="24">
        <f t="shared" si="61"/>
        <v>479.16666666666669</v>
      </c>
      <c r="DL31" s="24">
        <f t="shared" si="61"/>
        <v>479.16666666666669</v>
      </c>
      <c r="DM31" s="24">
        <f t="shared" si="61"/>
        <v>479.16666666666669</v>
      </c>
      <c r="DN31" s="24">
        <f t="shared" si="61"/>
        <v>479.16666666666669</v>
      </c>
      <c r="DO31" s="24">
        <f t="shared" si="61"/>
        <v>479.16666666666669</v>
      </c>
      <c r="DP31" s="24">
        <f t="shared" si="61"/>
        <v>479.16666666666669</v>
      </c>
      <c r="DQ31" s="24">
        <f t="shared" si="61"/>
        <v>479.16666666666669</v>
      </c>
      <c r="DR31" s="24">
        <f t="shared" si="61"/>
        <v>479.16666666666669</v>
      </c>
      <c r="DS31" s="24">
        <f t="shared" si="61"/>
        <v>479.16666666666669</v>
      </c>
      <c r="DT31" s="24">
        <f t="shared" si="61"/>
        <v>479.16666666666669</v>
      </c>
      <c r="DU31" s="24">
        <f t="shared" si="61"/>
        <v>479.16666666666669</v>
      </c>
      <c r="DV31" s="24">
        <f t="shared" si="61"/>
        <v>479.16666666666669</v>
      </c>
      <c r="DW31" s="24">
        <f t="shared" si="61"/>
        <v>479.16666666666669</v>
      </c>
      <c r="DX31" s="24">
        <f t="shared" si="61"/>
        <v>479.16666666666669</v>
      </c>
      <c r="DY31" s="24">
        <f t="shared" si="61"/>
        <v>479.16666666666669</v>
      </c>
      <c r="DZ31" s="24">
        <f t="shared" si="61"/>
        <v>479.16666666666669</v>
      </c>
      <c r="EA31" s="24">
        <f t="shared" si="61"/>
        <v>479.16666666666669</v>
      </c>
      <c r="EB31" s="24">
        <f t="shared" si="61"/>
        <v>479.16666666666669</v>
      </c>
      <c r="EC31" s="24">
        <f t="shared" si="61"/>
        <v>479.16666666666669</v>
      </c>
      <c r="ED31" s="24">
        <f t="shared" si="61"/>
        <v>479.16666666666669</v>
      </c>
      <c r="EE31" s="24">
        <f t="shared" si="61"/>
        <v>479.16666666666669</v>
      </c>
      <c r="EF31" s="24">
        <f t="shared" si="61"/>
        <v>479.16666666666669</v>
      </c>
      <c r="EG31" s="24">
        <f t="shared" si="61"/>
        <v>479.16666666666669</v>
      </c>
      <c r="EH31" s="24">
        <f t="shared" si="61"/>
        <v>479.16666666666669</v>
      </c>
      <c r="EI31" s="24">
        <f t="shared" si="61"/>
        <v>479.16666666666669</v>
      </c>
      <c r="EJ31" s="24">
        <f t="shared" si="61"/>
        <v>479.16666666666669</v>
      </c>
      <c r="EK31" s="24">
        <f t="shared" si="62"/>
        <v>479.16666666666669</v>
      </c>
      <c r="EL31" s="24">
        <f t="shared" si="62"/>
        <v>479.16666666666669</v>
      </c>
      <c r="EM31" s="24">
        <f t="shared" si="62"/>
        <v>479.16666666666669</v>
      </c>
    </row>
    <row r="32" spans="1:143" ht="16.5" x14ac:dyDescent="0.35">
      <c r="B32" s="64" t="s">
        <v>134</v>
      </c>
      <c r="C32" s="48"/>
      <c r="D32" s="48"/>
      <c r="E32" s="70">
        <v>0</v>
      </c>
      <c r="F32" s="50">
        <f>Underwriting!$D$117</f>
        <v>0</v>
      </c>
      <c r="G32" s="51">
        <f>I32/Units</f>
        <v>2286.931818181818</v>
      </c>
      <c r="H32" s="106">
        <v>6.3636363636363633</v>
      </c>
      <c r="I32" s="74">
        <f>+H32*Units_Retail</f>
        <v>36590.909090909088</v>
      </c>
      <c r="L32" s="25">
        <f>$I32/12*L$9*(1+$F32)^(ROUNDUP(L$10/12,0)-1)</f>
        <v>0</v>
      </c>
      <c r="M32" s="25">
        <f t="shared" si="60"/>
        <v>0</v>
      </c>
      <c r="N32" s="25">
        <f t="shared" si="60"/>
        <v>0</v>
      </c>
      <c r="O32" s="25">
        <f t="shared" si="60"/>
        <v>0</v>
      </c>
      <c r="P32" s="25">
        <f t="shared" si="60"/>
        <v>0</v>
      </c>
      <c r="Q32" s="25">
        <f t="shared" si="60"/>
        <v>0</v>
      </c>
      <c r="R32" s="25">
        <f t="shared" si="60"/>
        <v>0</v>
      </c>
      <c r="S32" s="25">
        <f t="shared" si="60"/>
        <v>0</v>
      </c>
      <c r="T32" s="25">
        <f t="shared" si="60"/>
        <v>0</v>
      </c>
      <c r="U32" s="25">
        <f t="shared" si="60"/>
        <v>0</v>
      </c>
      <c r="V32" s="25">
        <f t="shared" si="60"/>
        <v>0</v>
      </c>
      <c r="W32" s="25">
        <f t="shared" si="60"/>
        <v>795.45454545454538</v>
      </c>
      <c r="X32" s="25">
        <f t="shared" si="60"/>
        <v>795.45454545454538</v>
      </c>
      <c r="Y32" s="25">
        <f t="shared" si="60"/>
        <v>795.45454545454538</v>
      </c>
      <c r="Z32" s="25">
        <f t="shared" si="60"/>
        <v>1723.4848484848483</v>
      </c>
      <c r="AA32" s="25">
        <f t="shared" si="60"/>
        <v>1723.4848484848483</v>
      </c>
      <c r="AB32" s="25">
        <f t="shared" si="60"/>
        <v>1723.4848484848483</v>
      </c>
      <c r="AC32" s="25">
        <f t="shared" si="60"/>
        <v>1723.4848484848483</v>
      </c>
      <c r="AD32" s="25">
        <f t="shared" si="60"/>
        <v>1723.4848484848483</v>
      </c>
      <c r="AE32" s="25">
        <f t="shared" si="60"/>
        <v>1723.4848484848483</v>
      </c>
      <c r="AF32" s="25">
        <f t="shared" si="60"/>
        <v>1723.4848484848483</v>
      </c>
      <c r="AG32" s="25">
        <f t="shared" si="60"/>
        <v>1723.4848484848483</v>
      </c>
      <c r="AH32" s="25">
        <f t="shared" si="60"/>
        <v>1723.4848484848483</v>
      </c>
      <c r="AI32" s="25">
        <f t="shared" si="60"/>
        <v>1723.4848484848483</v>
      </c>
      <c r="AJ32" s="25">
        <f t="shared" si="60"/>
        <v>3049.242424242424</v>
      </c>
      <c r="AK32" s="25">
        <f t="shared" si="60"/>
        <v>3049.242424242424</v>
      </c>
      <c r="AL32" s="25">
        <f t="shared" si="60"/>
        <v>3049.242424242424</v>
      </c>
      <c r="AM32" s="25">
        <f t="shared" si="60"/>
        <v>3049.242424242424</v>
      </c>
      <c r="AN32" s="25">
        <f t="shared" si="60"/>
        <v>3049.242424242424</v>
      </c>
      <c r="AO32" s="25">
        <f t="shared" si="60"/>
        <v>3049.242424242424</v>
      </c>
      <c r="AP32" s="25">
        <f t="shared" si="60"/>
        <v>3049.242424242424</v>
      </c>
      <c r="AQ32" s="25">
        <f t="shared" si="60"/>
        <v>3049.242424242424</v>
      </c>
      <c r="AR32" s="25">
        <f t="shared" si="60"/>
        <v>3049.242424242424</v>
      </c>
      <c r="AS32" s="25">
        <f t="shared" si="60"/>
        <v>3049.242424242424</v>
      </c>
      <c r="AT32" s="25">
        <f t="shared" si="60"/>
        <v>3049.242424242424</v>
      </c>
      <c r="AU32" s="25">
        <f t="shared" si="60"/>
        <v>3049.242424242424</v>
      </c>
      <c r="AV32" s="25">
        <f t="shared" si="60"/>
        <v>3049.242424242424</v>
      </c>
      <c r="AW32" s="25">
        <f t="shared" si="60"/>
        <v>3049.242424242424</v>
      </c>
      <c r="AX32" s="25">
        <f t="shared" si="60"/>
        <v>3049.242424242424</v>
      </c>
      <c r="AY32" s="25">
        <f t="shared" si="60"/>
        <v>3049.242424242424</v>
      </c>
      <c r="AZ32" s="25">
        <f t="shared" si="60"/>
        <v>3049.242424242424</v>
      </c>
      <c r="BA32" s="25">
        <f t="shared" si="60"/>
        <v>3049.242424242424</v>
      </c>
      <c r="BB32" s="25">
        <f t="shared" si="60"/>
        <v>3049.242424242424</v>
      </c>
      <c r="BC32" s="25">
        <f t="shared" si="60"/>
        <v>3049.242424242424</v>
      </c>
      <c r="BD32" s="25">
        <f t="shared" si="60"/>
        <v>3049.242424242424</v>
      </c>
      <c r="BE32" s="25">
        <f t="shared" si="60"/>
        <v>3049.242424242424</v>
      </c>
      <c r="BF32" s="25">
        <f t="shared" si="60"/>
        <v>3049.242424242424</v>
      </c>
      <c r="BG32" s="25">
        <f t="shared" si="60"/>
        <v>3049.242424242424</v>
      </c>
      <c r="BH32" s="25">
        <f t="shared" si="60"/>
        <v>3049.242424242424</v>
      </c>
      <c r="BI32" s="25">
        <f t="shared" si="60"/>
        <v>3049.242424242424</v>
      </c>
      <c r="BJ32" s="25">
        <f t="shared" si="60"/>
        <v>3049.242424242424</v>
      </c>
      <c r="BK32" s="25">
        <f t="shared" si="60"/>
        <v>3049.242424242424</v>
      </c>
      <c r="BL32" s="25">
        <f t="shared" si="60"/>
        <v>3049.242424242424</v>
      </c>
      <c r="BM32" s="25">
        <f t="shared" si="60"/>
        <v>3049.242424242424</v>
      </c>
      <c r="BN32" s="25">
        <f t="shared" si="60"/>
        <v>3049.242424242424</v>
      </c>
      <c r="BO32" s="25">
        <f t="shared" si="60"/>
        <v>3049.242424242424</v>
      </c>
      <c r="BP32" s="25">
        <f t="shared" si="60"/>
        <v>3049.242424242424</v>
      </c>
      <c r="BQ32" s="25">
        <f t="shared" si="60"/>
        <v>3049.242424242424</v>
      </c>
      <c r="BR32" s="25">
        <f t="shared" si="60"/>
        <v>3049.242424242424</v>
      </c>
      <c r="BS32" s="25">
        <f t="shared" si="60"/>
        <v>3049.242424242424</v>
      </c>
      <c r="BT32" s="25">
        <f t="shared" si="60"/>
        <v>3049.242424242424</v>
      </c>
      <c r="BU32" s="25">
        <f t="shared" si="60"/>
        <v>3049.242424242424</v>
      </c>
      <c r="BV32" s="25">
        <f t="shared" si="60"/>
        <v>3049.242424242424</v>
      </c>
      <c r="BW32" s="25">
        <f t="shared" si="60"/>
        <v>3049.242424242424</v>
      </c>
      <c r="BX32" s="25">
        <f>$I32/12*BX$9*(1+$F32)^(ROUNDUP(BX$10/12,0)-1)</f>
        <v>3049.242424242424</v>
      </c>
      <c r="BY32" s="25">
        <f t="shared" si="61"/>
        <v>3049.242424242424</v>
      </c>
      <c r="BZ32" s="25">
        <f t="shared" si="61"/>
        <v>3049.242424242424</v>
      </c>
      <c r="CA32" s="25">
        <f t="shared" si="61"/>
        <v>3049.242424242424</v>
      </c>
      <c r="CB32" s="25">
        <f t="shared" si="61"/>
        <v>3049.242424242424</v>
      </c>
      <c r="CC32" s="25">
        <f t="shared" si="61"/>
        <v>3049.242424242424</v>
      </c>
      <c r="CD32" s="25">
        <f t="shared" si="61"/>
        <v>3049.242424242424</v>
      </c>
      <c r="CE32" s="25">
        <f t="shared" si="61"/>
        <v>3049.242424242424</v>
      </c>
      <c r="CF32" s="25">
        <f t="shared" si="61"/>
        <v>3049.242424242424</v>
      </c>
      <c r="CG32" s="25">
        <f t="shared" si="61"/>
        <v>3049.242424242424</v>
      </c>
      <c r="CH32" s="25">
        <f t="shared" si="61"/>
        <v>3049.242424242424</v>
      </c>
      <c r="CI32" s="25">
        <f t="shared" si="61"/>
        <v>3049.242424242424</v>
      </c>
      <c r="CJ32" s="25">
        <f t="shared" si="61"/>
        <v>3049.242424242424</v>
      </c>
      <c r="CK32" s="25">
        <f t="shared" si="61"/>
        <v>3049.242424242424</v>
      </c>
      <c r="CL32" s="25">
        <f t="shared" si="61"/>
        <v>3049.242424242424</v>
      </c>
      <c r="CM32" s="25">
        <f t="shared" si="61"/>
        <v>3049.242424242424</v>
      </c>
      <c r="CN32" s="25">
        <f t="shared" si="61"/>
        <v>3049.242424242424</v>
      </c>
      <c r="CO32" s="25">
        <f t="shared" si="61"/>
        <v>3049.242424242424</v>
      </c>
      <c r="CP32" s="25">
        <f t="shared" si="61"/>
        <v>3049.242424242424</v>
      </c>
      <c r="CQ32" s="25">
        <f t="shared" si="61"/>
        <v>3049.242424242424</v>
      </c>
      <c r="CR32" s="25">
        <f t="shared" si="61"/>
        <v>3049.242424242424</v>
      </c>
      <c r="CS32" s="25">
        <f t="shared" si="61"/>
        <v>3049.242424242424</v>
      </c>
      <c r="CT32" s="25">
        <f t="shared" si="61"/>
        <v>3049.242424242424</v>
      </c>
      <c r="CU32" s="25">
        <f t="shared" si="61"/>
        <v>3049.242424242424</v>
      </c>
      <c r="CV32" s="25">
        <f t="shared" si="61"/>
        <v>3049.242424242424</v>
      </c>
      <c r="CW32" s="25">
        <f t="shared" si="61"/>
        <v>3049.242424242424</v>
      </c>
      <c r="CX32" s="25">
        <f t="shared" si="61"/>
        <v>3049.242424242424</v>
      </c>
      <c r="CY32" s="25">
        <f t="shared" si="61"/>
        <v>3049.242424242424</v>
      </c>
      <c r="CZ32" s="25">
        <f t="shared" si="61"/>
        <v>3049.242424242424</v>
      </c>
      <c r="DA32" s="25">
        <f t="shared" si="61"/>
        <v>3049.242424242424</v>
      </c>
      <c r="DB32" s="25">
        <f t="shared" si="61"/>
        <v>3049.242424242424</v>
      </c>
      <c r="DC32" s="25">
        <f t="shared" si="61"/>
        <v>3049.242424242424</v>
      </c>
      <c r="DD32" s="25">
        <f t="shared" si="61"/>
        <v>3049.242424242424</v>
      </c>
      <c r="DE32" s="25">
        <f t="shared" si="61"/>
        <v>3049.242424242424</v>
      </c>
      <c r="DF32" s="25">
        <f t="shared" si="61"/>
        <v>3049.242424242424</v>
      </c>
      <c r="DG32" s="25">
        <f t="shared" si="61"/>
        <v>3049.242424242424</v>
      </c>
      <c r="DH32" s="25">
        <f t="shared" si="61"/>
        <v>3049.242424242424</v>
      </c>
      <c r="DI32" s="25">
        <f t="shared" si="61"/>
        <v>3049.242424242424</v>
      </c>
      <c r="DJ32" s="25">
        <f t="shared" si="61"/>
        <v>3049.242424242424</v>
      </c>
      <c r="DK32" s="25">
        <f t="shared" si="61"/>
        <v>3049.242424242424</v>
      </c>
      <c r="DL32" s="25">
        <f t="shared" si="61"/>
        <v>3049.242424242424</v>
      </c>
      <c r="DM32" s="25">
        <f t="shared" si="61"/>
        <v>3049.242424242424</v>
      </c>
      <c r="DN32" s="25">
        <f t="shared" si="61"/>
        <v>3049.242424242424</v>
      </c>
      <c r="DO32" s="25">
        <f t="shared" si="61"/>
        <v>3049.242424242424</v>
      </c>
      <c r="DP32" s="25">
        <f t="shared" si="61"/>
        <v>3049.242424242424</v>
      </c>
      <c r="DQ32" s="25">
        <f t="shared" si="61"/>
        <v>3049.242424242424</v>
      </c>
      <c r="DR32" s="25">
        <f t="shared" si="61"/>
        <v>3049.242424242424</v>
      </c>
      <c r="DS32" s="25">
        <f t="shared" si="61"/>
        <v>3049.242424242424</v>
      </c>
      <c r="DT32" s="25">
        <f t="shared" si="61"/>
        <v>3049.242424242424</v>
      </c>
      <c r="DU32" s="25">
        <f t="shared" si="61"/>
        <v>3049.242424242424</v>
      </c>
      <c r="DV32" s="25">
        <f t="shared" si="61"/>
        <v>3049.242424242424</v>
      </c>
      <c r="DW32" s="25">
        <f t="shared" si="61"/>
        <v>3049.242424242424</v>
      </c>
      <c r="DX32" s="25">
        <f t="shared" si="61"/>
        <v>3049.242424242424</v>
      </c>
      <c r="DY32" s="25">
        <f t="shared" si="61"/>
        <v>3049.242424242424</v>
      </c>
      <c r="DZ32" s="25">
        <f t="shared" si="61"/>
        <v>3049.242424242424</v>
      </c>
      <c r="EA32" s="25">
        <f t="shared" si="61"/>
        <v>3049.242424242424</v>
      </c>
      <c r="EB32" s="25">
        <f t="shared" si="61"/>
        <v>3049.242424242424</v>
      </c>
      <c r="EC32" s="25">
        <f t="shared" si="61"/>
        <v>3049.242424242424</v>
      </c>
      <c r="ED32" s="25">
        <f t="shared" si="61"/>
        <v>3049.242424242424</v>
      </c>
      <c r="EE32" s="25">
        <f t="shared" si="61"/>
        <v>3049.242424242424</v>
      </c>
      <c r="EF32" s="25">
        <f t="shared" si="61"/>
        <v>3049.242424242424</v>
      </c>
      <c r="EG32" s="25">
        <f t="shared" si="61"/>
        <v>3049.242424242424</v>
      </c>
      <c r="EH32" s="25">
        <f t="shared" si="61"/>
        <v>3049.242424242424</v>
      </c>
      <c r="EI32" s="25">
        <f t="shared" si="61"/>
        <v>3049.242424242424</v>
      </c>
      <c r="EJ32" s="25">
        <f>$I32/12*EJ$9*(1+$F32)^(ROUNDUP(EJ$10/12,0)-1)</f>
        <v>3049.242424242424</v>
      </c>
      <c r="EK32" s="25">
        <f t="shared" si="62"/>
        <v>3049.242424242424</v>
      </c>
      <c r="EL32" s="25">
        <f t="shared" si="62"/>
        <v>3049.242424242424</v>
      </c>
      <c r="EM32" s="25">
        <f t="shared" si="62"/>
        <v>3049.242424242424</v>
      </c>
    </row>
    <row r="33" spans="2:143" x14ac:dyDescent="0.2">
      <c r="B33" s="41" t="s">
        <v>135</v>
      </c>
      <c r="C33" s="52"/>
      <c r="D33" s="52"/>
      <c r="E33" s="52"/>
      <c r="F33" s="52"/>
      <c r="G33" s="94"/>
      <c r="H33" s="109">
        <f>I33/Units_Retail</f>
        <v>11.363636363636363</v>
      </c>
      <c r="I33" s="112">
        <f>SUM(I29:I32)</f>
        <v>65340.909090909088</v>
      </c>
      <c r="L33" s="24">
        <f>SUM(L29:L32)</f>
        <v>0</v>
      </c>
      <c r="M33" s="24">
        <f t="shared" ref="M33:BX33" si="63">SUM(M29:M32)</f>
        <v>0</v>
      </c>
      <c r="N33" s="24">
        <f t="shared" si="63"/>
        <v>0</v>
      </c>
      <c r="O33" s="24">
        <f t="shared" si="63"/>
        <v>0</v>
      </c>
      <c r="P33" s="24">
        <f t="shared" si="63"/>
        <v>0</v>
      </c>
      <c r="Q33" s="24">
        <f t="shared" si="63"/>
        <v>0</v>
      </c>
      <c r="R33" s="24">
        <f t="shared" si="63"/>
        <v>0</v>
      </c>
      <c r="S33" s="24">
        <f t="shared" si="63"/>
        <v>0</v>
      </c>
      <c r="T33" s="24">
        <f t="shared" si="63"/>
        <v>0</v>
      </c>
      <c r="U33" s="24">
        <f t="shared" si="63"/>
        <v>0</v>
      </c>
      <c r="V33" s="24">
        <f t="shared" si="63"/>
        <v>0</v>
      </c>
      <c r="W33" s="24">
        <f t="shared" si="63"/>
        <v>1420.4545454545455</v>
      </c>
      <c r="X33" s="24">
        <f t="shared" si="63"/>
        <v>1420.4545454545455</v>
      </c>
      <c r="Y33" s="24">
        <f t="shared" si="63"/>
        <v>1420.4545454545455</v>
      </c>
      <c r="Z33" s="24">
        <f t="shared" si="63"/>
        <v>3077.6515151515146</v>
      </c>
      <c r="AA33" s="24">
        <f t="shared" si="63"/>
        <v>3077.6515151515146</v>
      </c>
      <c r="AB33" s="24">
        <f t="shared" si="63"/>
        <v>3077.6515151515146</v>
      </c>
      <c r="AC33" s="24">
        <f t="shared" si="63"/>
        <v>3077.6515151515146</v>
      </c>
      <c r="AD33" s="24">
        <f t="shared" si="63"/>
        <v>3077.6515151515146</v>
      </c>
      <c r="AE33" s="24">
        <f t="shared" si="63"/>
        <v>3077.6515151515146</v>
      </c>
      <c r="AF33" s="24">
        <f t="shared" si="63"/>
        <v>3077.6515151515146</v>
      </c>
      <c r="AG33" s="24">
        <f t="shared" si="63"/>
        <v>3077.6515151515146</v>
      </c>
      <c r="AH33" s="24">
        <f t="shared" si="63"/>
        <v>3077.6515151515146</v>
      </c>
      <c r="AI33" s="24">
        <f t="shared" si="63"/>
        <v>3077.6515151515146</v>
      </c>
      <c r="AJ33" s="24">
        <f t="shared" si="63"/>
        <v>5445.0757575757571</v>
      </c>
      <c r="AK33" s="24">
        <f t="shared" si="63"/>
        <v>5445.0757575757571</v>
      </c>
      <c r="AL33" s="24">
        <f t="shared" si="63"/>
        <v>5445.0757575757571</v>
      </c>
      <c r="AM33" s="24">
        <f t="shared" si="63"/>
        <v>5445.0757575757571</v>
      </c>
      <c r="AN33" s="24">
        <f t="shared" si="63"/>
        <v>5445.0757575757571</v>
      </c>
      <c r="AO33" s="24">
        <f t="shared" si="63"/>
        <v>5445.0757575757571</v>
      </c>
      <c r="AP33" s="24">
        <f t="shared" si="63"/>
        <v>5445.0757575757571</v>
      </c>
      <c r="AQ33" s="24">
        <f t="shared" si="63"/>
        <v>5445.0757575757571</v>
      </c>
      <c r="AR33" s="24">
        <f t="shared" si="63"/>
        <v>5445.0757575757571</v>
      </c>
      <c r="AS33" s="24">
        <f t="shared" si="63"/>
        <v>5445.0757575757571</v>
      </c>
      <c r="AT33" s="24">
        <f t="shared" si="63"/>
        <v>5445.0757575757571</v>
      </c>
      <c r="AU33" s="24">
        <f t="shared" si="63"/>
        <v>5445.0757575757571</v>
      </c>
      <c r="AV33" s="24">
        <f t="shared" si="63"/>
        <v>5445.0757575757571</v>
      </c>
      <c r="AW33" s="24">
        <f t="shared" si="63"/>
        <v>5445.0757575757571</v>
      </c>
      <c r="AX33" s="24">
        <f t="shared" si="63"/>
        <v>5445.0757575757571</v>
      </c>
      <c r="AY33" s="24">
        <f t="shared" si="63"/>
        <v>5445.0757575757571</v>
      </c>
      <c r="AZ33" s="24">
        <f t="shared" si="63"/>
        <v>5445.0757575757571</v>
      </c>
      <c r="BA33" s="24">
        <f t="shared" si="63"/>
        <v>5445.0757575757571</v>
      </c>
      <c r="BB33" s="24">
        <f t="shared" si="63"/>
        <v>5445.0757575757571</v>
      </c>
      <c r="BC33" s="24">
        <f t="shared" si="63"/>
        <v>5445.0757575757571</v>
      </c>
      <c r="BD33" s="24">
        <f t="shared" si="63"/>
        <v>5445.0757575757571</v>
      </c>
      <c r="BE33" s="24">
        <f t="shared" si="63"/>
        <v>5445.0757575757571</v>
      </c>
      <c r="BF33" s="24">
        <f t="shared" si="63"/>
        <v>5445.0757575757571</v>
      </c>
      <c r="BG33" s="24">
        <f t="shared" si="63"/>
        <v>5445.0757575757571</v>
      </c>
      <c r="BH33" s="24">
        <f t="shared" si="63"/>
        <v>5445.0757575757571</v>
      </c>
      <c r="BI33" s="24">
        <f t="shared" si="63"/>
        <v>5445.0757575757571</v>
      </c>
      <c r="BJ33" s="24">
        <f t="shared" si="63"/>
        <v>5445.0757575757571</v>
      </c>
      <c r="BK33" s="24">
        <f t="shared" si="63"/>
        <v>5445.0757575757571</v>
      </c>
      <c r="BL33" s="24">
        <f t="shared" si="63"/>
        <v>5445.0757575757571</v>
      </c>
      <c r="BM33" s="24">
        <f t="shared" si="63"/>
        <v>5445.0757575757571</v>
      </c>
      <c r="BN33" s="24">
        <f t="shared" si="63"/>
        <v>5445.0757575757571</v>
      </c>
      <c r="BO33" s="24">
        <f t="shared" si="63"/>
        <v>5445.0757575757571</v>
      </c>
      <c r="BP33" s="24">
        <f t="shared" si="63"/>
        <v>5445.0757575757571</v>
      </c>
      <c r="BQ33" s="24">
        <f t="shared" si="63"/>
        <v>5445.0757575757571</v>
      </c>
      <c r="BR33" s="24">
        <f t="shared" si="63"/>
        <v>5445.0757575757571</v>
      </c>
      <c r="BS33" s="24">
        <f t="shared" si="63"/>
        <v>5445.0757575757571</v>
      </c>
      <c r="BT33" s="24">
        <f t="shared" si="63"/>
        <v>5445.0757575757571</v>
      </c>
      <c r="BU33" s="24">
        <f t="shared" si="63"/>
        <v>5445.0757575757571</v>
      </c>
      <c r="BV33" s="24">
        <f t="shared" si="63"/>
        <v>5445.0757575757571</v>
      </c>
      <c r="BW33" s="24">
        <f t="shared" si="63"/>
        <v>5445.0757575757571</v>
      </c>
      <c r="BX33" s="24">
        <f t="shared" si="63"/>
        <v>5445.0757575757571</v>
      </c>
      <c r="BY33" s="24">
        <f t="shared" ref="BY33:EJ33" si="64">SUM(BY29:BY32)</f>
        <v>5445.0757575757571</v>
      </c>
      <c r="BZ33" s="24">
        <f t="shared" si="64"/>
        <v>5445.0757575757571</v>
      </c>
      <c r="CA33" s="24">
        <f t="shared" si="64"/>
        <v>5445.0757575757571</v>
      </c>
      <c r="CB33" s="24">
        <f t="shared" si="64"/>
        <v>5445.0757575757571</v>
      </c>
      <c r="CC33" s="24">
        <f t="shared" si="64"/>
        <v>5445.0757575757571</v>
      </c>
      <c r="CD33" s="24">
        <f t="shared" si="64"/>
        <v>5445.0757575757571</v>
      </c>
      <c r="CE33" s="24">
        <f t="shared" si="64"/>
        <v>5445.0757575757571</v>
      </c>
      <c r="CF33" s="24">
        <f t="shared" si="64"/>
        <v>5445.0757575757571</v>
      </c>
      <c r="CG33" s="24">
        <f t="shared" si="64"/>
        <v>5445.0757575757571</v>
      </c>
      <c r="CH33" s="24">
        <f t="shared" si="64"/>
        <v>5445.0757575757571</v>
      </c>
      <c r="CI33" s="24">
        <f t="shared" si="64"/>
        <v>5445.0757575757571</v>
      </c>
      <c r="CJ33" s="24">
        <f t="shared" si="64"/>
        <v>5445.0757575757571</v>
      </c>
      <c r="CK33" s="24">
        <f t="shared" si="64"/>
        <v>5445.0757575757571</v>
      </c>
      <c r="CL33" s="24">
        <f t="shared" si="64"/>
        <v>5445.0757575757571</v>
      </c>
      <c r="CM33" s="24">
        <f t="shared" si="64"/>
        <v>5445.0757575757571</v>
      </c>
      <c r="CN33" s="24">
        <f t="shared" si="64"/>
        <v>5445.0757575757571</v>
      </c>
      <c r="CO33" s="24">
        <f t="shared" si="64"/>
        <v>5445.0757575757571</v>
      </c>
      <c r="CP33" s="24">
        <f t="shared" si="64"/>
        <v>5445.0757575757571</v>
      </c>
      <c r="CQ33" s="24">
        <f t="shared" si="64"/>
        <v>5445.0757575757571</v>
      </c>
      <c r="CR33" s="24">
        <f t="shared" si="64"/>
        <v>5445.0757575757571</v>
      </c>
      <c r="CS33" s="24">
        <f t="shared" si="64"/>
        <v>5445.0757575757571</v>
      </c>
      <c r="CT33" s="24">
        <f t="shared" si="64"/>
        <v>5445.0757575757571</v>
      </c>
      <c r="CU33" s="24">
        <f t="shared" si="64"/>
        <v>5445.0757575757571</v>
      </c>
      <c r="CV33" s="24">
        <f t="shared" si="64"/>
        <v>5445.0757575757571</v>
      </c>
      <c r="CW33" s="24">
        <f t="shared" si="64"/>
        <v>5445.0757575757571</v>
      </c>
      <c r="CX33" s="24">
        <f t="shared" si="64"/>
        <v>5445.0757575757571</v>
      </c>
      <c r="CY33" s="24">
        <f t="shared" si="64"/>
        <v>5445.0757575757571</v>
      </c>
      <c r="CZ33" s="24">
        <f t="shared" si="64"/>
        <v>5445.0757575757571</v>
      </c>
      <c r="DA33" s="24">
        <f t="shared" si="64"/>
        <v>5445.0757575757571</v>
      </c>
      <c r="DB33" s="24">
        <f t="shared" si="64"/>
        <v>5445.0757575757571</v>
      </c>
      <c r="DC33" s="24">
        <f t="shared" si="64"/>
        <v>5445.0757575757571</v>
      </c>
      <c r="DD33" s="24">
        <f t="shared" si="64"/>
        <v>5445.0757575757571</v>
      </c>
      <c r="DE33" s="24">
        <f t="shared" si="64"/>
        <v>5445.0757575757571</v>
      </c>
      <c r="DF33" s="24">
        <f t="shared" si="64"/>
        <v>5445.0757575757571</v>
      </c>
      <c r="DG33" s="24">
        <f t="shared" si="64"/>
        <v>5445.0757575757571</v>
      </c>
      <c r="DH33" s="24">
        <f t="shared" si="64"/>
        <v>5445.0757575757571</v>
      </c>
      <c r="DI33" s="24">
        <f t="shared" si="64"/>
        <v>5445.0757575757571</v>
      </c>
      <c r="DJ33" s="24">
        <f t="shared" si="64"/>
        <v>5445.0757575757571</v>
      </c>
      <c r="DK33" s="24">
        <f t="shared" si="64"/>
        <v>5445.0757575757571</v>
      </c>
      <c r="DL33" s="24">
        <f t="shared" si="64"/>
        <v>5445.0757575757571</v>
      </c>
      <c r="DM33" s="24">
        <f t="shared" si="64"/>
        <v>5445.0757575757571</v>
      </c>
      <c r="DN33" s="24">
        <f t="shared" si="64"/>
        <v>5445.0757575757571</v>
      </c>
      <c r="DO33" s="24">
        <f t="shared" si="64"/>
        <v>5445.0757575757571</v>
      </c>
      <c r="DP33" s="24">
        <f t="shared" si="64"/>
        <v>5445.0757575757571</v>
      </c>
      <c r="DQ33" s="24">
        <f t="shared" si="64"/>
        <v>5445.0757575757571</v>
      </c>
      <c r="DR33" s="24">
        <f t="shared" si="64"/>
        <v>5445.0757575757571</v>
      </c>
      <c r="DS33" s="24">
        <f t="shared" si="64"/>
        <v>5445.0757575757571</v>
      </c>
      <c r="DT33" s="24">
        <f t="shared" si="64"/>
        <v>5445.0757575757571</v>
      </c>
      <c r="DU33" s="24">
        <f t="shared" si="64"/>
        <v>5445.0757575757571</v>
      </c>
      <c r="DV33" s="24">
        <f t="shared" si="64"/>
        <v>5445.0757575757571</v>
      </c>
      <c r="DW33" s="24">
        <f t="shared" si="64"/>
        <v>5445.0757575757571</v>
      </c>
      <c r="DX33" s="24">
        <f t="shared" si="64"/>
        <v>5445.0757575757571</v>
      </c>
      <c r="DY33" s="24">
        <f t="shared" si="64"/>
        <v>5445.0757575757571</v>
      </c>
      <c r="DZ33" s="24">
        <f t="shared" si="64"/>
        <v>5445.0757575757571</v>
      </c>
      <c r="EA33" s="24">
        <f t="shared" si="64"/>
        <v>5445.0757575757571</v>
      </c>
      <c r="EB33" s="24">
        <f t="shared" si="64"/>
        <v>5445.0757575757571</v>
      </c>
      <c r="EC33" s="24">
        <f t="shared" si="64"/>
        <v>5445.0757575757571</v>
      </c>
      <c r="ED33" s="24">
        <f t="shared" si="64"/>
        <v>5445.0757575757571</v>
      </c>
      <c r="EE33" s="24">
        <f t="shared" si="64"/>
        <v>5445.0757575757571</v>
      </c>
      <c r="EF33" s="24">
        <f t="shared" si="64"/>
        <v>5445.0757575757571</v>
      </c>
      <c r="EG33" s="24">
        <f t="shared" si="64"/>
        <v>5445.0757575757571</v>
      </c>
      <c r="EH33" s="24">
        <f t="shared" si="64"/>
        <v>5445.0757575757571</v>
      </c>
      <c r="EI33" s="24">
        <f t="shared" si="64"/>
        <v>5445.0757575757571</v>
      </c>
      <c r="EJ33" s="24">
        <f t="shared" si="64"/>
        <v>5445.0757575757571</v>
      </c>
      <c r="EK33" s="24">
        <f>SUM(EK29:EK32)</f>
        <v>5445.0757575757571</v>
      </c>
      <c r="EL33" s="24">
        <f>SUM(EL29:EL32)</f>
        <v>5445.0757575757571</v>
      </c>
      <c r="EM33" s="24">
        <f>SUM(EM29:EM32)</f>
        <v>5445.0757575757571</v>
      </c>
    </row>
    <row r="34" spans="2:143" ht="5.0999999999999996" customHeight="1" x14ac:dyDescent="0.2">
      <c r="B34" s="107"/>
      <c r="C34" s="52"/>
      <c r="D34" s="52"/>
      <c r="E34" s="52"/>
      <c r="F34" s="52"/>
      <c r="G34" s="94"/>
      <c r="H34" s="109"/>
      <c r="I34" s="94"/>
    </row>
    <row r="35" spans="2:143" s="31" customFormat="1" x14ac:dyDescent="0.2">
      <c r="B35" s="117" t="s">
        <v>291</v>
      </c>
      <c r="C35" s="118"/>
      <c r="D35" s="118"/>
      <c r="E35" s="118"/>
      <c r="F35" s="118"/>
      <c r="G35" s="95"/>
      <c r="H35" s="119">
        <f>I35/Units_Retail</f>
        <v>21.550909090909091</v>
      </c>
      <c r="I35" s="120">
        <f>I25-I33</f>
        <v>123917.72727272726</v>
      </c>
      <c r="L35" s="32">
        <f>L25-L33</f>
        <v>0</v>
      </c>
      <c r="M35" s="32">
        <f t="shared" ref="M35:BX35" si="65">M25-M33</f>
        <v>0</v>
      </c>
      <c r="N35" s="32">
        <f t="shared" si="65"/>
        <v>0</v>
      </c>
      <c r="O35" s="32">
        <f t="shared" si="65"/>
        <v>0</v>
      </c>
      <c r="P35" s="32">
        <f t="shared" si="65"/>
        <v>0</v>
      </c>
      <c r="Q35" s="32">
        <f t="shared" si="65"/>
        <v>0</v>
      </c>
      <c r="R35" s="32">
        <f t="shared" si="65"/>
        <v>0</v>
      </c>
      <c r="S35" s="32">
        <f t="shared" si="65"/>
        <v>0</v>
      </c>
      <c r="T35" s="32">
        <f t="shared" si="65"/>
        <v>0</v>
      </c>
      <c r="U35" s="32">
        <f t="shared" si="65"/>
        <v>0</v>
      </c>
      <c r="V35" s="32">
        <f t="shared" si="65"/>
        <v>0</v>
      </c>
      <c r="W35" s="32">
        <f t="shared" si="65"/>
        <v>-1079.5454545454545</v>
      </c>
      <c r="X35" s="32">
        <f t="shared" si="65"/>
        <v>-1079.5454545454545</v>
      </c>
      <c r="Y35" s="32">
        <f t="shared" si="65"/>
        <v>-1079.5454545454545</v>
      </c>
      <c r="Z35" s="32">
        <f t="shared" si="65"/>
        <v>5997.7272727272739</v>
      </c>
      <c r="AA35" s="32">
        <f t="shared" si="65"/>
        <v>5997.7272727272739</v>
      </c>
      <c r="AB35" s="32">
        <f t="shared" si="65"/>
        <v>5997.7272727272739</v>
      </c>
      <c r="AC35" s="32">
        <f t="shared" si="65"/>
        <v>9284.810606060606</v>
      </c>
      <c r="AD35" s="32">
        <f t="shared" si="65"/>
        <v>9284.810606060606</v>
      </c>
      <c r="AE35" s="32">
        <f t="shared" si="65"/>
        <v>9284.810606060606</v>
      </c>
      <c r="AF35" s="32">
        <f t="shared" si="65"/>
        <v>9284.810606060606</v>
      </c>
      <c r="AG35" s="32">
        <f t="shared" si="65"/>
        <v>9284.810606060606</v>
      </c>
      <c r="AH35" s="32">
        <f t="shared" si="65"/>
        <v>9284.810606060606</v>
      </c>
      <c r="AI35" s="32">
        <f t="shared" si="65"/>
        <v>9284.810606060606</v>
      </c>
      <c r="AJ35" s="32">
        <f t="shared" si="65"/>
        <v>10326.477272727272</v>
      </c>
      <c r="AK35" s="32">
        <f t="shared" si="65"/>
        <v>10326.477272727272</v>
      </c>
      <c r="AL35" s="32">
        <f t="shared" si="65"/>
        <v>10412.727272727272</v>
      </c>
      <c r="AM35" s="32">
        <f t="shared" si="65"/>
        <v>10412.727272727272</v>
      </c>
      <c r="AN35" s="32">
        <f t="shared" si="65"/>
        <v>10412.727272727272</v>
      </c>
      <c r="AO35" s="32">
        <f t="shared" si="65"/>
        <v>10478.468939393937</v>
      </c>
      <c r="AP35" s="32">
        <f t="shared" si="65"/>
        <v>10478.468939393937</v>
      </c>
      <c r="AQ35" s="32">
        <f t="shared" si="65"/>
        <v>10478.468939393937</v>
      </c>
      <c r="AR35" s="32">
        <f t="shared" si="65"/>
        <v>10478.468939393937</v>
      </c>
      <c r="AS35" s="32">
        <f t="shared" si="65"/>
        <v>10478.468939393937</v>
      </c>
      <c r="AT35" s="32">
        <f t="shared" si="65"/>
        <v>10478.468939393937</v>
      </c>
      <c r="AU35" s="32">
        <f t="shared" si="65"/>
        <v>10478.468939393937</v>
      </c>
      <c r="AV35" s="32">
        <f t="shared" si="65"/>
        <v>10478.468939393937</v>
      </c>
      <c r="AW35" s="32">
        <f t="shared" si="65"/>
        <v>10478.468939393937</v>
      </c>
      <c r="AX35" s="32">
        <f t="shared" si="65"/>
        <v>10567.306439393938</v>
      </c>
      <c r="AY35" s="32">
        <f t="shared" si="65"/>
        <v>10567.306439393938</v>
      </c>
      <c r="AZ35" s="32">
        <f t="shared" si="65"/>
        <v>10567.306439393938</v>
      </c>
      <c r="BA35" s="32">
        <f t="shared" si="65"/>
        <v>10634.362939393941</v>
      </c>
      <c r="BB35" s="32">
        <f t="shared" si="65"/>
        <v>10634.362939393941</v>
      </c>
      <c r="BC35" s="32">
        <f t="shared" si="65"/>
        <v>10634.362939393941</v>
      </c>
      <c r="BD35" s="32">
        <f t="shared" si="65"/>
        <v>10634.362939393941</v>
      </c>
      <c r="BE35" s="32">
        <f t="shared" si="65"/>
        <v>10634.362939393941</v>
      </c>
      <c r="BF35" s="32">
        <f t="shared" si="65"/>
        <v>10634.362939393941</v>
      </c>
      <c r="BG35" s="32">
        <f t="shared" si="65"/>
        <v>10634.362939393941</v>
      </c>
      <c r="BH35" s="32">
        <f t="shared" si="65"/>
        <v>10634.362939393941</v>
      </c>
      <c r="BI35" s="32">
        <f t="shared" si="65"/>
        <v>10634.362939393941</v>
      </c>
      <c r="BJ35" s="32">
        <f t="shared" si="65"/>
        <v>10725.865564393938</v>
      </c>
      <c r="BK35" s="32">
        <f t="shared" si="65"/>
        <v>10725.865564393938</v>
      </c>
      <c r="BL35" s="32">
        <f t="shared" si="65"/>
        <v>10725.865564393938</v>
      </c>
      <c r="BM35" s="32">
        <f t="shared" si="65"/>
        <v>10794.263194393941</v>
      </c>
      <c r="BN35" s="32">
        <f t="shared" si="65"/>
        <v>10794.263194393941</v>
      </c>
      <c r="BO35" s="32">
        <f t="shared" si="65"/>
        <v>10794.263194393941</v>
      </c>
      <c r="BP35" s="32">
        <f t="shared" si="65"/>
        <v>10794.263194393941</v>
      </c>
      <c r="BQ35" s="32">
        <f t="shared" si="65"/>
        <v>10794.263194393941</v>
      </c>
      <c r="BR35" s="32">
        <f t="shared" si="65"/>
        <v>10794.263194393941</v>
      </c>
      <c r="BS35" s="32">
        <f t="shared" si="65"/>
        <v>10794.263194393941</v>
      </c>
      <c r="BT35" s="32">
        <f t="shared" si="65"/>
        <v>10794.263194393941</v>
      </c>
      <c r="BU35" s="32">
        <f t="shared" si="65"/>
        <v>10794.263194393941</v>
      </c>
      <c r="BV35" s="32">
        <f t="shared" si="65"/>
        <v>10888.510898143941</v>
      </c>
      <c r="BW35" s="32">
        <f t="shared" si="65"/>
        <v>10888.510898143941</v>
      </c>
      <c r="BX35" s="32">
        <f t="shared" si="65"/>
        <v>10888.510898143941</v>
      </c>
      <c r="BY35" s="32">
        <f t="shared" ref="BY35:EJ35" si="66">BY25-BY33</f>
        <v>10958.276480743942</v>
      </c>
      <c r="BZ35" s="32">
        <f t="shared" si="66"/>
        <v>10958.276480743942</v>
      </c>
      <c r="CA35" s="32">
        <f t="shared" si="66"/>
        <v>10958.276480743942</v>
      </c>
      <c r="CB35" s="32">
        <f t="shared" si="66"/>
        <v>10958.276480743942</v>
      </c>
      <c r="CC35" s="32">
        <f t="shared" si="66"/>
        <v>10958.276480743942</v>
      </c>
      <c r="CD35" s="32">
        <f t="shared" si="66"/>
        <v>10958.276480743942</v>
      </c>
      <c r="CE35" s="32">
        <f t="shared" si="66"/>
        <v>10958.276480743942</v>
      </c>
      <c r="CF35" s="32">
        <f t="shared" si="66"/>
        <v>10958.276480743942</v>
      </c>
      <c r="CG35" s="32">
        <f t="shared" si="66"/>
        <v>10958.276480743942</v>
      </c>
      <c r="CH35" s="32">
        <f t="shared" si="66"/>
        <v>11055.35161560644</v>
      </c>
      <c r="CI35" s="32">
        <f t="shared" si="66"/>
        <v>11055.35161560644</v>
      </c>
      <c r="CJ35" s="32">
        <f t="shared" si="66"/>
        <v>11055.35161560644</v>
      </c>
      <c r="CK35" s="32">
        <f t="shared" si="66"/>
        <v>11126.512509858439</v>
      </c>
      <c r="CL35" s="32">
        <f t="shared" si="66"/>
        <v>11126.512509858439</v>
      </c>
      <c r="CM35" s="32">
        <f t="shared" si="66"/>
        <v>11126.512509858439</v>
      </c>
      <c r="CN35" s="32">
        <f t="shared" si="66"/>
        <v>11126.512509858439</v>
      </c>
      <c r="CO35" s="32">
        <f t="shared" si="66"/>
        <v>11126.512509858439</v>
      </c>
      <c r="CP35" s="32">
        <f t="shared" si="66"/>
        <v>11126.512509858439</v>
      </c>
      <c r="CQ35" s="32">
        <f t="shared" si="66"/>
        <v>11126.512509858439</v>
      </c>
      <c r="CR35" s="32">
        <f t="shared" si="66"/>
        <v>11126.512509858439</v>
      </c>
      <c r="CS35" s="32">
        <f t="shared" si="66"/>
        <v>11126.512509858439</v>
      </c>
      <c r="CT35" s="32">
        <f t="shared" si="66"/>
        <v>11226.499898766815</v>
      </c>
      <c r="CU35" s="32">
        <f t="shared" si="66"/>
        <v>11226.499898766815</v>
      </c>
      <c r="CV35" s="32">
        <f t="shared" si="66"/>
        <v>11226.499898766815</v>
      </c>
      <c r="CW35" s="32">
        <f t="shared" si="66"/>
        <v>11299.084010903855</v>
      </c>
      <c r="CX35" s="32">
        <f t="shared" si="66"/>
        <v>11299.084010903855</v>
      </c>
      <c r="CY35" s="32">
        <f t="shared" si="66"/>
        <v>11299.084010903855</v>
      </c>
      <c r="CZ35" s="32">
        <f t="shared" si="66"/>
        <v>11299.084010903855</v>
      </c>
      <c r="DA35" s="32">
        <f t="shared" si="66"/>
        <v>11299.084010903855</v>
      </c>
      <c r="DB35" s="32">
        <f t="shared" si="66"/>
        <v>11299.084010903855</v>
      </c>
      <c r="DC35" s="32">
        <f t="shared" si="66"/>
        <v>11299.084010903855</v>
      </c>
      <c r="DD35" s="32">
        <f t="shared" si="66"/>
        <v>11299.084010903855</v>
      </c>
      <c r="DE35" s="32">
        <f t="shared" si="66"/>
        <v>11299.084010903855</v>
      </c>
      <c r="DF35" s="32">
        <f t="shared" si="66"/>
        <v>11402.071021479482</v>
      </c>
      <c r="DG35" s="32">
        <f t="shared" si="66"/>
        <v>11402.071021479482</v>
      </c>
      <c r="DH35" s="32">
        <f t="shared" si="66"/>
        <v>11402.071021479482</v>
      </c>
      <c r="DI35" s="32">
        <f t="shared" si="66"/>
        <v>11476.106815859261</v>
      </c>
      <c r="DJ35" s="32">
        <f t="shared" si="66"/>
        <v>11476.106815859261</v>
      </c>
      <c r="DK35" s="32">
        <f t="shared" si="66"/>
        <v>11476.106815859261</v>
      </c>
      <c r="DL35" s="32">
        <f t="shared" si="66"/>
        <v>11476.106815859261</v>
      </c>
      <c r="DM35" s="32">
        <f t="shared" si="66"/>
        <v>11476.106815859261</v>
      </c>
      <c r="DN35" s="32">
        <f t="shared" si="66"/>
        <v>11476.106815859261</v>
      </c>
      <c r="DO35" s="32">
        <f t="shared" si="66"/>
        <v>11476.106815859261</v>
      </c>
      <c r="DP35" s="32">
        <f t="shared" si="66"/>
        <v>11476.106815859261</v>
      </c>
      <c r="DQ35" s="32">
        <f t="shared" si="66"/>
        <v>11476.106815859261</v>
      </c>
      <c r="DR35" s="32">
        <f t="shared" si="66"/>
        <v>11582.183436752155</v>
      </c>
      <c r="DS35" s="32">
        <f t="shared" si="66"/>
        <v>11582.183436752155</v>
      </c>
      <c r="DT35" s="32">
        <f t="shared" si="66"/>
        <v>11582.183436752155</v>
      </c>
      <c r="DU35" s="32">
        <f t="shared" si="66"/>
        <v>11657.699947019533</v>
      </c>
      <c r="DV35" s="32">
        <f t="shared" si="66"/>
        <v>11657.699947019533</v>
      </c>
      <c r="DW35" s="32">
        <f t="shared" si="66"/>
        <v>11657.699947019533</v>
      </c>
      <c r="DX35" s="32">
        <f t="shared" si="66"/>
        <v>11657.699947019533</v>
      </c>
      <c r="DY35" s="32">
        <f t="shared" si="66"/>
        <v>11657.699947019533</v>
      </c>
      <c r="DZ35" s="32">
        <f t="shared" si="66"/>
        <v>11657.699947019533</v>
      </c>
      <c r="EA35" s="32">
        <f t="shared" si="66"/>
        <v>11657.699947019533</v>
      </c>
      <c r="EB35" s="32">
        <f t="shared" si="66"/>
        <v>11657.699947019533</v>
      </c>
      <c r="EC35" s="32">
        <f t="shared" si="66"/>
        <v>11657.699947019533</v>
      </c>
      <c r="ED35" s="32">
        <f t="shared" si="66"/>
        <v>11766.958866539215</v>
      </c>
      <c r="EE35" s="32">
        <f t="shared" si="66"/>
        <v>11766.958866539215</v>
      </c>
      <c r="EF35" s="32">
        <f t="shared" si="66"/>
        <v>11766.958866539215</v>
      </c>
      <c r="EG35" s="32">
        <f t="shared" si="66"/>
        <v>11843.98570701194</v>
      </c>
      <c r="EH35" s="32">
        <f t="shared" si="66"/>
        <v>11843.98570701194</v>
      </c>
      <c r="EI35" s="32">
        <f t="shared" si="66"/>
        <v>11843.98570701194</v>
      </c>
      <c r="EJ35" s="32">
        <f t="shared" si="66"/>
        <v>11843.98570701194</v>
      </c>
      <c r="EK35" s="32">
        <f>EK25-EK33</f>
        <v>11843.98570701194</v>
      </c>
      <c r="EL35" s="32">
        <f>EL25-EL33</f>
        <v>11843.98570701194</v>
      </c>
      <c r="EM35" s="32">
        <f>EM25-EM33</f>
        <v>11843.98570701194</v>
      </c>
    </row>
    <row r="36" spans="2:143" x14ac:dyDescent="0.2">
      <c r="B36" s="107"/>
      <c r="C36" s="52"/>
      <c r="D36" s="52"/>
      <c r="E36" s="52"/>
      <c r="F36" s="52"/>
      <c r="G36" s="94"/>
      <c r="H36" s="94"/>
      <c r="I36" s="94"/>
      <c r="AO36" s="85"/>
    </row>
    <row r="37" spans="2:143" ht="16.5" x14ac:dyDescent="0.35">
      <c r="B37" s="10" t="s">
        <v>318</v>
      </c>
      <c r="C37" s="88"/>
      <c r="D37" s="90" t="s">
        <v>319</v>
      </c>
      <c r="E37" s="90" t="s">
        <v>320</v>
      </c>
      <c r="F37" s="89"/>
      <c r="G37" s="89"/>
      <c r="H37" s="90" t="s">
        <v>319</v>
      </c>
      <c r="I37" s="90" t="s">
        <v>320</v>
      </c>
    </row>
    <row r="38" spans="2:143" x14ac:dyDescent="0.2">
      <c r="B38" s="121" t="s">
        <v>326</v>
      </c>
      <c r="C38" s="52"/>
      <c r="D38" s="94"/>
      <c r="E38" s="94"/>
      <c r="F38" s="122"/>
      <c r="G38" s="43" t="s">
        <v>327</v>
      </c>
      <c r="H38" s="94"/>
      <c r="I38" s="94"/>
    </row>
    <row r="39" spans="2:143" x14ac:dyDescent="0.2">
      <c r="B39" s="92" t="s">
        <v>324</v>
      </c>
      <c r="C39" s="51"/>
      <c r="D39" s="66">
        <f>1-E39</f>
        <v>0.30000000000000004</v>
      </c>
      <c r="E39" s="67">
        <v>0.7</v>
      </c>
      <c r="F39" s="122"/>
      <c r="G39" s="63" t="s">
        <v>321</v>
      </c>
      <c r="H39" s="61">
        <f>D41*Units_Retail*D39</f>
        <v>77625.000000000015</v>
      </c>
      <c r="I39" s="61">
        <f>E41*Units_Retail*E39</f>
        <v>80500</v>
      </c>
    </row>
    <row r="40" spans="2:143" ht="16.5" x14ac:dyDescent="0.35">
      <c r="B40" s="92" t="s">
        <v>325</v>
      </c>
      <c r="C40" s="48"/>
      <c r="D40" s="102">
        <f>ROUNDUP(E40,0)</f>
        <v>25</v>
      </c>
      <c r="E40" s="102">
        <f>H15</f>
        <v>24.413043478260871</v>
      </c>
      <c r="F40" s="122" t="str">
        <f>"/"&amp;Unit_Type</f>
        <v>/SF</v>
      </c>
      <c r="G40" s="63" t="s">
        <v>322</v>
      </c>
      <c r="H40" s="74">
        <f>(D40*Units_Retail*D43*D42)*D39</f>
        <v>25875.000000000004</v>
      </c>
      <c r="I40" s="74">
        <f>(E40*Units_Retail*E43*E42)*E39</f>
        <v>27513.5</v>
      </c>
    </row>
    <row r="41" spans="2:143" x14ac:dyDescent="0.2">
      <c r="B41" s="92" t="s">
        <v>321</v>
      </c>
      <c r="C41" s="123"/>
      <c r="D41" s="102">
        <v>45</v>
      </c>
      <c r="E41" s="102">
        <v>20</v>
      </c>
      <c r="F41" s="122" t="str">
        <f>"/"&amp;Unit_Type</f>
        <v>/SF</v>
      </c>
      <c r="G41" s="63" t="s">
        <v>328</v>
      </c>
      <c r="H41" s="61">
        <f>SUM(H39:H40)</f>
        <v>103500.00000000001</v>
      </c>
      <c r="I41" s="61">
        <f>SUM(I39:I40)</f>
        <v>108013.5</v>
      </c>
    </row>
    <row r="42" spans="2:143" x14ac:dyDescent="0.2">
      <c r="B42" s="92" t="s">
        <v>322</v>
      </c>
      <c r="C42" s="67"/>
      <c r="D42" s="67">
        <v>0.06</v>
      </c>
      <c r="E42" s="67">
        <v>0.04</v>
      </c>
      <c r="F42" s="122"/>
      <c r="G42" s="63" t="s">
        <v>329</v>
      </c>
      <c r="H42" s="61">
        <f>H41/D43</f>
        <v>10350.000000000002</v>
      </c>
      <c r="I42" s="61">
        <f>I41/E43</f>
        <v>15430.5</v>
      </c>
    </row>
    <row r="43" spans="2:143" x14ac:dyDescent="0.2">
      <c r="B43" s="124" t="s">
        <v>323</v>
      </c>
      <c r="C43" s="125"/>
      <c r="D43" s="125">
        <v>10</v>
      </c>
      <c r="E43" s="126">
        <v>7</v>
      </c>
      <c r="F43" s="122"/>
      <c r="G43" s="52"/>
      <c r="H43" s="52"/>
      <c r="I43" s="127"/>
    </row>
    <row r="44" spans="2:143" x14ac:dyDescent="0.2">
      <c r="B44" s="107"/>
      <c r="C44" s="44"/>
      <c r="D44" s="44"/>
      <c r="E44" s="44"/>
      <c r="F44" s="128"/>
      <c r="G44" s="52"/>
      <c r="H44" s="52"/>
      <c r="I44" s="127"/>
    </row>
    <row r="45" spans="2:143" x14ac:dyDescent="0.2">
      <c r="B45" s="117" t="s">
        <v>290</v>
      </c>
      <c r="C45" s="129"/>
      <c r="D45" s="129"/>
      <c r="E45" s="129"/>
      <c r="F45" s="130"/>
      <c r="G45" s="118"/>
      <c r="H45" s="119">
        <f>I45/Units_Retail</f>
        <v>4.4835652173913045</v>
      </c>
      <c r="I45" s="131">
        <f>I42+H42</f>
        <v>25780.5</v>
      </c>
    </row>
  </sheetData>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2:H136"/>
  <sheetViews>
    <sheetView showGridLines="0" showRowColHeaders="0" workbookViewId="0">
      <pane ySplit="6" topLeftCell="A7" activePane="bottomLeft" state="frozen"/>
      <selection pane="bottomLeft" activeCell="A7" sqref="A7"/>
    </sheetView>
  </sheetViews>
  <sheetFormatPr defaultColWidth="0" defaultRowHeight="14.25" zeroHeight="1" x14ac:dyDescent="0.2"/>
  <cols>
    <col min="1" max="1" width="0.875" style="97" customWidth="1"/>
    <col min="2" max="2" width="17.875" style="4" customWidth="1"/>
    <col min="3" max="7" width="10.75" style="4" customWidth="1"/>
    <col min="8" max="8" width="0.875" customWidth="1"/>
    <col min="9" max="16384" width="9" hidden="1"/>
  </cols>
  <sheetData>
    <row r="2" spans="2:7" s="6" customFormat="1" ht="15.75" x14ac:dyDescent="0.25">
      <c r="B2" s="5" t="str">
        <f>UPPER(Investment_Name)</f>
        <v>16TH TERRACE</v>
      </c>
      <c r="C2"/>
      <c r="D2" s="28"/>
      <c r="E2"/>
      <c r="F2"/>
      <c r="G2" s="34" t="s">
        <v>458</v>
      </c>
    </row>
    <row r="3" spans="2:7" s="6" customFormat="1" x14ac:dyDescent="0.2">
      <c r="B3"/>
      <c r="C3"/>
      <c r="D3"/>
      <c r="E3"/>
      <c r="F3"/>
      <c r="G3"/>
    </row>
    <row r="4" spans="2:7" s="6" customFormat="1" ht="4.9000000000000004" customHeight="1" x14ac:dyDescent="0.2">
      <c r="B4"/>
      <c r="C4"/>
      <c r="D4"/>
      <c r="E4"/>
      <c r="F4"/>
      <c r="G4"/>
    </row>
    <row r="5" spans="2:7" s="81" customFormat="1" ht="10.5" customHeight="1" x14ac:dyDescent="0.2">
      <c r="B5" s="36" t="s">
        <v>285</v>
      </c>
      <c r="C5" s="82">
        <f>Underwriting!G131</f>
        <v>0.33907940904893813</v>
      </c>
      <c r="D5" s="38"/>
      <c r="E5" s="80"/>
      <c r="F5" s="38" t="s">
        <v>286</v>
      </c>
      <c r="G5" s="80">
        <f>Valuation_Untrended</f>
        <v>4164520.7272727275</v>
      </c>
    </row>
    <row r="6" spans="2:7" s="6" customFormat="1" ht="4.9000000000000004" customHeight="1" x14ac:dyDescent="0.2">
      <c r="B6"/>
      <c r="C6"/>
      <c r="D6"/>
      <c r="E6"/>
      <c r="F6"/>
      <c r="G6"/>
    </row>
    <row r="7" spans="2:7" ht="5.0999999999999996" customHeight="1" x14ac:dyDescent="0.2">
      <c r="B7" s="26"/>
      <c r="C7" s="26"/>
      <c r="D7" s="26"/>
      <c r="E7" s="26"/>
      <c r="F7" s="26"/>
      <c r="G7" s="26"/>
    </row>
    <row r="8" spans="2:7" x14ac:dyDescent="0.2">
      <c r="B8" s="2" t="s">
        <v>198</v>
      </c>
      <c r="C8" s="1"/>
      <c r="D8" s="1"/>
      <c r="E8" s="1"/>
      <c r="F8" s="1"/>
      <c r="G8" s="1"/>
    </row>
    <row r="9" spans="2:7" x14ac:dyDescent="0.2">
      <c r="B9" s="10" t="s">
        <v>201</v>
      </c>
      <c r="C9" s="9"/>
      <c r="D9" s="9"/>
      <c r="E9" s="9"/>
      <c r="F9" s="9"/>
      <c r="G9" s="9"/>
    </row>
    <row r="10" spans="2:7" x14ac:dyDescent="0.2">
      <c r="B10" s="42" t="str">
        <f>UPPER(Underwriting!B121)</f>
        <v>REPAIRS AND MAINTENANCE</v>
      </c>
      <c r="C10" s="44"/>
      <c r="D10" s="44"/>
      <c r="E10" s="44" t="s">
        <v>218</v>
      </c>
      <c r="F10" s="44" t="s">
        <v>219</v>
      </c>
      <c r="G10" s="47" t="str">
        <f>"Per "&amp;Unit_Type</f>
        <v>Per SF</v>
      </c>
    </row>
    <row r="11" spans="2:7" x14ac:dyDescent="0.2">
      <c r="B11" s="41" t="s">
        <v>233</v>
      </c>
      <c r="C11" s="44"/>
      <c r="D11" s="44"/>
      <c r="E11" s="133"/>
      <c r="F11" s="44"/>
      <c r="G11" s="47"/>
    </row>
    <row r="12" spans="2:7" x14ac:dyDescent="0.2">
      <c r="B12" s="45" t="s">
        <v>220</v>
      </c>
      <c r="C12" s="52"/>
      <c r="D12" s="52"/>
      <c r="E12" s="52">
        <v>25000</v>
      </c>
      <c r="F12" s="94">
        <f>E12/Units</f>
        <v>1562.5</v>
      </c>
      <c r="G12" s="94">
        <f>E12/Units_SF_M2</f>
        <v>1.5341188021600394</v>
      </c>
    </row>
    <row r="13" spans="2:7" x14ac:dyDescent="0.2">
      <c r="B13" s="45" t="s">
        <v>221</v>
      </c>
      <c r="C13" s="52"/>
      <c r="D13" s="52"/>
      <c r="E13" s="52">
        <v>25000</v>
      </c>
      <c r="F13" s="94">
        <f>E13/Units</f>
        <v>1562.5</v>
      </c>
      <c r="G13" s="94">
        <f>E13/Units_SF_M2</f>
        <v>1.5341188021600394</v>
      </c>
    </row>
    <row r="14" spans="2:7" x14ac:dyDescent="0.2">
      <c r="B14" s="45" t="s">
        <v>222</v>
      </c>
      <c r="C14" s="52"/>
      <c r="D14" s="52"/>
      <c r="E14" s="52">
        <v>25000</v>
      </c>
      <c r="F14" s="94">
        <f>E14/Units</f>
        <v>1562.5</v>
      </c>
      <c r="G14" s="94">
        <f>E14/Units_SF_M2</f>
        <v>1.5341188021600394</v>
      </c>
    </row>
    <row r="15" spans="2:7" x14ac:dyDescent="0.2">
      <c r="B15" s="45" t="s">
        <v>223</v>
      </c>
      <c r="C15" s="52"/>
      <c r="D15" s="52"/>
      <c r="E15" s="52">
        <v>25000</v>
      </c>
      <c r="F15" s="94">
        <f>E15/Units</f>
        <v>1562.5</v>
      </c>
      <c r="G15" s="94">
        <f>E15/Units_SF_M2</f>
        <v>1.5341188021600394</v>
      </c>
    </row>
    <row r="16" spans="2:7" ht="16.5" x14ac:dyDescent="0.35">
      <c r="B16" s="45" t="s">
        <v>212</v>
      </c>
      <c r="C16" s="52"/>
      <c r="D16" s="52"/>
      <c r="E16" s="71">
        <v>5000</v>
      </c>
      <c r="F16" s="110">
        <f>E16/Units</f>
        <v>312.5</v>
      </c>
      <c r="G16" s="110">
        <f>E16/Units_SF_M2</f>
        <v>0.30682376043200787</v>
      </c>
    </row>
    <row r="17" spans="2:7" x14ac:dyDescent="0.2">
      <c r="B17" s="55" t="str">
        <f>"Sub-Total "&amp;B11</f>
        <v>Sub-Total R&amp;M General</v>
      </c>
      <c r="C17" s="51"/>
      <c r="D17" s="52"/>
      <c r="E17" s="61">
        <f>SUM(E12:E16)</f>
        <v>105000</v>
      </c>
      <c r="F17" s="94">
        <f>SUM(F12:F16)</f>
        <v>6562.5</v>
      </c>
      <c r="G17" s="94">
        <f>SUM(G12:G16)</f>
        <v>6.4432989690721651</v>
      </c>
    </row>
    <row r="18" spans="2:7" x14ac:dyDescent="0.2">
      <c r="B18" s="41" t="s">
        <v>234</v>
      </c>
      <c r="C18" s="44"/>
      <c r="D18" s="44"/>
      <c r="E18" s="133"/>
      <c r="F18" s="44"/>
      <c r="G18" s="47"/>
    </row>
    <row r="19" spans="2:7" x14ac:dyDescent="0.2">
      <c r="B19" s="45" t="s">
        <v>224</v>
      </c>
      <c r="C19" s="52"/>
      <c r="D19" s="52"/>
      <c r="E19" s="52">
        <v>25000</v>
      </c>
      <c r="F19" s="94">
        <f>E19/Units</f>
        <v>1562.5</v>
      </c>
      <c r="G19" s="94">
        <f>E19/Units_SF_M2</f>
        <v>1.5341188021600394</v>
      </c>
    </row>
    <row r="20" spans="2:7" x14ac:dyDescent="0.2">
      <c r="B20" s="45" t="s">
        <v>225</v>
      </c>
      <c r="C20" s="52"/>
      <c r="D20" s="52"/>
      <c r="E20" s="52">
        <v>25000</v>
      </c>
      <c r="F20" s="94">
        <f>E20/Units</f>
        <v>1562.5</v>
      </c>
      <c r="G20" s="94">
        <f>E20/Units_SF_M2</f>
        <v>1.5341188021600394</v>
      </c>
    </row>
    <row r="21" spans="2:7" x14ac:dyDescent="0.2">
      <c r="B21" s="45" t="s">
        <v>226</v>
      </c>
      <c r="C21" s="52"/>
      <c r="D21" s="52"/>
      <c r="E21" s="52">
        <v>25000</v>
      </c>
      <c r="F21" s="94">
        <f>E21/Units</f>
        <v>1562.5</v>
      </c>
      <c r="G21" s="94">
        <f>E21/Units_SF_M2</f>
        <v>1.5341188021600394</v>
      </c>
    </row>
    <row r="22" spans="2:7" x14ac:dyDescent="0.2">
      <c r="B22" s="45" t="s">
        <v>227</v>
      </c>
      <c r="C22" s="52"/>
      <c r="D22" s="52"/>
      <c r="E22" s="52">
        <v>25000</v>
      </c>
      <c r="F22" s="94">
        <f>E22/Units</f>
        <v>1562.5</v>
      </c>
      <c r="G22" s="94">
        <f>E22/Units_SF_M2</f>
        <v>1.5341188021600394</v>
      </c>
    </row>
    <row r="23" spans="2:7" ht="16.5" x14ac:dyDescent="0.35">
      <c r="B23" s="45" t="s">
        <v>212</v>
      </c>
      <c r="C23" s="52"/>
      <c r="D23" s="52"/>
      <c r="E23" s="71">
        <v>5000</v>
      </c>
      <c r="F23" s="110">
        <f>E23/Units</f>
        <v>312.5</v>
      </c>
      <c r="G23" s="110">
        <f>E23/Units_SF_M2</f>
        <v>0.30682376043200787</v>
      </c>
    </row>
    <row r="24" spans="2:7" x14ac:dyDescent="0.2">
      <c r="B24" s="55" t="str">
        <f>"Sub-Total "&amp;B18</f>
        <v>Sub-Total R &amp; M-Apartments</v>
      </c>
      <c r="C24" s="51"/>
      <c r="D24" s="52"/>
      <c r="E24" s="61">
        <f>SUM(E19:E23)</f>
        <v>105000</v>
      </c>
      <c r="F24" s="94">
        <f>SUM(F19:F23)</f>
        <v>6562.5</v>
      </c>
      <c r="G24" s="94">
        <f>SUM(G19:G23)</f>
        <v>6.4432989690721651</v>
      </c>
    </row>
    <row r="25" spans="2:7" x14ac:dyDescent="0.2">
      <c r="B25" s="41" t="s">
        <v>228</v>
      </c>
      <c r="C25" s="44"/>
      <c r="D25" s="44"/>
      <c r="E25" s="133"/>
      <c r="F25" s="44"/>
      <c r="G25" s="47"/>
    </row>
    <row r="26" spans="2:7" x14ac:dyDescent="0.2">
      <c r="B26" s="45" t="s">
        <v>229</v>
      </c>
      <c r="C26" s="52"/>
      <c r="D26" s="52"/>
      <c r="E26" s="52">
        <v>25000</v>
      </c>
      <c r="F26" s="94">
        <f>E26/Units</f>
        <v>1562.5</v>
      </c>
      <c r="G26" s="94">
        <f>E26/Units_SF_M2</f>
        <v>1.5341188021600394</v>
      </c>
    </row>
    <row r="27" spans="2:7" x14ac:dyDescent="0.2">
      <c r="B27" s="45" t="s">
        <v>230</v>
      </c>
      <c r="C27" s="52"/>
      <c r="D27" s="52"/>
      <c r="E27" s="52">
        <v>25000</v>
      </c>
      <c r="F27" s="94">
        <f>E27/Units</f>
        <v>1562.5</v>
      </c>
      <c r="G27" s="94">
        <f>E27/Units_SF_M2</f>
        <v>1.5341188021600394</v>
      </c>
    </row>
    <row r="28" spans="2:7" x14ac:dyDescent="0.2">
      <c r="B28" s="45" t="s">
        <v>231</v>
      </c>
      <c r="C28" s="52"/>
      <c r="D28" s="52"/>
      <c r="E28" s="52">
        <v>25000</v>
      </c>
      <c r="F28" s="94">
        <f>E28/Units</f>
        <v>1562.5</v>
      </c>
      <c r="G28" s="94">
        <f>E28/Units_SF_M2</f>
        <v>1.5341188021600394</v>
      </c>
    </row>
    <row r="29" spans="2:7" x14ac:dyDescent="0.2">
      <c r="B29" s="45" t="s">
        <v>232</v>
      </c>
      <c r="C29" s="52"/>
      <c r="D29" s="52"/>
      <c r="E29" s="52">
        <v>25000</v>
      </c>
      <c r="F29" s="94">
        <f>E29/Units</f>
        <v>1562.5</v>
      </c>
      <c r="G29" s="94">
        <f>E29/Units_SF_M2</f>
        <v>1.5341188021600394</v>
      </c>
    </row>
    <row r="30" spans="2:7" ht="16.5" x14ac:dyDescent="0.35">
      <c r="B30" s="45" t="s">
        <v>212</v>
      </c>
      <c r="C30" s="52"/>
      <c r="D30" s="52"/>
      <c r="E30" s="71">
        <v>5000</v>
      </c>
      <c r="F30" s="110">
        <f>E30/Units</f>
        <v>312.5</v>
      </c>
      <c r="G30" s="110">
        <f>E30/Units_SF_M2</f>
        <v>0.30682376043200787</v>
      </c>
    </row>
    <row r="31" spans="2:7" x14ac:dyDescent="0.2">
      <c r="B31" s="55" t="str">
        <f>"Sub-Total "&amp;B25</f>
        <v>Sub-Total Landscaping</v>
      </c>
      <c r="C31" s="51"/>
      <c r="D31" s="52"/>
      <c r="E31" s="61">
        <f>SUM(E26:E30)</f>
        <v>105000</v>
      </c>
      <c r="F31" s="94">
        <f>SUM(F26:F30)</f>
        <v>6562.5</v>
      </c>
      <c r="G31" s="94">
        <f>SUM(G26:G30)</f>
        <v>6.4432989690721651</v>
      </c>
    </row>
    <row r="32" spans="2:7" ht="5.0999999999999996" customHeight="1" x14ac:dyDescent="0.35">
      <c r="B32" s="45"/>
      <c r="C32" s="71"/>
      <c r="D32" s="71"/>
      <c r="E32" s="71"/>
      <c r="F32" s="110"/>
      <c r="G32" s="110"/>
    </row>
    <row r="33" spans="2:7" x14ac:dyDescent="0.2">
      <c r="B33" s="93" t="str">
        <f>"Total "&amp;PROPER(B10)&amp;" Cost"</f>
        <v>Total Repairs And Maintenance Cost</v>
      </c>
      <c r="C33" s="51"/>
      <c r="D33" s="52"/>
      <c r="E33" s="61">
        <f>+E31+E24+E17</f>
        <v>315000</v>
      </c>
      <c r="F33" s="94">
        <f>SUM(F12:F32)</f>
        <v>39375</v>
      </c>
      <c r="G33" s="94">
        <f>SUM(G12:G32)</f>
        <v>38.659793814433002</v>
      </c>
    </row>
    <row r="34" spans="2:7" ht="16.5" x14ac:dyDescent="0.35">
      <c r="B34" s="45"/>
      <c r="C34" s="71"/>
      <c r="D34" s="71"/>
      <c r="E34" s="71"/>
      <c r="F34" s="110"/>
      <c r="G34" s="110"/>
    </row>
    <row r="35" spans="2:7" x14ac:dyDescent="0.2">
      <c r="B35" s="42" t="str">
        <f>UPPER(Underwriting!B122)</f>
        <v>PAYROLL</v>
      </c>
      <c r="C35" s="44" t="s">
        <v>216</v>
      </c>
      <c r="D35" s="44" t="s">
        <v>217</v>
      </c>
      <c r="E35" s="44" t="s">
        <v>218</v>
      </c>
      <c r="F35" s="44" t="s">
        <v>219</v>
      </c>
      <c r="G35" s="47" t="str">
        <f>G10</f>
        <v>Per SF</v>
      </c>
    </row>
    <row r="36" spans="2:7" x14ac:dyDescent="0.2">
      <c r="B36" s="45" t="s">
        <v>202</v>
      </c>
      <c r="C36" s="52">
        <v>1</v>
      </c>
      <c r="D36" s="52">
        <v>70000</v>
      </c>
      <c r="E36" s="51">
        <f>D36*C36</f>
        <v>70000</v>
      </c>
      <c r="F36" s="94">
        <f t="shared" ref="F36:F46" si="0">E36/Units</f>
        <v>4375</v>
      </c>
      <c r="G36" s="94">
        <f t="shared" ref="G36:G46" si="1">E36/Units_SF_M2</f>
        <v>4.2955326460481098</v>
      </c>
    </row>
    <row r="37" spans="2:7" x14ac:dyDescent="0.2">
      <c r="B37" s="45" t="s">
        <v>203</v>
      </c>
      <c r="C37" s="52">
        <v>1</v>
      </c>
      <c r="D37" s="52">
        <v>50000</v>
      </c>
      <c r="E37" s="51">
        <f t="shared" ref="E37:E46" si="2">D37*C37</f>
        <v>50000</v>
      </c>
      <c r="F37" s="94">
        <f t="shared" si="0"/>
        <v>3125</v>
      </c>
      <c r="G37" s="94">
        <f t="shared" si="1"/>
        <v>3.0682376043200787</v>
      </c>
    </row>
    <row r="38" spans="2:7" x14ac:dyDescent="0.2">
      <c r="B38" s="45" t="s">
        <v>204</v>
      </c>
      <c r="C38" s="52">
        <v>0</v>
      </c>
      <c r="D38" s="52">
        <v>0</v>
      </c>
      <c r="E38" s="51">
        <f t="shared" si="2"/>
        <v>0</v>
      </c>
      <c r="F38" s="94">
        <f t="shared" si="0"/>
        <v>0</v>
      </c>
      <c r="G38" s="94">
        <f t="shared" si="1"/>
        <v>0</v>
      </c>
    </row>
    <row r="39" spans="2:7" x14ac:dyDescent="0.2">
      <c r="B39" s="45" t="s">
        <v>205</v>
      </c>
      <c r="C39" s="52">
        <v>2</v>
      </c>
      <c r="D39" s="52">
        <v>37500</v>
      </c>
      <c r="E39" s="51">
        <f t="shared" si="2"/>
        <v>75000</v>
      </c>
      <c r="F39" s="94">
        <f t="shared" si="0"/>
        <v>4687.5</v>
      </c>
      <c r="G39" s="94">
        <f t="shared" si="1"/>
        <v>4.6023564064801175</v>
      </c>
    </row>
    <row r="40" spans="2:7" x14ac:dyDescent="0.2">
      <c r="B40" s="45" t="s">
        <v>206</v>
      </c>
      <c r="C40" s="52">
        <v>0</v>
      </c>
      <c r="D40" s="52">
        <v>0</v>
      </c>
      <c r="E40" s="51">
        <f t="shared" si="2"/>
        <v>0</v>
      </c>
      <c r="F40" s="94">
        <f t="shared" si="0"/>
        <v>0</v>
      </c>
      <c r="G40" s="94">
        <f t="shared" si="1"/>
        <v>0</v>
      </c>
    </row>
    <row r="41" spans="2:7" x14ac:dyDescent="0.2">
      <c r="B41" s="45" t="s">
        <v>207</v>
      </c>
      <c r="C41" s="52">
        <v>1</v>
      </c>
      <c r="D41" s="52">
        <v>40000</v>
      </c>
      <c r="E41" s="51">
        <f t="shared" si="2"/>
        <v>40000</v>
      </c>
      <c r="F41" s="94">
        <f t="shared" si="0"/>
        <v>2500</v>
      </c>
      <c r="G41" s="94">
        <f t="shared" si="1"/>
        <v>2.454590083456063</v>
      </c>
    </row>
    <row r="42" spans="2:7" x14ac:dyDescent="0.2">
      <c r="B42" s="45" t="s">
        <v>208</v>
      </c>
      <c r="C42" s="52">
        <v>1</v>
      </c>
      <c r="D42" s="52">
        <v>32000</v>
      </c>
      <c r="E42" s="51">
        <f t="shared" si="2"/>
        <v>32000</v>
      </c>
      <c r="F42" s="94">
        <f t="shared" si="0"/>
        <v>2000</v>
      </c>
      <c r="G42" s="94">
        <f t="shared" si="1"/>
        <v>1.9636720667648502</v>
      </c>
    </row>
    <row r="43" spans="2:7" x14ac:dyDescent="0.2">
      <c r="B43" s="45" t="s">
        <v>209</v>
      </c>
      <c r="C43" s="52">
        <v>0</v>
      </c>
      <c r="D43" s="52">
        <v>0</v>
      </c>
      <c r="E43" s="51">
        <f t="shared" si="2"/>
        <v>0</v>
      </c>
      <c r="F43" s="94">
        <f t="shared" si="0"/>
        <v>0</v>
      </c>
      <c r="G43" s="94">
        <f t="shared" si="1"/>
        <v>0</v>
      </c>
    </row>
    <row r="44" spans="2:7" x14ac:dyDescent="0.2">
      <c r="B44" s="45" t="s">
        <v>210</v>
      </c>
      <c r="C44" s="52">
        <v>1</v>
      </c>
      <c r="D44" s="52">
        <v>30000</v>
      </c>
      <c r="E44" s="51">
        <f t="shared" si="2"/>
        <v>30000</v>
      </c>
      <c r="F44" s="94">
        <f t="shared" si="0"/>
        <v>1875</v>
      </c>
      <c r="G44" s="94">
        <f t="shared" si="1"/>
        <v>1.840942562592047</v>
      </c>
    </row>
    <row r="45" spans="2:7" x14ac:dyDescent="0.2">
      <c r="B45" s="45" t="s">
        <v>211</v>
      </c>
      <c r="C45" s="52">
        <v>0</v>
      </c>
      <c r="D45" s="52">
        <v>0</v>
      </c>
      <c r="E45" s="51">
        <f t="shared" si="2"/>
        <v>0</v>
      </c>
      <c r="F45" s="94">
        <f t="shared" si="0"/>
        <v>0</v>
      </c>
      <c r="G45" s="94">
        <f t="shared" si="1"/>
        <v>0</v>
      </c>
    </row>
    <row r="46" spans="2:7" ht="16.5" x14ac:dyDescent="0.35">
      <c r="B46" s="45" t="s">
        <v>212</v>
      </c>
      <c r="C46" s="71">
        <v>0</v>
      </c>
      <c r="D46" s="71">
        <v>0</v>
      </c>
      <c r="E46" s="57">
        <f t="shared" si="2"/>
        <v>0</v>
      </c>
      <c r="F46" s="110">
        <f t="shared" si="0"/>
        <v>0</v>
      </c>
      <c r="G46" s="110">
        <f t="shared" si="1"/>
        <v>0</v>
      </c>
    </row>
    <row r="47" spans="2:7" x14ac:dyDescent="0.2">
      <c r="B47" s="55" t="s">
        <v>213</v>
      </c>
      <c r="C47" s="51">
        <f>SUM(C36:C46)</f>
        <v>7</v>
      </c>
      <c r="D47" s="52">
        <f>SUM(D36:D46)</f>
        <v>259500</v>
      </c>
      <c r="E47" s="61">
        <f>SUM(E36:E46)</f>
        <v>297000</v>
      </c>
      <c r="F47" s="94">
        <f>SUM(F36:F46)</f>
        <v>18562.5</v>
      </c>
      <c r="G47" s="94">
        <f>SUM(G36:G46)</f>
        <v>18.225331369661266</v>
      </c>
    </row>
    <row r="48" spans="2:7" x14ac:dyDescent="0.2">
      <c r="B48" s="64" t="s">
        <v>214</v>
      </c>
      <c r="C48" s="69">
        <v>0.3</v>
      </c>
      <c r="D48" s="52"/>
      <c r="E48" s="61">
        <f>C48*E47</f>
        <v>89100</v>
      </c>
      <c r="F48" s="94">
        <f>E48/Units</f>
        <v>5568.75</v>
      </c>
      <c r="G48" s="94">
        <f>E48/Units_SF_M2</f>
        <v>5.4675994108983801</v>
      </c>
    </row>
    <row r="49" spans="2:7" ht="16.5" x14ac:dyDescent="0.35">
      <c r="B49" s="64" t="s">
        <v>215</v>
      </c>
      <c r="C49" s="69">
        <v>0.3</v>
      </c>
      <c r="D49" s="52">
        <v>100</v>
      </c>
      <c r="E49" s="74">
        <f>D49*C49*Units</f>
        <v>480</v>
      </c>
      <c r="F49" s="110">
        <f>E49/Units</f>
        <v>30</v>
      </c>
      <c r="G49" s="110">
        <f>E49/Units_SF_M2</f>
        <v>2.9455081001472753E-2</v>
      </c>
    </row>
    <row r="50" spans="2:7" x14ac:dyDescent="0.2">
      <c r="B50" s="93" t="str">
        <f>"Total "&amp;PROPER(B35)&amp;" Cost"</f>
        <v>Total Payroll Cost</v>
      </c>
      <c r="C50" s="48"/>
      <c r="D50" s="58"/>
      <c r="E50" s="61">
        <f>SUM(E47:E49)</f>
        <v>386580</v>
      </c>
      <c r="F50" s="94">
        <f>SUM(F47:F49)</f>
        <v>24161.25</v>
      </c>
      <c r="G50" s="94">
        <f>SUM(G47:G49)</f>
        <v>23.722385861561119</v>
      </c>
    </row>
    <row r="51" spans="2:7" x14ac:dyDescent="0.2">
      <c r="B51" s="45"/>
      <c r="C51" s="48"/>
      <c r="D51" s="58"/>
      <c r="E51" s="59"/>
      <c r="F51" s="51"/>
      <c r="G51" s="52"/>
    </row>
    <row r="52" spans="2:7" x14ac:dyDescent="0.2">
      <c r="B52" s="42" t="str">
        <f>UPPER(Underwriting!B123)</f>
        <v>GENERAL &amp; ADMINISTRATIVE</v>
      </c>
      <c r="C52" s="44"/>
      <c r="D52" s="44"/>
      <c r="E52" s="44" t="s">
        <v>218</v>
      </c>
      <c r="F52" s="44" t="s">
        <v>219</v>
      </c>
      <c r="G52" s="47" t="str">
        <f>G35</f>
        <v>Per SF</v>
      </c>
    </row>
    <row r="53" spans="2:7" x14ac:dyDescent="0.2">
      <c r="B53" s="45" t="s">
        <v>235</v>
      </c>
      <c r="C53" s="52"/>
      <c r="D53" s="52"/>
      <c r="E53" s="52">
        <v>10000</v>
      </c>
      <c r="F53" s="94">
        <f t="shared" ref="F53:F63" si="3">E53/Units</f>
        <v>625</v>
      </c>
      <c r="G53" s="94">
        <f t="shared" ref="G53:G63" si="4">E53/Units_SF_M2</f>
        <v>0.61364752086401575</v>
      </c>
    </row>
    <row r="54" spans="2:7" x14ac:dyDescent="0.2">
      <c r="B54" s="45" t="s">
        <v>236</v>
      </c>
      <c r="C54" s="52"/>
      <c r="D54" s="52"/>
      <c r="E54" s="52">
        <v>25000</v>
      </c>
      <c r="F54" s="94">
        <f t="shared" si="3"/>
        <v>1562.5</v>
      </c>
      <c r="G54" s="94">
        <f t="shared" si="4"/>
        <v>1.5341188021600394</v>
      </c>
    </row>
    <row r="55" spans="2:7" x14ac:dyDescent="0.2">
      <c r="B55" s="45" t="s">
        <v>237</v>
      </c>
      <c r="C55" s="52"/>
      <c r="D55" s="52"/>
      <c r="E55" s="52">
        <v>25000</v>
      </c>
      <c r="F55" s="94">
        <f t="shared" si="3"/>
        <v>1562.5</v>
      </c>
      <c r="G55" s="94">
        <f t="shared" si="4"/>
        <v>1.5341188021600394</v>
      </c>
    </row>
    <row r="56" spans="2:7" x14ac:dyDescent="0.2">
      <c r="B56" s="45" t="s">
        <v>238</v>
      </c>
      <c r="C56" s="52"/>
      <c r="D56" s="52"/>
      <c r="E56" s="52">
        <v>25000</v>
      </c>
      <c r="F56" s="94">
        <f t="shared" si="3"/>
        <v>1562.5</v>
      </c>
      <c r="G56" s="94">
        <f t="shared" si="4"/>
        <v>1.5341188021600394</v>
      </c>
    </row>
    <row r="57" spans="2:7" x14ac:dyDescent="0.2">
      <c r="B57" s="45" t="s">
        <v>239</v>
      </c>
      <c r="C57" s="52"/>
      <c r="D57" s="52"/>
      <c r="E57" s="52">
        <v>25000</v>
      </c>
      <c r="F57" s="94">
        <f t="shared" si="3"/>
        <v>1562.5</v>
      </c>
      <c r="G57" s="94">
        <f t="shared" si="4"/>
        <v>1.5341188021600394</v>
      </c>
    </row>
    <row r="58" spans="2:7" x14ac:dyDescent="0.2">
      <c r="B58" s="45" t="s">
        <v>240</v>
      </c>
      <c r="C58" s="52"/>
      <c r="D58" s="52"/>
      <c r="E58" s="52">
        <v>25000</v>
      </c>
      <c r="F58" s="94">
        <f t="shared" si="3"/>
        <v>1562.5</v>
      </c>
      <c r="G58" s="94">
        <f t="shared" si="4"/>
        <v>1.5341188021600394</v>
      </c>
    </row>
    <row r="59" spans="2:7" x14ac:dyDescent="0.2">
      <c r="B59" s="45" t="s">
        <v>241</v>
      </c>
      <c r="C59" s="52"/>
      <c r="D59" s="52"/>
      <c r="E59" s="52">
        <v>25000</v>
      </c>
      <c r="F59" s="94">
        <f t="shared" si="3"/>
        <v>1562.5</v>
      </c>
      <c r="G59" s="94">
        <f t="shared" si="4"/>
        <v>1.5341188021600394</v>
      </c>
    </row>
    <row r="60" spans="2:7" x14ac:dyDescent="0.2">
      <c r="B60" s="45" t="s">
        <v>242</v>
      </c>
      <c r="C60" s="52"/>
      <c r="D60" s="52"/>
      <c r="E60" s="52">
        <v>25000</v>
      </c>
      <c r="F60" s="94">
        <f t="shared" si="3"/>
        <v>1562.5</v>
      </c>
      <c r="G60" s="94">
        <f t="shared" si="4"/>
        <v>1.5341188021600394</v>
      </c>
    </row>
    <row r="61" spans="2:7" x14ac:dyDescent="0.2">
      <c r="B61" s="45" t="s">
        <v>243</v>
      </c>
      <c r="C61" s="52"/>
      <c r="D61" s="52"/>
      <c r="E61" s="52">
        <v>25000</v>
      </c>
      <c r="F61" s="94">
        <f t="shared" si="3"/>
        <v>1562.5</v>
      </c>
      <c r="G61" s="94">
        <f t="shared" si="4"/>
        <v>1.5341188021600394</v>
      </c>
    </row>
    <row r="62" spans="2:7" x14ac:dyDescent="0.2">
      <c r="B62" s="45" t="s">
        <v>244</v>
      </c>
      <c r="C62" s="52"/>
      <c r="D62" s="52"/>
      <c r="E62" s="52">
        <v>25000</v>
      </c>
      <c r="F62" s="94">
        <f t="shared" si="3"/>
        <v>1562.5</v>
      </c>
      <c r="G62" s="94">
        <f t="shared" si="4"/>
        <v>1.5341188021600394</v>
      </c>
    </row>
    <row r="63" spans="2:7" ht="16.5" x14ac:dyDescent="0.35">
      <c r="B63" s="45" t="s">
        <v>212</v>
      </c>
      <c r="C63" s="52"/>
      <c r="D63" s="52"/>
      <c r="E63" s="71">
        <v>5000</v>
      </c>
      <c r="F63" s="110">
        <f t="shared" si="3"/>
        <v>312.5</v>
      </c>
      <c r="G63" s="110">
        <f t="shared" si="4"/>
        <v>0.30682376043200787</v>
      </c>
    </row>
    <row r="64" spans="2:7" x14ac:dyDescent="0.2">
      <c r="B64" s="93" t="str">
        <f>"Total "&amp;PROPER(B52)&amp;" Cost"</f>
        <v>Total General &amp; Administrative Cost</v>
      </c>
      <c r="C64" s="51"/>
      <c r="D64" s="52"/>
      <c r="E64" s="61">
        <f>SUM(E53:E63)</f>
        <v>240000</v>
      </c>
      <c r="F64" s="94">
        <f>SUM(F53:F63)</f>
        <v>15000</v>
      </c>
      <c r="G64" s="94">
        <f>SUM(G53:G63)</f>
        <v>14.727540500736378</v>
      </c>
    </row>
    <row r="65" spans="2:7" x14ac:dyDescent="0.2">
      <c r="B65" s="45"/>
      <c r="C65" s="48"/>
      <c r="D65" s="58"/>
      <c r="E65" s="59"/>
      <c r="F65" s="51"/>
      <c r="G65" s="52"/>
    </row>
    <row r="66" spans="2:7" x14ac:dyDescent="0.2">
      <c r="B66" s="42" t="str">
        <f>UPPER(Underwriting!B124)</f>
        <v>MARKETING</v>
      </c>
      <c r="C66" s="44"/>
      <c r="D66" s="44"/>
      <c r="E66" s="44" t="s">
        <v>218</v>
      </c>
      <c r="F66" s="44" t="s">
        <v>219</v>
      </c>
      <c r="G66" s="47" t="str">
        <f>G52</f>
        <v>Per SF</v>
      </c>
    </row>
    <row r="67" spans="2:7" x14ac:dyDescent="0.2">
      <c r="B67" s="45" t="s">
        <v>246</v>
      </c>
      <c r="C67" s="52"/>
      <c r="D67" s="52"/>
      <c r="E67" s="52">
        <v>25000</v>
      </c>
      <c r="F67" s="94">
        <f t="shared" ref="F67:F72" si="5">E67/Units</f>
        <v>1562.5</v>
      </c>
      <c r="G67" s="94">
        <f t="shared" ref="G67:G72" si="6">E67/Units_SF_M2</f>
        <v>1.5341188021600394</v>
      </c>
    </row>
    <row r="68" spans="2:7" x14ac:dyDescent="0.2">
      <c r="B68" s="45" t="s">
        <v>247</v>
      </c>
      <c r="C68" s="52"/>
      <c r="D68" s="52"/>
      <c r="E68" s="52">
        <v>25000</v>
      </c>
      <c r="F68" s="94">
        <f t="shared" si="5"/>
        <v>1562.5</v>
      </c>
      <c r="G68" s="94">
        <f t="shared" si="6"/>
        <v>1.5341188021600394</v>
      </c>
    </row>
    <row r="69" spans="2:7" x14ac:dyDescent="0.2">
      <c r="B69" s="45" t="s">
        <v>248</v>
      </c>
      <c r="C69" s="52"/>
      <c r="D69" s="52"/>
      <c r="E69" s="52">
        <v>25000</v>
      </c>
      <c r="F69" s="94">
        <f t="shared" si="5"/>
        <v>1562.5</v>
      </c>
      <c r="G69" s="94">
        <f t="shared" si="6"/>
        <v>1.5341188021600394</v>
      </c>
    </row>
    <row r="70" spans="2:7" x14ac:dyDescent="0.2">
      <c r="B70" s="45" t="s">
        <v>249</v>
      </c>
      <c r="C70" s="52"/>
      <c r="D70" s="52"/>
      <c r="E70" s="52">
        <v>25000</v>
      </c>
      <c r="F70" s="94">
        <f t="shared" si="5"/>
        <v>1562.5</v>
      </c>
      <c r="G70" s="94">
        <f t="shared" si="6"/>
        <v>1.5341188021600394</v>
      </c>
    </row>
    <row r="71" spans="2:7" x14ac:dyDescent="0.2">
      <c r="B71" s="45" t="s">
        <v>250</v>
      </c>
      <c r="C71" s="52"/>
      <c r="D71" s="52"/>
      <c r="E71" s="52">
        <v>25000</v>
      </c>
      <c r="F71" s="94">
        <f t="shared" si="5"/>
        <v>1562.5</v>
      </c>
      <c r="G71" s="94">
        <f t="shared" si="6"/>
        <v>1.5341188021600394</v>
      </c>
    </row>
    <row r="72" spans="2:7" ht="16.5" x14ac:dyDescent="0.35">
      <c r="B72" s="45" t="s">
        <v>212</v>
      </c>
      <c r="C72" s="52"/>
      <c r="D72" s="52"/>
      <c r="E72" s="71">
        <v>5000</v>
      </c>
      <c r="F72" s="110">
        <f t="shared" si="5"/>
        <v>312.5</v>
      </c>
      <c r="G72" s="110">
        <f t="shared" si="6"/>
        <v>0.30682376043200787</v>
      </c>
    </row>
    <row r="73" spans="2:7" x14ac:dyDescent="0.2">
      <c r="B73" s="93" t="str">
        <f>"Total "&amp;PROPER(B66)&amp;" Cost"</f>
        <v>Total Marketing Cost</v>
      </c>
      <c r="C73" s="51"/>
      <c r="D73" s="52"/>
      <c r="E73" s="61">
        <f>SUM(E67:E72)</f>
        <v>130000</v>
      </c>
      <c r="F73" s="94">
        <f>SUM(F67:F72)</f>
        <v>8125</v>
      </c>
      <c r="G73" s="94">
        <f>SUM(G67:G72)</f>
        <v>7.9774177712322043</v>
      </c>
    </row>
    <row r="74" spans="2:7" x14ac:dyDescent="0.2">
      <c r="B74" s="45"/>
      <c r="C74" s="48"/>
      <c r="D74" s="58"/>
      <c r="E74" s="59"/>
      <c r="F74" s="51"/>
      <c r="G74" s="52"/>
    </row>
    <row r="75" spans="2:7" x14ac:dyDescent="0.2">
      <c r="B75" s="42" t="str">
        <f>UPPER(Underwriting!B125)</f>
        <v>UTILITIES</v>
      </c>
      <c r="C75" s="44"/>
      <c r="D75" s="44"/>
      <c r="E75" s="44" t="s">
        <v>218</v>
      </c>
      <c r="F75" s="44" t="s">
        <v>219</v>
      </c>
      <c r="G75" s="47" t="str">
        <f>G66</f>
        <v>Per SF</v>
      </c>
    </row>
    <row r="76" spans="2:7" x14ac:dyDescent="0.2">
      <c r="B76" s="45" t="s">
        <v>251</v>
      </c>
      <c r="C76" s="52"/>
      <c r="D76" s="52"/>
      <c r="E76" s="52">
        <v>25000</v>
      </c>
      <c r="F76" s="94">
        <f t="shared" ref="F76:F87" si="7">E76/Units</f>
        <v>1562.5</v>
      </c>
      <c r="G76" s="94">
        <f t="shared" ref="G76:G87" si="8">E76/Units_SF_M2</f>
        <v>1.5341188021600394</v>
      </c>
    </row>
    <row r="77" spans="2:7" x14ac:dyDescent="0.2">
      <c r="B77" s="45" t="s">
        <v>252</v>
      </c>
      <c r="C77" s="52"/>
      <c r="D77" s="52"/>
      <c r="E77" s="52">
        <v>25000</v>
      </c>
      <c r="F77" s="94">
        <f t="shared" si="7"/>
        <v>1562.5</v>
      </c>
      <c r="G77" s="94">
        <f t="shared" si="8"/>
        <v>1.5341188021600394</v>
      </c>
    </row>
    <row r="78" spans="2:7" x14ac:dyDescent="0.2">
      <c r="B78" s="45" t="s">
        <v>253</v>
      </c>
      <c r="C78" s="52"/>
      <c r="D78" s="52"/>
      <c r="E78" s="52">
        <v>25000</v>
      </c>
      <c r="F78" s="94">
        <f t="shared" si="7"/>
        <v>1562.5</v>
      </c>
      <c r="G78" s="94">
        <f t="shared" si="8"/>
        <v>1.5341188021600394</v>
      </c>
    </row>
    <row r="79" spans="2:7" x14ac:dyDescent="0.2">
      <c r="B79" s="45" t="s">
        <v>254</v>
      </c>
      <c r="C79" s="52"/>
      <c r="D79" s="52"/>
      <c r="E79" s="52">
        <v>25000</v>
      </c>
      <c r="F79" s="94">
        <f t="shared" si="7"/>
        <v>1562.5</v>
      </c>
      <c r="G79" s="94">
        <f t="shared" si="8"/>
        <v>1.5341188021600394</v>
      </c>
    </row>
    <row r="80" spans="2:7" x14ac:dyDescent="0.2">
      <c r="B80" s="45" t="s">
        <v>255</v>
      </c>
      <c r="C80" s="52"/>
      <c r="D80" s="52"/>
      <c r="E80" s="52">
        <v>25000</v>
      </c>
      <c r="F80" s="94">
        <f t="shared" si="7"/>
        <v>1562.5</v>
      </c>
      <c r="G80" s="94">
        <f t="shared" si="8"/>
        <v>1.5341188021600394</v>
      </c>
    </row>
    <row r="81" spans="2:7" x14ac:dyDescent="0.2">
      <c r="B81" s="45" t="s">
        <v>256</v>
      </c>
      <c r="C81" s="52"/>
      <c r="D81" s="52"/>
      <c r="E81" s="52">
        <v>25000</v>
      </c>
      <c r="F81" s="94">
        <f t="shared" si="7"/>
        <v>1562.5</v>
      </c>
      <c r="G81" s="94">
        <f t="shared" si="8"/>
        <v>1.5341188021600394</v>
      </c>
    </row>
    <row r="82" spans="2:7" x14ac:dyDescent="0.2">
      <c r="B82" s="45" t="s">
        <v>257</v>
      </c>
      <c r="C82" s="52"/>
      <c r="D82" s="52"/>
      <c r="E82" s="52">
        <v>25000</v>
      </c>
      <c r="F82" s="94">
        <f t="shared" si="7"/>
        <v>1562.5</v>
      </c>
      <c r="G82" s="94">
        <f t="shared" si="8"/>
        <v>1.5341188021600394</v>
      </c>
    </row>
    <row r="83" spans="2:7" x14ac:dyDescent="0.2">
      <c r="B83" s="45" t="s">
        <v>258</v>
      </c>
      <c r="C83" s="52"/>
      <c r="D83" s="52"/>
      <c r="E83" s="52">
        <v>25000</v>
      </c>
      <c r="F83" s="94">
        <f t="shared" si="7"/>
        <v>1562.5</v>
      </c>
      <c r="G83" s="94">
        <f t="shared" si="8"/>
        <v>1.5341188021600394</v>
      </c>
    </row>
    <row r="84" spans="2:7" x14ac:dyDescent="0.2">
      <c r="B84" s="45" t="s">
        <v>259</v>
      </c>
      <c r="C84" s="52"/>
      <c r="D84" s="52"/>
      <c r="E84" s="52">
        <v>25000</v>
      </c>
      <c r="F84" s="94">
        <f t="shared" si="7"/>
        <v>1562.5</v>
      </c>
      <c r="G84" s="94">
        <f t="shared" si="8"/>
        <v>1.5341188021600394</v>
      </c>
    </row>
    <row r="85" spans="2:7" x14ac:dyDescent="0.2">
      <c r="B85" s="45" t="s">
        <v>260</v>
      </c>
      <c r="C85" s="52"/>
      <c r="D85" s="52"/>
      <c r="E85" s="52">
        <v>25000</v>
      </c>
      <c r="F85" s="94">
        <f t="shared" si="7"/>
        <v>1562.5</v>
      </c>
      <c r="G85" s="94">
        <f t="shared" si="8"/>
        <v>1.5341188021600394</v>
      </c>
    </row>
    <row r="86" spans="2:7" x14ac:dyDescent="0.2">
      <c r="B86" s="45" t="s">
        <v>261</v>
      </c>
      <c r="C86" s="52"/>
      <c r="D86" s="52"/>
      <c r="E86" s="52">
        <v>25000</v>
      </c>
      <c r="F86" s="94">
        <f t="shared" si="7"/>
        <v>1562.5</v>
      </c>
      <c r="G86" s="94">
        <f t="shared" si="8"/>
        <v>1.5341188021600394</v>
      </c>
    </row>
    <row r="87" spans="2:7" ht="16.5" x14ac:dyDescent="0.35">
      <c r="B87" s="45" t="s">
        <v>212</v>
      </c>
      <c r="C87" s="52"/>
      <c r="D87" s="52"/>
      <c r="E87" s="71">
        <v>5000</v>
      </c>
      <c r="F87" s="110">
        <f t="shared" si="7"/>
        <v>312.5</v>
      </c>
      <c r="G87" s="110">
        <f t="shared" si="8"/>
        <v>0.30682376043200787</v>
      </c>
    </row>
    <row r="88" spans="2:7" x14ac:dyDescent="0.2">
      <c r="B88" s="93" t="str">
        <f>"Total "&amp;PROPER(B75)&amp;" Cost"</f>
        <v>Total Utilities Cost</v>
      </c>
      <c r="C88" s="51"/>
      <c r="D88" s="52"/>
      <c r="E88" s="61">
        <f>SUM(E76:E87)</f>
        <v>280000</v>
      </c>
      <c r="F88" s="94">
        <f>SUM(F76:F87)</f>
        <v>17500</v>
      </c>
      <c r="G88" s="94">
        <f>SUM(G76:G87)</f>
        <v>17.182130584192439</v>
      </c>
    </row>
    <row r="89" spans="2:7" x14ac:dyDescent="0.2">
      <c r="B89" s="45"/>
      <c r="C89" s="48"/>
      <c r="D89" s="58"/>
      <c r="E89" s="59"/>
      <c r="F89" s="51"/>
      <c r="G89" s="52"/>
    </row>
    <row r="90" spans="2:7" x14ac:dyDescent="0.2">
      <c r="B90" s="42" t="str">
        <f>UPPER(Underwriting!B126)</f>
        <v>CONTRACT SERVICES</v>
      </c>
      <c r="C90" s="44"/>
      <c r="D90" s="44"/>
      <c r="E90" s="44" t="s">
        <v>218</v>
      </c>
      <c r="F90" s="44" t="s">
        <v>219</v>
      </c>
      <c r="G90" s="47" t="str">
        <f>G75</f>
        <v>Per SF</v>
      </c>
    </row>
    <row r="91" spans="2:7" x14ac:dyDescent="0.2">
      <c r="B91" s="45" t="s">
        <v>263</v>
      </c>
      <c r="C91" s="52"/>
      <c r="D91" s="52"/>
      <c r="E91" s="52">
        <v>25000</v>
      </c>
      <c r="F91" s="94">
        <f>E91/Units</f>
        <v>1562.5</v>
      </c>
      <c r="G91" s="94">
        <f>E91/Units_SF_M2</f>
        <v>1.5341188021600394</v>
      </c>
    </row>
    <row r="92" spans="2:7" x14ac:dyDescent="0.2">
      <c r="B92" s="45" t="s">
        <v>262</v>
      </c>
      <c r="C92" s="52"/>
      <c r="D92" s="52"/>
      <c r="E92" s="52">
        <v>25000</v>
      </c>
      <c r="F92" s="94">
        <f>E92/Units</f>
        <v>1562.5</v>
      </c>
      <c r="G92" s="94">
        <f>E92/Units_SF_M2</f>
        <v>1.5341188021600394</v>
      </c>
    </row>
    <row r="93" spans="2:7" x14ac:dyDescent="0.2">
      <c r="B93" s="45" t="s">
        <v>264</v>
      </c>
      <c r="C93" s="52"/>
      <c r="D93" s="52"/>
      <c r="E93" s="52">
        <v>25000</v>
      </c>
      <c r="F93" s="94">
        <f>E93/Units</f>
        <v>1562.5</v>
      </c>
      <c r="G93" s="94">
        <f>E93/Units_SF_M2</f>
        <v>1.5341188021600394</v>
      </c>
    </row>
    <row r="94" spans="2:7" x14ac:dyDescent="0.2">
      <c r="B94" s="45" t="s">
        <v>265</v>
      </c>
      <c r="C94" s="52"/>
      <c r="D94" s="52"/>
      <c r="E94" s="52">
        <v>25000</v>
      </c>
      <c r="F94" s="94">
        <f>E94/Units</f>
        <v>1562.5</v>
      </c>
      <c r="G94" s="94">
        <f>E94/Units_SF_M2</f>
        <v>1.5341188021600394</v>
      </c>
    </row>
    <row r="95" spans="2:7" ht="16.5" x14ac:dyDescent="0.35">
      <c r="B95" s="45" t="s">
        <v>212</v>
      </c>
      <c r="C95" s="52"/>
      <c r="D95" s="52"/>
      <c r="E95" s="71">
        <v>5000</v>
      </c>
      <c r="F95" s="110">
        <f>E95/Units</f>
        <v>312.5</v>
      </c>
      <c r="G95" s="110">
        <f>E95/Units_SF_M2</f>
        <v>0.30682376043200787</v>
      </c>
    </row>
    <row r="96" spans="2:7" x14ac:dyDescent="0.2">
      <c r="B96" s="93" t="str">
        <f>"Total "&amp;PROPER(B90)&amp;" Cost"</f>
        <v>Total Contract Services Cost</v>
      </c>
      <c r="C96" s="51"/>
      <c r="D96" s="52"/>
      <c r="E96" s="61">
        <f>SUM(E91:E95)</f>
        <v>105000</v>
      </c>
      <c r="F96" s="94">
        <f>SUM(F91:F95)</f>
        <v>6562.5</v>
      </c>
      <c r="G96" s="94">
        <f>SUM(G91:G95)</f>
        <v>6.4432989690721651</v>
      </c>
    </row>
    <row r="97" spans="2:7" x14ac:dyDescent="0.2">
      <c r="B97" s="45"/>
      <c r="C97" s="48"/>
      <c r="D97" s="58"/>
      <c r="E97" s="59"/>
      <c r="F97" s="51"/>
      <c r="G97" s="52"/>
    </row>
    <row r="98" spans="2:7" x14ac:dyDescent="0.2">
      <c r="B98" s="42" t="str">
        <f>UPPER(Underwriting!B127)</f>
        <v>MAKE READY COST</v>
      </c>
      <c r="C98" s="44"/>
      <c r="D98" s="44"/>
      <c r="E98" s="44" t="s">
        <v>218</v>
      </c>
      <c r="F98" s="44" t="s">
        <v>219</v>
      </c>
      <c r="G98" s="47" t="str">
        <f>G90</f>
        <v>Per SF</v>
      </c>
    </row>
    <row r="99" spans="2:7" x14ac:dyDescent="0.2">
      <c r="B99" s="64" t="str">
        <f>Underwriting!B127&amp;" per Unit"</f>
        <v>Make Ready Cost per Unit</v>
      </c>
      <c r="C99" s="52"/>
      <c r="D99" s="52"/>
      <c r="E99" s="52"/>
      <c r="F99" s="96">
        <v>400</v>
      </c>
      <c r="G99" s="94"/>
    </row>
    <row r="100" spans="2:7" x14ac:dyDescent="0.2">
      <c r="B100" s="64" t="s">
        <v>266</v>
      </c>
      <c r="C100" s="52"/>
      <c r="D100" s="52"/>
      <c r="E100" s="52"/>
      <c r="F100" s="69">
        <v>0.5</v>
      </c>
      <c r="G100" s="94"/>
    </row>
    <row r="101" spans="2:7" x14ac:dyDescent="0.2">
      <c r="B101" s="93" t="str">
        <f>"Total "&amp;PROPER(B98)&amp;" Cost"</f>
        <v>Total Make Ready Cost Cost</v>
      </c>
      <c r="C101" s="51"/>
      <c r="D101" s="52"/>
      <c r="E101" s="61">
        <f>F101*Units</f>
        <v>3200</v>
      </c>
      <c r="F101" s="94">
        <f>F99*F100</f>
        <v>200</v>
      </c>
      <c r="G101" s="94">
        <f>F101/Underwriting!D99</f>
        <v>0.19636720667648502</v>
      </c>
    </row>
    <row r="102" spans="2:7" ht="5.0999999999999996" customHeight="1" x14ac:dyDescent="0.2">
      <c r="B102" s="45"/>
      <c r="C102" s="48"/>
      <c r="D102" s="58"/>
      <c r="E102" s="59"/>
      <c r="F102" s="51"/>
      <c r="G102" s="52"/>
    </row>
    <row r="103" spans="2:7" s="35" customFormat="1" ht="12.75" x14ac:dyDescent="0.2">
      <c r="B103" s="117" t="s">
        <v>270</v>
      </c>
      <c r="C103" s="134"/>
      <c r="D103" s="135"/>
      <c r="E103" s="136">
        <f>+OpEx_7_Det+OpEx_6_Det+OpEx_5_Det+OpEx_4_Det+OpEx_3_Det+OpEx_2_Det+OpEx_1_Det</f>
        <v>1459780</v>
      </c>
      <c r="F103" s="137">
        <f>E103/Units</f>
        <v>91236.25</v>
      </c>
      <c r="G103" s="137">
        <f>E103/Units_SF_M2</f>
        <v>89.579037800687288</v>
      </c>
    </row>
    <row r="104" spans="2:7" ht="5.0999999999999996" customHeight="1" x14ac:dyDescent="0.2">
      <c r="B104" s="45"/>
      <c r="C104" s="48"/>
      <c r="D104" s="58"/>
      <c r="E104" s="59"/>
      <c r="F104" s="51"/>
      <c r="G104" s="52"/>
    </row>
    <row r="105" spans="2:7" x14ac:dyDescent="0.2">
      <c r="B105" s="10" t="s">
        <v>267</v>
      </c>
      <c r="C105" s="9"/>
      <c r="D105" s="9"/>
      <c r="E105" s="9"/>
      <c r="F105" s="9"/>
      <c r="G105" s="9"/>
    </row>
    <row r="106" spans="2:7" x14ac:dyDescent="0.2">
      <c r="B106" s="42" t="str">
        <f>UPPER(Underwriting!B128)</f>
        <v>MANAGEMENT FEE</v>
      </c>
      <c r="C106" s="44"/>
      <c r="D106" s="44"/>
      <c r="E106" s="44" t="s">
        <v>218</v>
      </c>
      <c r="F106" s="44" t="s">
        <v>219</v>
      </c>
      <c r="G106" s="47" t="str">
        <f>G98</f>
        <v>Per SF</v>
      </c>
    </row>
    <row r="107" spans="2:7" x14ac:dyDescent="0.2">
      <c r="B107" s="64" t="s">
        <v>268</v>
      </c>
      <c r="C107" s="52"/>
      <c r="D107" s="61" t="s">
        <v>269</v>
      </c>
      <c r="E107" s="52"/>
      <c r="F107" s="138">
        <f>Underwriting!G128</f>
        <v>0.05</v>
      </c>
      <c r="G107" s="94"/>
    </row>
    <row r="108" spans="2:7" x14ac:dyDescent="0.2">
      <c r="B108" s="93" t="str">
        <f>"Total "&amp;PROPER(B106)&amp;" Cost"</f>
        <v>Total Management Fee Cost</v>
      </c>
      <c r="C108" s="51"/>
      <c r="D108" s="52"/>
      <c r="E108" s="61">
        <f>OpEx_MgtFee</f>
        <v>17328</v>
      </c>
      <c r="F108" s="94">
        <f>E108/Units</f>
        <v>1083</v>
      </c>
      <c r="G108" s="94">
        <f>E108/Units_SF_M2</f>
        <v>1.0633284241531664</v>
      </c>
    </row>
    <row r="109" spans="2:7" x14ac:dyDescent="0.2">
      <c r="B109" s="45"/>
      <c r="C109" s="48"/>
      <c r="D109" s="58"/>
      <c r="E109" s="59"/>
      <c r="F109" s="51"/>
      <c r="G109" s="52"/>
    </row>
    <row r="110" spans="2:7" x14ac:dyDescent="0.2">
      <c r="B110" s="42" t="str">
        <f>UPPER(Underwriting!B129)</f>
        <v>INSURANCE</v>
      </c>
      <c r="C110" s="44"/>
      <c r="D110" s="44"/>
      <c r="E110" s="44" t="s">
        <v>218</v>
      </c>
      <c r="F110" s="44" t="s">
        <v>219</v>
      </c>
      <c r="G110" s="47" t="str">
        <f>G106</f>
        <v>Per SF</v>
      </c>
    </row>
    <row r="111" spans="2:7" x14ac:dyDescent="0.2">
      <c r="B111" s="45" t="s">
        <v>271</v>
      </c>
      <c r="C111" s="52"/>
      <c r="D111" s="52"/>
      <c r="E111" s="52">
        <v>25000</v>
      </c>
      <c r="F111" s="94">
        <f>E111/Units</f>
        <v>1562.5</v>
      </c>
      <c r="G111" s="94">
        <f>E111/Units_SF_M2</f>
        <v>1.5341188021600394</v>
      </c>
    </row>
    <row r="112" spans="2:7" x14ac:dyDescent="0.2">
      <c r="B112" s="45" t="s">
        <v>272</v>
      </c>
      <c r="C112" s="52"/>
      <c r="D112" s="52"/>
      <c r="E112" s="52">
        <v>25000</v>
      </c>
      <c r="F112" s="94">
        <f>E112/Units</f>
        <v>1562.5</v>
      </c>
      <c r="G112" s="94">
        <f>E112/Units_SF_M2</f>
        <v>1.5341188021600394</v>
      </c>
    </row>
    <row r="113" spans="2:7" x14ac:dyDescent="0.2">
      <c r="B113" s="45" t="s">
        <v>273</v>
      </c>
      <c r="C113" s="52"/>
      <c r="D113" s="52"/>
      <c r="E113" s="52">
        <v>25000</v>
      </c>
      <c r="F113" s="94">
        <f>E113/Units</f>
        <v>1562.5</v>
      </c>
      <c r="G113" s="94">
        <f>E113/Units_SF_M2</f>
        <v>1.5341188021600394</v>
      </c>
    </row>
    <row r="114" spans="2:7" x14ac:dyDescent="0.2">
      <c r="B114" s="45" t="s">
        <v>212</v>
      </c>
      <c r="C114" s="52"/>
      <c r="D114" s="52"/>
      <c r="E114" s="52">
        <v>25000</v>
      </c>
      <c r="F114" s="94">
        <f>E114/Units</f>
        <v>1562.5</v>
      </c>
      <c r="G114" s="94">
        <f>E114/Units_SF_M2</f>
        <v>1.5341188021600394</v>
      </c>
    </row>
    <row r="115" spans="2:7" ht="16.5" x14ac:dyDescent="0.35">
      <c r="B115" s="45" t="s">
        <v>212</v>
      </c>
      <c r="C115" s="52"/>
      <c r="D115" s="52"/>
      <c r="E115" s="71">
        <v>5000</v>
      </c>
      <c r="F115" s="110">
        <f>E115/Units</f>
        <v>312.5</v>
      </c>
      <c r="G115" s="110">
        <f>E115/Units_SF_M2</f>
        <v>0.30682376043200787</v>
      </c>
    </row>
    <row r="116" spans="2:7" x14ac:dyDescent="0.2">
      <c r="B116" s="93" t="str">
        <f>"Total "&amp;PROPER(B110)&amp;" Cost"</f>
        <v>Total Insurance Cost</v>
      </c>
      <c r="C116" s="51"/>
      <c r="D116" s="52"/>
      <c r="E116" s="61">
        <f>SUM(E111:E115)</f>
        <v>105000</v>
      </c>
      <c r="F116" s="94">
        <f>SUM(F111:F115)</f>
        <v>6562.5</v>
      </c>
      <c r="G116" s="94">
        <f>SUM(G111:G115)</f>
        <v>6.4432989690721651</v>
      </c>
    </row>
    <row r="117" spans="2:7" x14ac:dyDescent="0.2">
      <c r="B117" s="45"/>
      <c r="C117" s="48"/>
      <c r="D117" s="58"/>
      <c r="E117" s="59"/>
      <c r="F117" s="51"/>
      <c r="G117" s="52"/>
    </row>
    <row r="118" spans="2:7" x14ac:dyDescent="0.2">
      <c r="B118" s="42" t="str">
        <f>UPPER(Underwriting!B130)</f>
        <v>PROPERTY TAXES</v>
      </c>
      <c r="C118" s="44"/>
      <c r="D118" s="44"/>
      <c r="E118" s="44" t="s">
        <v>275</v>
      </c>
      <c r="F118" s="44" t="s">
        <v>276</v>
      </c>
      <c r="G118" s="47" t="s">
        <v>277</v>
      </c>
    </row>
    <row r="119" spans="2:7" x14ac:dyDescent="0.2">
      <c r="B119" s="45" t="s">
        <v>5</v>
      </c>
      <c r="C119" s="44"/>
      <c r="D119" s="44"/>
      <c r="E119" s="128">
        <v>0.46190999999999999</v>
      </c>
      <c r="F119" s="52">
        <v>50000000</v>
      </c>
      <c r="G119" s="127">
        <v>0.75</v>
      </c>
    </row>
    <row r="120" spans="2:7" x14ac:dyDescent="0.2">
      <c r="B120" s="45" t="s">
        <v>274</v>
      </c>
      <c r="C120" s="44"/>
      <c r="D120" s="44"/>
      <c r="E120" s="128">
        <v>1.46</v>
      </c>
      <c r="F120" s="52">
        <v>50000000</v>
      </c>
      <c r="G120" s="127">
        <f>$G$119</f>
        <v>0.75</v>
      </c>
    </row>
    <row r="121" spans="2:7" x14ac:dyDescent="0.2">
      <c r="B121" s="45" t="s">
        <v>6</v>
      </c>
      <c r="C121" s="44"/>
      <c r="D121" s="44"/>
      <c r="E121" s="128">
        <v>0.23749999999999999</v>
      </c>
      <c r="F121" s="52">
        <v>50000000</v>
      </c>
      <c r="G121" s="127">
        <f>$G$119</f>
        <v>0.75</v>
      </c>
    </row>
    <row r="122" spans="2:7" x14ac:dyDescent="0.2">
      <c r="B122" s="45" t="s">
        <v>7</v>
      </c>
      <c r="C122" s="44"/>
      <c r="D122" s="44"/>
      <c r="E122" s="128">
        <v>8.6343000000000003E-2</v>
      </c>
      <c r="F122" s="52">
        <v>50000000</v>
      </c>
      <c r="G122" s="127">
        <f>$G$119</f>
        <v>0.75</v>
      </c>
    </row>
    <row r="123" spans="2:7" x14ac:dyDescent="0.2">
      <c r="B123" s="45" t="s">
        <v>720</v>
      </c>
      <c r="C123" s="44"/>
      <c r="D123" s="44"/>
      <c r="E123" s="128">
        <v>0.33100000000000002</v>
      </c>
      <c r="F123" s="52">
        <f>Underwriting!I114</f>
        <v>346560</v>
      </c>
      <c r="G123" s="127">
        <v>1</v>
      </c>
    </row>
    <row r="124" spans="2:7" ht="5.0999999999999996" customHeight="1" x14ac:dyDescent="0.2">
      <c r="B124" s="62"/>
      <c r="C124" s="44"/>
      <c r="D124" s="44"/>
      <c r="E124" s="128"/>
      <c r="F124" s="52"/>
      <c r="G124" s="127"/>
    </row>
    <row r="125" spans="2:7" x14ac:dyDescent="0.2">
      <c r="B125" s="55" t="str">
        <f>PROPER(B118)</f>
        <v>Property Taxes</v>
      </c>
      <c r="C125" s="44"/>
      <c r="D125" s="44"/>
      <c r="E125" s="44" t="s">
        <v>218</v>
      </c>
      <c r="F125" s="44" t="s">
        <v>219</v>
      </c>
      <c r="G125" s="47" t="str">
        <f>G110</f>
        <v>Per SF</v>
      </c>
    </row>
    <row r="126" spans="2:7" x14ac:dyDescent="0.2">
      <c r="B126" s="64" t="str">
        <f>B119</f>
        <v>City</v>
      </c>
      <c r="C126" s="52"/>
      <c r="D126" s="52"/>
      <c r="E126" s="61">
        <f>(E119/100)*(F119*G119)</f>
        <v>173216.25</v>
      </c>
      <c r="F126" s="94">
        <f>E126/Units</f>
        <v>10826.015625</v>
      </c>
      <c r="G126" s="94">
        <f>E126/Units_SF_M2</f>
        <v>10.629372238586155</v>
      </c>
    </row>
    <row r="127" spans="2:7" x14ac:dyDescent="0.2">
      <c r="B127" s="64" t="str">
        <f>B120</f>
        <v>School District</v>
      </c>
      <c r="C127" s="52"/>
      <c r="D127" s="52"/>
      <c r="E127" s="61">
        <f>(E120/100)*(F120*G120)</f>
        <v>547500</v>
      </c>
      <c r="F127" s="94">
        <f>E127/Units</f>
        <v>34218.75</v>
      </c>
      <c r="G127" s="94">
        <f>E127/Units_SF_M2</f>
        <v>33.59720176730486</v>
      </c>
    </row>
    <row r="128" spans="2:7" x14ac:dyDescent="0.2">
      <c r="B128" s="64" t="str">
        <f>B121</f>
        <v>County</v>
      </c>
      <c r="C128" s="52"/>
      <c r="D128" s="52"/>
      <c r="E128" s="61">
        <f>(E121/100)*(F121*G121)</f>
        <v>89062.5</v>
      </c>
      <c r="F128" s="94">
        <f>E128/Units</f>
        <v>5566.40625</v>
      </c>
      <c r="G128" s="94">
        <f>E128/Units_SF_M2</f>
        <v>5.4652982326951403</v>
      </c>
    </row>
    <row r="129" spans="2:7" x14ac:dyDescent="0.2">
      <c r="B129" s="64" t="str">
        <f>B122</f>
        <v>State</v>
      </c>
      <c r="C129" s="52"/>
      <c r="D129" s="52"/>
      <c r="E129" s="61">
        <f>(E122/100)*(F122*G122)</f>
        <v>32378.625</v>
      </c>
      <c r="F129" s="94">
        <f>E129/Units</f>
        <v>2023.6640625</v>
      </c>
      <c r="G129" s="94">
        <f>E129/Units_SF_M2</f>
        <v>1.9869062960235642</v>
      </c>
    </row>
    <row r="130" spans="2:7" ht="16.5" x14ac:dyDescent="0.35">
      <c r="B130" s="64" t="str">
        <f>B123</f>
        <v>Franchise Tax</v>
      </c>
      <c r="C130" s="52"/>
      <c r="D130" s="52"/>
      <c r="E130" s="74">
        <f>(E123/100)*(F123*G123)</f>
        <v>1147.1135999999999</v>
      </c>
      <c r="F130" s="110">
        <f>E130/Units</f>
        <v>71.694599999999994</v>
      </c>
      <c r="G130" s="110">
        <f>E130/Units_SF_M2</f>
        <v>7.039234167893961E-2</v>
      </c>
    </row>
    <row r="131" spans="2:7" x14ac:dyDescent="0.2">
      <c r="B131" s="93" t="str">
        <f>"Total "&amp;PROPER(B118)&amp;" Cost"</f>
        <v>Total Property Taxes Cost</v>
      </c>
      <c r="C131" s="51"/>
      <c r="D131" s="52"/>
      <c r="E131" s="61">
        <f>SUM(E126:E130)</f>
        <v>843304.48860000004</v>
      </c>
      <c r="F131" s="94">
        <f>SUM(F126:F130)</f>
        <v>52706.530537500003</v>
      </c>
      <c r="G131" s="94">
        <f>SUM(G126:G130)</f>
        <v>51.749170876288659</v>
      </c>
    </row>
    <row r="132" spans="2:7" ht="5.0999999999999996" customHeight="1" x14ac:dyDescent="0.2">
      <c r="B132" s="93"/>
      <c r="C132" s="51"/>
      <c r="D132" s="52"/>
      <c r="E132" s="61"/>
      <c r="F132" s="94"/>
      <c r="G132" s="94"/>
    </row>
    <row r="133" spans="2:7" s="31" customFormat="1" x14ac:dyDescent="0.2">
      <c r="B133" s="117" t="s">
        <v>278</v>
      </c>
      <c r="C133" s="73"/>
      <c r="D133" s="118"/>
      <c r="E133" s="116">
        <f>+OpEx_Tax_Det+OpEx_Ins_Det+OpEx_MgtFee_Det</f>
        <v>965632.48860000004</v>
      </c>
      <c r="F133" s="95">
        <f>E133/Units</f>
        <v>60352.030537500003</v>
      </c>
      <c r="G133" s="95">
        <f>E133/Units_SF_M2</f>
        <v>59.255798269513996</v>
      </c>
    </row>
    <row r="134" spans="2:7" ht="5.0999999999999996" customHeight="1" x14ac:dyDescent="0.2">
      <c r="B134" s="93"/>
      <c r="C134" s="51"/>
      <c r="D134" s="52"/>
      <c r="E134" s="61"/>
      <c r="F134" s="94"/>
      <c r="G134" s="94"/>
    </row>
    <row r="135" spans="2:7" s="31" customFormat="1" x14ac:dyDescent="0.2">
      <c r="B135" s="117" t="s">
        <v>279</v>
      </c>
      <c r="C135" s="73"/>
      <c r="D135" s="118"/>
      <c r="E135" s="116">
        <f>+E133+E103</f>
        <v>2425412.4885999998</v>
      </c>
      <c r="F135" s="95">
        <f>E135/Units</f>
        <v>151588.28053749999</v>
      </c>
      <c r="G135" s="95">
        <f>E135/Units_SF_M2</f>
        <v>148.83483607020128</v>
      </c>
    </row>
    <row r="136" spans="2:7" ht="5.0999999999999996" customHeight="1" x14ac:dyDescent="0.2">
      <c r="B136" s="75"/>
      <c r="C136" s="76"/>
      <c r="D136" s="77"/>
      <c r="E136" s="78"/>
      <c r="F136" s="79"/>
      <c r="G136" s="79"/>
    </row>
  </sheetData>
  <conditionalFormatting sqref="D2:E2">
    <cfRule type="expression" dxfId="0" priority="28">
      <formula>$D$2="CLICK TO RECALCULATE"</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B2:AK21"/>
  <sheetViews>
    <sheetView workbookViewId="0">
      <selection activeCell="B17" sqref="B17"/>
    </sheetView>
  </sheetViews>
  <sheetFormatPr defaultRowHeight="14.25" x14ac:dyDescent="0.2"/>
  <cols>
    <col min="1" max="1" width="2.625" customWidth="1"/>
    <col min="5" max="5" width="5.25" customWidth="1"/>
    <col min="6" max="6" width="1.5" customWidth="1"/>
    <col min="7" max="7" width="8.75" bestFit="1" customWidth="1"/>
    <col min="8" max="8" width="8.625" bestFit="1" customWidth="1"/>
    <col min="9" max="9" width="8.75" bestFit="1" customWidth="1"/>
    <col min="10" max="10" width="5" bestFit="1" customWidth="1"/>
    <col min="11" max="11" width="6.625" bestFit="1" customWidth="1"/>
    <col min="12" max="12" width="2.875" bestFit="1" customWidth="1"/>
    <col min="13" max="13" width="8.625" bestFit="1" customWidth="1"/>
    <col min="15" max="15" width="9.125" bestFit="1" customWidth="1"/>
    <col min="16" max="16" width="8.75" bestFit="1" customWidth="1"/>
    <col min="17" max="17" width="9.375" bestFit="1" customWidth="1"/>
    <col min="18" max="18" width="8.375" bestFit="1" customWidth="1"/>
    <col min="19" max="19" width="8" bestFit="1" customWidth="1"/>
    <col min="20" max="20" width="9" bestFit="1" customWidth="1"/>
    <col min="21" max="21" width="8.875" bestFit="1" customWidth="1"/>
  </cols>
  <sheetData>
    <row r="2" spans="2:37" x14ac:dyDescent="0.2">
      <c r="B2" s="2" t="s">
        <v>42</v>
      </c>
      <c r="C2" s="1"/>
      <c r="D2" s="1"/>
      <c r="E2" s="1"/>
    </row>
    <row r="3" spans="2:37" x14ac:dyDescent="0.2">
      <c r="B3" s="11" t="str">
        <f>Underwriting!B22</f>
        <v>INVESTMENT PERIOD CASH FLOWS</v>
      </c>
      <c r="C3" s="11"/>
      <c r="D3" s="11"/>
      <c r="E3" s="11"/>
      <c r="G3" s="19" t="s">
        <v>43</v>
      </c>
    </row>
    <row r="4" spans="2:37" x14ac:dyDescent="0.2">
      <c r="B4" t="s">
        <v>57</v>
      </c>
      <c r="E4" s="3">
        <v>6</v>
      </c>
      <c r="F4" s="3"/>
      <c r="M4" s="13">
        <f>H6</f>
        <v>43131</v>
      </c>
      <c r="N4" s="13">
        <f t="shared" ref="N4:U4" si="0">EOMONTH(M4,1)</f>
        <v>43159</v>
      </c>
      <c r="O4" s="13">
        <f t="shared" si="0"/>
        <v>43190</v>
      </c>
      <c r="P4" s="13">
        <f t="shared" si="0"/>
        <v>43220</v>
      </c>
      <c r="Q4" s="13">
        <f t="shared" si="0"/>
        <v>43251</v>
      </c>
      <c r="R4" s="13">
        <f t="shared" si="0"/>
        <v>43281</v>
      </c>
      <c r="S4" s="13">
        <f t="shared" si="0"/>
        <v>43312</v>
      </c>
      <c r="T4" s="13">
        <f t="shared" si="0"/>
        <v>43343</v>
      </c>
      <c r="U4" s="13">
        <f t="shared" si="0"/>
        <v>43373</v>
      </c>
      <c r="V4" s="13">
        <f t="shared" ref="V4:AJ4" si="1">EOMONTH(U4,1)</f>
        <v>43404</v>
      </c>
      <c r="W4" s="13">
        <f t="shared" si="1"/>
        <v>43434</v>
      </c>
      <c r="X4" s="13">
        <f t="shared" si="1"/>
        <v>43465</v>
      </c>
      <c r="Y4" s="13">
        <f t="shared" si="1"/>
        <v>43496</v>
      </c>
      <c r="Z4" s="13">
        <f t="shared" si="1"/>
        <v>43524</v>
      </c>
      <c r="AA4" s="13">
        <f t="shared" si="1"/>
        <v>43555</v>
      </c>
      <c r="AB4" s="13">
        <f t="shared" si="1"/>
        <v>43585</v>
      </c>
      <c r="AC4" s="13">
        <f t="shared" si="1"/>
        <v>43616</v>
      </c>
      <c r="AD4" s="13">
        <f t="shared" si="1"/>
        <v>43646</v>
      </c>
      <c r="AE4" s="13">
        <f t="shared" si="1"/>
        <v>43677</v>
      </c>
      <c r="AF4" s="13">
        <f t="shared" si="1"/>
        <v>43708</v>
      </c>
      <c r="AG4" s="13">
        <f t="shared" si="1"/>
        <v>43738</v>
      </c>
      <c r="AH4" s="13">
        <f t="shared" si="1"/>
        <v>43769</v>
      </c>
      <c r="AI4" s="13">
        <f t="shared" si="1"/>
        <v>43799</v>
      </c>
      <c r="AJ4" s="13">
        <f t="shared" si="1"/>
        <v>43830</v>
      </c>
      <c r="AK4" s="13">
        <f>EOMONTH(AJ4,1)</f>
        <v>43861</v>
      </c>
    </row>
    <row r="5" spans="2:37" x14ac:dyDescent="0.2">
      <c r="B5" s="17">
        <v>10</v>
      </c>
      <c r="C5">
        <v>10</v>
      </c>
      <c r="G5" s="14" t="s">
        <v>44</v>
      </c>
      <c r="H5" s="14" t="s">
        <v>45</v>
      </c>
      <c r="I5" s="14" t="s">
        <v>46</v>
      </c>
      <c r="J5" s="15" t="s">
        <v>47</v>
      </c>
      <c r="K5" s="14" t="s">
        <v>48</v>
      </c>
      <c r="L5" s="14" t="s">
        <v>49</v>
      </c>
      <c r="M5" s="14">
        <v>1</v>
      </c>
      <c r="N5" s="14">
        <f t="shared" ref="N5:U5" si="2">M5+1</f>
        <v>2</v>
      </c>
      <c r="O5" s="14">
        <f t="shared" si="2"/>
        <v>3</v>
      </c>
      <c r="P5" s="14">
        <f t="shared" si="2"/>
        <v>4</v>
      </c>
      <c r="Q5" s="14">
        <f t="shared" si="2"/>
        <v>5</v>
      </c>
      <c r="R5" s="14">
        <f t="shared" si="2"/>
        <v>6</v>
      </c>
      <c r="S5" s="14">
        <f t="shared" si="2"/>
        <v>7</v>
      </c>
      <c r="T5" s="14">
        <f t="shared" si="2"/>
        <v>8</v>
      </c>
      <c r="U5" s="14">
        <f t="shared" si="2"/>
        <v>9</v>
      </c>
      <c r="V5" s="14">
        <f t="shared" ref="V5:AJ5" si="3">U5+1</f>
        <v>10</v>
      </c>
      <c r="W5" s="14">
        <f t="shared" si="3"/>
        <v>11</v>
      </c>
      <c r="X5" s="14">
        <f t="shared" si="3"/>
        <v>12</v>
      </c>
      <c r="Y5" s="14">
        <f t="shared" si="3"/>
        <v>13</v>
      </c>
      <c r="Z5" s="14">
        <f t="shared" si="3"/>
        <v>14</v>
      </c>
      <c r="AA5" s="14">
        <f t="shared" si="3"/>
        <v>15</v>
      </c>
      <c r="AB5" s="14">
        <f t="shared" si="3"/>
        <v>16</v>
      </c>
      <c r="AC5" s="14">
        <f t="shared" si="3"/>
        <v>17</v>
      </c>
      <c r="AD5" s="14">
        <f t="shared" si="3"/>
        <v>18</v>
      </c>
      <c r="AE5" s="14">
        <f t="shared" si="3"/>
        <v>19</v>
      </c>
      <c r="AF5" s="14">
        <f t="shared" si="3"/>
        <v>20</v>
      </c>
      <c r="AG5" s="14">
        <f t="shared" si="3"/>
        <v>21</v>
      </c>
      <c r="AH5" s="14">
        <f t="shared" si="3"/>
        <v>22</v>
      </c>
      <c r="AI5" s="14">
        <f t="shared" si="3"/>
        <v>23</v>
      </c>
      <c r="AJ5" s="14">
        <f t="shared" si="3"/>
        <v>24</v>
      </c>
      <c r="AK5" s="14">
        <f>AJ5+1</f>
        <v>25</v>
      </c>
    </row>
    <row r="6" spans="2:37" x14ac:dyDescent="0.2">
      <c r="B6" s="16">
        <v>9</v>
      </c>
      <c r="C6">
        <v>9</v>
      </c>
      <c r="G6" s="12">
        <v>1000000</v>
      </c>
      <c r="H6" s="13">
        <v>43131</v>
      </c>
      <c r="I6" s="13">
        <f>AK4</f>
        <v>43861</v>
      </c>
      <c r="J6">
        <v>25</v>
      </c>
      <c r="K6" t="s">
        <v>27</v>
      </c>
      <c r="L6">
        <f>J6/E4</f>
        <v>4.166666666666667</v>
      </c>
      <c r="M6" s="12">
        <f>+IF(AND($K6="Flat",M$4&gt;=$H6,M$4&lt;=$I6),$G6/$J6,0)+IF(AND($K6="S-Curve",M$4&gt;=$H6,M$4&lt;=$I6),(_xlfn.NORM.DIST((YEAR(M$4)-YEAR($H6))*12+MONTH(M$4)-MONTH($H6)+1,$J6/2,$L6,TRUE)-_xlfn.NORM.DIST((YEAR(M$4)-YEAR($H6))*12+MONTH(M$4)-MONTH($H6),$J6/2,$L6,TRUE))/(1-2*_xlfn.NORM.DIST(0,$J6/2,$L6,TRUE))*$G6,0)</f>
        <v>1544.3394461531143</v>
      </c>
      <c r="N6" s="12">
        <f>+IF(AND($K6="Flat",N$4&gt;=$H6,N$4&lt;=$I6),$G6/$J6,0)+IF(AND($K6="S-Curve",N$4&gt;=$H6,N$4&lt;=$I6),(_xlfn.NORM.DIST((YEAR(N$4)-YEAR($H6))*12+MONTH(N$4)-MONTH($H6)+1,$J6/2,$L6,TRUE)-_xlfn.NORM.DIST((YEAR(N$4)-YEAR($H6))*12+MONTH(N$4)-MONTH($H6),$J6/2,$L6,TRUE))/(1-2*_xlfn.NORM.DIST(0,$J6/2,$L6,TRUE))*$G6,0)</f>
        <v>2985.7345133916106</v>
      </c>
      <c r="O6" s="12">
        <f>+IF(AND($K6="Flat",O$4&gt;=$H6,O$4&lt;=$I6),$G6/$J6,0)+IF(AND($K6="S-Curve",O$4&gt;=$H6,O$4&lt;=$I6),(_xlfn.NORM.DIST((YEAR(O$4)-YEAR($H6))*12+MONTH(O$4)-MONTH($H6)+1,$J6/2,$L6,TRUE)-_xlfn.NORM.DIST((YEAR(O$4)-YEAR($H6))*12+MONTH(O$4)-MONTH($H6),$J6/2,$L6,TRUE))/(1-2*_xlfn.NORM.DIST(0,$J6/2,$L6,TRUE))*$G6,0)</f>
        <v>5450.8186218771189</v>
      </c>
      <c r="P6" s="12">
        <f>+IF(AND($K6="Flat",P$4&gt;=$H6,P$4&lt;=$I6),$G6/$J6,0)+IF(AND($K6="S-Curve",P$4&gt;=$H6,P$4&lt;=$I6),(_xlfn.NORM.DIST((YEAR(P$4)-YEAR($H6))*12+MONTH(P$4)-MONTH($H6)+1,$J6/2,$L6,TRUE)-_xlfn.NORM.DIST((YEAR(P$4)-YEAR($H6))*12+MONTH(P$4)-MONTH($H6),$J6/2,$L6,TRUE))/(1-2*_xlfn.NORM.DIST(0,$J6/2,$L6,TRUE))*$G6,0)</f>
        <v>9396.6877681614151</v>
      </c>
      <c r="Q6" s="12">
        <f t="shared" ref="Q6:AK6" si="4">+IF(AND($K6="Flat",Q$4&gt;=$H6,Q$4&lt;=$I6),$G6/$J6,0)+IF(AND($K6="S-Curve",Q$4&gt;=$H6,Q$4&lt;=$I6),(_xlfn.NORM.DIST((YEAR(Q$4)-YEAR($H6))*12+MONTH(Q$4)-MONTH($H6)+1,$J6/2,$L6,TRUE)-_xlfn.NORM.DIST((YEAR(Q$4)-YEAR($H6))*12+MONTH(Q$4)-MONTH($H6),$J6/2,$L6,TRUE))/(1-2*_xlfn.NORM.DIST(0,$J6/2,$L6,TRUE))*$G6,0)</f>
        <v>15296.453551937133</v>
      </c>
      <c r="R6" s="12">
        <f t="shared" si="4"/>
        <v>23513.102062249949</v>
      </c>
      <c r="S6" s="12">
        <f t="shared" si="4"/>
        <v>34129.711659858258</v>
      </c>
      <c r="T6" s="12">
        <f t="shared" si="4"/>
        <v>46779.877223665448</v>
      </c>
      <c r="U6" s="12">
        <f t="shared" si="4"/>
        <v>60546.566553706223</v>
      </c>
      <c r="V6" s="12">
        <f t="shared" si="4"/>
        <v>73998.705904511255</v>
      </c>
      <c r="W6" s="12">
        <f t="shared" si="4"/>
        <v>85401.014354287341</v>
      </c>
      <c r="X6" s="12">
        <f t="shared" si="4"/>
        <v>93069.275260365757</v>
      </c>
      <c r="Y6" s="12">
        <f t="shared" si="4"/>
        <v>95775.426159670722</v>
      </c>
      <c r="Z6" s="12">
        <f t="shared" si="4"/>
        <v>93069.275260365815</v>
      </c>
      <c r="AA6" s="12">
        <f t="shared" si="4"/>
        <v>85401.014354287297</v>
      </c>
      <c r="AB6" s="12">
        <f t="shared" si="4"/>
        <v>73998.705904511226</v>
      </c>
      <c r="AC6" s="12">
        <f t="shared" si="4"/>
        <v>60546.566553706223</v>
      </c>
      <c r="AD6" s="12">
        <f t="shared" si="4"/>
        <v>46779.877223665513</v>
      </c>
      <c r="AE6" s="12">
        <f t="shared" si="4"/>
        <v>34129.711659858265</v>
      </c>
      <c r="AF6" s="12">
        <f t="shared" si="4"/>
        <v>23513.102062249942</v>
      </c>
      <c r="AG6" s="12">
        <f t="shared" si="4"/>
        <v>15296.453551937057</v>
      </c>
      <c r="AH6" s="12">
        <f t="shared" si="4"/>
        <v>9396.6877681614442</v>
      </c>
      <c r="AI6" s="12">
        <f t="shared" si="4"/>
        <v>5450.8186218771325</v>
      </c>
      <c r="AJ6" s="12">
        <f t="shared" si="4"/>
        <v>2985.7345133915878</v>
      </c>
      <c r="AK6" s="12">
        <f t="shared" si="4"/>
        <v>1544.3394461531182</v>
      </c>
    </row>
    <row r="7" spans="2:37" x14ac:dyDescent="0.2">
      <c r="B7" s="16">
        <v>8</v>
      </c>
      <c r="C7">
        <v>8</v>
      </c>
    </row>
    <row r="8" spans="2:37" x14ac:dyDescent="0.2">
      <c r="B8" s="16">
        <v>7</v>
      </c>
      <c r="C8">
        <v>7</v>
      </c>
    </row>
    <row r="9" spans="2:37" x14ac:dyDescent="0.2">
      <c r="B9" s="16">
        <v>6</v>
      </c>
      <c r="C9">
        <v>6</v>
      </c>
    </row>
    <row r="10" spans="2:37" x14ac:dyDescent="0.2">
      <c r="B10" s="16">
        <v>5</v>
      </c>
      <c r="C10">
        <v>5</v>
      </c>
    </row>
    <row r="11" spans="2:37" x14ac:dyDescent="0.2">
      <c r="B11" s="16">
        <v>4</v>
      </c>
      <c r="C11">
        <v>4</v>
      </c>
    </row>
    <row r="12" spans="2:37" x14ac:dyDescent="0.2">
      <c r="B12" s="16">
        <v>3</v>
      </c>
      <c r="C12">
        <v>3</v>
      </c>
    </row>
    <row r="13" spans="2:37" x14ac:dyDescent="0.2">
      <c r="B13" s="16">
        <v>2</v>
      </c>
      <c r="C13">
        <v>2</v>
      </c>
    </row>
    <row r="14" spans="2:37" x14ac:dyDescent="0.2">
      <c r="B14" s="18" t="s">
        <v>50</v>
      </c>
      <c r="C14">
        <v>1</v>
      </c>
    </row>
    <row r="17" spans="2:2" x14ac:dyDescent="0.2">
      <c r="B17" s="14" t="s">
        <v>552</v>
      </c>
    </row>
    <row r="18" spans="2:2" x14ac:dyDescent="0.2">
      <c r="B18" t="str">
        <f>+Underwriting!C275</f>
        <v>Vacancy</v>
      </c>
    </row>
    <row r="19" spans="2:2" x14ac:dyDescent="0.2">
      <c r="B19" t="str">
        <f>+Underwriting!G275</f>
        <v>Exit Cap Rate</v>
      </c>
    </row>
    <row r="20" spans="2:2" x14ac:dyDescent="0.2">
      <c r="B20" t="str">
        <f>+Underwriting!C284</f>
        <v>Inc. Growth</v>
      </c>
    </row>
    <row r="21" spans="2:2" x14ac:dyDescent="0.2">
      <c r="B21" t="str">
        <f>+Underwriting!G284</f>
        <v>Rental Growth Begin</v>
      </c>
    </row>
  </sheetData>
  <dataValidations count="2">
    <dataValidation type="list" allowBlank="1" showInputMessage="1" showErrorMessage="1" sqref="F4" xr:uid="{00000000-0002-0000-0600-000000000000}">
      <formula1>$B$5:$B$14</formula1>
    </dataValidation>
    <dataValidation type="whole" allowBlank="1" showInputMessage="1" showErrorMessage="1" sqref="E4" xr:uid="{00000000-0002-0000-0600-000001000000}">
      <formula1>1</formula1>
      <formula2>10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110</vt:i4>
      </vt:variant>
    </vt:vector>
  </HeadingPairs>
  <TitlesOfParts>
    <vt:vector size="120" baseType="lpstr">
      <vt:lpstr>Version</vt:lpstr>
      <vt:lpstr>Summary</vt:lpstr>
      <vt:lpstr>Underwriting</vt:lpstr>
      <vt:lpstr>Annual Cash Flow</vt:lpstr>
      <vt:lpstr>Investment Summary</vt:lpstr>
      <vt:lpstr>Project Cost Basis</vt:lpstr>
      <vt:lpstr>Unit Mix - Rent Roll</vt:lpstr>
      <vt:lpstr>Retail Income</vt:lpstr>
      <vt:lpstr>Detail Expenses</vt:lpstr>
      <vt:lpstr>Data</vt:lpstr>
      <vt:lpstr>Calc_Dev_Fee?</vt:lpstr>
      <vt:lpstr>Calc_Loan?</vt:lpstr>
      <vt:lpstr>Calc_Loan_2?</vt:lpstr>
      <vt:lpstr>CapEx_1</vt:lpstr>
      <vt:lpstr>CapEx_2</vt:lpstr>
      <vt:lpstr>CF_Report?</vt:lpstr>
      <vt:lpstr>ConstDebt_Payoff</vt:lpstr>
      <vt:lpstr>CU?</vt:lpstr>
      <vt:lpstr>Dbl_Promote?</vt:lpstr>
      <vt:lpstr>Debt_LTC_Actual</vt:lpstr>
      <vt:lpstr>Debt_LTC_Target</vt:lpstr>
      <vt:lpstr>Debt_Total</vt:lpstr>
      <vt:lpstr>Dev_Fee_Actual</vt:lpstr>
      <vt:lpstr>Dev_Fee_Target</vt:lpstr>
      <vt:lpstr>Dev_Fee_Total</vt:lpstr>
      <vt:lpstr>Dev_Spread</vt:lpstr>
      <vt:lpstr>Equity_Total</vt:lpstr>
      <vt:lpstr>Fixed_Variable</vt:lpstr>
      <vt:lpstr>Interest_Const_Loan</vt:lpstr>
      <vt:lpstr>Interest_Mezz_Loan</vt:lpstr>
      <vt:lpstr>Investment_Name</vt:lpstr>
      <vt:lpstr>Items_Hard_Costs</vt:lpstr>
      <vt:lpstr>Items_Land_Costs</vt:lpstr>
      <vt:lpstr>Items_Other_Income</vt:lpstr>
      <vt:lpstr>Items_Retail_Tenants</vt:lpstr>
      <vt:lpstr>Items_Soft_Costs</vt:lpstr>
      <vt:lpstr>Items_Unit_Types</vt:lpstr>
      <vt:lpstr>Land_Value</vt:lpstr>
      <vt:lpstr>LeaseUp_Formula</vt:lpstr>
      <vt:lpstr>LeaseUp_Method</vt:lpstr>
      <vt:lpstr>Nav_Controllable_Expenses</vt:lpstr>
      <vt:lpstr>Nav_Development_CF</vt:lpstr>
      <vt:lpstr>Nav_Fixed_Expenses</vt:lpstr>
      <vt:lpstr>Nav_Investment_Description</vt:lpstr>
      <vt:lpstr>Nav_Operating_CF</vt:lpstr>
      <vt:lpstr>Nav_Operating_Expenses_Summary</vt:lpstr>
      <vt:lpstr>Nav_Residual_CF</vt:lpstr>
      <vt:lpstr>Nav_Retail_Expenses</vt:lpstr>
      <vt:lpstr>Nav_Retail_Income</vt:lpstr>
      <vt:lpstr>Nav_Retail_Reserves</vt:lpstr>
      <vt:lpstr>Nav_Sensitivity</vt:lpstr>
      <vt:lpstr>Nav_Waterfall_CF</vt:lpstr>
      <vt:lpstr>OpEx_1</vt:lpstr>
      <vt:lpstr>OpEx_1_Det</vt:lpstr>
      <vt:lpstr>OpEx_2</vt:lpstr>
      <vt:lpstr>OpEx_2_Det</vt:lpstr>
      <vt:lpstr>OpEx_3</vt:lpstr>
      <vt:lpstr>OpEx_3_Det</vt:lpstr>
      <vt:lpstr>OpEx_4</vt:lpstr>
      <vt:lpstr>OpEx_4_Det</vt:lpstr>
      <vt:lpstr>OpEx_5</vt:lpstr>
      <vt:lpstr>OpEx_5_Det</vt:lpstr>
      <vt:lpstr>OpEx_6</vt:lpstr>
      <vt:lpstr>OpEx_6_Det</vt:lpstr>
      <vt:lpstr>OpEx_7</vt:lpstr>
      <vt:lpstr>OpEx_7_Det</vt:lpstr>
      <vt:lpstr>OpEx_Ins</vt:lpstr>
      <vt:lpstr>OpEx_Ins_Det</vt:lpstr>
      <vt:lpstr>OpEx_MgtFee</vt:lpstr>
      <vt:lpstr>OpEx_MgtFee_Det</vt:lpstr>
      <vt:lpstr>OpEx_Tax</vt:lpstr>
      <vt:lpstr>OpEx_Tax_Det</vt:lpstr>
      <vt:lpstr>OpEx_Underwriting_Type</vt:lpstr>
      <vt:lpstr>Parking_Structured</vt:lpstr>
      <vt:lpstr>Parking_Total</vt:lpstr>
      <vt:lpstr>Perm_Debt?</vt:lpstr>
      <vt:lpstr>PermDebt_Fund</vt:lpstr>
      <vt:lpstr>PermDebt_Payoff</vt:lpstr>
      <vt:lpstr>'Annual Cash Flow'!Print_Area</vt:lpstr>
      <vt:lpstr>Summary!Print_Area</vt:lpstr>
      <vt:lpstr>Project_Cost_Total</vt:lpstr>
      <vt:lpstr>Range_LeaseUp</vt:lpstr>
      <vt:lpstr>Range_PermDebt</vt:lpstr>
      <vt:lpstr>Range_PermDS</vt:lpstr>
      <vt:lpstr>Recalc?</vt:lpstr>
      <vt:lpstr>Rel_2nd_Promote</vt:lpstr>
      <vt:lpstr>Rel_Calc</vt:lpstr>
      <vt:lpstr>Rel_End</vt:lpstr>
      <vt:lpstr>Rel_Hard_Costs</vt:lpstr>
      <vt:lpstr>Rel_Land_Costs</vt:lpstr>
      <vt:lpstr>Rel_Other_Income</vt:lpstr>
      <vt:lpstr>Rel_PermDebtPayoff</vt:lpstr>
      <vt:lpstr>Rel_PermDS</vt:lpstr>
      <vt:lpstr>Rel_PermFunding</vt:lpstr>
      <vt:lpstr>Rel_Retail_Base</vt:lpstr>
      <vt:lpstr>Rel_Retail_Income_ProForma</vt:lpstr>
      <vt:lpstr>Rel_Retail_Recovery_Income</vt:lpstr>
      <vt:lpstr>Rel_Retail_Reserves</vt:lpstr>
      <vt:lpstr>Rel_Retail_Reserves_ProForma</vt:lpstr>
      <vt:lpstr>Rel_Reversion_Other_Income</vt:lpstr>
      <vt:lpstr>Rel_Sensitivity</vt:lpstr>
      <vt:lpstr>Rel_Soft_Costs</vt:lpstr>
      <vt:lpstr>Rel_Unit_Types</vt:lpstr>
      <vt:lpstr>Retail_Income_Include?</vt:lpstr>
      <vt:lpstr>Scurve_Dist</vt:lpstr>
      <vt:lpstr>Show_Calc?</vt:lpstr>
      <vt:lpstr>Stabilization_1st_Month</vt:lpstr>
      <vt:lpstr>Timing_Analysis_End_Month</vt:lpstr>
      <vt:lpstr>Timing_Construction_End</vt:lpstr>
      <vt:lpstr>Timing_Growth_Begin_Expenses</vt:lpstr>
      <vt:lpstr>Timing_Growth_Begin_Income</vt:lpstr>
      <vt:lpstr>Timing_Operation_Begin_Month</vt:lpstr>
      <vt:lpstr>Timing_Reversion_Month</vt:lpstr>
      <vt:lpstr>Unit_Type</vt:lpstr>
      <vt:lpstr>Units</vt:lpstr>
      <vt:lpstr>Units_Retail</vt:lpstr>
      <vt:lpstr>Units_SF_M2</vt:lpstr>
      <vt:lpstr>Valuation_Reversion</vt:lpstr>
      <vt:lpstr>Valuation_Trended</vt:lpstr>
      <vt:lpstr>Valuation_Untrended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Maximilian Schmitt</cp:lastModifiedBy>
  <cp:lastPrinted>2018-04-10T02:53:09Z</cp:lastPrinted>
  <dcterms:created xsi:type="dcterms:W3CDTF">2018-03-08T15:33:59Z</dcterms:created>
  <dcterms:modified xsi:type="dcterms:W3CDTF">2025-08-04T23:31:39Z</dcterms:modified>
</cp:coreProperties>
</file>